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2.xml" ContentType="application/vnd.openxmlformats-officedocument.spreadsheetml.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e98f130cee90e3e/Desktop/LEARNING/EXCEL/"/>
    </mc:Choice>
  </mc:AlternateContent>
  <xr:revisionPtr revIDLastSave="4310" documentId="8_{952A743C-A665-4962-B814-20872759A5AD}" xr6:coauthVersionLast="47" xr6:coauthVersionMax="47" xr10:uidLastSave="{CFA8AA9D-20F6-4624-81BA-1DAD7FDF12E0}"/>
  <bookViews>
    <workbookView xWindow="-110" yWindow="-110" windowWidth="19420" windowHeight="11500" firstSheet="16" activeTab="18" xr2:uid="{AFC3A2C7-1EDB-4A10-9B56-9A70D27AA3E2}"/>
  </bookViews>
  <sheets>
    <sheet name="Age &amp; Gender Revenue" sheetId="10" r:id="rId1"/>
    <sheet name="Subscription Revenue" sheetId="17" r:id="rId2"/>
    <sheet name="Payment Methods" sheetId="34" r:id="rId3"/>
    <sheet name="Purchase Frequency" sheetId="33" r:id="rId4"/>
    <sheet name="Location Revenue" sheetId="12" r:id="rId5"/>
    <sheet name="Season Revenue" sheetId="36" r:id="rId6"/>
    <sheet name="Category Revenue" sheetId="20" r:id="rId7"/>
    <sheet name="Item Revenue" sheetId="22" r:id="rId8"/>
    <sheet name="Color Revenue" sheetId="30" r:id="rId9"/>
    <sheet name="Size Revenue" sheetId="29" r:id="rId10"/>
    <sheet name="Discount Revenue" sheetId="23" r:id="rId11"/>
    <sheet name="Discount AOV" sheetId="27" r:id="rId12"/>
    <sheet name="Average Rating" sheetId="31" r:id="rId13"/>
    <sheet name="Rating Distribution" sheetId="32" r:id="rId14"/>
    <sheet name="Key KPIs" sheetId="5" r:id="rId15"/>
    <sheet name="Payment Method Counts" sheetId="37" r:id="rId16"/>
    <sheet name="Shopping Data" sheetId="1" r:id="rId17"/>
    <sheet name="Dashboard" sheetId="16" r:id="rId18"/>
    <sheet name="Dashboard Insights" sheetId="38" r:id="rId19"/>
    <sheet name="Chart Data" sheetId="39" state="hidden" r:id="rId20"/>
  </sheets>
  <definedNames>
    <definedName name="_xlchart.v5.0" hidden="1">'Location Revenue'!$D$2</definedName>
    <definedName name="_xlchart.v5.1" hidden="1">'Location Revenue'!$D$3:$D$52</definedName>
    <definedName name="_xlchart.v5.2" hidden="1">'Location Revenue'!$E$2</definedName>
    <definedName name="_xlchart.v5.3" hidden="1">'Location Revenue'!$E$3:$E$52</definedName>
  </definedNames>
  <calcPr calcId="191029"/>
  <pivotCaches>
    <pivotCache cacheId="0" r:id="rId21"/>
    <pivotCache cacheId="1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02" i="1" l="1"/>
  <c r="R2" i="39"/>
  <c r="R3" i="39"/>
  <c r="R4" i="39"/>
  <c r="R5" i="39"/>
  <c r="R6" i="39"/>
  <c r="R7" i="39"/>
  <c r="O2" i="39"/>
  <c r="O3" i="39"/>
  <c r="L2" i="39"/>
  <c r="L3" i="39"/>
  <c r="L4" i="39"/>
  <c r="L5" i="39"/>
  <c r="I2" i="39"/>
  <c r="I3" i="39"/>
  <c r="I4" i="39"/>
  <c r="I5" i="39"/>
  <c r="F2" i="39"/>
  <c r="F3" i="39"/>
  <c r="C2" i="39"/>
  <c r="C3" i="39"/>
  <c r="C4" i="39"/>
  <c r="C5" i="39"/>
  <c r="C6" i="39"/>
  <c r="C7" i="39"/>
  <c r="B2" i="39"/>
  <c r="B3" i="39"/>
  <c r="B4" i="39"/>
  <c r="B5" i="39"/>
  <c r="B6" i="39"/>
  <c r="B7" i="39"/>
  <c r="E4" i="31"/>
  <c r="B11" i="31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N19" i="38"/>
  <c r="N20" i="38"/>
  <c r="J19" i="38"/>
  <c r="J20" i="38"/>
  <c r="J21" i="38"/>
  <c r="J22" i="38"/>
  <c r="F19" i="38"/>
  <c r="F20" i="38"/>
  <c r="F21" i="38"/>
  <c r="F22" i="38"/>
  <c r="F23" i="38"/>
  <c r="F24" i="38"/>
  <c r="B19" i="38"/>
  <c r="B20" i="38"/>
  <c r="B21" i="38"/>
  <c r="B22" i="38"/>
  <c r="A15" i="38"/>
  <c r="A14" i="38"/>
  <c r="A13" i="38"/>
  <c r="J6" i="38"/>
  <c r="D6" i="38"/>
  <c r="A6" i="38"/>
  <c r="A12" i="38" s="1"/>
  <c r="G8" i="23"/>
  <c r="E2" i="34"/>
  <c r="Q2" i="1"/>
  <c r="G6" i="23"/>
  <c r="G4" i="23"/>
  <c r="G5" i="23"/>
  <c r="G7" i="23"/>
  <c r="G22" i="38" l="1"/>
  <c r="G21" i="38"/>
  <c r="G23" i="38"/>
  <c r="G24" i="38"/>
  <c r="G20" i="38"/>
  <c r="G19" i="38"/>
  <c r="K22" i="38"/>
  <c r="K21" i="38"/>
  <c r="C21" i="38"/>
  <c r="K19" i="38"/>
  <c r="C20" i="38"/>
  <c r="O20" i="38"/>
  <c r="G6" i="38"/>
  <c r="A11" i="38"/>
  <c r="M6" i="38"/>
  <c r="C22" i="38"/>
  <c r="K20" i="38"/>
  <c r="C19" i="38"/>
  <c r="O19" i="38"/>
</calcChain>
</file>

<file path=xl/sharedStrings.xml><?xml version="1.0" encoding="utf-8"?>
<sst xmlns="http://schemas.openxmlformats.org/spreadsheetml/2006/main" count="43213" uniqueCount="219">
  <si>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</si>
  <si>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</si>
  <si>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</si>
  <si>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</si>
  <si>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</si>
  <si>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</si>
  <si>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</si>
  <si>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</si>
  <si>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</si>
  <si>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</si>
  <si>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</si>
  <si>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</si>
  <si>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Discount Applied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</si>
  <si>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</si>
  <si>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</si>
  <si>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</si>
  <si>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</si>
  <si>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</si>
  <si>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</si>
  <si>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</si>
  <si>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</si>
  <si>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</si>
  <si>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</si>
  <si>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</si>
  <si>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</si>
  <si>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</si>
  <si>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</si>
  <si>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</si>
  <si>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</si>
  <si>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</si>
  <si>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</si>
  <si>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</si>
  <si>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</si>
  <si>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</si>
  <si>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Credit Card</t>
  </si>
  <si>
    <t>Weekly</t>
  </si>
  <si>
    <t>Sandals</t>
  </si>
  <si>
    <t>Footwear</t>
  </si>
  <si>
    <t>Rhode Island</t>
  </si>
  <si>
    <t>M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</si>
  <si>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</si>
  <si>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</si>
  <si>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</si>
  <si>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</si>
  <si>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</si>
  <si>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</si>
  <si>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</si>
  <si>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</si>
  <si>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</si>
  <si>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</si>
  <si>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</si>
  <si>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</si>
  <si>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</si>
  <si>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</si>
  <si>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</si>
  <si>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</si>
  <si>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</si>
  <si>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</si>
  <si>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</si>
  <si>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</si>
  <si>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</si>
  <si>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</si>
  <si>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</si>
  <si>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Shoes</t>
  </si>
  <si>
    <t>Arkansas</t>
  </si>
  <si>
    <t>Purple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</si>
  <si>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</si>
  <si>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</si>
  <si>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</si>
  <si>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</si>
  <si>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</si>
  <si>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</si>
  <si>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</si>
  <si>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</si>
  <si>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</si>
  <si>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</si>
  <si>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</si>
  <si>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</si>
  <si>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</si>
  <si>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</si>
  <si>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</si>
  <si>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</si>
  <si>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</si>
  <si>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</si>
  <si>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</si>
  <si>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</si>
  <si>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</si>
  <si>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</si>
  <si>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</si>
  <si>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</si>
  <si>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</si>
  <si>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</si>
  <si>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</si>
  <si>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</si>
  <si>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</si>
  <si>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</si>
  <si>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</si>
  <si>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</si>
  <si>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</si>
  <si>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</si>
  <si>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</si>
  <si>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</si>
  <si>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</si>
  <si>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</si>
  <si>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</si>
  <si>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</si>
  <si>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</si>
  <si>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</si>
  <si>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</si>
  <si>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</si>
  <si>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</si>
  <si>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</si>
  <si>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</si>
  <si>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</si>
  <si>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</si>
  <si>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</si>
  <si>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</si>
  <si>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</si>
  <si>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</si>
  <si>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</si>
  <si>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</si>
  <si>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</si>
  <si>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</si>
  <si>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</si>
  <si>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</si>
  <si>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</si>
  <si>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</si>
  <si>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</si>
  <si>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</si>
  <si>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</si>
  <si>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</si>
  <si>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</si>
  <si>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</si>
  <si>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</si>
  <si>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</si>
  <si>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</si>
  <si>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</si>
  <si>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</si>
  <si>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</si>
  <si>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</si>
  <si>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</si>
  <si>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</si>
  <si>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</si>
  <si>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</si>
  <si>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</si>
  <si>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Row Labels</t>
  </si>
  <si>
    <t>Grand Total</t>
  </si>
  <si>
    <t>18-27</t>
  </si>
  <si>
    <t>28-37</t>
  </si>
  <si>
    <t>38-47</t>
  </si>
  <si>
    <t>48-57</t>
  </si>
  <si>
    <t>58-67</t>
  </si>
  <si>
    <t>68-77</t>
  </si>
  <si>
    <t xml:space="preserve">Total Spend </t>
  </si>
  <si>
    <t xml:space="preserve">locations </t>
  </si>
  <si>
    <t xml:space="preserve">Total _Sales </t>
  </si>
  <si>
    <t xml:space="preserve">Subscription Status </t>
  </si>
  <si>
    <t xml:space="preserve">Total Revenue </t>
  </si>
  <si>
    <t>AOV</t>
  </si>
  <si>
    <t xml:space="preserve">Category </t>
  </si>
  <si>
    <t>Tot Revenue</t>
  </si>
  <si>
    <t xml:space="preserve">Revenue by location </t>
  </si>
  <si>
    <t xml:space="preserve">Age/Gender </t>
  </si>
  <si>
    <t xml:space="preserve">Discounted </t>
  </si>
  <si>
    <t xml:space="preserve">% revenue </t>
  </si>
  <si>
    <t xml:space="preserve">TOt Revenue </t>
  </si>
  <si>
    <t xml:space="preserve">AOV </t>
  </si>
  <si>
    <t xml:space="preserve">Revenue by item </t>
  </si>
  <si>
    <t xml:space="preserve">To 10 items sales </t>
  </si>
  <si>
    <t>Count of Payment Method</t>
  </si>
  <si>
    <t xml:space="preserve">tot revenue </t>
  </si>
  <si>
    <t>Colour</t>
  </si>
  <si>
    <t xml:space="preserve">Size </t>
  </si>
  <si>
    <t xml:space="preserve">Review Rating </t>
  </si>
  <si>
    <t xml:space="preserve">% reviews </t>
  </si>
  <si>
    <t>Count of Frequency of Purchases</t>
  </si>
  <si>
    <t xml:space="preserve">Tot orders </t>
  </si>
  <si>
    <t xml:space="preserve">REVENUE BY GENDER/ AGE </t>
  </si>
  <si>
    <t xml:space="preserve">REVENUE BASED ON SUBSCRIPTION </t>
  </si>
  <si>
    <t xml:space="preserve">PAYMENT METHODS  MOSTLY </t>
  </si>
  <si>
    <t>Count of Payment Method2</t>
  </si>
  <si>
    <t xml:space="preserve">82.82% OF THE purchases are cashless while only 17.18% is by cash </t>
  </si>
  <si>
    <t xml:space="preserve">Avrage Rating </t>
  </si>
  <si>
    <t>(blank)</t>
  </si>
  <si>
    <t xml:space="preserve">discounted revenue </t>
  </si>
  <si>
    <t xml:space="preserve">undiscounted revenue </t>
  </si>
  <si>
    <t xml:space="preserve">Summary KPI's </t>
  </si>
  <si>
    <t xml:space="preserve">values </t>
  </si>
  <si>
    <t xml:space="preserve">Aov discounted </t>
  </si>
  <si>
    <t xml:space="preserve">Aov  undiscounted </t>
  </si>
  <si>
    <t xml:space="preserve">avrage Rating </t>
  </si>
  <si>
    <t>TOTAL REVENUE</t>
  </si>
  <si>
    <t>TRANSACTIONS</t>
  </si>
  <si>
    <t>AVERAGE ORDER VALUE</t>
  </si>
  <si>
    <t>AVERAGE RATING</t>
  </si>
  <si>
    <t>MAP REVENUE COVERAGE</t>
  </si>
  <si>
    <t>INITIAL FINDINGS</t>
  </si>
  <si>
    <t>REVENUE BY CATEGORY</t>
  </si>
  <si>
    <t>PAYMENT METHOD MIX</t>
  </si>
  <si>
    <t>REVENUE BY SEASON</t>
  </si>
  <si>
    <t>REVENUE BY GENDER</t>
  </si>
  <si>
    <t>Revenue</t>
  </si>
  <si>
    <t>Share</t>
  </si>
  <si>
    <t>Method</t>
  </si>
  <si>
    <t>Orders</t>
  </si>
  <si>
    <t>Weighted Raw-Data Average</t>
  </si>
  <si>
    <t>KPI Validation</t>
  </si>
  <si>
    <t>Value</t>
  </si>
  <si>
    <t>Weighted overall average</t>
  </si>
  <si>
    <t>Dashboard Insights!J6</t>
  </si>
  <si>
    <t>Age Band</t>
  </si>
  <si>
    <t>18–27</t>
  </si>
  <si>
    <t>28–37</t>
  </si>
  <si>
    <t>38–47</t>
  </si>
  <si>
    <t>48–57</t>
  </si>
  <si>
    <t>58–67</t>
  </si>
  <si>
    <t>68–77</t>
  </si>
  <si>
    <t>Dashboard Insights!J5</t>
  </si>
  <si>
    <t>SHOPPING BEHAVIOR  DASHBOARD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</si>
</sst>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[$$-409]* #,##0.00_ ;_-[$$-409]* \-#,##0.00\ ;_-[$$-409]* &quot;-&quot;??_ ;_-@_ "/>
    <numFmt numFmtId="165" formatCode="[$$-409]#,##0.00_ ;\-[$$-409]#,##0.00\ "/>
    <numFmt numFmtId="166" formatCode="[$$-409]#,##0.00"/>
    <numFmt numFmtId="167" formatCode="0.0"/>
    <numFmt numFmtId="168" formatCode="&quot;£&quot;#,##0"/>
    <numFmt numFmtId="169" formatCode="0.0%"/>
    <numFmt numFmtId="170" formatCode="[$$-409]#,##0"/>
    <numFmt numFmtId="171" formatCode="[$$-409]0.00"/>
  </numFmts>
  <fonts count="30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b/>
      <sz val="11"/>
      <name val="Trebuchet MS"/>
      <family val="2"/>
      <scheme val="minor"/>
    </font>
    <font>
      <sz val="8"/>
      <name val="Trebuchet MS"/>
      <family val="2"/>
      <scheme val="minor"/>
    </font>
    <font>
      <sz val="18"/>
      <color theme="1"/>
      <name val="Trebuchet MS"/>
      <family val="2"/>
      <scheme val="minor"/>
    </font>
    <font>
      <b/>
      <sz val="11"/>
      <color rgb="FFFFFFFF"/>
      <name val="Trebuchet MS"/>
      <family val="2"/>
      <scheme val="minor"/>
    </font>
    <font>
      <b/>
      <sz val="20"/>
      <color rgb="FFFFFFFF"/>
      <name val="Amasis MT Pro"/>
      <family val="1"/>
    </font>
    <font>
      <sz val="11"/>
      <color theme="1"/>
      <name val="Amasis MT Pro"/>
      <family val="1"/>
    </font>
    <font>
      <i/>
      <sz val="11"/>
      <color rgb="FF5E6B78"/>
      <name val="Amasis MT Pro"/>
      <family val="1"/>
    </font>
    <font>
      <b/>
      <sz val="9"/>
      <color rgb="FF17324D"/>
      <name val="Amasis MT Pro"/>
      <family val="1"/>
    </font>
    <font>
      <b/>
      <sz val="19"/>
      <color rgb="FF17324D"/>
      <name val="Amasis MT Pro"/>
      <family val="1"/>
    </font>
    <font>
      <b/>
      <sz val="11"/>
      <color rgb="FFFFFFFF"/>
      <name val="Amasis MT Pro"/>
      <family val="1"/>
    </font>
    <font>
      <sz val="11"/>
      <color rgb="FF263746"/>
      <name val="Amasis MT Pro"/>
      <family val="1"/>
    </font>
    <font>
      <b/>
      <sz val="11"/>
      <color rgb="FF17324D"/>
      <name val="Amasis MT Pro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7F9FC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DCE7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D6A6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0" fontId="0" fillId="0" borderId="0" xfId="0" applyNumberFormat="1"/>
    <xf numFmtId="167" fontId="0" fillId="0" borderId="0" xfId="0" applyNumberFormat="1"/>
    <xf numFmtId="0" fontId="18" fillId="0" borderId="0" xfId="0" applyFont="1"/>
    <xf numFmtId="0" fontId="20" fillId="0" borderId="0" xfId="0" applyFont="1"/>
    <xf numFmtId="0" fontId="1" fillId="10" borderId="0" xfId="19" applyAlignment="1">
      <alignment horizontal="left"/>
    </xf>
    <xf numFmtId="168" fontId="0" fillId="0" borderId="0" xfId="0" applyNumberFormat="1"/>
    <xf numFmtId="2" fontId="1" fillId="10" borderId="0" xfId="19" applyNumberFormat="1"/>
    <xf numFmtId="170" fontId="0" fillId="0" borderId="0" xfId="0" applyNumberFormat="1"/>
    <xf numFmtId="0" fontId="21" fillId="38" borderId="0" xfId="0" applyFont="1" applyFill="1"/>
    <xf numFmtId="0" fontId="0" fillId="39" borderId="0" xfId="0" applyFill="1"/>
    <xf numFmtId="2" fontId="0" fillId="39" borderId="0" xfId="0" applyNumberFormat="1" applyFill="1"/>
    <xf numFmtId="3" fontId="0" fillId="0" borderId="0" xfId="0" applyNumberFormat="1"/>
    <xf numFmtId="0" fontId="22" fillId="34" borderId="0" xfId="0" applyFont="1" applyFill="1" applyAlignment="1">
      <alignment horizontal="left" vertical="center"/>
    </xf>
    <xf numFmtId="0" fontId="23" fillId="0" borderId="0" xfId="0" applyFont="1"/>
    <xf numFmtId="0" fontId="24" fillId="0" borderId="0" xfId="0" applyFont="1"/>
    <xf numFmtId="0" fontId="23" fillId="33" borderId="0" xfId="0" applyFont="1" applyFill="1"/>
    <xf numFmtId="0" fontId="25" fillId="35" borderId="0" xfId="0" applyFont="1" applyFill="1" applyAlignment="1">
      <alignment horizontal="center"/>
    </xf>
    <xf numFmtId="170" fontId="26" fillId="36" borderId="0" xfId="0" applyNumberFormat="1" applyFont="1" applyFill="1" applyAlignment="1">
      <alignment horizontal="center" vertical="center"/>
    </xf>
    <xf numFmtId="0" fontId="26" fillId="36" borderId="0" xfId="0" applyFont="1" applyFill="1" applyAlignment="1">
      <alignment horizontal="center" vertical="center"/>
    </xf>
    <xf numFmtId="3" fontId="26" fillId="36" borderId="0" xfId="0" applyNumberFormat="1" applyFont="1" applyFill="1" applyAlignment="1">
      <alignment horizontal="center" vertical="center"/>
    </xf>
    <xf numFmtId="171" fontId="26" fillId="36" borderId="0" xfId="0" applyNumberFormat="1" applyFont="1" applyFill="1" applyAlignment="1">
      <alignment horizontal="center" vertical="center"/>
    </xf>
    <xf numFmtId="2" fontId="26" fillId="36" borderId="0" xfId="0" applyNumberFormat="1" applyFont="1" applyFill="1" applyAlignment="1">
      <alignment horizontal="center" vertical="center"/>
    </xf>
    <xf numFmtId="169" fontId="23" fillId="36" borderId="0" xfId="0" applyNumberFormat="1" applyFont="1" applyFill="1" applyAlignment="1">
      <alignment horizontal="center" vertical="center"/>
    </xf>
    <xf numFmtId="0" fontId="27" fillId="37" borderId="0" xfId="0" applyFont="1" applyFill="1"/>
    <xf numFmtId="0" fontId="28" fillId="36" borderId="0" xfId="0" applyFont="1" applyFill="1" applyAlignment="1">
      <alignment vertical="center" wrapText="1"/>
    </xf>
    <xf numFmtId="0" fontId="28" fillId="36" borderId="0" xfId="0" applyFont="1" applyFill="1" applyAlignment="1">
      <alignment wrapText="1"/>
    </xf>
    <xf numFmtId="0" fontId="27" fillId="34" borderId="0" xfId="0" applyFont="1" applyFill="1"/>
    <xf numFmtId="0" fontId="29" fillId="35" borderId="0" xfId="0" applyFont="1" applyFill="1"/>
    <xf numFmtId="0" fontId="23" fillId="36" borderId="0" xfId="0" applyFont="1" applyFill="1"/>
    <xf numFmtId="170" fontId="23" fillId="36" borderId="0" xfId="0" applyNumberFormat="1" applyFont="1" applyFill="1"/>
    <xf numFmtId="169" fontId="23" fillId="36" borderId="0" xfId="0" applyNumberFormat="1" applyFont="1" applyFill="1"/>
    <xf numFmtId="3" fontId="23" fillId="36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color theme="6"/>
      </font>
    </dxf>
    <dxf>
      <font>
        <color rgb="FF9C0006"/>
      </font>
    </dxf>
    <dxf>
      <font>
        <color rgb="FFFFC000"/>
      </font>
    </dxf>
    <dxf>
      <font>
        <color theme="6"/>
      </font>
    </dxf>
    <dxf>
      <font>
        <color rgb="FF9C0006"/>
      </font>
    </dxf>
    <dxf>
      <font>
        <color rgb="FFFFC000"/>
      </font>
    </dxf>
    <dxf>
      <font>
        <color rgb="FF00B050"/>
      </font>
    </dxf>
    <dxf>
      <font>
        <color rgb="FF9C0006"/>
      </font>
    </dxf>
    <dxf>
      <font>
        <color rgb="FFFFC000"/>
      </font>
    </dxf>
    <dxf>
      <numFmt numFmtId="167" formatCode="0.0"/>
    </dxf>
    <dxf>
      <numFmt numFmtId="14" formatCode="0.00%"/>
    </dxf>
    <dxf>
      <numFmt numFmtId="166" formatCode="[$$-409]#,##0.00"/>
    </dxf>
    <dxf>
      <numFmt numFmtId="164" formatCode="_-[$$-409]* #,##0.00_ ;_-[$$-409]* \-#,##0.00\ ;_-[$$-409]* &quot;-&quot;??_ ;_-@_ "/>
    </dxf>
    <dxf>
      <numFmt numFmtId="170" formatCode="[$$-409]#,##0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64" formatCode="_-[$$-409]* #,##0.00_ ;_-[$$-409]* \-#,##0.00\ ;_-[$$-409]* &quot;-&quot;??_ ;_-@_ "/>
    </dxf>
    <dxf>
      <numFmt numFmtId="2" formatCode="0.00"/>
    </dxf>
    <dxf>
      <numFmt numFmtId="2" formatCode="0.00"/>
    </dxf>
    <dxf>
      <numFmt numFmtId="172" formatCode="0.0000"/>
    </dxf>
    <dxf>
      <numFmt numFmtId="165" formatCode="[$$-409]#,##0.00_ ;\-[$$-409]#,##0.00\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colors>
    <mruColors>
      <color rgb="FFFFFF99"/>
      <color rgb="FF716167"/>
      <color rgb="FFC393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[shopping_behavior_Analysis_Excel_Dashboard .xlsx]Age &amp; Gender Revenue!PivotTable3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181215880125073E-2"/>
          <c:y val="6.8891280947255107E-2"/>
          <c:w val="0.89787907245539267"/>
          <c:h val="0.781543442699371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&amp; Gender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'Age &amp; Gender Revenue'!$A$4:$A$18</c:f>
              <c:multiLvlStrCache>
                <c:ptCount val="12"/>
                <c:lvl>
                  <c:pt idx="0">
                    <c:v>18-27</c:v>
                  </c:pt>
                  <c:pt idx="1">
                    <c:v>28-37</c:v>
                  </c:pt>
                  <c:pt idx="2">
                    <c:v>38-47</c:v>
                  </c:pt>
                  <c:pt idx="3">
                    <c:v>48-57</c:v>
                  </c:pt>
                  <c:pt idx="4">
                    <c:v>58-67</c:v>
                  </c:pt>
                  <c:pt idx="5">
                    <c:v>68-77</c:v>
                  </c:pt>
                  <c:pt idx="6">
                    <c:v>18-27</c:v>
                  </c:pt>
                  <c:pt idx="7">
                    <c:v>28-37</c:v>
                  </c:pt>
                  <c:pt idx="8">
                    <c:v>38-47</c:v>
                  </c:pt>
                  <c:pt idx="9">
                    <c:v>48-57</c:v>
                  </c:pt>
                  <c:pt idx="10">
                    <c:v>58-67</c:v>
                  </c:pt>
                  <c:pt idx="11">
                    <c:v>68-77</c:v>
                  </c:pt>
                </c:lvl>
                <c:lvl>
                  <c:pt idx="0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'Age &amp; Gender Revenue'!$B$4:$B$18</c:f>
              <c:numCache>
                <c:formatCode>[$$-409]#,##0.00_ ;\-[$$-409]#,##0.00\ </c:formatCode>
                <c:ptCount val="12"/>
                <c:pt idx="0">
                  <c:v>13644</c:v>
                </c:pt>
                <c:pt idx="1">
                  <c:v>14415</c:v>
                </c:pt>
                <c:pt idx="2">
                  <c:v>14742</c:v>
                </c:pt>
                <c:pt idx="3">
                  <c:v>14906</c:v>
                </c:pt>
                <c:pt idx="4">
                  <c:v>13307</c:v>
                </c:pt>
                <c:pt idx="5">
                  <c:v>4177</c:v>
                </c:pt>
                <c:pt idx="6">
                  <c:v>29658</c:v>
                </c:pt>
                <c:pt idx="7">
                  <c:v>30503</c:v>
                </c:pt>
                <c:pt idx="8">
                  <c:v>27581</c:v>
                </c:pt>
                <c:pt idx="9">
                  <c:v>31869</c:v>
                </c:pt>
                <c:pt idx="10">
                  <c:v>28875</c:v>
                </c:pt>
                <c:pt idx="11">
                  <c:v>9404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8-4E19-90F8-FA8F682AE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134064"/>
        <c:axId val="1449134544"/>
      </c:barChart>
      <c:catAx>
        <c:axId val="144913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34544"/>
        <c:crosses val="autoZero"/>
        <c:auto val="1"/>
        <c:lblAlgn val="ctr"/>
        <c:lblOffset val="100"/>
        <c:noMultiLvlLbl val="0"/>
      </c:catAx>
      <c:valAx>
        <c:axId val="1449134544"/>
        <c:scaling>
          <c:orientation val="minMax"/>
        </c:scaling>
        <c:delete val="0"/>
        <c:axPos val="l"/>
        <c:numFmt formatCode="0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3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[shopping_behavior_Analysis_Excel_Dashboard .xlsx]Payment Methods!PivotTable16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PAYMENT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METHOD 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71114CC-5F35-4790-950E-7C4944826098}" type="VALUE">
                  <a:rPr lang="en-US" b="1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794D9AC-659C-4A24-8D82-36E9C781110A}" type="VALUE">
                  <a:rPr lang="en-US" b="1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'Payment Methods'!$B$2</c:f>
              <c:strCache>
                <c:ptCount val="1"/>
                <c:pt idx="0">
                  <c:v>Count of Payment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Methods'!$A$3:$A$9</c:f>
              <c:strCache>
                <c:ptCount val="6"/>
                <c:pt idx="0">
                  <c:v>PayPal</c:v>
                </c:pt>
                <c:pt idx="1">
                  <c:v>Credit Card</c:v>
                </c:pt>
                <c:pt idx="2">
                  <c:v>Cash</c:v>
                </c:pt>
                <c:pt idx="3">
                  <c:v>Debit Card</c:v>
                </c:pt>
                <c:pt idx="4">
                  <c:v>Venmo</c:v>
                </c:pt>
                <c:pt idx="5">
                  <c:v>Bank Transfer</c:v>
                </c:pt>
              </c:strCache>
            </c:strRef>
          </c:cat>
          <c:val>
            <c:numRef>
              <c:f>'Payment Methods'!$B$3:$B$9</c:f>
              <c:numCache>
                <c:formatCode>General</c:formatCode>
                <c:ptCount val="6"/>
                <c:pt idx="0">
                  <c:v>677</c:v>
                </c:pt>
                <c:pt idx="1">
                  <c:v>671</c:v>
                </c:pt>
                <c:pt idx="2">
                  <c:v>670</c:v>
                </c:pt>
                <c:pt idx="3">
                  <c:v>636</c:v>
                </c:pt>
                <c:pt idx="4">
                  <c:v>634</c:v>
                </c:pt>
                <c:pt idx="5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2-4FEE-8244-43EAD682B498}"/>
            </c:ext>
          </c:extLst>
        </c:ser>
        <c:ser>
          <c:idx val="1"/>
          <c:order val="1"/>
          <c:tx>
            <c:strRef>
              <c:f>'Payment Methods'!$C$2</c:f>
              <c:strCache>
                <c:ptCount val="1"/>
                <c:pt idx="0">
                  <c:v>Count of Payment Method2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9FC2-4FEE-8244-43EAD682B49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9FC2-4FEE-8244-43EAD682B49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794D9AC-659C-4A24-8D82-36E9C781110A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9FC2-4FEE-8244-43EAD682B49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71114CC-5F35-4790-950E-7C4944826098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FC2-4FEE-8244-43EAD682B4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Methods'!$A$3:$A$9</c:f>
              <c:strCache>
                <c:ptCount val="6"/>
                <c:pt idx="0">
                  <c:v>PayPal</c:v>
                </c:pt>
                <c:pt idx="1">
                  <c:v>Credit Card</c:v>
                </c:pt>
                <c:pt idx="2">
                  <c:v>Cash</c:v>
                </c:pt>
                <c:pt idx="3">
                  <c:v>Debit Card</c:v>
                </c:pt>
                <c:pt idx="4">
                  <c:v>Venmo</c:v>
                </c:pt>
                <c:pt idx="5">
                  <c:v>Bank Transfer</c:v>
                </c:pt>
              </c:strCache>
            </c:strRef>
          </c:cat>
          <c:val>
            <c:numRef>
              <c:f>'Payment Methods'!$C$3:$C$9</c:f>
              <c:numCache>
                <c:formatCode>0.00%</c:formatCode>
                <c:ptCount val="6"/>
                <c:pt idx="0">
                  <c:v>0.17358974358974358</c:v>
                </c:pt>
                <c:pt idx="1">
                  <c:v>0.17205128205128206</c:v>
                </c:pt>
                <c:pt idx="2">
                  <c:v>0.1717948717948718</c:v>
                </c:pt>
                <c:pt idx="3">
                  <c:v>0.16307692307692306</c:v>
                </c:pt>
                <c:pt idx="4">
                  <c:v>0.16256410256410256</c:v>
                </c:pt>
                <c:pt idx="5">
                  <c:v>0.15692307692307692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C2-4FEE-8244-43EAD682B4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7633376"/>
        <c:axId val="1911686576"/>
      </c:barChart>
      <c:catAx>
        <c:axId val="1447633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86576"/>
        <c:crosses val="autoZero"/>
        <c:auto val="1"/>
        <c:lblAlgn val="ctr"/>
        <c:lblOffset val="100"/>
        <c:noMultiLvlLbl val="0"/>
      </c:catAx>
      <c:valAx>
        <c:axId val="191168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63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[shopping_behavior_Analysis_Excel_Dashboard .xlsx]Location Revenue!PivotTable4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Highest revenue Locations </a:t>
            </a:r>
          </a:p>
          <a:p>
            <a:pPr>
              <a:defRPr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'Location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'Location Revenue'!$A$4:$A$13</c:f>
              <c:strCache>
                <c:ptCount val="10"/>
                <c:pt idx="0">
                  <c:v>Alabama</c:v>
                </c:pt>
                <c:pt idx="1">
                  <c:v>California</c:v>
                </c:pt>
                <c:pt idx="2">
                  <c:v>Idaho</c:v>
                </c:pt>
                <c:pt idx="3">
                  <c:v>Illinois</c:v>
                </c:pt>
                <c:pt idx="4">
                  <c:v>Montana</c:v>
                </c:pt>
                <c:pt idx="5">
                  <c:v>Nebraska</c:v>
                </c:pt>
                <c:pt idx="6">
                  <c:v>Nevada</c:v>
                </c:pt>
                <c:pt idx="7">
                  <c:v>New York</c:v>
                </c:pt>
                <c:pt idx="8">
                  <c:v>North Dakota</c:v>
                </c:pt>
                <c:pt idx="9">
                  <c:v>West Virginia</c:v>
                </c:pt>
              </c:strCache>
            </c:strRef>
          </c:cat>
          <c:val>
            <c:numRef>
              <c:f>'Location Revenue'!$B$4:$B$13</c:f>
              <c:numCache>
                <c:formatCode>[$$-409]#,##0.00</c:formatCode>
                <c:ptCount val="10"/>
                <c:pt idx="0">
                  <c:v>5261</c:v>
                </c:pt>
                <c:pt idx="1">
                  <c:v>5605</c:v>
                </c:pt>
                <c:pt idx="2">
                  <c:v>5587</c:v>
                </c:pt>
                <c:pt idx="3">
                  <c:v>5617</c:v>
                </c:pt>
                <c:pt idx="4">
                  <c:v>5784</c:v>
                </c:pt>
                <c:pt idx="5">
                  <c:v>5172</c:v>
                </c:pt>
                <c:pt idx="6">
                  <c:v>5514</c:v>
                </c:pt>
                <c:pt idx="7">
                  <c:v>5257</c:v>
                </c:pt>
                <c:pt idx="8">
                  <c:v>5220</c:v>
                </c:pt>
                <c:pt idx="9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3-484E-A68A-363DEDA0C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0365280"/>
        <c:axId val="1940365760"/>
      </c:barChart>
      <c:catAx>
        <c:axId val="1940365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ADLaM Display" panose="02010000000000000000" pitchFamily="2" charset="0"/>
                <a:cs typeface="Times New Roman" panose="02020603050405020304" pitchFamily="18" charset="0"/>
              </a:defRPr>
            </a:pPr>
            <a:endParaRPr lang="en-US"/>
          </a:p>
        </c:txPr>
        <c:crossAx val="1940365760"/>
        <c:crosses val="autoZero"/>
        <c:auto val="1"/>
        <c:lblAlgn val="l"/>
        <c:lblOffset val="100"/>
        <c:noMultiLvlLbl val="0"/>
      </c:catAx>
      <c:valAx>
        <c:axId val="194036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403652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[shopping_behavior_Analysis_Excel_Dashboard .xlsx]Season Revenue!PivotTable3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Seasonal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 Revenue 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 Revenue'!$B$2</c:f>
              <c:strCache>
                <c:ptCount val="1"/>
                <c:pt idx="0">
                  <c:v>tot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'Season Revenue'!$A$3:$A$7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'Season Revenue'!$B$3:$B$7</c:f>
              <c:numCache>
                <c:formatCode>[$$-409]#,##0.00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4-49FB-98D0-021EB3A54106}"/>
            </c:ext>
          </c:extLst>
        </c:ser>
        <c:ser>
          <c:idx val="1"/>
          <c:order val="1"/>
          <c:tx>
            <c:strRef>
              <c:f>'Season Revenue'!$C$2</c:f>
              <c:strCache>
                <c:ptCount val="1"/>
                <c:pt idx="0">
                  <c:v>% revenue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'Season Revenue'!$A$3:$A$7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'Season Revenue'!$C$3:$C$7</c:f>
              <c:numCache>
                <c:formatCode>0.00%</c:formatCode>
                <c:ptCount val="4"/>
                <c:pt idx="0">
                  <c:v>0.25749846619844602</c:v>
                </c:pt>
                <c:pt idx="1">
                  <c:v>0.251753682196318</c:v>
                </c:pt>
                <c:pt idx="2">
                  <c:v>0.23930307489670974</c:v>
                </c:pt>
                <c:pt idx="3">
                  <c:v>0.25144477670852622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14-49FB-98D0-021EB3A54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2542560"/>
        <c:axId val="1392544000"/>
      </c:barChart>
      <c:catAx>
        <c:axId val="139254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44000"/>
        <c:crosses val="autoZero"/>
        <c:auto val="1"/>
        <c:lblAlgn val="ctr"/>
        <c:lblOffset val="100"/>
        <c:noMultiLvlLbl val="0"/>
      </c:catAx>
      <c:valAx>
        <c:axId val="13925440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crossAx val="139254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[shopping_behavior_Analysis_Excel_Dashboard .xlsx]Item Revenue!PivotTable13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Revenue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Product </a:t>
            </a:r>
          </a:p>
          <a:p>
            <a:pPr>
              <a:defRPr/>
            </a:pP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'Item Revenue'!$B$2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'Item Revenue'!$A$3:$A$13</c:f>
              <c:strCache>
                <c:ptCount val="10"/>
                <c:pt idx="0">
                  <c:v>Blouse</c:v>
                </c:pt>
                <c:pt idx="1">
                  <c:v>Shirt</c:v>
                </c:pt>
                <c:pt idx="2">
                  <c:v>Dress</c:v>
                </c:pt>
                <c:pt idx="3">
                  <c:v>Pants</c:v>
                </c:pt>
                <c:pt idx="4">
                  <c:v>Jewelry</c:v>
                </c:pt>
                <c:pt idx="5">
                  <c:v>Sunglasses</c:v>
                </c:pt>
                <c:pt idx="6">
                  <c:v>Belt</c:v>
                </c:pt>
                <c:pt idx="7">
                  <c:v>Scarf</c:v>
                </c:pt>
                <c:pt idx="8">
                  <c:v>Sweater</c:v>
                </c:pt>
                <c:pt idx="9">
                  <c:v>Shorts</c:v>
                </c:pt>
              </c:strCache>
            </c:strRef>
          </c:cat>
          <c:val>
            <c:numRef>
              <c:f>'Item Revenue'!$B$3:$B$13</c:f>
              <c:numCache>
                <c:formatCode>[$$-409]#,##0.00</c:formatCode>
                <c:ptCount val="10"/>
                <c:pt idx="0">
                  <c:v>10410</c:v>
                </c:pt>
                <c:pt idx="1">
                  <c:v>10332</c:v>
                </c:pt>
                <c:pt idx="2">
                  <c:v>10320</c:v>
                </c:pt>
                <c:pt idx="3">
                  <c:v>10090</c:v>
                </c:pt>
                <c:pt idx="4">
                  <c:v>10010</c:v>
                </c:pt>
                <c:pt idx="5">
                  <c:v>9649</c:v>
                </c:pt>
                <c:pt idx="6">
                  <c:v>9635</c:v>
                </c:pt>
                <c:pt idx="7">
                  <c:v>9561</c:v>
                </c:pt>
                <c:pt idx="8">
                  <c:v>9462</c:v>
                </c:pt>
                <c:pt idx="9">
                  <c:v>9433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8-4B8F-A88D-8C764B470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244320"/>
        <c:axId val="1775244800"/>
      </c:barChart>
      <c:catAx>
        <c:axId val="177524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44800"/>
        <c:crosses val="autoZero"/>
        <c:auto val="1"/>
        <c:lblAlgn val="ctr"/>
        <c:lblOffset val="100"/>
        <c:noMultiLvlLbl val="0"/>
      </c:catAx>
      <c:valAx>
        <c:axId val="177524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4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[shopping_behavior_Analysis_Excel_Dashboard .xlsx]Color Revenue!PivotTable11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Revenue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colour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'Color Revenue'!$B$1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7F-4863-BC25-FBB9AA2BE9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7F-4863-BC25-FBB9AA2BE9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7F-4863-BC25-FBB9AA2BE9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7F-4863-BC25-FBB9AA2BE9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7F-4863-BC25-FBB9AA2BE9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6A5-4E9F-AE1C-C99B41C15FE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6A5-4E9F-AE1C-C99B41C15FE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6A5-4E9F-AE1C-C99B41C15FE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6A5-4E9F-AE1C-C99B41C15FE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6A5-4E9F-AE1C-C99B41C15FE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6A5-4E9F-AE1C-C99B41C15FE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6A5-4E9F-AE1C-C99B41C15FE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6A5-4E9F-AE1C-C99B41C15FE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6A5-4E9F-AE1C-C99B41C15FE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6A5-4E9F-AE1C-C99B41C15FE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6A5-4E9F-AE1C-C99B41C15FE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6A5-4E9F-AE1C-C99B41C15FE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6A5-4E9F-AE1C-C99B41C15FE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6A5-4E9F-AE1C-C99B41C15FE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6A5-4E9F-AE1C-C99B41C15FE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6A5-4E9F-AE1C-C99B41C15FE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6A5-4E9F-AE1C-C99B41C15FE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6A5-4E9F-AE1C-C99B41C15FE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6A5-4E9F-AE1C-C99B41C15FE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6A5-4E9F-AE1C-C99B41C15FE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6A5-4E9F-AE1C-C99B41C15F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'Color Revenue'!$A$2:$A$28</c:f>
              <c:strCache>
                <c:ptCount val="26"/>
                <c:pt idx="0">
                  <c:v>Green</c:v>
                </c:pt>
                <c:pt idx="1">
                  <c:v>Teal</c:v>
                </c:pt>
                <c:pt idx="2">
                  <c:v>Yellow</c:v>
                </c:pt>
                <c:pt idx="3">
                  <c:v>Olive</c:v>
                </c:pt>
                <c:pt idx="4">
                  <c:v>Cyan</c:v>
                </c:pt>
                <c:pt idx="5">
                  <c:v>Violet</c:v>
                </c:pt>
                <c:pt idx="6">
                  <c:v>Gray</c:v>
                </c:pt>
                <c:pt idx="7">
                  <c:v>Silver</c:v>
                </c:pt>
                <c:pt idx="8">
                  <c:v>Black</c:v>
                </c:pt>
                <c:pt idx="9">
                  <c:v>Maroon</c:v>
                </c:pt>
                <c:pt idx="10">
                  <c:v>Orange</c:v>
                </c:pt>
                <c:pt idx="11">
                  <c:v>Charcoal</c:v>
                </c:pt>
                <c:pt idx="12">
                  <c:v>Pink</c:v>
                </c:pt>
                <c:pt idx="13">
                  <c:v>Purple</c:v>
                </c:pt>
                <c:pt idx="14">
                  <c:v>White</c:v>
                </c:pt>
                <c:pt idx="15">
                  <c:v>Beige</c:v>
                </c:pt>
                <c:pt idx="16">
                  <c:v>Peach</c:v>
                </c:pt>
                <c:pt idx="17">
                  <c:v>Red</c:v>
                </c:pt>
                <c:pt idx="18">
                  <c:v>Lavender</c:v>
                </c:pt>
                <c:pt idx="19">
                  <c:v>Magenta</c:v>
                </c:pt>
                <c:pt idx="20">
                  <c:v>Blue</c:v>
                </c:pt>
                <c:pt idx="21">
                  <c:v>Gold</c:v>
                </c:pt>
                <c:pt idx="22">
                  <c:v>Brown</c:v>
                </c:pt>
                <c:pt idx="23">
                  <c:v>Indigo</c:v>
                </c:pt>
                <c:pt idx="24">
                  <c:v>Turquoise</c:v>
                </c:pt>
                <c:pt idx="25">
                  <c:v>(blank)</c:v>
                </c:pt>
              </c:strCache>
            </c:strRef>
          </c:cat>
          <c:val>
            <c:numRef>
              <c:f>'Color Revenue'!$B$2:$B$28</c:f>
              <c:numCache>
                <c:formatCode>[$$-409]#,##0.00</c:formatCode>
                <c:ptCount val="26"/>
                <c:pt idx="0">
                  <c:v>11104</c:v>
                </c:pt>
                <c:pt idx="1">
                  <c:v>10459</c:v>
                </c:pt>
                <c:pt idx="2">
                  <c:v>10308</c:v>
                </c:pt>
                <c:pt idx="3">
                  <c:v>10292</c:v>
                </c:pt>
                <c:pt idx="4">
                  <c:v>10274</c:v>
                </c:pt>
                <c:pt idx="5">
                  <c:v>10245</c:v>
                </c:pt>
                <c:pt idx="6">
                  <c:v>9936</c:v>
                </c:pt>
                <c:pt idx="7">
                  <c:v>9832</c:v>
                </c:pt>
                <c:pt idx="8">
                  <c:v>9753</c:v>
                </c:pt>
                <c:pt idx="9">
                  <c:v>9405</c:v>
                </c:pt>
                <c:pt idx="10">
                  <c:v>9377</c:v>
                </c:pt>
                <c:pt idx="11">
                  <c:v>9277</c:v>
                </c:pt>
                <c:pt idx="12">
                  <c:v>9270</c:v>
                </c:pt>
                <c:pt idx="13">
                  <c:v>9062</c:v>
                </c:pt>
                <c:pt idx="14">
                  <c:v>8895</c:v>
                </c:pt>
                <c:pt idx="15">
                  <c:v>8881</c:v>
                </c:pt>
                <c:pt idx="16">
                  <c:v>8819</c:v>
                </c:pt>
                <c:pt idx="17">
                  <c:v>8779</c:v>
                </c:pt>
                <c:pt idx="18">
                  <c:v>8692</c:v>
                </c:pt>
                <c:pt idx="19">
                  <c:v>8684</c:v>
                </c:pt>
                <c:pt idx="20">
                  <c:v>8657</c:v>
                </c:pt>
                <c:pt idx="21">
                  <c:v>8419</c:v>
                </c:pt>
                <c:pt idx="22">
                  <c:v>8328</c:v>
                </c:pt>
                <c:pt idx="23">
                  <c:v>8269</c:v>
                </c:pt>
                <c:pt idx="24">
                  <c:v>8064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7-451D-80B6-930C1DDB0D2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2937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accent6">
                    <a:lumMod val="75000"/>
                  </a:schemeClr>
                </a:solidFill>
                <a:latin typeface="Amasis MT Pro" panose="02040504050005020304" pitchFamily="18" charset="0"/>
              </a:rPr>
              <a:t>Revenue by Age Band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293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Data'!$A$2:$A$7</c:f>
              <c:strCache>
                <c:ptCount val="6"/>
                <c:pt idx="0">
                  <c:v>18–27</c:v>
                </c:pt>
                <c:pt idx="1">
                  <c:v>28–37</c:v>
                </c:pt>
                <c:pt idx="2">
                  <c:v>38–47</c:v>
                </c:pt>
                <c:pt idx="3">
                  <c:v>48–57</c:v>
                </c:pt>
                <c:pt idx="4">
                  <c:v>58–67</c:v>
                </c:pt>
                <c:pt idx="5">
                  <c:v>68–77</c:v>
                </c:pt>
              </c:strCache>
            </c:strRef>
          </c:cat>
          <c:val>
            <c:numRef>
              <c:f>'Chart Data'!$B$2:$B$7</c:f>
              <c:numCache>
                <c:formatCode>"£"#,##0</c:formatCode>
                <c:ptCount val="6"/>
                <c:pt idx="0">
                  <c:v>13644</c:v>
                </c:pt>
                <c:pt idx="1">
                  <c:v>14415</c:v>
                </c:pt>
                <c:pt idx="2">
                  <c:v>14742</c:v>
                </c:pt>
                <c:pt idx="3">
                  <c:v>14906</c:v>
                </c:pt>
                <c:pt idx="4">
                  <c:v>13307</c:v>
                </c:pt>
                <c:pt idx="5">
                  <c:v>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5-4C36-8BCF-AEB97C0C7CEF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Data'!$A$2:$A$7</c:f>
              <c:strCache>
                <c:ptCount val="6"/>
                <c:pt idx="0">
                  <c:v>18–27</c:v>
                </c:pt>
                <c:pt idx="1">
                  <c:v>28–37</c:v>
                </c:pt>
                <c:pt idx="2">
                  <c:v>38–47</c:v>
                </c:pt>
                <c:pt idx="3">
                  <c:v>48–57</c:v>
                </c:pt>
                <c:pt idx="4">
                  <c:v>58–67</c:v>
                </c:pt>
                <c:pt idx="5">
                  <c:v>68–77</c:v>
                </c:pt>
              </c:strCache>
            </c:strRef>
          </c:cat>
          <c:val>
            <c:numRef>
              <c:f>'Chart Data'!$C$2:$C$7</c:f>
              <c:numCache>
                <c:formatCode>"£"#,##0</c:formatCode>
                <c:ptCount val="6"/>
                <c:pt idx="0">
                  <c:v>29658</c:v>
                </c:pt>
                <c:pt idx="1">
                  <c:v>30503</c:v>
                </c:pt>
                <c:pt idx="2">
                  <c:v>27581</c:v>
                </c:pt>
                <c:pt idx="3">
                  <c:v>31869</c:v>
                </c:pt>
                <c:pt idx="4">
                  <c:v>28875</c:v>
                </c:pt>
                <c:pt idx="5">
                  <c:v>9404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5-4C36-8BCF-AEB97C0C7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626991"/>
        <c:axId val="1161432239"/>
      </c:barChart>
      <c:catAx>
        <c:axId val="108262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32239"/>
        <c:crosses val="autoZero"/>
        <c:auto val="1"/>
        <c:lblAlgn val="ctr"/>
        <c:lblOffset val="100"/>
        <c:noMultiLvlLbl val="0"/>
      </c:catAx>
      <c:valAx>
        <c:axId val="11614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62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accent6">
                    <a:lumMod val="75000"/>
                  </a:schemeClr>
                </a:solidFill>
                <a:latin typeface="Amasis MT Pro" panose="02040504050005020304" pitchFamily="18" charset="0"/>
              </a:rPr>
              <a:t>Revenue by Subscription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Data'!$F$1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11-4FA1-9AE1-F97754ED8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11-4FA1-9AE1-F97754ED80F7}"/>
              </c:ext>
            </c:extLst>
          </c:dPt>
          <c:dLbls>
            <c:dLbl>
              <c:idx val="0"/>
              <c:layout>
                <c:manualLayout>
                  <c:x val="-0.16447480768597014"/>
                  <c:y val="-0.2290213492067961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11-4FA1-9AE1-F97754ED80F7}"/>
                </c:ext>
              </c:extLst>
            </c:dLbl>
            <c:dLbl>
              <c:idx val="1"/>
              <c:layout>
                <c:manualLayout>
                  <c:x val="0.13914537971972035"/>
                  <c:y val="0.1706376604287862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11-4FA1-9AE1-F97754ED80F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1800" b="1" i="0" u="none" strike="noStrike" kern="1200" baseline="0">
                    <a:solidFill>
                      <a:schemeClr val="tx1"/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Data'!$E$2:$E$3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 Data'!$F$2:$F$3</c:f>
              <c:numCache>
                <c:formatCode>"£"#,##0</c:formatCode>
                <c:ptCount val="2"/>
                <c:pt idx="0">
                  <c:v>170436</c:v>
                </c:pt>
                <c:pt idx="1">
                  <c:v>62645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E-48E8-A7A5-00F28A8D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6">
                    <a:lumMod val="75000"/>
                  </a:schemeClr>
                </a:solidFill>
                <a:effectLst/>
                <a:latin typeface="Amasis MT Pro" panose="02040504050005020304" pitchFamily="18" charset="0"/>
              </a:rPr>
              <a:t>Revenue</a:t>
            </a:r>
            <a:r>
              <a:rPr lang="en-US" sz="2000" b="1" baseline="0">
                <a:solidFill>
                  <a:schemeClr val="accent6">
                    <a:lumMod val="75000"/>
                  </a:schemeClr>
                </a:solidFill>
                <a:effectLst/>
                <a:latin typeface="Amasis MT Pro" panose="02040504050005020304" pitchFamily="18" charset="0"/>
              </a:rPr>
              <a:t> by Category </a:t>
            </a:r>
            <a:r>
              <a:rPr lang="en-US" sz="2000" b="1">
                <a:solidFill>
                  <a:schemeClr val="accent6">
                    <a:lumMod val="75000"/>
                  </a:schemeClr>
                </a:solidFill>
                <a:effectLst/>
                <a:latin typeface="Amasis MT Pro" panose="02040504050005020304" pitchFamily="18" charset="0"/>
              </a:rPr>
              <a:t> </a:t>
            </a:r>
            <a:endParaRPr lang="en-US" sz="2000">
              <a:latin typeface="Amasis MT Pro" panose="020405040500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2000"/>
          </a:p>
        </c:rich>
      </c:tx>
      <c:layout>
        <c:manualLayout>
          <c:xMode val="edge"/>
          <c:yMode val="edge"/>
          <c:x val="0.25468552874863049"/>
          <c:y val="4.798930341389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Data'!$I$1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Data'!$H$2:$H$5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'Chart Data'!$I$2:$I$5</c:f>
              <c:numCache>
                <c:formatCode>"£"#,##0</c:formatCode>
                <c:ptCount val="4"/>
                <c:pt idx="0">
                  <c:v>104264</c:v>
                </c:pt>
                <c:pt idx="1">
                  <c:v>74200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C-4C93-BEB1-BC54F5FF2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6557711"/>
        <c:axId val="1161473999"/>
      </c:barChart>
      <c:catAx>
        <c:axId val="1276557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73999"/>
        <c:crosses val="autoZero"/>
        <c:auto val="1"/>
        <c:lblAlgn val="ctr"/>
        <c:lblOffset val="100"/>
        <c:noMultiLvlLbl val="0"/>
      </c:catAx>
      <c:valAx>
        <c:axId val="116147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55771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2937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accent6">
                    <a:lumMod val="75000"/>
                  </a:schemeClr>
                </a:solidFill>
                <a:latin typeface="Amasis MT Pro" panose="02040504050005020304" pitchFamily="18" charset="0"/>
              </a:rPr>
              <a:t>Revenue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293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Data'!$L$1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Data'!$K$2:$K$5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'Chart Data'!$L$2:$L$5</c:f>
              <c:numCache>
                <c:formatCode>"£"#,##0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6-41A2-A1ED-79C2878E6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748783"/>
        <c:axId val="1464088303"/>
      </c:barChart>
      <c:catAx>
        <c:axId val="127774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088303"/>
        <c:crosses val="autoZero"/>
        <c:auto val="1"/>
        <c:lblAlgn val="ctr"/>
        <c:lblOffset val="100"/>
        <c:noMultiLvlLbl val="0"/>
      </c:catAx>
      <c:valAx>
        <c:axId val="146408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74878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6">
                    <a:lumMod val="75000"/>
                  </a:schemeClr>
                </a:solidFill>
                <a:effectLst/>
                <a:latin typeface="Amasis MT Pro" panose="02040504050005020304" pitchFamily="18" charset="0"/>
              </a:rPr>
              <a:t>AOV</a:t>
            </a:r>
            <a:r>
              <a:rPr lang="en-US" sz="2000" b="1" baseline="0">
                <a:solidFill>
                  <a:schemeClr val="accent6">
                    <a:lumMod val="75000"/>
                  </a:schemeClr>
                </a:solidFill>
                <a:effectLst/>
                <a:latin typeface="Amasis MT Pro" panose="02040504050005020304" pitchFamily="18" charset="0"/>
              </a:rPr>
              <a:t> per costumer    </a:t>
            </a:r>
            <a:r>
              <a:rPr lang="en-US" sz="2000" b="1">
                <a:solidFill>
                  <a:schemeClr val="accent6">
                    <a:lumMod val="75000"/>
                  </a:schemeClr>
                </a:solidFill>
                <a:effectLst/>
                <a:latin typeface="Amasis MT Pro" panose="02040504050005020304" pitchFamily="18" charset="0"/>
              </a:rPr>
              <a:t> </a:t>
            </a:r>
            <a:endParaRPr lang="en-US" sz="2000">
              <a:latin typeface="Amasis MT Pro" panose="020405040500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2000"/>
          </a:p>
        </c:rich>
      </c:tx>
      <c:layout>
        <c:manualLayout>
          <c:xMode val="edge"/>
          <c:yMode val="edge"/>
          <c:x val="0.19451466209265672"/>
          <c:y val="3.9466533661340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Data'!$O$1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Data'!$N$2:$N$3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 Data'!$O$2:$O$3</c:f>
              <c:numCache>
                <c:formatCode>"£"#,##0</c:formatCode>
                <c:ptCount val="2"/>
                <c:pt idx="0">
                  <c:v>133670</c:v>
                </c:pt>
                <c:pt idx="1">
                  <c:v>99411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9-44EF-80B5-5FABC69C7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1609679"/>
        <c:axId val="1464091663"/>
      </c:barChart>
      <c:catAx>
        <c:axId val="133160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091663"/>
        <c:crosses val="autoZero"/>
        <c:auto val="1"/>
        <c:lblAlgn val="ctr"/>
        <c:lblOffset val="100"/>
        <c:noMultiLvlLbl val="0"/>
      </c:catAx>
      <c:valAx>
        <c:axId val="146409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09679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6">
                    <a:lumMod val="7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r>
              <a:rPr lang="en-US" sz="2000">
                <a:solidFill>
                  <a:schemeClr val="accent6">
                    <a:lumMod val="75000"/>
                  </a:schemeClr>
                </a:solidFill>
                <a:latin typeface="Amasis MT Pro" panose="02040504050005020304" pitchFamily="18" charset="0"/>
              </a:rPr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6">
                  <a:lumMod val="75000"/>
                </a:schemeClr>
              </a:solidFill>
              <a:latin typeface="Amasis MT Pro" panose="020405040500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Data'!$R$1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Data'!$Q$2:$Q$7</c:f>
              <c:strCache>
                <c:ptCount val="6"/>
                <c:pt idx="0">
                  <c:v>PayPal</c:v>
                </c:pt>
                <c:pt idx="1">
                  <c:v>Credit Card</c:v>
                </c:pt>
                <c:pt idx="2">
                  <c:v>Cash</c:v>
                </c:pt>
                <c:pt idx="3">
                  <c:v>Debit Card</c:v>
                </c:pt>
                <c:pt idx="4">
                  <c:v>Venmo</c:v>
                </c:pt>
                <c:pt idx="5">
                  <c:v>Bank Transfer</c:v>
                </c:pt>
              </c:strCache>
            </c:strRef>
          </c:cat>
          <c:val>
            <c:numRef>
              <c:f>'Chart Data'!$R$2:$R$7</c:f>
              <c:numCache>
                <c:formatCode>#,##0</c:formatCode>
                <c:ptCount val="6"/>
                <c:pt idx="0">
                  <c:v>677</c:v>
                </c:pt>
                <c:pt idx="1">
                  <c:v>671</c:v>
                </c:pt>
                <c:pt idx="2">
                  <c:v>670</c:v>
                </c:pt>
                <c:pt idx="3">
                  <c:v>636</c:v>
                </c:pt>
                <c:pt idx="4">
                  <c:v>634</c:v>
                </c:pt>
                <c:pt idx="5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A-492C-8DA3-5B2A77077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1629167"/>
        <c:axId val="1464098383"/>
      </c:barChart>
      <c:catAx>
        <c:axId val="1331629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098383"/>
        <c:crosses val="autoZero"/>
        <c:auto val="1"/>
        <c:lblAlgn val="ctr"/>
        <c:lblOffset val="100"/>
        <c:noMultiLvlLbl val="0"/>
      </c:catAx>
      <c:valAx>
        <c:axId val="146409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2916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concentration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2D6A6A"/>
            </a:solidFill>
            <a:ln>
              <a:noFill/>
            </a:ln>
            <a:effectLst/>
          </c:spPr>
          <c:invertIfNegative val="0"/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Insights'!$A$19:$A$22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'Dashboard Insights'!$B$19:$B$22</c:f>
              <c:numCache>
                <c:formatCode>[$$-409]#,##0</c:formatCode>
                <c:ptCount val="4"/>
                <c:pt idx="0">
                  <c:v>104264</c:v>
                </c:pt>
                <c:pt idx="1">
                  <c:v>74200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0-49C7-938F-01E1AA189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9333215"/>
        <c:axId val="1161337199"/>
      </c:barChart>
      <c:catAx>
        <c:axId val="109933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337199"/>
        <c:crosses val="autoZero"/>
        <c:auto val="1"/>
        <c:lblAlgn val="ctr"/>
        <c:lblOffset val="100"/>
        <c:noMultiLvlLbl val="0"/>
      </c:catAx>
      <c:valAx>
        <c:axId val="116133719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3321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 revenue is broadly balanced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D9A441"/>
            </a:solidFill>
            <a:ln>
              <a:noFill/>
            </a:ln>
            <a:effectLst/>
          </c:spPr>
          <c:invertIfNegative val="0"/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Insights'!$I$19:$I$22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'Dashboard Insights'!$J$19:$J$22</c:f>
              <c:numCache>
                <c:formatCode>[$$-409]#,##0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B-44FC-9C66-1264B56E1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261759"/>
        <c:axId val="1161386159"/>
      </c:barChart>
      <c:catAx>
        <c:axId val="109926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386159"/>
        <c:crosses val="autoZero"/>
        <c:auto val="1"/>
        <c:lblAlgn val="ctr"/>
        <c:lblOffset val="100"/>
        <c:noMultiLvlLbl val="0"/>
      </c:catAx>
      <c:valAx>
        <c:axId val="11613861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61759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B8308F97-0DEE-4CAC-83DD-BE428E5F273C}">
          <cx:dataId val="0"/>
          <cx:layoutPr>
            <cx:geography cultureLanguage="en-US" cultureRegion="GB" attribution="Powered by Bing">
              <cx:geoCache provider="{E9337A44-BEBE-4D9F-B70C-5C5E7DAFC167}">
                <cx:binary>1H3ZctvGFu2vuPx8oaBHoE+dnKoAJDXYkm3JQ5wXFDUE89SY8fV3QaRkCpYspaJbt6ikwpBgE7t7
7Xnvbvz3qv/PVXKz1m/6NMmq/1z1v78N6rr4z2+/VVfBTbquDtLwSudV/nd9cJWnv+V//x1e3fx2
rdddmPm/UZPw366Cta5v+rf/+y9+zb/J3+dX6zrMs0/NjR7Ob6omqatfXHv00pv1dRpmi7CqdXhV
k9/ffr3RaZ7Vb9/cZHVYD5+H4ub3tw++9PbNb/Of+um2bxJQVjfXGMv5gWkJin/Y2zdJnvnbzw2L
HkhJpZI2U7d/4u6mZ+sUA19AyS0d6+trfVNVmMnt687AB2Tj889v31zlTVZPq+Vj4X5/+yUL65vr
Nxf1ur6p3r4Jq9zdfMHNJ9q/XNxO9reH6/2//84+wPRnn+xAMl+r5y79hIibZ9nNVR1eNa+JCjkQ
liCCMWHe/pGfwLGYTW1CZ6i8kJrHkXkweIaOu6forJPw71xn4fqOe/+9yDDrgAoupSLqUXAIUQeS
WNQinGxE5+7eG8lxX0TTExDtjJ0j9Mdeys8fyfpynb4mPPTAkpJTSq2HQmPLA5ubjFGTbmBRD3F5
ASWPg3I/cIbIH+/3FZEqfkVAJD8gnHPLpOZm3flDXIigB9RStiR8ps2wsM9Q8iQgt+PmeLzbSzwW
N8m6W+ubO259BQ2mDkzTtiRl4l4SHth+ccClLTkj9ub6DJeXUPQ4Mj9GzrBZLPcSmz90OObZKwoL
4wdUMQrTzjdLP1NihBD4ZVwoKeSdZ7DxBTfG5QUEPY7M/cAZMH/8tafAxOusWsNrfC1PGchAGmyT
ka3Q2A/VmKIHnCkihLA3bsFMaP7Qz1P0FDR3I+fYnO8lNm6e5Hp9nb8iNvYBoBHC5PRxl8wUB4Jb
NpOIcnbF5SWkPA7Kj5EzUNwPewnKCpiE16+oyah9IJQQRG6dYAV3a9fI2JAX22Kc2myD2QyaFxD0
ODL3A2fArPbTHTu8ybX/qvELInuO4JEr8qiw2OwA7hqzuLlVZDNgXkDQ48DcD5wBc/jHXkrMEbyy
MLzTJ//eK7sNG+GWmUw+lBTYlANBrUm38VvEyN1NNzb/eUIex+Nu3AyOo+O9hONrCDF57UBfEGor
Jq2NLzaz+JZ9IOEQCGVur88E5SUUPY7Mj5EzbL7up6gcX6+DVzT3SFoyG6tO7xIsM2AI4QdSKGYB
nIei8iwhj+OxHTYD43ixl4JynCRhlofV3cr8e83FzQMCLOBebYOWualXyADYkgn7R7y564W9hKIn
gLmfyxyb/TT2x9l1uH7VeFIdIE+puH0XlUBHPfDC5AFiTegvpMVu/+YC8zxBTyBzN3AOzNl+Ck3e
vaJvzCmqLlwKi28MujlDRbGDKfEvydbgm/AIHgjMM9Q8AcntqDke+2lR3r12dG8jGuEWVZa1kQP4
WLtyomyYHJMg/N+qMORldhF5np7HMbkbN0Pl3cVeSsk7LElzFQ93a/PvTQuKLXB9qS3FNmk/M/W2
gP6yLIuRbRQ5018voegJZO7nMsfm+15i8z5vwuqVjYt5oGwEkfI+xp8JDUHKjNjIZv7I/O8KzYtI
ehydnaEzeN7vp0K7yJs6eOOudQ7v7BVNDWMHymSKU7KN9memxjaBEUJ9JJY3Qc7M1LycrseBmo+f
oXXh7qUwna7D7Ob1tBwXBwwVZS52rMuu9ZHqgCKRxuE0bEBCCW1XkJ4l53FstsNmkJwu9xKSjzdZ
Vg1Ju37VHABCG1uh1r9NhZnmzC+wrAOb2fbkNtznCHaReSlVjwP0cPQMp4/7qehO13pI1tn1HQe/
go+A7D+cBMjOQ/NjyQPLJCinqa3UQPXtYvMSSh7H5cfIGSan+5kSOF1X1foqaKqbuq7uFunfA4Mw
B30wDKLxQzh21ZqFWqYp0JJhz7zpF9PzFDwPpjPHaE/lJrwKQn+dvSI8qGha3FKWvTX9P/vWFjMV
kgOPuwanL6DoCYDuR86xOd5L23MaogmwyutX9Nu4hEugCErKW9MzMzwKXTUKpTP0CtxxxKYa8CJa
noLlfhpzXPYza3MaVtX0b1GEd4v077UaQ4MZRZ3mPpk5Mzs22v+EpKhFb1NqM4/6hUQ9BdHOjOYg
Xeyp8FRV3ujXRAjJGmkh48m3MQ9EZNfuTK0aSBlYhG4V2yxpMCH0HEVPw7MZOcdmP7sCTtFs/qr5
aG4dwN4LolBevv2DT7YLDTEhPRxlN8nmMc7zpDyByd3AOSSf91Jczm4u9XNtkf9wDwC6zdGtzCxr
01JmzsVFHSDLY1G0C24wmym0l1D0ODQ/Rs6wOdvPGPRLvQ5e0dCoAwbvGX2a23Wf4XLbC2ghvUbl
DJHn6Hgcjc2oGRJf9lVKujdH67SogvA1O2c5O5C2QLrzThRm6gsRjZgAQ8CzEZWZc3Z280KyHkdo
NnwG1dnRniq0dv2ajWcMYiMkRzLt8aiTEAkHTSDotDeuNTzr3bTA2c1z9DwFzmbcHJWve4HK1S+3
Xm3WZ+M7P/jmP9xuBmwQ76PuiaTAY+ZfoTN96iO4T9nMnIDZjrCnyXocotnwBzPZj+1mkwY4udHV
zXDHtP8+oJnaNxg0lmCPu8sWumkQ7WCX4ybFqWagvIymxxHZHTsXnJO9EJwHVGOL5jSj05s+vHrF
hif0nqOAg4CFbz20mdkhpjwgJnZqoo5zxxebbMDLqHkam7uZPJglJnm6t9h8z3V8t0avIDv0APll
yqdtZY8pNEscIBVgwmXY5qBnntqEz3MUPY3OZuQcm+97ic15gE29b46r160NcKSYqU2V2O5kUrMc
5+SwEfgB05aa2z9I1q4z8FKqHsfo4egZTufHe4nTWa7/3xSq0eTM0LN577bNdj5ZaCK04bVJudWB
c0l6MV2PYzWf1wytM3eP0Vqs49dNTlvYIiAZrM32cAA1z+KY2EE47WO7cxkeStVmrZ+n6ldI3Y2e
47TYS5w+BOEr+gvw6Dh2DSDL9ngIhL03uMKw++aHG76r9Z6j5nFcNqNmeHzYz6D0Q5ygZf1V96VD
v9kMYrNN5sw7CRQ63eDCmaa13U0AmXqAyQsoegKX+5FzbPZzQ/QHfePnr1kHRYsU7Aoa1OU2wJlp
M2oeYFcnMbGFcIbJs5Q8gch23ByP873UXRe3rWt3+ng3Jn8wv3+YKsAmD86mMwHu5GHmDyBWPaDM
RI1UzuLRl9LzODYPRz+Ywe9vL/bTunxGbxQO4bl5xZY1JnCaBnpyzW0SbV40wGkbjDM6HYSyCYxm
gemLSHocoZ2hM3g+72eZ+vNN/6o71QmcL2Zz9HTeL/1ujQ1JNoZ4FT1rP3qqdy3Ns+Q8BcvtLOaQ
/LmXOu3bGpWDzK9f1c7AayYE2U97a+HnGu3WzmBv7l3deiYyL6PpcXB2x84Q+vbHfiJ0U9VvfmyU
fC2zw7Cpk1NghMbB278ZSOiXlsjEIdW2Fa5ZwuDbS8l6AqeHw+dQ7Uct4QHVSIl+C6urPKvC1/TZ
kJNG7CmY3EY4swgUTTgWVJzALtD7vNyujnsRSU9A9GM2DyaKee5nRufbkOOUQf/OtX2dpKhSEg0D
2yaPeeHaRKwjcCgUQqGNkN3de5O0fgFBT0BzN5M5MN///6i4p88dvD+TcbGu18vbwxx3jh789dXb
ueOEydnQbbT4KHwb1j++/v0tYWhO23HFpx95EGfenQrw05CbdVX//tYgAm2jJk4pQMM1GnnQ6fb2
TQetNV2ScMm55Dj4zobfjqNy3r7JprTc728pzvhi8AWVwB4GjpQs5LWa4gZQhPZtFJ9sE948WrKw
Y+j+DM2PeTIg1Ltfju37N1mTfszDrK5+fyuQ0C02X5umx9ETaQuuQJaEa8qx8RXXr9bnYHB8m/wf
U6pkjIRPL6qqKBqnGNNqcFoCOt0xSdX7gvv6UxAm+qqwYvo5CGLjnKpyOMy4MRRuEtrCTapeZo7p
Jd3CkMStlVEsRd8W3yvTxO9Iw6e+Y7R5+DHSfRE7RiHYcR708apBV+CyIJF6Tw2z/xiorFuEUTwc
5nSIz8eIjUfKtyonIEZzk43GqJ2Ad/yD0YfBhz5LwsQJqrpbK78Y1hYLhnDhB1g2N/BbI3R0rMeV
lZjliRiM4rKhQbSu/W74aMQDWVA7Gr4PetSuKvzYctkw1jet9olDi4Qf+6jwffID+YnURhg6eVLR
Lw3rxxhBz/2hoo9AwMABcwikhJMzNUFgg9hUk9qFIB05jwyvkhejZupYsEYsC9pr6ai8N2KH0bK2
nJCm6mNuFfR91lFMrZB2LtwwNtvDMYiGpWWJ/FiNTXs6eiI4ow3Pr0kYG9+yUlTnwWD0SxFG0Wkj
ahI4dlAnX5PEsw/9QBerpmL5B9vWX+qEiSNRdO8tv6OfaUAPrUBdR6UsL389aQW/4OGksTtnYuAp
HoJm4xNf7vBdgQSD75lFdsHz1PtOJvT9PCd/Yud8/9GwTH3cREwfp1FXL3mQpdRJjXpcVSwaT/um
Ny+LmGAZlOj6D37G45MuZ+LCG/B/JRKtN7TIyTvfoN2HoJHkPfPL/qOwva8+7+mhCsPka5x1rSvj
xDwKsy47DAxtHMYtk4sBMroczRQ8zWqzfWeO7DqTzftOU3JUN544Gmxd1Q732CLsh3jZi44uzUIF
KxF+TwoVnXCed1dhkDMnqVl3VWiPHVtDoo90TVrHC4LWLdpmVYddfw6hjM+s1oAwVXF4FLNrMw0j
7UhPy2oRR6N4Z3M/dUPP7ptFGFalk1uROjRHTV0aNvbCyrL+vM+AklNnYXSaBqx8P9gJ/TbUWXFj
J2WqnazTlXTgAZRH/WiRVRZU1ZHqi/BdUtfmqRcM/Uc7I+2piEtMjrImSZdlMEZHgw4i5Y7cp+dG
WPcfqppgQWnor8LRHo86McmmEY+f0rarvvGgKi+VH/vvOdfKNf2+Rxj6K4GZ6SxYQVSosNmbYRfr
lDRX8Cl3eYf6ref5rWWcB7U5fqpVkx0apEq+Dn1nL7TVKJeriXd0Pl511B7dqq6KweXdEFxHRd6f
FZJ6J2Vtlt+skheLJEjMw9Iu/uwVjxdlI9MvaYlfiVstEidqWXaYAPv3uecFjln747ISfr8c0pye
96aOuWMNmOrQGMMpD7zQhboaVi0XdFKoeXyiRVGTpagNugzNpsRv9m1/puN8/HTLtkVUKjcM5XCq
S0HekyL3/s4T2/zTNtLqm4pI9S0zxvIMO1Z15KRFkAYLxrLwMjPjwzLXRuo2vWoChzWNPOTDGFvL
2A7sD7ZZ5gOaB3+1/NR8ILrT8jPYHctEbYki0WdNor0jul1JKsMftXdOdSGNRU0s4gy6NC6iUWEG
JKKmK8vK+BwNYRs4oi9UcdrrLOgPbTOEeWGQwcahSemd2HFbrONW6sFRZVf4bkG0913zAZMxaUKO
y7AxVv98AnwyrwS1ZmbdnuW8O4FsjCtNAt86T+RYL/uI9Gdl4furUnqJdqoMesYrO+gLKqFiskAY
S2lnxdr0TPGOdNL7G7LHoJiHfM16i7yXXR+fBLRovFWZ2N7nxCpTzwkyP7GdX9N+a49/2OvbxefY
hUIIDmxFIX06h3qX9i7VoR55J87zRojM6arK+xvc7NlHutLJVzKG42nUV/2HxGqzwzq1MQOaZfLY
LsL2JE/t0O0U1ceJ6PRxbpXG51qm6lB1vA5dXTbZh9GuwvcWxfy7VCXUqauu+ruFmQBEIb+svK45
NsfRbt24HPuPDe/i7NBqLe0WkRidnmqooabxvtGAREeGbdgnVVjSpYcjNldJxfxVkQT9dy2z8VB3
rXccDoFejpmV2W5NaX9D/Ar6iqbcaN2qoGQ5skKtWB5fklQfVQHLSofFRXGc8Nb7nlkQdfgE/cdb
0fOU4V9rzwjapYzxYZPF3snYa3qe0GpoFmnEWlfRMrg2i2pcRWbgfQfntTc8SScNMi1NZHknTZiN
p9wcsXw8heYrQm06A03jz2ZBR9/hpQz/tNLoiuVpflz6QX8cd7Rytaata/CEvg/6rloIK+nPIjLC
lvyaEeAkzsVQYceLiQ3j0NmTOzhzG6Cr06aK2/I8SEhtuYMJAXNudXPS9eXh4JWBawUeJhCMgb+C
K1asJa3HTyOBTlr6aXUcGKW1CJIoOSnDpOqcITXD2G2NKEwd389WdRlP4kos83LozOQL1H99STve
3jShxY0Fjt1MrUUV2Hl4mMEdO22zWixTyxzABzxjiZOwxEtWCfFy01Fj2hzZvtEvhrGwjnuefum7
nDBQiZ2qrkHDQ1VK4xOScUO3qBqzuS4FzAr4K1jovMyPejJWhxxSe2Ql4eRyTrgWXVh/q/r4SBhx
Oyx6Go5LxYZvpCiyBctt5oCeIHWqCAKhfA5mjWjFXWnb1hXOdUsXum3jk5xE5tGoksFwJBvLw7Gk
QX5Ke48rt2ji4CvsQPi1MqIkccaiY7aTh2n0rcLBcaOTxKX0jwL4Lb2bMmgDpwqK4NpQFjk32m5y
cHSfn5h2D1NVpXKhxzb2HRY09bLug9TEdGOovASH6ptO1Wn8v1c3EIMhoKPn2rLifJGMJPvs+3V1
7JkcVmckEbsMmBcOrk9kEb8z6npyf9TwycdZ+8Zy9EvzMk1y6NW6TO3FAM1uukY2kve+6OKTAYxg
O36X5+8MPgS5Kwhjf5J8DG3wUzN+ijLlNQ6xov5cw7c8qo1M+U5VjePfVMb2sd2MxjJp0lg6tvSI
75h67Ja8bZVrVzIMXKk9y+m0AS4MS3iZTu/rRa1EbDii8MxFyMbkb8vqzuu8TEJXwG31nC62Mjfp
4vTMstLgI02tzoUxUFgZNYyfbgVpG0tu/e9NSHSVF4MO/WD7ZIH7t//7nKf49/bc+x8fTg8m+PEO
u/c2TzT45bdwZt8Uk1fzL03U3P8WiNlSN0WTD978FNo+EbxuHpDwxMUHke3VbqPqXd5gCv0oRx3o
3u7/FNfOej9/hLe347bBrZQHymIIkaezQrH7bjp4ZxPcInZFpxAau3EenMDx7zb8+21six4ihtIg
ula3J/LvBLaMogqvCLZXKJwI/08CWzYZwh+GcrojwQnaSD5SC60VOMDxoaFMSKQz0sXixiaQJLWk
BS+MxDWLNhy/CtEU8ZobWlSrrByqgS9q2ougd43cMy/9TPPMcHPax9aJCgTsRqyMrDzqVJpUp4lI
C2Nw8rgXxaWI66jPEfjKJGKub1mc3Fh9PjTnsHJWsrZtMPoVS1kpz3wZlgVzUhJWIIUXQqcfAmLW
XbbwE6Hjwsk7kabviTXA/4SKTsnwjqYsi/42qjbHmB1It6y/G/3PgjAJ80Gn4J9Pe/axXOCIXWfC
ImnYBDKwb7wuz6LyqE55wo9gVittHY0VlEjnjmGBhwYkphdS7xlHjMwiX4maCvIiaAdELyYcejVd
3/EkEd9DS5gyvI5IzOLQrRHDscBRihpltNJ95+t6oYPa54FjcGMsso8dZ0NFXcJH2bGTWgZZFTt5
XjJNzmAmS1z79RqBhXf5CGkZxnAaG441RE/ixJYPaeyD0KCBZsa1NHRr0oU/Wr5VrhKb18x0Ml1L
+VcsTK9GtvNe3J7HZrovVzhiCbtZKLI08/sWzZBbucHsa38Az0mnNYuk+jPgHs18p4vCJvyQeXgs
S+0EQY49L8/4F0gwzaZtoSKGg08VF9gzY03LsgONL9oQMXnArg0L3ixzRWdKsYYgGfUx7IOVnIUG
yckpi8uhuYiR6RkDGL0wwaL8eiGmDNSOIFsm3GzkpQQONUKOVNymT3YoqWVoRkOceVeeGjOhD/Oy
SL1haXgprMEhQvEeqPz6lj9PHrsdJHpPcBLPdBrMFAHt3DKA25REg6mvuewg5auByJHEK6G7puLL
0Pa4/Es3WPXSqSQ2uPyVm0Or1bINc7PonmEEMtNkWABlojY8CSrOccS5Wg+p8RUSdKqojUts3rFS
46ivg0kg0j4P8AiYpov4yN0QeTtaOL2iyBc5IjSD5iItZDS4mUF0dqHSINXZohQ5XKa0DbPq8tdr
NkskIiJBdwE3sRkRj2KBtMx0SdN5tjYREFz2utZgArOJTSyW2XdMGE6vWWtcFDQuJ6GpEfXiJSz8
5p8uFrar4Kg4hrylzRmHanu4WHZJq3qoZH6ZJcKADo+gvcbOaQezHsQ75gno/cpvcPp4GokMGlUX
qSbiyDYio42dMoC2nTT/EGBUFo5J+473cZGnz6gVMucxHCCEXbcUWwUoEEYC8CGhPeuyQmUjQ0CF
MDNdRshRJM3HcqzDInO7cihBnGGlLa7lQ5nmw8KOx8G46IrCO66UTiLfTcfRHN6lQZnVnpMpU3q1
2wjTSM4R1Plj6lKmeqhEakQDyU5M+Lf41Tj0urJ8RkzJw3gEmkri+Qd4ApKJmi2OE53S5rtCA87M
yjZri7+QiRSRcAsTmyRKx/MapbRLRsuAaveGjfZMkPktneZWnRTEs3Gp72omy1XTsecFms+1ODbI
whkRCnEzepd+You4j6vUC/Lir0JDisolq2Kbn1ISsOEdq5oBy6G8Nhm/pkE/DJbTBLpD/ASF38lz
vxw940inPBq/aqOp5JkdyslB6HmbJuowbsQET14xBRYaWku054WO4vHrmMi4ix0zSSajFWL1AVCe
qQAfMviq41c77Xtgx0Q04KUaTb+2F4WoWLWSVjNhF/d+CAejvL29Qvw0dI6d9xF+IofzAMpDI5t8
g7oQabzuK5mVxUq1mrQXnOVj/V7r2NNOkqSapq7he2l/hDRo53/P7MzjX1uzJWAyy/bhZ7RllsNF
+bVumKtwrL6FRj1sVeKWxL6ZGWswb8h8oorkr5GklfaRIzCtonK6PMqTY9aUHRTFr+8410Y4/5kj
JIbdxiYQ9dMdK21WQYdI7Dsbm4kZu4ZP6o9WVgzjLdtSyL88lBfAhB1t6so/RbbIAp/+mozpAVMP
jBfDw3WoBcOF/UCUw0t+KBQja5vSUDL9mvIsrZlTI21j3ORlUEIbBXGVkSUiJFRG2sr2oXGKQOT+
0rdr2uYOUm9d0jo19ct3yNXLi57pxB4QHxLZnte2YYZuKcY+fwcmMgMnMrkXFshLSzIJe2CCD/M2
gHdx7EVxPUk+kpLsw/QwIGRzWKxZ3x7+esZzvWbjeBpz2mJLb58fgJjg4Yxj6QVZV1bWl7bJTDix
AhkROLHtOPEth5PFjwKCBEXp9LFiePHrW8/WkMXE0qyJOupdeL2cWJqW4YicT1hQNqnIcqxMghRb
W1Th4SiGGFLndenkU5PBTiGdFikhRr+e0m0mZccDQXHOtmE2odWAILqEZqq6ZFk65lFGv9g1MuvF
qi78iYDaYM0kurdyjLauAbR5QT+JOHTlpFJ0UcLQGAGBG096MX2UI6USrxMVWfwo7JJpHcqhy+WZ
V/b4VhiwaYqDn8pqFRuWZqvC1i2r3AH2AtN9ZmqzCABTUwQPFcDRDjj8GZXI2dTqPiZW0uTDF+a3
k6aqdQnWGpMxzK9q045p5gwIzcevFs0m+5ga+ZSE62Wa+MNyTCWp/ZViRtN9gZeqsRydFTFwH2tH
aJMsNBRYjHdJMWm3BmrzKKRFB7VWwyPBDcPaM/EOMRbBUqQ+x1LUtRUYtSuSJoJIBIpGeLdZn0kV
Tk9j+pWnPZNRG+4CvCvkgW2EneZPri7pRi4HiUxom1rIiK427i0N7L6NXUSWgZ89pxZm5mi6Jcee
aGrCLGEzzTzwMqMcLmTRW5+rhoBD6gEHTYWHsP1YHx4VPBdLrzPyvnJkwgYseNJ6GVwWKD2sUqf7
pP5oycr2opVXcxvKAALZnmv0tcECpAYEv+4zGKotbH7ZZVjKPkEamzmQogkOP0aGkrrI9hG8qCFS
7bmJbCYoEXEM2xTLeopTf73aKLU81ImY/GQEoCRw8Di8oHlkA3cQ9QOzH1BMHmTiIVkcs8L1OtOL
ziQduR5Qd9KysB2F4k8UOFqXYXliJqi+CqeAt2O8035q8FMvDSzmll3e+1dmiEpe5zVcLpA+ypNr
HiWjPk9zmeK5lCNJug+8JWY/LmxktUThlvAfq2bVdcJuz3QZeH3uyNRMUdsyNVGLLNOKuFFfN9pz
8t4uxwgp/Vbz3vX7GClDpx11NyROb4iIRytFScMvZFIP3HfNnjRdc1ioLiAe/DfPr4/rwIJn5lpj
0o0jwlqwYnHcxwMybGVVRHLVKstnC5Ea/fi5kzkNvzY88b0F4zUl7oD4NB8cifyfWqiQdrHri8Q/
wpFi9aLMzW5856nMNA9JRwK68o3KDsxlEecp/zKI1o+NLyo3+/5zX/esPjWqOjPOYTGs5lpoKfWX
0Wr9LHcKlGGD6pPqxyQ+9EJkN1Zjzu00d1ScM4qksh6r0kYyPrKza1Q98rZfgFWG8kY1ddeZbpx0
FVL/tYfas71AHCASeeilRizPFLGMOD5sZUGrJLgJ7IzVWOWeMFvz05HlLVh6JLoqgk9oZqqlucwy
XiBd3CgvDJL3mejj0l9GrV937ftOeH4Yrjyedo049zLKymMZ8cC3V+AVyWKnaEcTZj2p7LBTjm9w
WdaLwNNjNBx3fmUE4WEXprA2bowaCBRsW4SN+DM3GimqYzBHZ3hux+C2kLOmgNelnHpgdi8/JNSy
8FJvPkSLQIJr2EbCcbsxr3h5OTalou1JJHXh0yPSG4aFPH0k4sY67LOIpIkjeDvZRVMYIabjM9QI
2br3BvRxuZEIlPA/DF3RFdbHyDOiLllZMTNocRw3g7LbDzJiIlROqdAlUa4sXYsg/mr5nmeM7zhP
KqyUMZRQ2afQ2mUg3hnM01bynoRlSJKPUdRFtrfsIigCf5mHqLeiXYPRiaShNRITZW0fTRXlwizi
SNuLrDYNkf1JfZrhfmmUKPWl8e2ydDXiYKwstZsQFsQlMph+BPTDZXHKUk0+PUrDmL1bBCRjchUF
3bRiLKljvORVUBsXWWpNKp+3tW9brurqHAwwZvA3DmulU3yv2Ew1qMWI5SsjHHZswZZUHu6WBARB
ZkbCCR5S8ICKbyTpp3XOuIqQSzIaQwMKI0N1lN+UJQKacqXDEJ6W29lksEo3tAPRGECQN2XztY4y
VIKwXkYw5odBM3LSn9qRNZEcAulivJDgLNyB4VJ56Rn9xGBSGxPy6DrBZ4lKp6VpW4KvwsTaZQca
WnQAYo7b+WjNWHmJhFuAz1AxzeVFLLinGKrWCgkgp7AC9BMtt9zjjZXCT1qRMU3Oq4fbxWjANdrd
+rhKjGJ6xyoRnzIz1MbFdqmNzdfvFnnzPWQKaHxq0SIFASRD/ewyDiWqXodhxgZMuqQjHgfs+JT5
oXmBANzPlSM2QOVjW4PVEHk32j/OiBo84ZA4aAf5QaVNjlVqaZrgK7RAjk27SHN4rXJic5icXj/F
cdaQUcs30TqwWcG8gARBr23mFKDPYSjdIs9kR46Gxp6ic3MD7YY9pBcnWB/JQ4xYouw2Tb6XQwA+
9YmebhPwQOLDIS9NK/iCyh5v6hPMlE3Lu2GksRkaUIlJTr9CQl1hHFqUGbirqoOJ9M2CGmM34k2e
sJxbS8MUWRwdj2iU7YtDf8pomcsubHLItIrQinRRVB3wDVuLlpdE+hnYpxLwWDF53cLZ/VAhlz39
IG2nF976Nl6SzJzEIR3FRH/WSD/ovjSJn/jhKvNt/G5QMuKzI5TpLFK/YxteCaNK1dbhdslV1GqQ
04csxo/AAuS4eVSEMex8S8pRml/guUV2uyhKA/0jrln5Hm4uogCPil3USYHcZoKEAVI2gClojq3c
n8S5gX3FZ/HQyMhexXAW++GEqSrp86Oa52aauolCWRUNL5WPtCFRpMH3gxqFIFQDmSGSM/RZ4L9D
2iGJJsyOIFVUIpefnLVx7SEp0OkId0exPm+/yszrEQV4wzjxfqegyqNVz0oKDWPrIGnsZYLaI77S
G5mnqmOhYKr6/8vet23JiWtbfhFniDs8NhCXjLxn2llOv2g4bRcgIRASkhBf3xOne5+yd3dV7/fz
Uh5lR2YQhLQ017wsXkm2MtSbdpgmzs8/6WS2DJ1iR9MN6He/+kQjs36WrMPtOMU/9sw8FQNuGPRu
TreXGCKnWz7Osetcdl7eP/pathq3KJZwheET8dbp9JBtJESVW1Sy375wlfuqAV+1L/F3/rTQ3OEO
hCbaP+/S9xH+UFjgeP0MQx3+rx828MqYU83HsgJl4TNxG8MbgVdkPtx7WJsajXX1TrJsYTooejTj
rGh01dJ5w+/Y3qk3irYcrOGcJhx8KQ05Wl8h0DuN9TKAmEivId/t+2lJXA8SvuXFglIZZ9TjzNMe
lYYd0dnuN8/08U4VRKbg4OLZMLb4cQywxad8dYBnNLg4qpXq78qY7STlZHDc3eacxtnymIDG8vSw
Uhb47pg5mQ66AXWByFKVgwTKPictrCdzhcOwxJe/BQlsJsdsFPuxIVK6LzcVqRCL7/1OsmUCEx33
pI/txW2poPkj34wLnhXANFiFTc5l9hn1FusrcBIGlRNLyP4ZqBwDFH+0lztLNfTAq0DWpZic/JyV
vpvDt2QdsuEuy2bp6TGJJr0Ef7o+ZCs94ESLh7TSA/jvoC6GMFcvYCQdXz6QdmZtW9PUx9365HJg
m/lbaXs7R6+aFqAmToobK0oo3pvmL1tiomSqDE6HFc1+GE7AlLDzlSY0WOWClVFt8ZdBbqvcQZla
m5+f5P27nCUDQVxjhI/fP9aPcjMMdq9/pW/3agL0v2/eXov9FeMP9p6yaP+7NCQBXuFbv7+QwnuI
V6Bz37WNfqASW7kFWqR32+JDeWDYqPuuLMX+Lz+XLDAlKlGJZBr+6Z0P38tp0NZq9SrOqzBSpHgw
HUyFU+XICPYcHiVaRlduHvdd3gbbTgdq6ET4IwEsW67mjWB9JwT6wx14y/3KeQ+l8fPPN0pViSNt
xlIJnt87NljftpxXbJQmeeTvBYu/E40z4opYDcEw7ySkVpmCnC5aMUNt7ubMBM+mTyU+8+Kg4tlL
H7U7jOuSFe+R22G/LPNjwwUTxzlS0dTsm1xGu8zYjG7d12ROt4j3VdrpUYhDxwbsxuP7DQEPvBc9
XsCmj/Kuw4Bdd1E85MU/EF+/NfQ//LwpVnCE4paF/0Yrdws0BPDV0XM3TRmuOm/bFbvBTSizc5Ds
O2iwIF66yvbzfu3/0N392tvtb4/B7Ajtvj/L8Hf6XZl1CpzOQVW9l0YGDhhXgT4AO+nv3+o3Ah27
CbZqgvcCZYX/Zntb/xeRxhV8Liig5P9ZI4Sv01TPkibJPab47qu7zLr9SzU9wzc8JSrBV/azOP79
tfxKIeyuLLBCeAB9kUEOxzqPfr0WamFZWbD1njHIEWWsT8Mdj2uNJzoe4LH45/v872+IvA2Ig6wo
I5CL5W+8Iu8UCQdB6NO8jjgoWo4THw5TjjL3c2f//QcM/y+mP6Tf0xzOvwjP2fmdyFwHlrTjMmRP
PyuG67adtPdZ7NP0uCa6sEcm6aYejYs9a4QZ93oeK5SGQG8JzqN/uKJfVzruOVqp/XkZcV6mcBD/
Lov5kgQu9/H8NLxvKgdchz2+Gk5R1/vC9vgKusR47MwyxuEAaBF0+4UwGc9mq+2Mzv6YinhKSbWi
tHjYFuWMl2N/0PCu9zH6ydq961nyvcz+/Yf4/WvEF4dnrBMkA0DJhjDA/bpucO7OS7QG9q7TfK9M
2w8gJHU6mkcfFCbBc7v+/6muFAIIJreQn2MM9tEgv75fvgKN4PEj5u7nsbe23cwqMqGyTpXSGKj9
n70fKP/d4Y2NgVxR8iN6/Nc9GjsKJtr27O79WAJI3r+NnA/YF6Oe9wPj799wl/f+m6oFP4ugGUSG
3ZQC2fbfbOXObyv8kSk/52OgeFrnQuTx50xhw/xnpW5/K3x1BWQvBHvRZP5e6gSNhDctbF/vUMSm
YEewjqJZ4I+//1S/aWv47XBo4Klk0Z7OgqnudwFlJEtHGXy0XwkDTf1zW8GBtUNFFcOfeLausKOo
iUhUlFe5GqB0VAOgqK6XeFzzj8wRFMF/uK53i8hfbjg4TNyCH89Dg1WugGv/1xVFCPSivO/0SW0R
6fQhQvADX7HBvGcz/alh6yyyetItON+yEnRDF1stabuE4hooAtagtp64BCN1EyXgRMiDoGnbTmcP
zJJOd3Ttebj6mkaQwl71PAu0Z4pFyTgfxGC2aKnJRDItmkKloABv4jWc4uyhfNcZeYYmKb6nowjn
9Za3nS1h5TE260NwNQwWkjMaoLwXzRAwiSXyEzjlAX6sq/g73EHnUOAQy36U1/cWiP+4m64TEY4U
tKw7PHE2CgC0p6hA/zJGBrcb0C8z+V2shx1kBu+YS0K0xfdGZAG3bsX1IsKtGrUqx77JZD4wA2vh
OxUz4ziHEfodYP1AdlD8HO7vNhc7uMhnC8YLPQ/PkKMpJryl4Oh27IVARenbelgFJmSfoDPA5fkx
Bhwv47vML2Uir1hGgp2k0FaB//Xv/WHpvI7npuNGgA4GM5RD/ahYtxQTrQMztY6IasYzPtLooZxL
mbtDO6PozB9SX9pt+gAdZFfagE1JlN1NcA9P2YdeggVvG6xz2ByOnZrDkNUiBBj+06Ml1sUlzVYX
fQ7T1S/FHeg8Kh/HsmQ8OrBRBwQdOh6stC414lPQ+A/j5PHdNm6NNljHSQDGxNaAjGEK52Liqbvh
JVz/WwWZ3PXo8stCQa/tOwIDKRkW95YRwX3X0ASNwFiJfBTq0whGKDBV8S4F/qyRM3T6NrspBM4T
htjEkEUG6P4H/gMhv+NXPy77Yfi+NIYfKHXMB45WUpVw6sjKKpKJEBW2nXJcRsR5BJdjYMsPOFym
4lmOZTAcRZ+2adW1rXtOfZ+yxveOnvrExueexBsCDas9g2GZnnKVRfVaIuiT98tAwGVb9YFiUZ+T
Np10hd3XvTElh08t6admLUOKHnmIlxOacFBd0YhQiSSfJ47tODqZwcLeyyZPOhhlZxKoI8vX5MCm
3txvbFjIAd3Ccig8gaeX60x87aR5jsJEXqskaK+F1csh1aDGYZBpz3YyZdOVrnjMZTfDbyD7b8it
UCQtZFv5ZByblJbzpdgicfR0hDo9yjTBry78WCdszI8Ov/KqQJ/4BuOsOcGPQb/NJR9OfA2HrfIl
S48dI9OzRHwOBlxQR7oK4qn96Nat+DIEYwqKwYgProj6A4kWcklI2SHHFQTxTQL68KgWjTEQMHs/
gtTs4aNa4vJbCAkKfVYowycbsa4/Sj8Gh1CL5UnbBEQISkGj/WousVaeV6lwRU3zknbFp95Gpb+C
M8J81VHCwsNk5IL2qxcdMnV43uf3Yklz0QQ0UBdRwibRJOHCHlcbc/RvYrpO4d+ea1p00xfCtLxZ
MRf8WmfhvkJpumu7rXWXFTD7luTcXoGVDy49j7uoQbRi+BY6F48VzPnIeC3wO746ObvvcxCsSAqF
2xet2RTB6SBha9w2jZXbDXKo4ORSppGb4+slM+0MH28o+zsf5ijEaPVq6+IhviCKP8iLWmd1RNYh
uk4HsVZgoF9S578SQ+ldgpxeZbVZGlCepK/aVdi8Sf0UH5J8Ge9kl6hXL1dgRQLZvdWV4fBm8Drv
21RWgYmTL1DMpyqOhvE0gcCoIiKWxzUc+aPu/MJrviztx7nz8ydkCRELm5EGq2moJKsYrg9KMJzI
HBtv7bY6WQv3UEa6G+pxs+wLE3KrID6JFzzyda6ktOFjCXHjSkaqqI0i9JL0Y/JFF9l6w6BDWMgh
icGb0qWiJpjRKZv2JiuCqa+GkJdfFDzfpCmAG1mVMj0/ZC7jRxT6LKvLfsvPSzh1D/APwXPiOvUx
mkZ5smYNT0za7IuK6UeH/v3jNoutOM0y8RWbRfvd44acuiU35gB46p8XVaa0UskMJZm3S0U6a6+y
ksvTDHwcVkhJlh/LcSnf4lXGH5ii05vd7PbdYIE3Np+i2wSGhxPBSdHM67w8A/fChO1GexMozT9v
ZBpPMZz6cIyB5r7rPElwlq2oSIT1BXiqlGfnHIJRLfXITjw16iM8ZzGu30aXkIzxkWWxRgCOzg/l
2Klz6IfyWQi1XbeazYc1R8lFey76uzEhy0UhOvIwaqo+KERTv8bcojhEs7d3iRfYPODa7sN4Mder
yt0VonKwj0+mGE80E0mDth3OT9Ax5dUWKHqDbJZ63KKi+1iA0nmdt2L5gAO/PWOz5bdbGCzwVmX9
cShpegPlHbmDBfmWptj8GGO9q/G4tcH0wCENPLTrJGfEQgdyVI7Nr3IxSYumf9tuVJmYaxioOFgL
MX1o460UqNliPcQ5L84htMjayi25L2wbQzFQwbeARvDG3fg02XrExMQKDN7kBlR7ccPT2ObLATlZ
PizVUEp64wLZPoD9Ge5gyh9fhkV9wc/Adr/04YsWQDDM5OxuLdke6JNhfyknGX02ATWuHjpHbmFB
Mh/7yNr51EVDnNRlF+bXCZ1UcSyJGMuL6ArZQF9OtspCh28KhDPyim1LaSsR0/FuCuBDuPYIiOBe
Z8Qt6mYuLQSocFWhuxqTWdzHaxI85mPZyzpbVTcdulKqJ9b2VhwgRfvuWvR86ptAjSmcmpSGAYJC
SA88+WJExOG0Qw/SlPM6DRNyJ3JyLb9wcAVqqMMcyKVOhaH2FiwO03VswvaDy7fJ1xMZshvYCGnY
uBAQ8XoBQbC8pD26UoU6ouSSZgBO7Qi709kuWX5Jo5WM7MMWexrZyq8zKc0lQrEjV0UCpeI0D35U
TWd1ap4RIuIMzqB2KFWlAtoOHKGecn3uY7h5qqhLhsfJh8F2cmiAWU3yOSI3rmTrWCP/RPLbfEA5
bWDc25oJjNuFRchXYfwPvyyBXzW7R9AkK7cYt38kq2jAHwm+u8dklIr7ZUlYsTQ+YxkSWKPRE/ZD
Adm1NiFCSIckNEN3wzuoxpUYQT/X27LOyKsKD0EqN4yfxz5Jp0PrUnfLe9C3DVv79Ry3CKM3WUG6
HFQdU+EVbxUi2dKkua8Q+vIfsiVa7oK0XPNaMJroKk94DIoQXOJLKAP1zZaAJjHyYNFpmmgYH1rb
RSaqAeG6YKrhGYBFzlV5lz35IJlyADNT+H6oUUkXvGAiQY+BwChCc5EdOjnIKm3ncC0PXORh3u3p
5ylNb8PAZuYjRGZBz2wuki+ttZ83ZJk+tp383JYyZRXaBPHs4DlBvIyqE8HhQVAkMgVZLt+uBx8N
dyruzREBNuR4ZrnJKod9VFZCpOJZjQOyOCrzlSn6BPXVLuLr0lKkxifkfOZ2pbdQPgtSh6t2c7Ph
sEkeSmTQnnMYm1TTW3BQWA9YMIi29O5bOEn+KOdRFwed5+2Nnsbp2SBR2x7MiuDqFdjsNq8CsZZX
YmJzE43zcOQzTZ9HTsJDuXTTNadpcBvxNbmOJMTUqdUQ1Uu0RU0UUTzSz+TmtK1RNFQkxyHckNLO
Gjn6bLqDr9EtV1I5WpXaIY4085bVSaatrMpQUHhbYdQ0VzrDhzt4kO/PG1X9Nwo9fj4x6H6IQyni
qs1zdYdTHod/j5Q0YvnAF7gE+oRTpz+avMxqM0rkovo2/AxGcD3CTFSeJlKKYy5z9hAwomorsu4T
GcXHAVE7qIfJeMwjyl4nFy1TlcbT9BoTqi4miulaUbWyou5B2l6oRIyUtwTMe7/aGk14fM/Qllys
C/uvvIvzz5y24Scexu4GAwtgnJDzdBWDyn6BKBDxvaatsooZmW8zSmPgVhTHfREmXxO+N+l+FPup
vUb6bbIISh6GrIdAC5J7yq7GdOynWqt+XaCBbRNIzNyxsI4H1JEKwVCW3g5SR29d1y0caVZcQ8WG
vCtqjt9bg5bDmui8TK9EZqK8QQtvES8NcHxfhJyWPyS6tq7mMo7JZxy8TlVlUDh7DhaeNYtkwbmf
0+jj7mc4hsiLmarHFIP7NF3Zm7GFxPGAzvM4GQqX1kTT+AaSorqWHmaXSrWANDerNvKNR8va1xr0
p616O6xfl8Vjr2BTok8zmMWQfLNQ02wFpdAeRmbjC8jzFlauft0A5mFn/Y4Hb1l6FHm3XCMoptDL
Ao4szUDnID0Es4AXmWw2fVn0MLzm0q4117FuBhLM5M64PHyG6leUcCsBw1XZ4rrh5ACqLqh+ozus
c9cxQLkS0BPukmC6izsXBrWhu0MQscRUHpS0SD7AKYNFVCeIQLOE22NrM0g8gteMA6Spw97G2pr6
uY+AqeORbp9GjRDofTSFyGOiq6AcJa3Mpk3WKjTt4E8BidiY3GcmpkXFw7mPvwywswZjbYNiZfQI
IY+v5JZ3UzYh0h5gZ8rKbJ3QBuFFR1LfdNDViqEycJknvhmtp4Jf+4KC0qk1wtmhfBgsWKu4WmE/
L81RGTn3n9qWJ1PbOGwVyDtICcWjquw6T9lybIHVxivTmUD8qWe92vTQwZclxkM6QwN8piSCJnSS
MHAtY6N8EhD2wIzk+B6SADYuw+CwhjZhYb/Hx/8ukEckuI+ajb4pZbemn1KVRt3zO4kcyF0IWYZy
p2yjkK7yGuNodksBfAy7PoN9uOXf2oSSNTvB771hvyEMXvavRrou6KqxAAEXoLOlzGU4IlCOlxfT
gVAobhYAyvWOsJL4pDatNjM/bVDd8G3hyGMTe4sLM1rRpMNi/HgdG3y8reonuD90DTNOLOhzvKSy
zw4ZDLR9fCHGzH6CP6pfgHHQO7TzUcqCoR4Hy9RwuKNuI5jMAN1liYrpyx4gqkhO/ZIL7yXYYQuG
t69h9TKDSw7tuCb9cJAOTiCkOtU4FTcboF9xoMGQUahzlpaYkhImc5kccr/FyQl6pHiRhUE6Fq4f
DE6YEIqrEoO9c4ALRnwjIwfKgiu/U/wwZbrsGqvgn1mrDZM9HhFkMv6H+/9S9q19AIlrz+Cn+5uJ
0LjmUWZuWei9OMhYwERmSwjUMhieWbm6/GoGhMureJQ+qdZxj2KrhcBduRbSjQgNWf5NboRylNYE
mfQM56hplnjzT7oP3AqAEAwHIFB0iJTJND2pLFlEQ0WxvgUbXb2swhaR/6eC9zxtHB7t91XhKYjI
yTOL1gBDWSy6EcXC7gA4ofTZdCm33xDz3RkXIOporDeOADLyY5YGR2HCAqahaC7HGjHWaToknuhz
qKf8dbBDAsIyp1E71SAU+xQdau71nSgyYpqIpGb5BEsG7Bzw1sL9V8NrMlsApDCC3wnk1l2LzltU
yQwcfrtCCFwrF2MaQs6z4RK0eoLF3qQIfcDzJwUsJZE3uilGjMWo8mDpTshT4IvJ1zaoYnj+zrMc
ZlYbEGZvG4wUWBu0fDQBmfA5N3nMQrk+eHzZTVLSojwweD6+BzBVgTxksr0JUIb1ZzSXrnvMmVA7
6sLojDMQTHZRSZ72byiRsT/FNmFPk4vpLeyb7bdWhbjzhdtW2OioATOybf1ayZ64j8Wamgenhg4f
AfE6qNa5mFBNkZWFpzotn0LQh3lTssldhSAt+sbBs/OHixPkG1Ouk/OYMAbbpEqfZ9pOxyUayadM
6bAqc/gjOzVsSA7ozVfIZfk7ZD2jvomMtgibDSOM+2VvS3vVZgquOT1usKm21K243HLYLRvohms5
5j46QrmC/ovJR71uWhtblN4AOYy+WmQO22Pc6hmgYPT6NjbS3LRRaIuGpK3MjzBoyA9uzRe4oZcR
nxIuhfxzorqirQQA+P0c7IhXY7DjWAFT+77KOC1hk+Fz3zU40BkcYaBLHjYBBqDaMimzA7cw/jUx
JqwctnnFz7QpbH6wswjZ2Fj+6XQ3HiKq19otqX/NUS3s9bqMClNCZls86VQtBm+XpjMagh4skIim
W4Tco+uiG3gO+xL1olIhLa+DoIve/NDzyxpI/QAPIavhTYu+IK1jRugfeenrPtVM1blLet8Y55mu
BlUs9GC6vhhQf1U8XLMw8ulxyVz6EtBOYnLIonkMMmASvhqkCF/7Ek4MDAYJ1d0E5ws55C71aArK
CGmLGWMrxEGErPvA01W5GucmUB3wedPFai72+5bdu9iBho6jid4Vg4g/zXB/tJU1w2usxfRJLdNU
YQYkuEc4PWHgai2W/KBe28CRFthqDeoAyONWGcSONHiXz2NrgivFsKkb1fP8fjHLdFnSGRkUlfMb
8AL5OaCkeAFj3OdYBm32htkK8WFNiH6yykdXHE8RjWpmC7ejNSJg6RlB8eRaF2cdd2PWbGUA4CT6
cj2NaWSHJ6R4e8TrN90oLPWknuPUHABfwuvRTx08iy781FG/firpElYSYwYQ6Uz5QRQD/RN2Z9Jg
WtHysQDcP4UJDd8mOOM/YUyET6sAY1tgAAs+IQtU3K4wH5ykXbDrCvMFxunlQRriaVUsEwmxD7aH
sg0Q81dhIk44D9SINkPHTZHDNIOfvnFzpP5gIDuaYkWjMmOIFwYndOH0EhRD8sy6OBF1Alb/Ssox
hEQHByiP46/egP1XBy7BB6k3HFBc2AbaPNJVn9DRTkI+qURPSXq/sG5Gldd4Jjc8U2pGLhvmhdUz
MUNrgBA63SceFh9/chEyJBEGJpB16a6I6QTbrmAw98tH2q8u/ZqOycTPbCrEktQ0UWQJmsKmiVMo
XhwuG2ht8G2wMuwz0sAQGG6AjQXxmCvCM0XWK+NXsJhVFq3pMUlGV3zOxnFBUZklH9YBdSztSNoA
58E/0QQ+a1sYbRJ4v2CTBoyH28sjo41NA3t9ksKi2snpO5kDn+sGQisMhActnecdlNS+5XAxyZbu
5naswRkySMvajcyPNi4WtDB9vGZKvUyFo5Y1EIgL9H2IMvUru2Ns0mZqtMMc7BCznWKj5zfDNxv6
Cr9FYuSCmxJAMsyC6FAZzhgTkWJKEhjr/ZMkWUvK4dS1q83nPwzG5URphQFOHP8Gj36erZjVoNEw
XzOv6ZDVKyaD5fb49/Lcrwo5VEM4QAikwz3JCwF2D/z/VX0FVVYsBOmF72KSe7bJvntc4nRUEMp1
3iUGljRL1gABjJ5BovuHC/hV3t4vAEYBhHcxeBIqIUShXy+gTz2yUW2ff+PvFyDenSeClwNWXDBB
F3tXSv9nmsM/zSkkBDGLf1kB/m2cw/8avrx9+e/5/D9GG/74kZ+THApMKYSjBmE52BBC7BU4EX6O
KSwKPP41xJMVwyICQQU9/1+jHDDVGgP40xwPXYYFJ4Or5l9jCmPMNkSwHzNHYTPAQ8z+szGFv8v6
+C17djBEiA6BmX9bSCyUUaLjJDiXQZCwqmd+O5sy0R/+ck8e3mXrv85D+HW9/piDWORAJCXejSD1
/tt63UJIOiDNgzMMK+EHJCcAFQwp7oVDCvcfNP3d2vEX4XxPcyONipA/IrgwD/w+yAnfBVy6NqZn
H07lPcmUvYXwD5Flwyg8mYn+n6wRcfjvHw+DeLMwJch5YSjv/kiFv9aDlet0hlGRnnuvKOjseVpu
IPy0oNVBZac41F35grFfcXQkBnANrRhi8KcMXM14mtPW1Km1iavMOuLgY7067xMKe4hxiryNMF6A
ItblCZiyPLlN9SeR+aiGa3e8AEyIx4EjLDsEavkYLtl4QURVHhHj7++oX/q7pEUgu4nbsTv5GUd9
32oEgRYtHiP4QL9DSN1eOp6ol1y2t8T4/uDyYawNSPrzFsX8Nkng1ag7FpvHSBvx5xZv0/0WO/Yx
Ij2rRgyoPKZzNwKECVubaXRnMlEka7c5OhWWwAGDKN4h7MAaYWyfvs7DZbpDqwBrLI7dL2Rog/OQ
7TSgCtx59jhvqmQtaYayH01fdYHRHdkmVkhKW2cqMjtgVVUkR6Ij9YphjKXjzdqpXKPZ8A5u4dcy
jVKvb7pRsmM+5uiJHMU6r0mHSQIAzmJ8MyqXrwwpiz9YyaOnEidLVzuiMZexQGyogr04hzyIYWSY
rMn69ahsAURGoEi/8W7AfE4oWsM9GUAZ1VDhp5sc0aRrD2bgpfAbQqG0VyAWd4GPbZDkElBb9zD6
PnVrT2q6Mv/UwUV70CFRr4jI2eO0kuVY2CxIqxX5qm9KiO7Ujd1Xr5hsWowcvW7LArp3uKWdOGjc
nG6kw+08iO0PjDrAjCdE62/IBjtspdeQgxW1JGh4zyipggm+z6xPryiCczC2jPoQ+57fENaab63O
ljceejZguhHGah2CpS8vuAUaqZ7s67wMtQOVdjcOBLRHPnwj8eqAcJNrGixrxXn7sdTAbTOVwymQ
BZACuFgAVjfCfJ+QGjGjrMrlcs0ClYCtWVrYwkjBvsCBRvHi/HNMTdyACvJQtLL5iToM+8o6/ZCu
zoVVUeQJljZ2zwo8ivkYCSwMof2+ijw4pipYbhGq3N4WjIip8c2mbxL65z0APGxn27I8zYgA1fAT
PMFi3B9Mun0KjIrvoq2LDpHf9F2Qb9vBlZl7HsfSYPJTaY9eJI+jE3/kMZ2icw8O2CbVAl7efx2z
HmYDag3gTGZgDhkqX8iIVRsa+Ia3gsOyHhnPaz/M2XZTuMGvVxi2hLkjdQd5hFQ0AIB54dohlgCD
k9GuxY2Y5sZ4q9mHBOGBdhkqGKML6z7kfukOZajzFsIvOI86oLCXVelMMNF0Kcbx5Cw8N5/WIEFM
C57FCAxp4TSGQQ2BL46aYVxcglDIAs8+d1v7ZHm6B7owwK69y2YIR9UEi4l7aMGwFnElMWywuy7p
PmF2t+unr5GE7gZf24g5cAekJcvohcEUnh7BMKb5t3wFuQi5H4mjC/cYQqGeuYBHCIC/1Pw1SCV/
Lq3oT4qMKMOTyNOzJZiYmlMf7C7piPrKmSy+wOyEeV1us85UadCVp3SJwZ5GdL4J1zU9RyIgOZpy
j+5ObGWIkapTyyo973+d04w+e2/c1ywawTyO4SiP0FowG3eAU6UyCWg6bjCKVmoyXgDCy8MizDbW
YqZgdEAWT9dzkkAVwvi98BhmemoG1YMflOVSjxrjxio4KNBvUVp+hkIn6hkTvJ43jahllY6BQdNr
nXhc40R+TwDkbnAhmOvJYUgHj1yKrUHmZOgOChHlK6jr5f2Q9tmXQaDFRnLLIvCsc/EYYGIXlHnk
WcYaOW78Wxos4k+onsNLTJb1YeAsQ/ByE9NzKzr4GPYnyocoHjwz2LdD8+Mc/x8U+A8oEM9+AWT5
f6NAjJYYv39d+q9m+esosPcf+4kEMZ4r312UGQA7TvpiH9r0Ewnm8X/liDABN+aAJ0BJsGT/HOqV
RP+1uy0jTM0BfEJcHteBr3AfWI2na5XI0eFpTukP+/B/iAR/dC1/BU7wTOMRkgTTFDBphiBD/SuK
SSOPISRTb88Thko0EUYOHbptLOt0WT75jL8VxDK4NjDZcwTvXmPl6WrFmN5LEXJZk6X4UNiCXwLk
DjFJeLixxa5xBv+bvfNqjhtX0/Av4imCANNtJ7Wy5ZHlcMOSg0iCOYdfvw8kzx6rvSPv2eutmlCy
2k0SRPjCG7wbp0HUk45FufE1AnaLKR5Skl4PSiLQ18Qwp8GehYc6tNJt6CEQi0LnXR2N9o7yAM0f
hHz3oqGwG7MUDcxk3GrW9BaQpL3TWfdpzMP7wU0rEt7Koaatv3pWbe9yyP70HVY6fchontdj+0kE
Sb1d3VHSk0d+FF7LA3WW91Drv44tl/fc+lNepU9V3HNGgcDcYrN9JxLOU6fkeSCXAypom08e4tqw
+okQJovHQ/Yb4BhNl91o+edtG5yD6u73UcfQjGG0j/sCfrjOnpzMmjeex1BWQdvt7IYvRXdBbhQn
KI/AMNjBeZF23S5q+dRocw9jrax9QitxMyROddSKAK+CrrbzUMvcjpm6mwIUD83f1IodLw1pUawO
So7xwhDUANRQyRXrXVzld+GSj/u845I5BZpLVzXc/iSd/dBwQ7L2sp29xh9AvtM39JFBDqvyaSmR
iWwkyshutGS7KVuQHg/z+FuUW4JxCO8R4e73sszrbWdTBTVljoPqA+Qc7dHZtjrs7mklZ4SyHkgX
K18P1M9ROQ4YPdlx0cn1zwNh3T9PkrRZkFVUTberfeaBWCQqyGisUiIHeSbGrZPxH/pXd2PKTcU6
U+fSasOD0NSdK2AjF37YO/uxNrOo57PU1tH5FegQV52z98dEb73IM80CJtaQF/W2cN0b5vPTHFIE
JIkJNvmUfiV94t2v/KQjd0bC3Sp3Ux9QTR8r/k7BKHWiDnaOX6/XgOXCLYKxn57fdxFTQh1zphX0
l/UQJ0wZ6gW8+oby7OAF+YUt4icWObMaJVzkw5mdgc9UqcxaiJt++ZCjnLTxAto4ghth5QWbsc7S
G4AF5wja3i8rb35qWCeomkQXE4fFdeKzOkK/++QDZdh6cDZYcEymgNX4PBhlzaKYLD5aZ8VXuFnI
yIK1uEDL1d2riEmbZ110sZSheE95td6iLQFugyxuK/u6ht2Fvjw6y/auaI20sz1yD3HSXQadNZ/F
HqLOskGwuelXZ58BkkJmQ4IO0iU9hYpZxnG4JTTMrgOHhUrdGKzXmOT7bInzvc06IaxO78bEvXle
XqiTr0cbYh81zBzqe8UJDOa22thotcJ/DrML9OnLs9mW2Z6GMcswC6rt87u1Ch7fisorD0IoWwhT
oKS1uQU2VlNm5/3BbloPVd2GZ12ssj204PAAPjjf0cOpt88TwMxwlvhdqlbQXAvbWEjVfq/WcD0+
v+YeegbrgGk00xfej1pEj3XqWkfXCFevFteim2IdoR6ze9GegAXBKxDZU5xxfyHH+d62WM0FxP2t
U4rowm6H8spP6e65s3sWTPqrFafLxoKsdhVlTraH5ZRuh9W2jrHLOq1WNK4XhOUPvsckK1HcurLo
Im7Xku2LLskjoLCA3KGk46jOwiQH0GrNfJlAsZ06gLf1e1uC23C7DXpf7fnkdUYFnd7BnBY2WZ0r
4XrFbIqxYHObeHWWn4Vn0eDcJTIMzlZRLmd1z2ZSq3HckhUiQDFyC9MgWEV+XR2LgB2s8Kk2P+9N
Tjg7++dFCxwChd/Yuue7k3dIONq71lV3zmJS5cgKNm5PkzjTE5OpmWsIYOCjsorCctLY5dXsqflm
8LMnhPcYmoUV8DzWHqKou6zgK0F+hQdVetlezX23s7B53eTKJWdEPuqdI9ZiRwM0Pwui5qnx+eNi
0HsWfb0BaTpfKCtPD6JtvwXAWveov4Gwb/yHolLVPrOSd9Y03PhVrzeS9PRiSWcCUivvckF6sAD0
zSZC2nK2iMzQgUHb0DB4kTFT3h73gg5e6drqr46u5p2odUh6aTv3bgxEpAumWl8v9HYvUtQ8gg3I
DmAEoDTUsDf1201Spf071Os8yg+eyGP/0NLX1tslA2I8U0fo9qtKagERp7Eu6mh4pJFbfadQ8k2l
djVsYjlnT0EjrRXFWYsq/5aFMR1p0FQHUABzWAPXQq6w1gDLCq1GC0MIB9yMCKLrcKpW65DLcupu
MvRd/POSGlJxhA/fW58WgL/bhLpHfhUloew3bZsLb9ss9JNu3NFzFnjhZBTvS9ivF4nv/aH4ZIpL
J3GN8iDKUEcztK5TDlkeQgeFMjwc/XRZoFMkT2nG4SLL4H5ocRJwUULcqpSZ/ksI+D8UvU4LUcRT
hPbo/1AdsfFkOImnwkU5S9jXw1FMz5sda1Cm2fdywnsCt46nt692WoN6vpphJjoKsR0Kh6+jt3VC
giNdy+GYL0wQEwmEWWTtUSux/z8JeFHh/UMSAKLE1GH/OQswJurHx6JGjbP98Wse8PNv/p0I2P/6
72Kw0TX7OwlA2Nel4xvYAdQ7MgXm099JgPsvdB8E1uC+NHZFxtDm7yTA+RcbGB+HHgkHgxrufyLu
q35bKlRpJcSrwOYuWC2vJ5GyvDluwPcds9JNtnL1oo3jxQ+/DMr/sC5+n6lcJERBDuY0JKVTcdq+
wpIjDDG4GDKwL7Pf0Rknz97Wmer3b1/qNZWVvIkMTDEsPsxdSJanSx8HlBnOOGY38wgPIaVlfIlb
VLQBTFgQ/ab9sRC4k8yrqzZhsFR/uPxvw0mSx00gRi7gsOJR9Ho4nXwN3Amy8FGX071T+B8D2vVv
P6H5ilebm7mEGzq43PDekL94fYm2tZbBjkRzdMV0P7vyoQsF2qWOAB2wNj/evhjNpd8vpxykD9jY
OJjIZl9fTsaN8uYQgxM1yeYizgpRbwlVC8DFUXGRj+qDQgITnAihKyR4WWloL3mIvVCRtUW766oo
3fgOtbVNooPsfJj8sNiO1Rg22znPqZh3XUiQ6DSiRp8jQaMBmv65owvJyTidxfBhnkplzBcMHOeB
DmtNezwcil1mlfImQd55J5NM7mgYzw+Ljtqr1IupqyFn3SY78EXFvQd+6WO6+AgvFa28A6nh3rp9
mb33XIuES7XFZoj7+GYYS/D/RRjtqmBA+9V2UYcY1vU8C+LrQVvjQRbFk/Lz91WqvnlrcAfnqNhO
aDpd1Pb8JTY1fXQGvL1FNAP8W6+7rEYCP2tcMplS7MAoTD/aJIRqppPbesH1Iw2rdq+cYthP1eTd
zDMUltDyogsnlg++RVgIeabfIgRYAzocf0jPCu+RJEt3i9D6BgmP+L73VL7lMCXnGSGHVcQKM73Y
44ryAPHCnFyXnbsdkghvqWCZLt3YJihCTb5H8H5a4vC8D/QwH9LKD+8bn/AvCVyxdYLUv6pJ7uzL
Em1RrG5mIL4fVOlbH5NsbG/LSvA9wTw795XIxktqZsPRlkSTadv2BW/VTS6jommvidrcPQjd7FDA
VtzAPtTvmorKrZ5QbhyXwTmM6I490BknDRwb9MOT1Bk+D6ndEHfZi7iy0Iu+T5Nm3YMnFZt/5i7U
a9m+K9ruKgoX+cJfUIPMjpCWxbWYpXcsSubCM4lh6EvwDoX8nGStu2yydIhhbMn5qLo0vEObR59Z
sm6vnxkNQ77saIgs16eshsqDarlJPWgXqBNS7vxvagM8Te9d6ncHcLNVgcCQDzZIxF80Rgjn/LWP
8xhfgCdrdnM93dVL9kGLznh8aetMFeV42ZMpb1LA9CBI4unOiiZx5sjUPgpkrOEU9ercrbvmcgHk
BooZ0tptsXBuMKMJU0iDYvtORs3yCBbUJsmzyqsx1tZlT852JmcwdF6OEtVOF2V2yCJsLBq74Wpx
BqIYHK0ljXp7dIjqZAF+E0Sfg6wHcBbQmkIea7qcNcm/X8GY8EIrOetGivtFVlgbegB0dSJIRYWb
IU/l5dPFipXJ1Yw08yHSXvhQVRXsxSxFi8VPHmUkP4ZiJTrse/s9hlD20RnlF/psV6A44r/IPhUW
Coy0TNcLhHGG7Rhl7WZVVo965UhaCl1r660aTbamvtMN9dCyWb+ncdAFm8TOlk2A39F5ZMXDXlj2
3bxgHTVX8VFb1E+qsJ7O1oyvjSG+f2iF5WN20U0Wej5ExYNTycduzI1aLACobj7gdSPvXWrEoOey
tjwv/bF7N1i1fGTfDs7TYoImJKBMzeD690ky8IZcVa83UZ71zkZG9fKhEkF+xYa0nosZzBUIzs9t
NZE6hTCFpiCqttCAIMrZyRXFhbOEA2BTgEbs8RUBhpgXorzpiuA8H50PWZGgLBSJchsH7YVqA2u3
rla0izIruI6j7EcE1WW7gnD3UUp5hFpcf9WDHG9rgnc0qHLWHluCd5suer6iAZqfe4XTHiVqW7tq
WqdPz0QyoiGubId6Wba5xwLaWOWsn0Jt5R/F1Nj3kb+qO7lqkKs5mnToK4DGQjdDnvl50u9pUXWs
E2/+jnqOdZs1Zc4wl9us9fWDm7jlEXxplW+bNh+2Qs1qqxW7Rx6Qqg2rr65ymU4411DSuC26wDoS
kpNeNP43X0gYXZTf8h08AH0e6MC/x1RPAGlKodI4aqGKs6RHxzSThBcmCPHg2VHNA25tvevewmfO
sB+J4y8B/itk32c5xiG7bkzmD4KdawftNjgwSPm9DGKxpUVsaH995vylGvC0U1F87JdMfZlHL7nx
Wm/92IGoRxdgSpFLaNubQdT9ISs0M2/x9VFlQNnphVo7Ds+nMutoMaF1evDiqDvnfJzOR2qVeDpR
m/QuYXtDxNg5eTf8f5D/vwrykeAghPrnGB+8BzKyvwb3L3/jZ2yPMwfOHVTrQRUBDMIs4+/43hh3
oCIqMGNwHTSpfqnxG+MOBHCRjwD2Kd3nOPFneO8aTw8bhQLMEqCkOlL9J+G9yRN+iRbN7Qikr9CL
YAkoGtUnASlIqKUoWOc/Enut9RNd40jau2nCFgIyRq+d5UGbsPjQLTIHbdihQfJtjvIapb7KrRrn
UFsG7YxCDHo9CKNHNoDcIM9YDq1dIIa+bVXtUUNII0g51naUIxRquB0DmG6oLkPn3AofFku7ie3a
mj4k+P61e6j5MfLcioVOSrAOthucyS6GprGZaZoDscJ6icPmUI6wd9Pt0tEXsP4goCpMrPzvWFoZ
1w7poAbFvy7N8tPRqeADQ6tf3R+Iyo1hjmiuD/R0Q7caEEQYA5GEYi7SsnhqvDZd7pG+NQrsDj1R
ngdTlHj+8Mvcevdy7V9xM889l1e3RAIjXB8VFkQ1EWU5eWEYKs3oxrbxd0HAlF3XCvTdxYqCIqC7
hGohbMkClQihNxR6gwFsNJUF+IZ2jZovNESjjOwPhLUXtO05NPZrFK+m/jTzKvZ9vyZgP1qqazPy
ahlOKuuaCT5WUL+hMGZTcvLDPwB0XmdFaKQwyECCKFHgZ+CxFl7nEFGSzamV5eUPewKK+Bd0IKt6
X+RRtb57e/ReZ3/mQhJDHBQ+XFB6oLBOcqOFbmq4enP0Hc1gBzpdnUeZ4kS0WeGz9LW6nToqmkZs
x81RQq4RFxrf01NHYPntO3FfzyxzJ8RY0iYVRbgcrZjXj8wxtNjhrL3vYxe03o1bLxp0ZltYwMwv
QF6s7p9sRn4bZJd0kK2EqgC1J9Lf11ekOGnBtPPlt5yuDuqrzVIbmekxWI2g59tP9zoHNePMxkXV
iUK4EwC6OnmhTlrmGaVu5/uMw1yqfjgAeJLkPKoH5l1cNWaI88UbEC1/+8K/PyRzyDP/OIHLpntS
rkABFXEP+n/fQHkOwbrRfo5kc+QYO7U/POMJxss8ZIjlESAtlyOdreJkQDXivRlCJMX3jpJx4R/T
MCo/5JBPGyQJUYaN69s5XCO7uKrStjRSmWOCUYEmT6PTVuRsiARJOirCO61Ru1LbZCyd/Cob4zZY
jsOkENI/vj0+v70YF+0svG5geQsaz6cbmgizwMESoPxWLn3LXSCemuFEIBYLId6q8CoJH2WskKx+
+7ri9xeDJ4Rn6p7YyjpYh7yefZEl7LluXesrPVbhrLSi3HSgYxbU6GtthaTNlB9ZJpn/iFAC6dOu
aduWVB6JZme8T9HvBNONUPja4xlFp/UgS+rEl26xqD/XaU+8H4E/0pR3n5dJSINdnL5bN57qtqAW
/DUJkIz00DtY+vVdB/eaSbUuIHbGs7Crkf1G5jdlNXUlMGvQRN6ysFmGmYqXb0zAQj95nc3IcPwp
Iwo6ClXpp5cNGD0Udhd3RtroUxeHoOThcPqoLtAh7E031lgecQyXUoy8kaSIzBZtdbgQkWYuSIzf
wVHo58/rYkIISH1rxFg4Whsqn72mRrXTUY3L+m4SKIaAHZUufni0XlKxQWuwW9+x/EP3U5mWTM0W
7X3u0fQaSqhXdKc+QQuodbkfvBnHjrWX/ng/tsgOv+80f4LSKyRGhiRJvIp35uDEyKULmVBQ32rI
UwYDH/Ad9C8pE8BNWqASIBjSTdrhk55IjapLimZf4Z2545z0dz0kGw4zOjpGjL5DSg79ex2HXPpv
tUqJDjlGYPFSezcSjmzzuQlSyFyRGpv0OldlAMpedHN5mQBZHy4GyMTMpRniMkOXjin6/8GIbwWG
IRHWW7jRwB9ktdUBMEgH5mpZo8H58wFc3T9b1PgIRumdbUdGb9m1S6ZfN8dmE/sphtp0kfGXSf16
KTSGmqjR/f0dTd1Y7V6mSIskW6ZcBYlHJqvLGAwyNbrzc52wOS6y4pmwBzGjqrJsYuTcoMaf8DhN
fZJdlHk7IG0uEkTZir20fKK2pY6MeFG9+A2Px0ZvpksV9pxaEvFRJo2OPF28xzKy8uH7YPfLdIHU
7bCmRsR/mDUx2q68MznbfCFlQBH5hz7us0BeWGpOl29NMY+MYUUTieu7bIwi+ivIbY8xWQEF5NN5
ROJmZE3X0sRumL1Kfrdg9WoeQoe1h7YxasQlAtjoSHDHvjOyC+zbVT5772Cuyp20slE8GnizRo4X
IbQqvqVaKiNSjFN1wE9W3PucXVAte25p4en5w2nQ5l5UCJfDo8XtswSXoEGrcEfdGrn/ESwyt6eL
NDBxG2gSmuadwdR/SgfFD9tQLoa1oVVoxrhBMEA/DfNkvCfWwDdzLicEVEfdz6i5Qxv1zBQ1ofV4
Xwcl/23I1lnAvqYsc0PouBJlIPbKOl/aBQ/nzZpkBGIa4IRZ0ujM86Utgm68CbcjboRhVQs53vtg
CRmFpMK+ZTmOs93p4tqQ9vhCUBkt9weCdDCzWqap4V9k4Yq70hzkMI922r4PEwTLx50IFAptW9SU
EvAXng00EoJ7LQ89nXVlQ5Ze8wTKmF2v79xlmZn+FEMwCtuHBQBFdHKfTTM81x0ppSSA8xpMhxE4
SW9Rr08jwCp6MG+4TLF+EtA6/G60ztPOzmlNz23TVx2V3K6zJtj2HT0LdEI63k2jgrRy6UALYw5V
wn+Jq79CAHcKTYyuCucANGiKocWejZjtZt/LWEOIiuuhCsO/VVyxdOqTYyT1YCpsQcY2631bJ9dC
OpTNduGZ0YrIVpBybTInSXyVVckg/JueqrWZPCk6XczEflrwG8EiwMxLGzsg5lAkUzj9l9Varfyu
ccahFTeri7rzQ9fQQQ92Rcb7KDezbYmhuYHD4rDl6rIZeEuloHCe4EhQTHxX2OAKKyGnZsa5yE6R
eh4Pdl9PfJIUpuF3fRuZfQmjeQNs7rWJCCGOxGxPtZo9xq9PYA7fjIwia0E4fceEGsFSLdU5b98Y
3QRoR6hjkHcrN45DysClFcrs3D/bJcfRuNQ+pzzsoJqVF6jcHLJ9Pxgzl9kDbmRxKLcL+8MSJJa6
ne0FTX348IWrjnXTlzxSULUVVbXCMSEW2pDZ8q0IMJC9/pmHsOubwUEmUlZ4NrXsqlgsJnqSFl7z
NLXhWwYypgQzldFeoWfU/PViOpJWHP4L5d7J5459PVmMUoX3BAtbg2sw9mHpYEbw57Qu0sn8blEw
XBwcFGnceBsMbcx231EUXB+ExayUe+mjYjttiERjm/UJboKVq4IIIN0G5wi/vsFmvdS7LoTMZG38
VSzoGJdT3v5lF3N+/8ogwyvrkQpMNQ71t99dMtAdSpsvAKy99fBPBhmQ6XLgrEDjgH9Kd6qB+vzR
LCPnWEV9ox/FtuEd/cEsQ/lL7iDjT0Oo//zKMkM3KpstwFrOEuFC8c/OGSHi2HZ7iJwV/OuLf4YH
lm+yKWodfvXQiDVwWw4+r/cvOoC2ABJU75w4aUBQ9o2Ai++g1PWGnwZayKLsN72PN842iaRrvXvx
1hi6ptXVmV37S93sf7fYUJbq1oe+ZFZv3Nb7t9FGjixNW59B543XeWOPfu3twv+L64Z28X3fDqBW
/I2Rp+/ts//Ae6MKMmrEO+ECg6AUKHtpxTetw8Podz+jb3vJ8ZR6P8VFVRnbrtQcqHUhi9r9MC1u
XatdHU0tBPnKtmNilBcPtC6yJxYMKtAm1kSQE2T3WSvn0RwrIRsJi7uhg8NZywHOckjQKWFrKFzb
RJiptUQiOugln+LcPFg9BZdrExuDJTdpRo4e2AXG1qEv3dhZzxbf5zsPgwv5d90gD2UyB1+Llbtd
XqzahqZIvU9u2dGJOkPNxqCC0Kan1lAPjcs26XYdkX2QAWN2zpTjEgXjfG2i6BAjDvYyTXOUTS+y
JkxTd5B6XdsgubxVHkPl4LF2LOl+s6cUQ2HzoMQlAfUm5N1asyEWucMZPcF2IjSZAF4wQHClzcmJ
L8TMnbZx4nPtwV/9av1rBPjD72D1znyZMQ5im+lwceT+aUGafTKjtcdHHC0AuOzKqO5E+xi2qGti
qP1sauf0Q+t9nVDbrg6eo/2S0r0eORbByJlYqqx9E7IkYW/s7HpcFnrxNFjdkoU7lLIgAYMdLKkb
bPw6mhnb0G5dhp893AhfVs/lHg+HPU6pnyeYEhXjSO/DVCy8cDJ3L2RkLBnrWOmwOltS9G+e8sFi
YNlmtLmDAUMWps/fI7E2uNRshlquRKR+mfCNFbQAFKkyAFxGbsNCzDoFgUQc8N4t5sj9lENbzhC1
NK+RA1OIB9K/ob8PmmjmiaXGN709Qmb3IUuXcTZOybsV/Y0o/DxmvotyEm2SuJjOadh74/3qwwhN
AKPVpvjUtsOYJue1XZqgwu7hJE3IRC0mkQ9Q1PE+FdTrxLwF/9T6/U5lDn5WMVKcHJfgMIGsHe06
7sbg3dqDS0qvvMi3uZ9lVWYdSNkag6cRqN1IB0CZJULT0RS88OflA9FIq/FRC5pfn9IGQg6aTxGW
K85Z4/hIbu1Q+zanK+pwMYcmagQEqlspgbndexJtByOGZeYjBqeayNpmBPRTtPolP/Dn5tNEJVCX
pzzwOS5Fwn1BD018ExoC149NMC9rc7cvyyPr4bnc58NU8VKBc8m+QIVVjvEXaNsxJDEcQ9GlhrTA
XMi36UJMoA+qVWbu5qUTltfFJOKxxwO5CwSU+r5Am26XT2h8ghu0RrCTqNYjX3NvP7s3606Y0Doc
K1K+2A/T9nFssSag7ZWhuMjmskwKkcdJ9FmJapvDPCtwcmRkde2SsdlohvFCOhUSXpJ48p7RbVmx
gpwc8ieIjguuZbMjm+xxTMTMoEQvkU8X2yOxRgcomqdNgeASGPzMiANQ6AQGcxzbZF9ljGIm+jTk
LKjSWEgwfpPj0KzvbGu07a1M6oR0BFkq1O6PgVfL4d5bc4n1jDUJxh82iUm6fQ81BUoiszBJPqhc
E8jHdcX8iLoo5q31BQVdND6Bw4XbtB1dWCRIAlYwdghC2ANW0ZDznjd+DfDN5A9MJ/DjeAdv2mg1
W2XNnuwda9+F+r1HmYSpT3dKwB5asPVYvr0svXLEYgOpTasIkYTFVgh/oV0/AnVgYiAiym1akVzM
lPTtYCpvbTXPZcOArCbjdrEOZiAnFL5Y4vDy4vrag5hF8LpMOj7DN3Ae7rzZXxH+RCAxPwbQ5rqW
g81SWGrJGfUV/+DlWcXXhKpv2at0U5pI1CkddvHt9JI1zlmcsUobPQo2KQL+wUODZ2J33iNbYLLA
l8Qij1Zz0xVGGUtMJ85bYKb0wUrGq5CPYKKTJMHd205JWfJKUzGYWx/KmZNwP9MYBVoLMFXhcFFT
HOGD68KMwknHbFg9r9FKwNl2afqsGNWtdAYSiUWbpHXHFy4vO0c4dybQLQTttuwPNa7Tki41I8i5
CDTT0PFdcVpgDWZDbw/z6esc9SbPHBMrT9ydhRdHjgfN0PK8f7jkaVXNXJL0FDVohZAhgdPrqtqC
nm6Ac1f/1cXigx3+ZWrkgWUqu29X8H6/lA8r2aHzTsPIcHZfXwprPrqpVCe+It5m9qcKespIUMhm
zd719rWeq4G/NDkov0ENFtJ1fFjtv3el0EPscqO/8HWWxUAiM6D+zEx0e5WwDJO2EJyFK9Dc7HEo
lQvJc0B2IMi3de+Qd1OFMJ0N4MymwtO97Mw/ex8lijYmRPLdjjMBVuHET2/f/m9DhckhxN9QQNUW
EKnN73+xS5jbqOhjFBYeUZHELHTPAWXSQg5XUqi3L/XbnJMUhkNaQXSCoOmc1rsJo1IHc5X6MUwC
OSzHaEGL5QEHYLNEgP5Of5xypy0U2MzCN+7gXBNDiVPidoujUBBTv3/E9MvsUf2cUkUc8ILigHBC
c2ZFIc55BBMLP//Au81ub9ntCvf87Wc/HWa6pq5rehm0SV3xm1foVPbzOIWx/EJNgrx5SfDu+RbA
7GUHfPtKp6PsuIAtacSCGIQRJU+L1xmBIW6lWnwZUGDPrvs6N6l5qpXkkE8cEzW+fcHXoDqaJrgH
UHamyYtpKLvKyQzqdbCymSztlxaxGWZQKyOzzbEpGnPjqG3w40IiJl4SmFGZm3Ayvn0DJ9Qv7sBj
EoMgxEoGg/bfcJIYKya5qP3yS5PgHFbu6WWt2Z6qRxJqxMRM2DK2iQmNPaXM/v2zKG65vSl5FaA+
OBeml8H56f9N6X9hFVf4WJItrC8OmRg0VQG6ULKHZLkBXIHG/x5NHXNYgvqqxgrWos3CB69HD13v
en+geCTgmgKYGDNKdODLstTpz1NaywEioKh9c5kOwiybhdU6PlkMRFdznMOYJLbBIMYc8XXdwjra
+i8F+o7Qnl0TvXATNKEJ+hzxOcIEy5FGzIaqTQeRnPJYrPFYv3BGXEspspQZZdm3h/+3CecrwE+e
QfE68vepPZBZJJa9Lp+rpJHErDEmoiQc4dqbCOBnyfrtS5r9+9ct12y1SMzRo0FmBXjsSYOGRtnS
oxs4fUaB3dQYhzT0smuAtNDTbuzONjamKg8HkqhZ4DFFETYvzN28fRunTw7WWNnsnEaxgTX33P7+
Ze8svaaceJfJ56yi/HmRFqAEP0CUQGHR6fo/+Nqc7iDwJ13w0/ApJABn5TqvN2pP2HGa1F33ZWyw
HHlwtW+mhda1iazefi7nZEnz7YEPrdf2fDpv6EyedAvjacaavASDVXa9HeyiQXj4+caUUcl0Uz1x
OmxoeBf8z6dgw7ycXRk+kKy5Leh9yrqUYEh5TP++RiOcOFSsygTqaUyGkvhsAt+SSqPHt1WzZcoA
QQ95MzkfAwiU5K4F3ZH70RKSh7Pws1DHOLZMp0iMhdmvSQiyuTlHSytd8kNZ2bG6fnsQTsabMcBC
R2LvRQcS15DTMXDduA9R6Jw/DAWWlAjlVbQqYFdPFXW6ty8lT+azeadsXlBrURihrn86n6cKzGMt
VHQfqOr5WoNL6TQbGxPqD2z1bEEvvfcckA6jUM6lqZL+/KkdB1MhsCaYPZ9c5Zt6Jrmg8YV2CnSE
pnMrw+povepYqugfp3WRTWcL4kWsnayMSI9TbHtIS342/ugWmSaSlWuHtbMG9srvxqowL3x1NVex
nrvj/ktpYhRUQHHRNDJNtB9fbBX9kY2/2vVtagrLP1torEjmrqbnwbkXRVQ55GYRxUQJ5O0hDV6/
PiMxRCffxpPI4PRtCMGvl0vDE4yBXUffkNf0P+G05CI7R3v06GVBrajxJyhpqjlEjBNY8a5WUXks
nCx/GPGxRDoQhi9N0xhqG+IDEGexJ/wQkb927/IZ/Nw2CUYUFUJ9B/rW/gbDtas32HsmQPL82Lsd
3ai6TOy0u+ZESlay9QREp9Vp+XGljzxeRAiI41qMoILaUTXMHqzV6kkOckQIIC+17xSnUnZQuSWv
/aUdUX5dmj098fwhoYd/kecOXQJd91jpVtlEC68X+RdQE+7lgkphig5pYwv4sK1/73A+P9ZJJVzk
Hr2EEkbcdWeIm5b3ky+Hh1RKpLHghakSeS23/pwNYfc9t+r2L091HWFRNBz1PGBzQZMCJiD9ohn+
Y5ham0EV4wVmift+QgccCqjWHwfMwKiaR0O266e2ul+RP9wRfhopUIR6trZn36l+sb/ijtV9EeAr
PySDO2wT/MMvM79L98jepZdvz4jXmzUTgrYym5lLqGCMeU7hNBXlHx+xmvI772tG/B/j7L2XG8Ib
ImTeh7cv9npBv1zMByhnjnnDSTnZrKMVVDmltvK7Z/sFGKHZvofx7XTIS2fXo5ID+V9cFXe0CFFI
ePvav83858cEq0PLhk38FDYxuF1YoYdTfG/KksRV5nU2HwqJyPMfjonnb/r3Mfz8lMpxwOeEoeBA
Pk0iZ6fIHPQCE/wlYEkT83BcbCoSnhQ5m9x/XzpF9D7tIgvJGoxX650c6zQ/Q2/M2815D+wLsJ53
23pteFEiKf+B87YjThry/qEoCF6cvizqjdMLdQd7v3wqBhlclZRn70ZncT6GmjwVNgzgcewp41tZ
hMxjcM4e1ZuMXhwYVwprbbh81zDitxpnr4OIXfvRnnsJvTaUf4iFTkB4DIkJAwiDGBfJGX0aEgCy
7maFfM53NZjBT1KZnEEjyY/zOj+iSopsohXOu8GJcXNsWss7ouYBYP3tKeCa3e3Vm/ENWBPwriMA
jmGs/nr3E1lU0D5IUOUdsOumnNZC2gtQ7Np1dEkwHVbFfPSLfkY82qoL7NCr4lhRt7oeURZHztOP
rdtVxOqIJCyFsxahkAI5YSRSM+s6XUr/akGdtESZ+J4aaH6LMTY+BR6NsWW79jNtF5Tyoq1fh/57
wsaxOiBl+bR4Or2Rfp2eZVSKj2lc1beF2+f9roq6AVHMZPhgu052Z5XGOMebxXSQTo+KimzT+H7K
Q2jv0GV5gGSGhIPNMC0AXzca+3HOxL+UawVXabIoA90ujZc90pZ/mPZm7E7HFkkLYlCPbNZ3zPr7
JeqDr0R7zfbxnUmVewOrVD/UqVzQZGlK+0ZMRhvm7df5u88XTHiDugWPBBMUuNrrS2ICkLcFR+cP
XWt1QdkM2bFoWKxLCpX6QCOiZ6d34/Z7Le38IY3n/ipNQ/vOGkN5ePtenilZrx+fUJPtE8M/HyTu
KRiwnQq3C2IEReKZBgN5exV9qaCljrsGqgYuQU5GhaOoYAf0LrXCnU4895gAh91RJwnDLQ3PItm1
led/wqRoNKVfSuj/xd6ZLceNZNn2V9r6HWmYh2vd9yEQczCCgzhJLzCKEjHPgLsDX38XlMpuUZkm
3XqvsrLKzEpSEQEg3I+fs/faldYn59xN+31rWerijkl8iB0vtle4eEzydifDhAnb4JgHnIk5HlCA
0+xwxzfbLB+0MwJ/wQ9IT7tyiYS5mZRkO8Oq3mxjye4d1gawqJIxLxWlVYIsKtqCAB0hM2a4dlY8
OoKjKbVI/2EwVXVIysIi5cErPZ0nkXFR6NL1u7GCtGLkiqIOD79irjS4OL9COMXNWTaYy0jpalx0
tRjFjQPiFECYOG/MJ9xV6TN0reHNTk148r3IoPX8+u78ff3hSQkQzSFdc7k/Py/JlimRwCqZfyWS
UvdWkNuyz6g8pu28MGA4U3lf5n5c4ga0z5PAroR6VOAm/M3beK/UZhnkGV0kyGx95OHRG3j/wKKU
6st+9oqvEay3cf3thrgzqcpXKR6LrT4TcdV21bid3CTaNEGkPiZ+Jxqek9m4/82b+YcvrA9+Rkdt
iVPlb4rduRylqCGFfo093f3QukZ/ZxaatvZo7J7YF8fLWLTDsbGr8lAoyzgPlcdG5hWDwuyEH5xw
GhK7U2203lDOt87Kb9P8w2/e5d9KBtzPyOf5iqOZ5lD50yUTJYDgoLXHr3S92/iBysLpQzqJZFD0
uriYrsiZKfUz8WZ+59RvyUzU02qOQFvsLK/uHx14Jle6J/MHs4MzHo7sAtsu6woud5x5IdEsWLe/
vet/E5Xup+brf//ny5cSt1bac0h5Hd65JshO+uH+/p2r2eVogV76v//OX2DN4A/gji6tg4Agsj/t
0t+d1IGNwRqVtWvSKkQ5H7DBfHdSW+4fzLjp2ONdpb6wPIrc71YLy/pDNwx+Gi/1d9LS//2vV/V/
4q/1d6V+/9M//6jcR979bpdbWpT8l4MT7W1O187Py3zL7NBuzBE/XuETgeUQRtpVg9jNUaKORdw6
e1BvDAxrKacvZMt5V05uE9PgG4a8q+uReN2+0V4KryAgAT09k8rIunczYkFobLnVOu5t75IUor+b
MpHeMzAnxI0x6qGkp/OpbiJi2zMvO6Lu2gwTmF1aZNkeG0WX0s1kcMyUoplf9SbXwjTC/weSEN8S
Xb78CA26OkWehcPKAlsAqPtcOyaSuSICIJyVydEQPWlFaUkYfam51trUYu9YtlAjV1GhruvGL3ZN
4QdXUx9DnvFcZd4yQg0I1sv1szGl+pkCSBNMb612y0pc7Jhsx89GkAYXQ8tvcISN58g07iHH0/1w
wZpXLcEc4B8b641yASJ6OYGINNBRh5iLB8IpDRyB+DU3lJaqX3VFOu6cQm++SMmLWJ2F9DPtih0M
mvyhtTMX/3lhZ7umVNmeXMNhLW1J7Is3GZwGzfGp9tMIvnYib4c6nV+ZqE/PZBpYtzGJensSirqL
a2XqlkZbGtIKSbcYzcaTrtz2c2mNao380ds2ohA7z8j5GLFSCD2rYi8qScZabo9ftMDCH+ugxgya
k1nFB3uZiI/YX1c52WHr3onOZd6UB83XDqDQ8zUkanCPKHN3bSuctxgiPakBQ3rC+Ct3rh5EB7NM
yhsmA7O5DbQMrAY4ZG2DCW88NcjkHuMpDT56rVtuMnyqhMKAPWyEbO+DyE7PMwfMs+x1Ei5GUn6e
osHur7JRLz7Ytd3sgHQjNZJtre8dVXiYTwrLup0nLz3HsT1v0YsQ8gMEkhNM2hg0A4bWZ5WwxBKH
qN8EHc8K5wlAUNlsF6+jUs0lcl0MrGq0Ti4t913ZuMRf+F763DaJgaCgcW5Bic97lUzEXWjCOpnS
WbLS6/ga82d/n81WAIKrLw6lNh6aKlqieirHhz/WmB8hGbnnFrzPIaWxs8+ygjiDkuga6urEuS4a
eTITafM4tt1eA8ZD/TS8MPTQJ0KtcmNjNpH3QnTaV6dV5SGeGgK9kMkdaiSMWzoS+JS9yny07PwV
1lETh1psmx89v7qvhYWEsG8mQhAq/bZOXMBcKom0owOdI4H94+uXRHD6Bsnkti8kt2U3HlggeNcg
217hWye7Siw0LxzcD36qY5m3EBjrNMRPWcxNlJaVHtyR0CXUUOUHz+qHzxQWolsNuXGP8OQQm9I9
1rDXGSIiRXC9EgpQkeW3dKSLOycq9u4kh6MbzdUB7DmI7mbMwaoH1kewO+nBc8poSwhMu2ZrBwyG
xfOu6bGSzYSqhFbOAWJOyG1ECJA/E5yqHmBQabeNWdYhN5QSsEtyEvJcAlu0Tm1l4bantmMcHAbB
1hmychf1Uj8zAS2IDLsVUSSesTcTN+Jaxm2mx9a+QnvbYwVjN6900b1aw8Q7QdUqdeXtyKFRG1EY
I6g0z/KfBw+NJySUuUghoAN3qOYpvp77Ot9paiAhdpocL+yEche8uKzJWpg2YOkoQOd6XLhngXiI
5wkucpFz9i66mFQpjfPfKmg6/RQ3bXOeqkjfGIb2nJk5nds4BrOfFgFsShfhbIATJIT/9QQ4VD8U
NNY3COPblZnl9efCTeZTVCfBrUMMx6HvHVWuMJYPt+mg5WS6ViGSg/7FzTy1y7DE3ei9W2JTImLp
Inzs235Uzgi4/MLdIOwIHgN2jQucn+QJOG56Vc7iE0MEd8+OOIdEIIgLfKuUR0lmV33mVuEwacFV
OdrdzZBF7TlDVvaoRWlB2lXZbGqs51sjIEYHn3azYfBqPdEoM/fuwKfsIr/eJiozv2LEH8+S9sSL
bbXL5kLM4TPFf/qAKFAUK0CpGDiyIMaumxDVMsUyBGSQ3BgGJz0SkpyViFv1QR+59FXizOtpGhoc
1aZ/8hf8O72OOrnGsSV50AwJD4EZHXd2RJoWW+OuIktqkcQ2D8VIriuOBjhi0XyTC8veNAKx82oa
9Jm4Ea2yyURTW7etxcUQsXnEfZ9/Ii8A/txikBcY7c4pX/FTT2G4Z0quauyOXfAxd910XVZSfy4i
UM+sTFicBnM9ma5zM4ODeG1wER2bwSeLhdTIa5yCxcGxtWgLHLi/LSbpPzCijbYG2MIPiUiJsxEe
wWETiXVbCyHQpZvazxX5IK/6PLL805yZEVwrO94pSxrrmbPtyuy1k1PpJk2GqksVR8VaOvjrMXAQ
DIp7Xr9loL94KrMsvh8dCpFVNhLCF1ZWMNy2cVvs64SvNBAiL6cA7jsOMV7kt28BiXUHUSTmylZS
u0oJxCNQsLwRosr3gzN+dDoHD3+9hIv4sI4/54P7EYvDix6Nb+g3P/q1uqvgaIXaLOlyWm156Mgr
2XRtem8Cejw2iefdg68zH+F4Va9QtdUTWpmPvqhcjUc9xaiUHxtkJvp4bNq+FcOucBVshjOlFkEW
4PpyzN8pXgCbuKI0uVKQNdejVKN/0w7thLnGjd5G6Gr+vhCSGwep1UQPDX88jGp9N05UPbuShINz
ik2j/tiwgFJ7LeJ5FeXbFqF8efS1HFoJtpU1RV5+MuKpOo5d6n10Jqf9RPMizm4ienQnL3GM7p7M
miTaFXNeQGpVvSSxaBUPTvbFT1SvPTho5BwA2AJKX62R3YhoKLXWlaYDpAKvuBVu/wTYV6JHguqo
T9zJIbaflGbKPZgzj3DLYbzwk2obQH0LSSk8pp19NQYmKGxdq51VDufmkdwqbU8t8lDNwPQSTrhH
dhDtQ6KlMaG3hRFip5ouAv7wpeNuHucBCHeSyhc7D6ZjF7ga6i1t3BmVmkD1LeWWNZvjKnCs7pSm
B05EqJ+mtaijAeE5Nja8wCgmXUfHmWHflnPSr7NWiw+zHQ8HsmujY1ea6XHQ4ysIAkWoe0ZzBVKa
FMbYaz+NgCBCpLrTLm1FSjpNH2wgfEabLi3qjYzshi4BNI7VgP4yxD7l70e9Menzm+XO0SP9zR4x
E0APagg/hOJjGV9AKbr+U6+PHENfR9trc+chaskDG0IGw2n573CE//j/MsubHkaaX53i7pL6y9f/
OPTFS/Xlx5Pc91/8C4hl/IFuBtc17Y6fjnJY42l/LDPiJTtgOa39hcSCi4uxcBHB0EHT3QWk9f0g
Z/PH2bQBeCRhI/1LfvlvQ67/7dUtUiusCfrSmscYhM91OeT90KpsOxjWZRDUe9rSSI6nBM8KeMcU
v1KA9ct0nsnTFmcmPeAcRtCxsaMddOldzHqkbcy3IV83vV3egr2ubopRf3QixtCMrVAd1Lb01/Oo
WYfOoBFoTxpuLbpuK7/3Lg0C3JWpjJtMSVTHVnl2ZXG2NLmLhiZiKugE4UgrEXgs+nvRpW+jPqaX
kusYLorEFeqVlpWBEbdyaP+l+nwiQe2G5g0juU6+wO5QKydHQ2lTtnVD+tZTDq5LvMobr/YvnqV2
WJlInIqrtyCvztLAW0sKEBz7cWub+RlP/42dTSc95qe6TKOmTV+mhoS4up1fnSEHCGW8wqkg86iH
VxsVHNMS64mv4j7tfHclge1v6HLPTLX8izFYz7koXjx9RgIcyzu9y8/LFYDNDRsgL96yBpVzHw/Z
1io4E1olU+URkz4tSEFgsLzzK8WBEGTZAQ3jq4wQoRvJMvmeTosW/zAXxTLlRUGmIxW1nfSIeR9u
b67u3WS6kw11iwVKVBUvXZu9ANS8eAnq3hVjlY3NB1p68PUw3TBV9LaTNWzboCGz0f5mykd1j/Bp
hWSSpLyaC2UmmDYihxEL3OVkQxk0LLLb+jSQcwOab7mWSflC9Kxc6dOcrwakueHyWhj9J+IfUQv3
+s1gyh0bzMnwY3ZWoZ/w9IBWyJM3Cw3mxjHSM2HfJ5Obs/drYnSzlE9Y29PjHCHZwA5BymhgEQPQ
80Ii9TMy5G0Sl53sWE8YQe0Wc5qj7sHprtVUSexjiP+jOn2hVMTvaKpXv55PwoT8mSVdeslbWs9K
/+y31nUgU7CSkjQxc9jPztjtW4W8m/5GmjZYCDprH5NvudJ0FHv5QNkyjvPJJcV4I+Ui/7cI5wg8
ngTcvkQWmeBuOVg8AqF+DSw5rMpF4j7ExdFAYQyl/t5WBbJj1nzdrTEJlureishlz9OBgb5ZB2gF
kYdSXNKvWK47JoILXaTnuq0yajHn0jDi3w7L7/E5VwlpAytpuc+p1017eAEkmRvq0pha8ymLNDRX
GU14worFreXy2BUqjiCQ2k6Iy0DsW28Sx7Z2xAFTq39QQoNhk0zFpp2b8rrSmmmr06UhGbrtQ1Mr
rNfB6D9NonOvDD8nRwnMdNrapGqROrzGEYe1Au/wS+TVsH2IuSvcXWa31SM6g8fyT3yoDdWVZAoQ
ugnZ8FX+CVOYCAlBQjzrMj+y0nUzTN2mtQm9WuONccl2UV189L+Na732UgAsrRZyqdTsR8Jq6b+P
jrMRo/Oiqql7rSo2/UrLErJb25XvTaC/58DdlmlJXiDhkDfG4CCYhqQL1tp8rUHqrfqWYWMiMAwq
E0eAV3PfFt/SOPMYtpGhrxWyxmtYfSMicB66KfeePZjEo9niJxXdG5ljJ9v9ncDqff96WcXp+EEc
pC2B0Zuhy/tVPM1cIgxlXu/BluYrC/cbwCp1ocw/z5HxO0EoO88P460/Xw19JpNyYjQMAhTfv1pg
yxFjuFftkbtgGzHyIxEgzOKs36p033e8v73SApZY4nvoysOPf/9K0vOUlUUwdc0hfwmW6PRlOc4M
SS+J/I/6wN/pvxlfvVeEfn9NJleIqJiM8tf3rxlbFeLTHq3HNDgJZ0KcI6iVQg1xJEEQODv5vEUx
n7qe1e2H2uF7j/XHnqpl/f3KUq1SSnr4Ro2/TfGaPJakDPrVvofbt87q0r/BDYwVutdPBJ3meyAb
r7JXYptLIY6Z6PneBqTQdyjuE2CWcTWfANGy61rOPghKLWQAvjF9eZLuSL6cay6uH57VOjtXbrct
cb+oMn7U8UOtXWVfMD7jJa7xOTpO3XyM0c1iK2R5+PUn/YdHCDWHbjrMB5m5/DwEN4s0KAlNqfaJ
2W/tWr/Rg/mmnLv2N1f0WxjS+/oGaocBKsRzmPA4PweJBZLzLf+SZzUgDqNX6mYyUnujE1S4qtwA
g6SPAjZeMobEdOMNenmbxOyh9hy/tYvdbClVEF7i0DTVCdgsLTc53pPlfrE6sUPjM6xIli3DOE7c
XatM9Rw75rQrY7PZ4DNPT6Pe9XekAD+qjm1/NFP7OKQ+HS0Xr6RdpW8RYgeyJ+FFd8qvd0rDVoMH
w4/HLQJJNu/G2icTA9KkwowO0QgSmEIEg6bOHOcbmkCcmU3+bAhqnzoHkahnUGP9+ob9wwoD/WQh
feoMtEmsef+tmD1SW2zNqvazNL6VE4qVzWlMF7mbtf/1a1Fh/7y+MOVin/IXvCk4kvevhYMw9Qp7
qvbEwd4h9ziW9e8WzG/jxZ+eC6Zppm0v/8sZ8qfXAKuYD4WuV/s6EJC2U2WGdjS/Lit9OqNbwLx8
zE2b2DDzgg0i2XgVMbAqemLE8Nl3BQTPkuajX2TWniEpm2zA6gQo4WwAvJ9daW28KM33heUiwXQs
sq/0ub8qyCAmTekBLePiM/TphU8kAhYL0wKZKtjLgGm12THItgK8WaNqyMg10zen4hFkpngWKodF
SrQQ4AAKVENS/cIoraoEi4Y+3JF6nGxsa/6NNsr+h2/s97Ex6zCI3p8OCpUJmQPvd7U3Cg4KIikx
zw00UE0t5zMnXAFa/Nm6mPxL6bhojPtOX81GeT0g5yMWgbwll2mujFANDnCo1mOiP8usIdRS9+ZV
LtxLNGL2GiPnkgRmtnY6VqKmpj/qZdMjJqzXuddXqZd+UBbVYUCQc9jB4s8T/RH7zbBqoIfsrELu
wBrexY47rrKO59NuWPh6F+UZXbUMpzjmH9OZH2lxit8IQv/hS8KesfzHsBi/LQEoPx6mZNwyEZai
2ku/IpOJ44cneTs4wsmRjn9zR0Ds/v17gpSIIR+zONP/23eyta0JJdtY7TuzrzbGEuJD7OaRGLB9
YHB/5ppHcp44IImlmQaV5zmNizOhraRK15G7qiuEtESaYT4mfYxuOTNt3JGf+xz6qPCvC5ygeDup
9lWFvtRq+ldCL+5UMZ1Kpsg07+dTbOUvkVyqVLD12ayf2xFNhSIQgXJ1I9D+bwdu6bfj5WwrGGkO
PxjQBHO1JaG1kWILrh1BEb7Gg/LVzbdDEO33ei2HvD5Wo7xPBw6Sfk6O3Nxy1HNmed8NMcmudsBw
QdyTlXFDpiqtIKo1wxvX8F8wG/I3Wsn/E4nlgWxGsTVsQPHL16hXzqX25D3WDg4QDhNCnHRaWLRU
S2QcEdEKG9Jr+OkOLWubOYumkXCmwFGv3TJGG7nAWZGeU4szS6Aoxe3Cfs4ScSfRroZWTfJTVR4B
mx5nfJirLuYLPAzFkUPxrozYWcjs5sHk2+HK4VwYzqekl9UxN5yL6MXaMjscehyMSH9NdxLGFa1i
51IM9rMJm+03+7H7D19vah1Ay+hveaJ+1hYUk5UxznXKfe+R/NUDxNHZ9wTHrMjha73UX9+O2hBK
MP9+IxYs3/kKjewke4A8Gb/WltYaWGoGMCgg7aKzvHUxxERlm361CRSGnsIgBkCkedmuaNRvIGHG
r/hNgnPTQWadY/ZFkG3BVcVaHs6edTE11phsmB6FRbmldxZpH3o6oo0c8lXhU1nHHAzZDxOr5obE
lNleNt4PghW0M4e7zudIGozFWYzjne2M6a6m3bpJOwjKrZxPZSLvYVaBvjDIjHfq6dXtSefumuEO
zEi2z1P3IthEOGSO95arbpZqfvD+2l//LZP4rUxi2Wl+gaPsUnRHLz/21gzmJfzzSz/893/C2Qr+
gPToWIi50VTaSwH4XSVB8+wPFK7g0zg/LPoJluO/VBIe8aP81l8gerpofzXXLICUJN9Awqf+x67k
/yv9NbS879docgoc3teSa4Vawsb+935LKFuv71XuyisjbcCW4GKQWOUpKx231k91I3yzRHXqDfO4
y82yKPWnAcGugei+Kft7s7QH2OIGPTxzUyDVaSTwYVG1jf8hBdvRuzRcsgp/adhIZVdb25JVSTUQ
TDB+paRNgKydUuXQjfhbBJO/YayG5lwVU1atBb0SQtn9prpyokwd0d0J/cDAfDpPdhTdQ95q0N26
z1pfi50kZAo0tQrWjKyaq2zBBJSIvo2V4+TmfeISzxCmyShhcdC5QunRiYDJbdtKZosz7HOX797d
nAvnhQ430jZk4uKckoHFGSVZRJz4FFIgAVaso2FQotiBfCAOxwlqpr8l+yt9joHYj54Bwq7VNJDN
bjMNlGu5GHEjUBMnpZ3vG8Tz22zuqCw8qCec9O0sAswsInFtOlH1ET4OWAo3qcSOjsGwTvoevV/c
TCaRjvE0YwiH5p45rXgeOhpN0UybD8JC26gDzliF26Nz+KB2pI/mM5749ko6SDx604VuDht84zI+
NaAfdFcStF6zRpYnNzquBrDmuXQOLtibR5jC6gr5atDv8N+1wzahbCpWgkd9reGA1G9bgOMm2Xvl
zhqKCGmko9jPs8FbpZSiGsGqpfA42NldvdZHJo2oc8t9W0fJGkDp6G9NKeVGDlkdciYREMvMgXqk
i5vGCRdf6ht1qv5Csg7pfQ7fRqDYKZP3yp5eSood5BVd6ezGWjUfjKpLTrk7FM8Med1VpGPrCBvo
VQyiklhfm513DeK4Q7yMZq8D9tSGhFwvPHNDGWKDFLfdTiJWzK+74Fo5bUOcZgeBhKzuY4LGz1vV
Vpl/cAuLUBonGUnhzLT6MESZeRhKjzOq40WflvEfmguwFZ/B+xkMuvtB5Lt4aM37CEnMQXaltzUL
lOcIJKL+g2+LVx2I0lpQDa0jYDN0MYspPSDJtMpwIm07CGM68Veli3MiTxz/o+9a5g6oGqdqB8kh
LHvag6ueYEZr3UftvQNr6NJifPlcDGW0Htt4ehzxzeyjmUTIUNMARq8ajUGyaLT+eqpVdWmdLKP8
rdE4rWCFRaHTU2YYSVQ/uHE7ANAJoGoHafw0kHhKiNwQFXc5KqsQAFKzE0MJYwN1Q+dFNrmRdq7f
wjMZw2lQVrCtK5viyHdgn5yaxs+gMw3NNezqYNu7evGVzsV0IGi3pqtGpI4gNmdVRcNrBpZqbU1S
ho6fQgMrkODWtvmCuf3JKTonrPIYRXogTK+DOY6MOC4gdxN9NLr0b0Gu87I5BffU/Xnq/Peu+Jtd
0TQ4av9qWzzX1fDyflv8/jv/sy/azI/oe9AYBF/EqOiHfdFly8SuhhcdnTY+hP/ZF202U13nX5n4
g50Fp/w/+6Jt/4G3wmFbNGGiMBYz/pWN0f6J1EyUBMpG+jLkWKMsXOyK7zfGZq5z+HhTcu01Dcx0
2BBEU2CwdUKHJW/ae3VuVVvc8gnfldRqzjGK3LBI4+QLGV9zvfLikmaWryetOiRzi9oHiSGstM4M
NmWV+vbKLpvpClN9Vzyls91e1f2sf8msWAVYj3OMDfB7PeJVNSGsXaq59YM3DJ556NuA5hocuk6e
O4SIm2TIFTJosyAwgaDIc0OJEhpAHFbOpF3p48RwDCpYHBpZNSMBwuksRpM9zUyKgw3sbkKc4htf
afyNzmqyYpteTQQiH2AYMTS2m6TnQoA+H4vR22vd2B2w0mUkUqWVuhWthhNrNNe1GTzJSlmAkVly
WM5ZUtD4zNmTcnpi3EarWY/sJ0lgAE/JZqNj1ZK5EXE6q4sMvaBndfS0DQY4zG+Krie2LcpnY8Wd
5yrr82jcIDx3ljjn/qan1nBPkizNV64IAyaoQVF3P7vNfGBP7DX75HWxyjdZZ0B0k65qdh0A1GID
k1We68wuUrvY48RFR1ptiQ9hrSY8JEkGa0/cdFKTekF8pBi90zyqqkPDY/QcddVGJvnIUWoVxJ0y
xcGASxeQtoFUPXWHlUIbS7RK7Gue16xJELA/CvjHd30/ERjbBpr6ElQLSDLIjP5tiugdcJAgEaQ0
PnglsR7ukCKHXjVe5D03shhtzHeBuJJ4QY40KRouVJdHCbnGY3ZIbRqsG2iSt4ZBcomOh3cF4lle
98RMQr5L2YQLhfRxon0basx0jz7qJzY7fd7OaZrvIPShlWnU3eCOdrqOtMJkXNWRJ46onJGFP3h2
SOGWuaCY/GiPho60wcKaiDdW8MqI4OtfarMpXs2hNaxtkKNGIHJ8hpnkR8CMGBh2tDNJxjn2FnoH
22KYBBcyM/AOjZ+SzBYD3QDbudG4gg6Tsyb+FHc2Eq/MLrcYgbQdSqJq7fFy58K1mp0xG+q2qgdj
h9vUz65tAJqrsvUppXJTJ2XI4Ki1kiYnVT93q4OQunNJl32aGWFhX4EKmo9VNNMDyvQljDh54T1m
W18vaYIWxDEnPea/0XYRpHv9c6Ly6FNCUgx4vFnsGgygm7zN0aTAsnvI+vniwLi4XZ7s68gg8svT
rWrjtsZ5zrwJF1UzhL7VOFs/bcyOK9Dob7Ux6de1k8fPcZPSsG9teVWLvNj3BebDKXXjXZZRN0QY
0AghaPovpsz7HdaM4ENsE1HOiMC88nPvcTb164oTcuhpkXuVz8K5gomnIbLs5ZPT1hKfJZ6KK5Va
5sfSmdDAMjuu45UsdOvOpUnDjK633jTPJ0p54Gps8zlDPTIUr4RVBWEHeJIsinFqg6UVZn9oLKmS
0CSC8xWzWHzvZDb9jjrvnM9DWSNxw0bCnwGdp/ALM6Txoa1aqCEHyczwiPG5BMqUZWCfMgVbOPb3
yqGSkU0l/NWIWWU7ODGJhd6IqtYIEo7MS+J2wfW571V7y2Nd3/nmdAVNjyIzjwIUAhDYV77Vekef
JFk6LyRVflFuldwEhZ/uRVRXX7xUD9aFDshm1ZS67m4AndKn0Q1oqtndUJIbO1lCrXOe7g+GtsRU
McMx98FoRaEc5gdfz4z1hDWNmGuP/LysoNeK7M/6RB7skpg0amslDTp5CuLAR8eX5CEZzXxXK1IY
ba+TT3lCh9Kxsvps4mwkSMZTr8B2xEaY1kAapdTC3CFWpy6Sfqds03omV73EzJYG1wJI2c1UOfWW
kMHhxuy6ZiG26R+Afs15CLEvb7ew7GJITq3+Asq2W9tqrO8yW6uHcJKJFQK+4mBgDPGbmmN9X4nK
+4hHbSadhEdrM7PkhMkwCQ6DcSLXVc3K7xNOtPJ84Z7Ndo4xy2vW1o4N8yFmAH/ypZMca9RrNy0a
q/XQ6oIrGyTT13Tqhg/YktosbE1q/h7iXrtKjL5E7M5x0zCEeZg7GIahbbZfyzK1NoaqiacBbnVW
uMWYbLXd1VzV8rbwtA157sG5FaZDjNWUJtGB/KX8nOhGC6GzzT4VvTDvs75ozl7jTx90afTkobhJ
cGcHatgLf1CHWkUprqzIllCDUv0a207+VAZ1+0SkS3dTjUX02HDMOI2qVasEqsuDwSFrk+h1tsPJ
PG0i6A0r3a36ZG3zaalYB1MfDlUxC8IqvfEBSQ265dTu8SPDsw9dh1Fvqyf6TYvMjOY7STJHkgjt
gbwdCVg7m8ocyJVhgvu0La7jIJ9t5REvLxjcTKrEsU2AznyEJe2+MjjQNdh5VXoTD9it3UwPnqbZ
6fe6PbPR+5W+oO2gwW8Rf7qEmDYNMTCiI8rI6dwcqS2l9NqX6mps627bN/Rpw28V37+L498UxzQp
f1kbhy8FGpWuSt91jf78rb+qY1pDBpAMpkwL+gdPzP9Wx6b9B50hliYbFj6uZbruP0iyKMwXgM1y
8DV+qI4tsg0xsjEh+x5u+C9Vxz939nV4OWCpID14Fv19+q7vi2PUx3XTjqO6EFsdbIRkssHBOMMI
nntS3LqaMx0zhWh1o+v5gH7dFg+5zbq96oOqffrhZPEPU2njPeuDUj3gWnCOwLKnLwqDZQ7xg0YM
+zEw5mTEYdZWxiXO8emsRq92cagLpPOIk+zxo8cplyq49PFRtllH9yeae+oaRorVl2AY9Gv+jARp
RVEYDzMmXGM3uU70FVa/oba/fsffJoQ/TPe+vWMszRx+IKLo9N5+eseLJ88NpuFisZHEDLbn4kHg
hYYSjU4eNfakjGydoglezYvHD52Gbu0Y6E2ISUQ9fEHU2hshxmdn3Q9pLVYDUVOCspBqYgMCM7kB
gHAs+wAxKOev4LFP2lNeSIfWcq+557RLRLn79af6+22AaaNjZfVIl6b58NOJyZu0WGpN0V8YRBAl
FvsGMuYc4fqqqUZ1g98p+NBERvH865ddnrUfr6VHXA0EHQsPNjg401re1g9339FVbDd9XF0qfzYu
Rp6Mlwq2XsoB5vHXr/ST2gNdLONeHWM0okcj8PyfnrOGltPc0jW6+I1uv7SyxsgUDf5krvIm2ejt
WMyhpU84ezMQw+XvHprloXj/QXlQTMbNzGc4l/788p5npUlclellkdO+EFjlvOTF8h6cuew3bkev
cWKDSnayaL9Zm2rv61AE/UGShEs6s0XyA0V8nYdwUssHq2tMi1zBafraaKJZ69pceiGdTBuwJVPh
8c9eyTuD3o/iEePvNwokD8sGIlN8gRgA398o3R2dynEi7czJtHyBoU6uHj6zAUcAZrIqPkp4y5/R
dTZXam4TeM+2SkMMDN7b4M1zHU5JjAcUvuvXlNHNFwHp0fsN/YAZ/s9XmekSDxGuRtbWhVf0/l26
He6ejhPgmXZnEwX+egiSeae+NbAGhjRhp1r9VmAUH4lhSPCvGBVdVXDHxdIHy4u2vGsKiK24b2X8
JLOyPtD+Y/xLN/EBdC8wInz9AEyXJls6WDTcoqyvLnLpwrVLP+7/sXcmy3EjaRJ+lXkBlAV24IoE
ciOTW1KkqAuMoiTs+xIBPP18YFX1UmY9PX3vW5lUkkgmIhDhv/vnCe2cNFd/ynQGk+yjjaT5ZOTJ
AyZ4UwVcwrs7hn3P46fY52y6n54tBnuDRTtmIKSX38JC9N4Qf61zuumG66eEKEVqVTseuows2yYy
yk1v1Dflcc3VRwut8ToJDtIk+0Z3Hw/dRBjOMJ67VJdcRKi/zDakfvzd/5Q4s7rTvk2b7tm2g3Gi
/KA96Z1f/siAMLDuN62UnhZkU1qoknO/aanY97m+WYZ/38lKQevvu73+Kb+WDEqS3SwTr9sxH4uj
CnBYOLX+PVEt5Fvut+ORV42BP3LTd7mXll9VJdIbA+Lq1TZHdGBa7wzkxGp99xyuw0ToQNLTRZ/s
NaXEO70n8tfwKS6vn0Jz/Sk6q01/NjclevkUpftNny5HszrW6NABLyDka4RrpOz8U9Z2Y8kF4FPs
tjbdG54aEjgnqyixNllcbgp59imW55/COfdeRHRluurWKda1jB8n2cGD5Z4H9b//kaK3GOsb7YbK
rZCFe7by5sOAIT+S4Z/GaWrF3ViMVIGf/axbD7NPT8Kp6jF5BrlRNlfhYmTOF9Pc9GpyooBMsWPx
cVWeBzwZn9ZuLAvZRU4hE7HrQS7E96AoHLc5FosrU641pT/CHhhNnigZEz+StNvb2h47Zx7fcwU3
HXCiRO144MxiqPZ1mfU+GAJeXnFEx6+z02Ky4YhIMQr9Dmsx8dTUn2RM3swtq2igj6LYEySp1p23
2uyYNd1/065KAUUH+MUShJ1Mq2AvJ5n3S5tmbmyhaIzxkFne5N3ZyLnxuTbdEaTxrgYwui7HgblF
n0YtvJAqiod57ZgKDHW2X0qnWo5iGKp2h+0J45RL0qE89FmX4dFwLOMVeMgKe8J0CtT7ohLafZkL
beBHXteveVX51cns/bGMinR0ntZpNM09mr+h36QyHVySOymzoUPMJaK+8jI2z3lCRmY/MZyvo2Ys
kzXydAXCFgpxKy+Vt/BoayyVPox1qMC9adtlmMRmMoVuPfNxZu7A+aRec3P9CZbTJ1TIF1ChgeNh
PenI4cckcwvkmAKecpg1WYyNPS5szE596z/kscytnZl1+RpU4Kq0G7pIrb3exonNl+u7baSDx2pO
aUZnWlT4Vopezv8XbOHfmscnMakDlhkjZ4CTuLbqpVk06m7pM7rT1zpbs8Cb8Vs9L6U0pjun9fHl
1n43Xuyp5pWUDG7BH/Ark59WTD9a/bbqZZ2eu6Uq1X6Q9sq1nsKTZys37HdbxbB9PJ2Hdw+Elvww
lVwM2qoJzm1YQisedtBe4dRm3VspJSeLPMnn62A78nvbp3icXJnEkVfYwoB8FfP32GWDtFD3Mxhe
LGrW4wDM41kfNf4PSdbJI2C8uAQWjSrPjuh4BnFqN6EfL9Nc/6UW3fZw5nk30JI5pMODWqzR24lu
mxymsuYLawY23RveYP4LCVKe7opdsg/x4ChmQoMfGw95PxXFE/4C3zopC+7cZVTjdvgkRPuArYNZ
fyMr/ummWdc5AEg0rgdRuNs3v33pkv2Jr6ut9DvLrvkupo4caLC1mtDqVMwsnbYkrfVY9y5Lvp84
FST8Hnsq6KH0vtOtBS+H2XJ3PaWyV9Ol0oDwEUeYOrVXMDjNiH5fY9s0WEw7viM2EOXr2zkZeNFL
bJj+2ZuzDG0ltQueCzov3iXgHIzTfb48maMSw03CMTdnYFwX+dXjbXEYaqHfdX7SvVGriIU5tdLM
ODf01E43cdokc7j0Lhrd6i7mocV/TFuy2y0fRVnYD2oaRHPsxDIXr5LB6nCsYq36taz+toeQIUpD
7gEeUU8oacO+dSr/VRMxWqFsE4jqFtvc0sv0KWvG4cavitwObWxrCdse3nP8YYb/QmJiTjDX1ywT
hGbTP1kUKCNCsCEvZ0/nkYrktmNHua3xE1Uk2CJeMrK70fvJAJ3tl+PMm9acBUdvxIfehwqiUT2j
n1d/7PUf41AvILN0nPOnTBr8VarS03VnyYSMRMvHQhKzwNa9NvM8XtTiltdPV4vnDkeLCiAgBdLh
wylg9K7k+YumwRirrFttFCgKaVdX800CwJ+aI3uo0mdOIsMP4W/oJrbOYaaXcKC+1pez1/EWWLor
6AM9+6o3q+nNOOC0YvnSUo3g85cRfGb0qRXJWYtb+Z2ZqTbvSpfK4xMwHv2RKF28HvqJ9sMoW7dR
eGaMufmgiN3Zd5XTkjrv2lk4F4vYh9rh2pEDannLp4bnDHBCv7oVe8cwgLZSJs05c2l4/WH1Op7+
wlKJGy7xQsiYsJnTvUp70Z9zCMRApPvMf+FZr4aH2mdUuJ+M1kewrVIHj+H0ZhCI9HSAorP7xabZ
WoYSAKJ1seKtk66LIdLxcueJjmAd8WlycWAWkZl4uG7dvk3NB0OJ0jnFqE98X0ppyaXotVaGAAjZ
MxiaTvig4C9wjYSOvh9Sr0hDqYQ4LTR89FQvOW7GxD11f/ft/VdJ+TdKChSyjTv3r903dz/l/1x+
quyj+UcDzh9/7E8tRcAVEZZjm5xJmQsKLC5/OnA2cw53GfQSEMCuY/Nb/+jAMTcOCXNLrlYWt9k/
OSWbAwdYAUFGrKbGhgb6C5fk/+SUbNfif7zWQSyCOu/Zlo3ZHLj4X7SAjjHUKqnCue0NQrPv8B2o
a68tl3itSH2tRgqVkBaXY2Y2Q6WdGm7Udr/j6oI5GJjDgXfZ8qPn9MBQX7T2TlF2sN6o2nF/0tjs
hrS9Of3aHWsqxpnMwIqQi3UFVrV6UwKqzjDYMUqX1zYZqASjesT5NE/9e0Fnj/s4N9MMZLN1aDBc
rmbdg/d15DyKt9KUxJ+2um82KO7FAj9hRpCf4jeXuvGZQQORKvjfhUpvsSRvpqDUcLF9Ukvz6RjS
f7cP5Z9eouHTV+TlllmK1+x3yxHFP5sBaRBVLW54+xdTtIruI9WGfu927fJgG2Xt7jbOvh55zqKt
39pagMH4fKr+uwD/zQIkZMKS+Nfrj6ti07//+KfV9/uf+dviIyZqAbpgwI9mAWT7L4vPYWGygnwy
4tzE/xQy9d82TtymMnIJ/6dsKfwgLuaUrZMjsk3c/v5/svg+F9c/Lj5g257LVd/1+OcsoGP/fNsX
pNDpF+SAjJOlo+USXdVbpq/4wqy6P+eCbt8uKLDPpfkB7IaT2bcmRxAZJRT02i4D9mZhWHnm+uMV
5qXWEKmchf5xXp3Mx72yz4bDVOSjig+Fl9lZdkvZ5Ux8f+VXYZLGvPd864uwQb+sGLymamKx6H+s
HbktpHRbUhpteiwvyHqczorfF14HoUO8GZ8rsvl9eeYdTiAz8iwoco9E3yeWcYbPWY4+78Gg8qA8
7ziiQ5ArJ0ocFoYojNjph2q41v3XHfP/SmWDrP+/TaPPP9U/g7X++BN/LBrfhJGFkslFmdrE3989
f3tjOb8hreKZQT3dXJt/XzSsDHpx+S2QqejgxNH+9sYy7N9AMhMdY+jEE4/V9D9ZNDqC2D+/s/A4
2BaWVciRUMMZAPxVyhtpvOiaRpzgdvSvs8aJeihpA1BGeceJsotSjdktzdnFkyu9C+id+asz5921
bbRrJ/rhPIHNowXUXS9WM2mnBcR5fJg34XpCU3qfXLdBdWlEd6Q0Dj3Ktg2UAUbsi/loWRlW1ECr
S9094SLhTkqaVjRfhpJ7DMpZsTZcKQo6oC4eoJitBW2WK0NvGBNjZYFtLnJrvzL8dOeglX3ffYGO
P8LZRBgtdZx+yoENZcT+GLmpsIZ9WlpGex6tJCu5etaFJwR3tWWhOoXEgX52m8V4sRAvOhINRDGp
JLZi5R08w8UlMWUNoAS8OZmbP8dU5kxzQHXQ3IUppe7veR17PxIn5+y7GgOXsM2ayASVYkjEjysG
+7ylN7K0hgPtmsYNtSjrsJscP72JgTrOzKVde9jPNL7OEZ2yC1mEJj/iv2nfVJ2NVVDW5ojfVnmU
Y3j22zLbFoPyJD1mQ3ZNypL7IGzkS2fUzTE35EveZOYhH2Ue6JWfHNGLPgHQSfoK4oFb0QLkzPXU
Ba0YFWSaXoekQjYoYUtWKkW6mH2uH4nzwb4HUmOSb2sOC9DofDKy5glTzgujGcxBvg4ezbO+Jxla
nRkX05VDCcefVavghBgvJLqawHYBBA5u6u49oz5Q+f40r9mLUxq/mjIbbwAKkZ0pkrs17dwdh/S3
phrO1CrXx2LMMLYC+lC0JwbD0joYD+m3wpvykNL5hlekeGmFloVTrzVRUc0/nax2LpWzxg/Sb5wA
/RAZY9oiOmYcFstUHKzZ0gO1YtTNTQeL8qx2iU603pJzehtPZX/xRmlELke9k9tk2b5Wqx1MWgKg
aei879lkzMxy7Oy7hzfsrBh+R21na0+4ey1co8nP2Iybe1tjcD5m6lpXCFai5drBpS471nBwgikT
TmA2i60FtT3tR46XJ/aFdN9jL9snlEfu7FTzD7Mjf+IwqU5jChUgZu8AUzJlNcP37HtjWs1utrkR
JQmDYV9UQ9jgbw2GeqTXbdUcandnLmoglwKKrJ91sDcw3SB9l/FpXWvsDgPxFXvUXm0Ev8AsVH5O
O8AIGvn5X+Zk99+m1d3lOumeQlobMbRzLLwnAo7pXEw3Dm2iD9PUczc1rVUj2u+QFp09rO9QUz2R
hH0+r9jTyF0fAc9MT4s+S/daWkX74AgDVx0G3eyuZSy4J2HhRTGmqWGn44x6RgUed6PQ1wTzcmOQ
1El6zLTmyL/Gg1WsAcGgD8iZ5k7E8/xAQlnfzTOPReKDsQo8pZYfXcumGiWutZyxotQkfeUi/QNK
bKZ22uIIhSCq2wXuPrioetdRk5HIuN07aprSX0CffNaa9Dv6hUXXyjuSUsPbYPO0GJsmsu552Qtq
LfwK2oNHV12nGQdhEN3uCsIiS+4c3LRhl1DkkmgJ0CLbxEtuthwXRNuZUeyvALuSGMuut35VTDVe
GPeruzLX3llSr8aaCdzEWL4qGKGj1ll3OYjbsC8RbGot+4G1pw8zo81eqj4vN8e6nV2Mfpl1BLiV
6hC9Ir5UxV+60ii8gEom/7a1yuas+yMhc3O+xRXfPgHx0K5Med13o7KzMCn8brdWfo/PN0lZxhKJ
LcKDo1BlF3FxYohgYzwOYTKO4x0SW0P6Pav3zSeUZ1u1JIEdgDYzEmLH5FJD9kGLmx/KlGxOtgxH
qYuUmzmRHN4lq4fq7NRI78sbfEGbsHnlf/TG8OiqTeAcCnM+mt741VlywmRCaBFY55NV6h7+L4yg
wai3I9lWy4roGdZulslO99486WEtVj9qG/A2XJCSfYzbLBi85S6TXnG/amK+QPPLyaZNXLdqhcds
YJ4wu8YUjZaRHKA90IMpDW/n5/kUtHp/YFpKPNMcL3R8cIFhAhYwLeZJHAH3jnTgBI7s7SDR5RO9
P4wYvQZyl1URSqCP99gpddBwY516MceAgRUKlONXH0vbzJHQSGpOOoDYdii6kBEU0iA33eHZp343
ND3CZx3tIsyOu5Ov+cgyWvtLde6XCuNhtJIg3ouhzXbUOK47zdqEplql+wnUw1kruh9zsV7KMZ5u
dIXis0q721E8VN9vtpRbQ22oN7GAdc5GcVpx6x41wN0oQzVdgSDdqXQpwBMyegw4BQNQqwr2u875
toKaRL519Sgtxm9GUxQ3dhvHgb7UUC1NuQTtkuu3PAPDYcisdCeL4tfklP5eteu3pOVvLVbghoBi
YDYywIgNsghs/VQwf69a0gCiHPuHGGsvRYL6cCctb+blbtB8IJI36gV+tX730xqzck+vs8KDbr1W
Pax7QIXdS+nxV630+wXtpMZf/WQREKT2JkSarQJ3oHCxscv80Tea9oQeut7OBawU6RYMyWLGGDOr
i11qfvWWhhfGaF4zUjI7EgeEQRVAlsnJyu9GTfCwgvFwmqzK2eezCzoMJWBPGK+6JdYpIxpNLRCE
y/chjRfik44Lxo2vAWMqngu/814GYcBfM4eGH+jqk+BOXTys/MBavvx5LPI3ln0xXkZZe8+da/Nn
mV1f+42sXCouHKWfPE5Myx5sXJNvbu5ccV1LboTJnWU0w9GcvMTEqZ9vYLqYH3SapdYX3y64/9tO
D/DNi6w1hmra4Xjik54ltUUQtqmfn3FUJ43xg1qB2g4XPufAaPXmftbX8ShW5R4Z03jfcDuKt0mo
j5z65vtVmFoezXM6HymNMO/typkjnbllzc7ajjN5jAXeyOzTy2HbPBGieuqoc3uCwTCIHbsm/E2Y
csbOtoby19Djl9kWasJnikeC6bnbO4e21W2WDEWhoC0Hf0UXx8YOKsu8woyZdu4oboln5VDOfPGd
LsRzKdN4BYaQMhpLzB+lM9jX2smMDz3JuW2tluNTupJN6tRiGehI12DACxlDqQ+BOTJsm2m4roxB
TzGb52XGPX3wa+dhdSDANsy5wpnXgToSAMS9Ojuz+yNOXMZqxuDe+6OdvdptbzFVz+ywp0M8srGj
k0xu1zLsOwZizWg2T71p9ZTF8qO4AzLrkVWMMZq4YztBF+y9sQpnNSz3NV0ih0Tv833synGvE12L
Wr4uEkyOdshtsogHUsTZK7tZ8corbvpaIoFeueJiDM7d7CRswkNUTDvnrp7xzGcwCQoY3bJ8SYwM
PMasMXj217Q/E15nQaRCFmiypX82un4mH6V0UP9W3TJwTQR6z9A/jqsaX4W3Tj9sArn0Jzb+DQP0
8Z7irP5LY9q0A7hDQ1DK7JywqGxcJ5yuSFFTaNTkXB8G+cxY3fDpq7UmP1z91iR7XbbLHGU56+HG
9yymjl5cOl8kBn7na1Jo2RrOHmZBYHuWz0Ls1RgsvaOSyCosuibNIn1j8gSzrXGnK+g5/DlDWmuX
slbZW1zZ9R5KI62u1arK0zTVIsy9PPECyyo0LxgqWb2KWMWP3Pfro6rYXqFdXRm+1xzCuul7XdVN
qKUu2JxxTW76miMptUZEccZqrp7JtRPEF65xkF5V3FJYQH6pGtOwATJI8mkth8DucR1LvcY+adl9
H9prXAXwiotozvXptqpxelg0qRwnVyUPRmvGy5Pn5n1zr5JU2aGfKEHiYYe5w+CwULWpvwx4dH/X
DTluZpuMSDOJtK7NHxLjtDSe2w/H3E8rOLWfgiQURW3nDOh05drWfWgOKfso6BLwcoNjHkcg+6+G
t+Ft0ENb99gXrMXvUMlivCl5nNxmxAG7gEe4zyOoezJkMDLDC9Fc7C4pcPrbedTa44TP/El1I3cB
nWgC9YNpOAPaPHcMR089z2TIEDe7bSHr72Jjcn9VfWN9iLqwVhIN/ZgfVNU+D4UfZ2+EJhlOW768
jKxHBhfragOD97yfjdcmR2eqOILrIx7kLusxYudSRMQTVyvyh7LYD8awvgsO1jdywUdQcj8m0iVA
pVrTeTW68bFtsxZ3uVU9MdYEB9hmckeqsg3tVDfbQE8rDCEFwfdGxJwOmIQeVEFOoaea+86yOqbC
fI1fBk6R0aiUv1trPY8S3nUczrslUkYPSrd0TxrW6rDh4v40Jpm/7wthvNuWso5VQUF8XLAzlUCj
A5dS+EOWmHPYN7Z3a2aVw8c7pPJ76WvzoTSse1Ol/g9R9/czX0nQj8LYtdTLHju97DhKTcktqCRP
MU22ZMRz0+1bH/xitxTcb3goBYzoDPpUXNEaWfIaj5VWfBs40weN71ZHLYvNUJO8SWrp1Mwdy3FA
29aWnZUz2cW4SzzOd7X70VyXp1amR9qjyosq8LDSj4NfAidaGZV0FP5sW8e6xHGWsdF2yTFuNNbu
wMY/YS2mrqPcrT3Tqb6AJEVsenlMR+HfzSohN1JnzpFCBzsySijBYmiacyb0B4+gSDCQm212U5u8
4wHIMUkvBL5bvfPuCq3rwSCLItLL2AqIq5lvCXw9dPyB4F2VpdWb1g5vnekWwJq8g2UrHe98O/8Q
ihcrBqT1tFTI8ToXT8pk7HECcJCUu6UwUR8oZwop1H23aV6MZj4tSmLV19bjEpHAQF67H3Vefh3y
eXveJtFEOBmKJlCmGWEdNQLYNvEZQhn2sUExV0sE3bXmooudBlO4jJhD7KbEUgSSnLzmaRncg85I
egeUP7stk6R4QH8QgnCEmjzSgwKs7ch5Oxcz4aJN/lHe0J78riujVc7rMck98VPWXNHyMZ+PiP5T
KLXOeCQmiiLQ9h9jqsYzk8E8EOQZzkxiwjRd2pPXOh0vYK04G241P65FSolb1n3nvsZRbKkBDVhr
Xp0IxcyomPhHXucxHuiclxeTCfULR6nnTOtIRvSje5M6ptx1auXg2ACPlWs3BOmk9WE9T998vQOx
t5hBmhsvhIrxyc2WxWy593bSNr3XVOlVgBm9Dn3hzcBtYvuZmBgW7bUwbuolpWCB5G7L6HYZ0mvv
6L8oz+D8t3A6gp9dX9PGeDNTvTyZc239gBffhyKBpNRq1YtyPfNX21bauk8gRNPe0EoO36qdEIud
6smDoJsETZLrFGl58bdZTAWGgXnGmA8W/anTdVJnpRfHyE6jlBS+w27h8F/p3HGUDZre9J9qNiy8
aKbdOHx7sTsRgk5HELisAUcU/dmoOUquFLBw1YlDPqrWvTA9b+9nPFDYfgqtCQx65/XAMdayjmYP
ZkI0ibS92xzDJ/6D3ypq75eRGE8WrUVcXbL07LeiOC82L1fdlB9x0U7doWDSHClCR0QpsFPYpTqv
+FpY6vpLzytpV+pjG0zGpgW2dbJb/AnTle7ArLdHTnmZbm+oFGuHa4MtwVH9LI95Mx1pbvuWeOtZ
8cCTyWvFqUi0S0wbGj2YdhcRaD+DRR/30izcCCdNeW5t5L/OZ/Jcc9QH/AxxJyaU1yfzo58zUq/w
IU3xYgOKqB87q61DhBn3REeyQYZ7TGGLA8N210q7l4b1munWcDNSHBXK3oGLVJr1IaUhPcqaSj+q
nMtZb0/DiamcQLkYm0AU9o8Wls/jpOF9wMOT7dJm+VYkOsrZuJh7t4DtjB3se2zP+lV6doFzeJE9
DK0GKvrgzlf2PiNwHOaDLn7Uc98hRgk93+mxZl3K3tPQWbLMiHpB3bPv1BfMa8zaV9PC+ZxJf4pc
WFOY3ERanDvej7q/NvsiW9r3QW8a4iyWWYWFtq4fOHtJrOtLob03TtXfu5SgH3NeeH1gwkU7ekXe
37oFVySGrDlp7wwDoGYlkVkty3fOWSytpMUImuvefSPN+AJgZfrQMudX0utLG/hM+c4dMvTjqiyi
yJkr612bCfkFWu30QHjRWu82JFUbSLdqDqigm3FuJGW4bqQ8vcl0F0tXpsLWyGoswXRY74lfAX1k
6HNHVMueiQ4NwDDj+XlJ7C+cEOxrFyfNPumW8cg6WDDWDjqXK+9FeuQm2rQ2rqT/292QmveePsTv
lQKimFext9NdCghCuPaFdiMNDjW3JQiEoBvn9IYzxKj2CTZdSJ2ZM50t+PgwlkbR5ockhsWDSFRi
vEQL29ojHT0A5JxzvKNb0d65mBlf+tYC2d55+DbIrvvwqQUa39Lm4BDZF94cMkbmncxs8TzzF2Ab
66b1dSpGiowIEyIaIVDTMIQn5WJO7XTr8vR0O9HK8UDZVHa7ti2uNF5YfjD2U8KJCSR9gJOoolF9
3E5C7DJvVeG436w+xQVIDHI8tl7aBJ2mOg6tJGmh5GvlDJXNVFd7akfEJ1G0EB4XijhbQ/NfSmNI
fthpkidhncSJomNvWZ6WAnYUBuoqi1ZKuMj3DFvJHBnVHUfQqg1ns/0lOV7DiO8eF7o7QGc7AL9J
/Id2O8lDksXdI1QB45V2gVqFtsWGvfa2/jB0dCdtPkXvaQAHyom3T5qHctXmVw2a6tkkcD4F1ep7
l37Rxtei1cSdoEnpYLTYubi8DubjAAnwyddouQl6PfZvqO40aPyirWMcvPlqGCZiqDImVmlTs60G
le3VBmfGNA0ze8hZlBKsKKxsVMHA7AEX3aHwj7xP/N4s4QYai70fHWnzSVdk48Y+IUZWDA9rMgDB
d5bWiExkqGcB8f2cW2yVdZkuv0rsYW+kDjmorQ4l8CgdPZAqcvpBkmfd6+SQF5Mab92ksXiZ8UiF
XHaySCQD3Rua9ESANHrT49TdkpJjhPmmuG31uh442evitmFo/2XM6YBml82qMNWktXN6K2Y7GSkZ
KLr2DkaYd6xSnejZvLYHwKl4EFuct4HWy/HigbT7inqr8RKT7bPgfHfbN53cTyOnf+RMF5VGS5+W
NJ9JZeAPU8wydkk7VJdp9D+0WdcjNqf46KQ2VZ3Lql/8maVh5hDFss48NanuPQCgVSe52DP8JneV
FLqVRLS4dUycGHfozf15wJB60Xq3uCWE8b32lB7NeI72ube8J1gsd4ZFF2lMQjQN9LhCK+uXFy0z
473b67hMDTzaGg/6IZ0hYs/9gvN5aNBsmqImDOBjqU5NpYcO6XYaxCBTUS7cv2Uw43ZcFdbj0ivw
aq4+TA+e26AD635ZhoBQ5vJJ2WkWLqTSgHtg8kPPmotbze1wMzG+QWPVOWk06V4v4Gb5DbnTYuXX
Rfw4mGq5lxRBY70oXvzB+GombNa2VkcZJKzN4f3u171DapmBh5RpEg5aKcIadt7e0Av4kVZ1sJL8
aaXeM8SHYkMmEuvWqXBv0gMYQBF5xSOePzgJk2vNOHKwGg/zas3fNMUYxDC1ryaZfuqaOCEriFeH
duZFrbzpvfLz7lFO3ePUbDl10Xi82vXtIpiW2r1n+ssOl1V66iDr34IJ/WFp7nRpmG7jGVMWhqwV
HyMj/K+jxHqfVOp2boGd9OUfeaL/mj3+jdnDsB2DtMO/dns8/GS9Exp//0t07Y8/+Mf02qX8CWAh
rfU4K7YJ9d8tH574zcbRgcziGFidoIP/3fJh/MYvcRwTuLfoXNsSb3/6rfzfoI0iYeoe2DqHKfZ/
Mr02/lL/xxTchXO0WUdIoegcSf+SU2IbGuh9FssRBxVC+LSdEzh7bhn8zfsXAffTzR3bY1/t5eiQ
eOZM058sj5bOPQEg3EtpyYsXXXMsbUjONvoPhu0J1OkHz3t8Lx0HAh03qpB3i9KDtfJsZinaMES5
vljEbDfFWTMHXYtcDiVjwFkKoa3PiZpoutG89MPSn5e8S++o0xaRy4HrS2xoJvbC0qWg3ufUEKVN
1V2Tolf1UcBlBNSCnfcd1ziScqE3aR40+HsgW7c+WPFJAYFJ62PmrtlPDQrkh1y17EIoAlDm0iBJ
MgmwbqkNiRn7usD7wTEgYkBpSYyo0aT94HtJeTObfn7PrXO8zLBVDnqcr6zc2CqDZpxVhE272HNH
ZRMHHkNSWBHJ13qHGg289IqDPIPCubTNL17Pj5m6UUR7eDziXLOrRDWt3keDqorI8PnJW5mln+Xq
Vw+jZjq8G9fqkT6Z5iGfvJ5YiGehiApi+LYLbCP31nhXSAbFhk8cd9d71aUmUyKixXVQylCU6CCp
bfGK52+8nRrr64BH9KoPQ82liYrQkn6ZPGmZe3nFYeuZelFlYezzyfQoREpytZvXOMazULBJmwLA
fFOvF9uehydOaF4eOU5sn4HEi1/E7OrIqvQnd36o/JIaKWl1bK/iweJW31C3aJj0bA3TG4fd5Etf
meqegjD23MqJsKePO5tzJHZ9oDpmrcqzX/bxrd/m9aMt8LVysn7NpIXa2YgC7+m07GumgFemVkQ8
NFB5kpoi0ejjrijy/CmeOnE/aYMbxsqSp8RpDkVuelFlAdZJ0QlCGFIMmX2aJRDuYns/OVXxy5fy
g8OOBizfihFrx1J/4iGHNKRoLwc8xAmLA2Oke7YkNW9YoVPbjw1PG8dhRFoRcw7yEGW1dPi6VtAd
kPe1fYp9GzqJx1c5pPYumcBw65OeQaxPta/Ex3BHl2n3ZJeYOBa4L2c6wdHlqaeOel3hSuYAemfO
Hc8Njy0OYGcxDi3RCrj7vEFzYWFrasmcEb6w1RPn2K3kJqOD4uBY1ZLoX7iCqGyPWCjR2Wza3Z0p
zHkrpt4TrBAQDDvKebyJc11hy6vNURPXhN0Vqf6i4/nKI2Hn2Y2Dv+Rx9IjvvCpr5ZxMZKE097VP
zUhQ0qfCvz9nd9jKaPvl8CZ4i+rI3H0M+zyy9AZ8I6f2Oj/JzdmJBoeGGKhcrFZ96Butn6947y15
HYuMTnVexlpu3hUmbcJvRTH2ax1yQqgBiaU2MF4sDj6i9cAQLuQxS5I3uoyRjvJUz/h8tKbi8QRy
LyLFASrhgJMpvn1PLm4Slv/L3nlsx41s2/ZX3g+gBoCIgOmmz6Q3Eil1MChDeBPwwNe/Car0SqSq
pFOvXY3bObcoZCKBiNh7rzVXUnjeFkoiDgXw0p780JWkfX52U99KCZqxZh/lSta19MHaQlAwF0Ha
4kgrnCA9JmbJWYN2Pr6k+yLt4KCbWiCTt9vaDnixrHH7nyyzaON2+t1OLUBy/GqnvizrNvo/m6e0
bJ9eK6Nf/vC7zowsRjTPUIQcoeAsWT+4zE3wTPCVsLtS1Lwoxv6fOPOFwcRwC3KhjRF90W1+D/5Q
f/iCOJ7FJUt4qglU6V8oo6W7yMj+UmeiCnUJiETu5toIpKFkLzK0H6y9GKKpQ0bXPp959cJ5H0O+
awM4Q+Yqp4Q1WslUPodpi2JEkepFc2L+wEzJsdZ2bB2avjLOAz77dtJGvgsnctLccm4uyhCwdy26
k6cHd8Mg3DkruwJlWgGmqCxC4wwC9sIMyp07aMjjuwT/FYEeZcJ+V+mSzjqsFQeeDxZAwNa21nHB
whkgmtJ+sOZzg41QCKfi6MIROV01XwLm18ENLcerERAuUEZzAUBZB91UAj6el67dzDlZlFSkzvsb
AoK+dMoaNl1CkYH1O1nXopgugjrEldJC8u9NdNBOvNJZY2yDJCEAwpznPUpOBFihvTcKVTz4RORu
m4rtas7kNhvrqzqdJAE/afsEf1TsMjf31hUTxIPIHa6fI9zjTslNW3g+fcwuvnXDqIQ/as0HcqN8
WqfTAmqp+gNcn6t68k1OQumMuoSmYGcTfyHNSgDLUGITxmBqBs4exPplzSmN3YvI8lnqRX6L3ohB
duDu/bw7VBJeb4AXB01YWa8hBIHrC8y9QXsIKdP0XrX9tO5B92xhppBqAY8FmHOHoUcZzjbzuk+4
3TdiHPNTVVjxWVXDrRawmsrZ3RlxVu3UrItNl3JYi5XrrjSyBD/wT+20BLmlHMjiOTDeTyJmRm+y
bzTLNEQQjbizZeivjD6fjjanqns3gTDVWF6/cd1B75rRUjtCwaZNM5oSFxzDduWF+7FD6qRBV21R
uX2sxkqeaQO8TBHka1uR49c19UC4PfIQQV8TsLbeZJmxTRN9z0TsvTfO54jx3FVI63VnFLG5tcwZ
BQxNs1klHxPdyn1SBvV6IMqLqX/CiMv2v6KjSjZt76sNz8R9Bv7EGZZY0zq88cuk3HUhCHY7RLGW
ksfUe8RCMw9nJtOqo+bs+3GSs7VO6+aMqcyneZIjoRZeRU4lJoTFublG+uUBs+RZiIuEPMKwkodo
BiIkcbUhseB/S6360WiYKqcu505AKT0HnknvSXKW25K4n52T5PUuEMk7INjhRWFG+U54n0K/MU+4
gOjAVo5xn9HBWaSOkdwwdI5vEY1564KtGD1ZNO0rMFX3ZjFy9HX99HZ2PblpmvmCONxsB+Vq2MKc
wVyVdtTBGPu3xWiFq9Y2zOsYT8TWnNN8azVetO4ghG6wfXNmRupwtOw6WMeh13MWDY+t6u2zxjDB
NbNFv+uU4C5iMtzYMqGnEPrDRg0gg00F47dRifmOJC5z1RqWw5ur510bkSDmd5DMgPQUd6khpmt4
z+bJarFCInSFsLYejDTaOpU3bMY2BzSegc8QU5Pu+Ki06gyEcaSDgR5mQl+mziWhN5/iHlcvu3Z2
7LUbrjqvJxR65n5Wc6MObpQxfxfm8xhEHlSiUp2qHi1R4rR3phcfOzItT968mJZqdesEiUYfKhD7
+JA65oEwSymZeCPb/AwJ6jbGshhYHSlKBdD3JIaQERtfczlPO/CpZwxYzuOB/56B2H5wEPcUsih2
bmjU67xuKoxd8F0juLYrS8ZPugSXRJP+joPwSMceUyTZqsZq8Lp2DeV/2tpxaW/qAgqbSd/0YrLd
XZfbT75eDixxItZ93qi7wEZ4kbv+ljT5lcmrth+l/tqjXKEZPwWXqk7E3szAnoEiozTJ7J5wQtqy
DOxozvu5d4gEHK7M/ug4hKyGMjmSBPneGxqGDfDc1sCnnSPZfsU9gZQPhA8O2N3dr07EwbkP4nY9
hNm9bXVnrmzrRYp4Qs2aYw0os4sMNHNh1kjWgmLDkc9bB1o/13Vnglgj6ELNXbmXhF1vAjUlWz20
2Tme2novR9IslYBrxakM8Wn00Z88/56sqEOZFdbZ7CTdrrcnjfgzo1fmccVinu+xYsfXDcifxGIT
Go0A1fOA3Ca1wmxXEzGzMnN1V6UE2Dutjs8m3RzDmpxOIIOk3bQdA0JGoJso186HLB0fh6BjoDK5
X0p0qyvCJ9CBIYLcj8VoMKkK6E3nvX/VossjhwohnpTLBx8uSA8M1q2iLsuD2zKZibpx4t2oYyKQ
HJkdrch46KhnltbxF0FfnrWw645eP9esNTBeJzzrTHbH+BT1QMlDg1Vu8Ay1Ri+aMxS2oSLOQu1C
dxDQVCvUSLKy9qGbPAx9rI6z4d1P2D/RwKE0MMJnYVTuKSuyYGcQlgh537F2qnS9rSVz8+RVDEdL
yU4+s6rualr1m8GbZlF8QtNTtO8k/LgGQxNTFB+1xmDEsgL8pL1yeN8ykHQXQhMKBzyQPH25d0Xy
lD9UlHB2urxkZZKrRhy0jQLMWruVYwfvRIeTlrnCNNWkLWxVU7J6k6QwV0OM1M8O1K2QOQauD2U/
FnNxqkXfMDRNSowtCrVwFhtRtsJMPtf1f66n/8m/YQOSAV7yz42wy6/905c3B+uXP/nzYI3g4g+4
SDRjvyGafrQc2vj7vtuc8EaZLsMwDuUKC/By/v7e81L8v9TSDqODgSKYxKR/cZLGO/XqJK1MZzEx
Yg6hs4ZHxF2Mjj+epKNWQmOqK3HhBlCdp0EqMHeWUbP+0AGeeNn1ZqzKE4YsoNCYoBGRMnTgjSVF
vLMbDX/bBCStojlFwZLBWSZkjPBJu9JohLoFQS16CYx6wVK3C6A6qiZY1X7vwa2uFoT1+EKzZvhh
3XboEj8UC+x6rsGDkP67MLDTuaaMRc897OIFku3WSc67nqJ2dheItuPzEZnAJYyJQiYZCUMAMV7L
ie7OLhq9ITz40prR1qWJ+SnBjjCtsilNv2jX0FdxCIp6NcAcuQoCAHkrmiV897zKCT5Ixjh1j+VU
E549W6Sa7BtwqiYiJVXZp84Lp2sdKT0dQ07VhHTk02ickDgl5RmxLEa+KnWeixvbq8obXybh7Zyk
/ZVeMMQJ9clmAMIRkjkCpTwZavewNIT0OpHlHB5i4DLXtdeloOIkCrPqQqT2O8wrUG/YoAKzbPUh
sBRR6nlgh8LdewriMcMIhCLUAZyjCnPNxH28FIyfC5LTp944Sga2ZBNgh48Y9dNWLThPxMQnZeND
U2EmEbf0DQgexLjHfqqYgY7kyr2QPIgOButRlQyFdpW34D66b+wP9QICCYBi7cApLnwQ9Y0WogF1
tOcNfvGIdHRzYYqYzQDo2a6jLEBt3PTLg+POh3lM1AyMBbX9ijHnQDJb23YddBPrT9hJDet8IO8j
HeyhsR7Db2SU8RsnpR1eqClMPRaGyn/9hP+ln4AlwMMt9s8L3rEcXi13f/7B9z6C+YdFxYSNk3Kd
hfNPr5qPVU3SxmO9wShNCPNf7mq5ONzgM1Dfey8d/b/c1dKE40ySj2dCdya4gr/6FysfS+6blW+Z
JYClsQlgMG0X3MjrlQ81ZAvfMvZOps7HMyPhHDrg+rkdhUq/5EU/H4eglS7FNyQ2LFpBeimo2D8k
idMgi3Mb49oKXZQ3rGf9tRRt8D6d7YBaDkTA56iNk5AEeqGDdVB0AhkgTM1dR8d0G4wZS61qh5uO
lbdZwVvKglOUeNmXvp/Uea877300lklNB3U50bR4/iaUZCMIVjEcI1/Gx15hwEkiobuVQ2WJBygX
zhciWcGlm+4R79Z8mfhj/9DGWt6mgdHNG0SRwTPSuPyKALyLNKPrv0ilkg9zIPSTDML+YQwBsNqo
lJ4NISq8P6HSZMCM7nWFODsnhFI01wlB3RczM0/sVSzwz25uGDdlkQyA5vo8vOwNG7G4rDjiho3H
fH3AUXRuR0mK4Q5XnL+i9x89zeSXHjLiBLaqDyK63RCu18LLvX3jKkHhC9P+brKi6KpT3VGVXcma
OFAWh4zjT/DQ+r0J3R8fSk4/Jo/COd7PRZS5HJoiG/WoRcwYRJTCQk4gS/8Lg5eR5q1XuyaTmh6X
ESrgNXkO+gQkJ9kmjcX41S6RQGV69M9qGqgrAJzoO02/8i7lRDj3Lujd7rZ3c30ISZ09pIbZfIqM
gL68T4BxSQKbU92xwrcny/VgcdojN4c5brtCaZldWfiQTACqM8MSQis7LLZu/5h1GBwQPLXemYWE
I1pF8wLjRc/tn3AOQ8IO8yHZEmFVXxVRh2ZljPW0Eg69AQlxF5VQ3GDiSfIl0DBCsMsY9Rkr/9Qd
zHbW8cbwRPkMKTqDqjbMbECxnNvPBau8cUAalr0PujE59qLQ+DymRByrwumfKiJCrjGcMPatCrXz
DVEjAhJaoKIh7WI1Agq6miG2Je+1mQYjUjzDi0u8YbPRtnuXFjcyeze6zm1/srIv/Lo2CoEIaAf3
FjE3Wp5zhuBTGV+yOeTBJUoUn6ZSyfBbtv2HQQ3O0ZsWoKzHNYKl15/Nd7JBa80J2cJQCSq2OASF
RZR4iYQZNI+z7qERnqZWorTN05zXW9Trif4RAeaUf4UFadnHvdJgn4NmYwW7JEqxZ7utvY1Hf4mZ
YEKepdaZTW7QRWmi0hxLeWtKyi6I0QhiUB5NZk273CyWbFLNfackAQvcyynYIPPgCZSFNi8NrOAO
3YdOrAWTpF2czO3JzmtSihN0YmL0h/NOzEzedZ7uterIlIIlrc+cBqWWnXQ53jYq5lVcOmqP8rK9
NfzmBlMjDvQyeZ498c4yWAYyL/3ioVjeJLQNVmWcNPdGh7AYHb67RjUeMStX1l1N+gJdnxznjN+Q
Q2U6TK9wvoCChrAGYE3SNu3QcsrivS9rRDZoNVdGCfu8DW8dsMnbvEQ6Bq2uWCexiZx0bDLvUCNG
JGHPWe52OdybQkQYWyYfr6OcUco6Pa7XxL51qq6hnzWn5BvX6ogdEoWh8hkahLLpLpSfmls9JuP5
lKv5QWRSPro5ZyuixrPVWEXRCfaze++6qjurBjwpLFINa4pbsnbQwguMzzhFEH9FKfoEE8j3Ki7C
5HruWRvTsPIO5SzloQMpfj5Yhj9uwyYcd4GNpaMtGI0NzP7WYZzqy7zr470LG/Qsre0nEzInlrW4
30GlInMJqtWWaBqT4FJuys2QRekWxVyR0fnJuNu2IMOSI6zvf47jiU3EE4tOfTnWrQHXFeexipqr
pPGGL72pjC0AtHmft7a5NQm22SDj6XYUf/mjpqa7jtqwmtYhP/9j4tFXVJ2BxGMsrizMcZspC817
hpvYVybZfmC2Ke9cvQgSdYQt19LmLqtkd9HPrcdARlKuZqgst2QcZCy6UdzdoQUpT17UiCcBnOgg
hIYLbuviwrOq5jAayrpqGpUuhW3HWzVMd4huHI/xtRVf0lZsz00/6M8Rr2L4iGCw9UmTohbxWDKz
8MrymwQ9nRFfG2nnetDCPXcdsuZvRNLai1kvmk/o56IdUKb8Mraz4F1UzExn80oRywvfHwu10cfn
qFiaQ2MHaHRna/yUk+aHT66a70UvEJwHiVuviJNmFOnq5p0OB+YEUTCcz+QA0UtyTKaxSke3BH9Y
dzaqMCBLGKknDpBkPE9t9FDBVEfLTGpW1JRBuGJh0gd29PEpSnV2LyLpwoFzmFsNCEXXCApm2Jld
e0JCdtN2U5NchbWw2vYRh4SPDhSXi5Waj3j7MuAsIyf0B6nsoMCGWjodO1FqwqqfywjNTyG6fNtZ
jmaQ3I9Qicxx/uK1gLODdCrWNU4EdxURHtqv6nogOjWauj0j3fuBweueiJ5wy0MaHPkps01XFNmN
oEjagKE/dSGyU+3g9/nvfPy/nI+J4bJ+dTzefM2ehqf664+jtm9/810TQznPRiOo5pEnkwD/16TN
VX+4WCAUUrPvqJPvCCIfaoMDGMUXoEQYpjH++t4e8P6Q0rI4Qzvq26Tt3xyS0de8PiRzNFaOtShJ
LM9fhn1vGERp0keABHx9mJwpeqRYLzBfVYKaHOM8cHPWxnZX6ek6K+15WGdRv6az4a+LwKywRTEF
WM1ith6DuEOCS6HprOGFDV/H1jE2Hv/4mm45S1HYXheeYUAEyD5Ko/Y2AuPwrqDpv0dNEW7r0Yee
wk2MD5in1B0IguJ8HNsZMzMHaWxY5nzgbQ/kOqDspV2B9IGoSAjvLtpZIgL0igZIfTZqbMdOLnCZ
jirZD3w42ou1Ux1RvwRHxurtbeGH8lQ38cfE1cZjnOXGfagLplesp3BE7RCeJKO5Ci/D1TwSf5CP
zU3voVylUc/km29qRfaNtKd05/ugwCZFBzUJi3ZvhulzVQs6naaP7x77cLslhXdmUkhEup65OkvA
jSOw7cZue9FSQTA6s29iy7sP+u6C+oFJ+ljcDQBdzseBLmmWFj0Ob/Zo28vPiTo9l171GLCRrGer
HU/pFH70HQ7kGhx0JsQNocAfteoTdszyDsH5/CHNMKBVAjlqSjDAjrNov46BAfAI3o8iwDsPVTUN
nOUj6JWj+Kd9TZ6LO7vmlUgNY0eMVXkXNn72vpw6+R6EW4E4BTU0zRSxo+JDC9C2wP7M/Jmcwmso
5vMhkAbojEk/ldKq7ysfq2YUgxVciyqjoWtX19mgDnjucPqoVl9NfVQ/ytS7d5q43Jcj+ZIWYNBz
RAbudnZ96+BrxyPyxHuHlczQKymGdyF1zUnmZUMpFzb5je0HiMlN3BprV5vipiUD/DKPAdluBptm
0arEHrjNouJOLMIEUZMdtrFLcdtkrb9rPNr1nGxg/PHmrJK4jxedYs/IYdT+vmYEQcBLZVmrMJ7K
VcL8mvKtd0pMEGN3hkijJUuWaM53rhziMwbJ5kcE4P2mmdoYC1CCTlxxL4lxQHaEYn6cTCxiWrXH
MjFxlKiknZ7pNc0GuqSyDJ4n3x0uMrvm/BniOdhmGOQJ3svCNVJh6+6/hf5/WejRGSyr7D83Qi7i
hiW4jn9c6f/8oz+Xeg95hK98+dLwsH/ohrDOw0ZH4ri0SL53gM0/WHcthBSYexa9xA9LvLNQ65hJ
8h8AQ8N9+m+WeOrm10s8eZGoKCTRWGxMLvHVb0hXteUkGq5rdJqVyXQvy0KHzF1SB21M9Y7sP5hh
7lLEqPI2rqbich58Elu83LTwnnfJ1nJB0SRtOqO/ssf0KvJa5hSOwdLvu/WecBNxaguyFnMItnqj
vNETRGyAlsVbOLi7KVLRWZ8N5bn5YoZDBXxeEelyvZzn97npR+ClEQNIKteWGHEj2BDA4+znOKqP
KR2ei66h4JrnBq8lyYNtvcpZO87csRw+0kec0s3oBiFn3I4eq2ET9VGUzJ0YR1EDG8PIBO9TChno
CcGhdzGnIngJNG+3/AfUmL0zkiw4OlcD3J5wazl+RvcggHFkMcw9UBgYnxf79rPL0PlKMHM9UoXW
X8OREyqFbkU0VVR1+1aImlBwOZySlE0dcj/JHotG/Sv6KHONg3peVcyq9MqAo3oZmkV41lSz8Rn5
Y43XoirtS2CjxXGK9WPPIPY2GWyHFGmvfxdVbXtHwOQI0ceY608ycMPH2khTn/m1pLHghLgY5gJ+
ZecVx2zhyK5sM66PEeUWBj7bqp/0RFcGifvwgEjX5iYX2SdO0e3Bn2MM3zKOP8+Eh5zHZn1lzKE6
pXVbge6e57MqwNdRKLfZuTj8mM0ib8MXOXV2vSrtMH2EHkxBxF3q+NfQuyKLwNcw0QtZ12Xu8EVH
MBmNFXTkjSrsQsqM9qMOsnuyAaMHmCpRuh6KSnCUHkuAJY7C7mYEyqTMsyFOwxsd06OGc36BI3uh
IJUmBwtsBcEuQs7KEQOHO6VdAb57Fgz7lT8Oz6y3lGgVuxUNtGwBqSZRgQSAYlTqyT0P63LGGD11
K5tG3EXVGsk5altrwogzSNzdciLESZVV+D5wZyA6PgbJT3ocUPWklYLQkuHCKyEOHGa4LDj2XRlu
So84ijlX/k1IkNya0eW2inIc7lO/cWriqDK//1y4Ij2aNZazAU8YTuWmm/b0S8azeW6dZpegPHqH
biN4NDDiGqdAk3Kz9ZG1ftGD2QChNwf6VBQ9wbafUutDC/q7WIe4x28sjDIf6wl7rl8N1lNaC4SH
/dROt83gUspLkYKGrT2/PMDRBRKLBhU6VhtF8aoLLMFIB7g6qTXyU+dos6BVw0OLlXLODjT1PE5O
Ju5AxeZ1HP3Uv6eRRvT5lLj0ZyStNzy3YVPuvKjIn1QY+e/qWH4yzGE5XdYCZIEzfUV6NJELAty9
2AZsu49J2JFtQZhs6/JjFfUH4seQ/k/Ibo6k5rRLIF5Ht5RElXP6f+2mausbRBxwdnTstXjbwJHQ
/ZNbL6tmQBr0J+eeZgTT4XgjMX/gSm31KS0t96RMDgyzoCvLfZDJvsSknzATmdy1gWVx32cyvrV7
Q+3L2EzHjeG3gdxKtwa8l0aEJeGTXfW2Sc0OfyOGEthW2ZF6V1+mEhgUFg3R3hIqILmxbp48pHFC
Q09bdHhZzILuiP+p8GgfDNXH3p3QYUnDa0Af+yhilTk1V7Kpjc+lcvOau5T015PGy56kc+SvSiPx
65UvZb8zwB18dPBrfYWSM3yYZGFdiCYOcIUPjUcLUU1IWnw6wFfR5AfphnMXwPNoCI6RbQw2kosK
MTntcS/1hzOm35xTMugxDgWlXCpLyC3ZDYEi2QYdbXBEXRNu8bHrPeas+xAM1R49U4DeZClZm5fy
FbZwsebY42z1Ut3OL4Vuv9S85VL9mi+FcLbUxKNpLZ1amWmHalnWQxU/zC9l9OTKgpram1KHChvZ
3lJvdy/FN+QEOKN+4lxZCYR5COP1rZNn5i3j0PCaZXHcu146H/tweK/QotxqDAu3HaY9mz5qErzH
mlk8CgoRAnjdYjhFU5i+9wrHZpEaeK0IayuuzW7MryHBovQCrLVu41Re+iGypBItDWjoOmTZZrfD
8z3Fl53tdzvAdjpheJjnNOdNPq6TGjvCbCNuTGZUvOpEZKysunHOtcXHh25hoyInjw6BUBvcSa92
iDlOYVZ0hsdxmsb5VwGu8aowwo6QVUOX55OJusUvq+oOuBmjAL74Z1LfGGhMtSKxgvbNCF7yYyoT
nOoz0RKH0MqmXSIxKY1W2201CJ9t2irWoy62ZpqgswsTPiKKd0iuNYRI9M62uArQ7kkW2TS4HWaq
JyexL+qxDMt1MTM6mbyuvA5ROOyX+3lfl6N17hNufGC5cFFE1sYVVOZekDc5qJsM9McXRi4xg09j
oBbUY8V1zHY6TbDAb+y0Hvb+5PvH3uqa93VQ5te9pfoD7xPFIfQjjsuV64MpG8KeOAqAEBusaZC0
MTjjMVochOTWC4D7/kISUrF5SHQmr7o0x2Tq+uOxYWOMVwRJXBa+99ksY/+z1Qgb1Fyj9GPcZdFH
Ex/DsSmNal+ICFZH3LPU8PhFbNIyE9jOqIB3cZ+k14HPEaRCC7hJW8v5gLzDu7InsGpttCya2Dpt
JhYDzPsteDa7vCsm/zG2sT5u+8iLqjNNB9ham4VnRxQYg/8hhsl5h5Wm0dcOFSqwHdfXBuY+J1Vr
jvsaypLTxuxjvgWoHikTAYOQH3zuPBX6dFfrcIOq3Jt21DAu+AXHXUcFMm0i6IcbiuEyOUMj1+SH
rjWiR1UJFT/ZDq/4mmg8U23rYa5DikE63rNzQT7H2Lf7EtC82Z14ZO06PRHzDXr4iUyyDxx7x4c0
NYrPST/a7/22c+8tHVYnhLH3unCnbS50fqRyr9Zu1+fIcMdbJ5uZSHXPMiZ7sXU+uN3QfYJxzAmC
hjEGA0Vqk0/GveN62TVsiS3+NOOcHwdPZU39VaStfhaz6gvsrRqG0KCFR6ZKF2eHupzaG6EGpI5d
JyO9qrBbhvee09XbfLbnm4jUypio40Hlxuq/6ul/qZ4oVBaJ9j9XTztowfFr4cyff/O9eDLRzSAq
p+JhdKzcH71j7gI+ZUAA/Rfq78ug+XujDFywCUvkRXu+DHn/mibb8g9lEzgEkQnKNQ4z9a+qqNc1
lKLB6+Ff9BlQW3zAhY38o4qGLnQKolG2+wxRGlkus97UbZuu29Htjj/cmOtvIvcf05LejK2/XUpR
AaIrsgVF2+tL8bZ1KQSydu/HAQlmk03AQ+c8j72zQXOX8ALRawIAjMeFHIBvfd5/jGpaHHB/6e7V
nxcXTN+546S1vPme7RgFgaDW2BulJKIxGaNtwUZ//uuvSNn75ipIbi0qX08ynqcH+vorNqEnml4H
3b72pYPk2y6g3CgodP02qXJIKb++3JsCmC+llki8xV9o8zQsQPcffzylexv0Rtvtwwm4BlOmr66w
n72wJOEzy89Qv/7JP/4Xt1HZNsMYLIeWtH7qqhLCmwxMY7s9HR1CynGX8WP55fbX32u5Ta9/LK4C
ghcJh+lLtSjXfvxekoN6QRJttxdxzzHPMM7DJc7dsu01BzP1bW37x+/0d3fxx6u9+dHA64c6VFm3
9/rBWgUlsMse01OVvLB7fDABafrp11/Qptf+0zfEhALBnyY5DyRrzI/fcIpSxxsGXjsrcuQVgHxI
YubCqStn74BagBawxmU3eWt2+eYLSAUPnIc4gPss933n99tuJAG+Htzq8zgKaMMO81A7aPUdE+kV
hkqSsVM9H379ua2fXyMlTOmaFt192kFvnzivCR27hG25j4cO9qnE8c54eVT91jAEjd/G0usK8SiT
sbRicjrKjxj7x+vO8qpLl5BFzO+hf2VB6v3Nu6D+9qNhp13ecMX/vXkZEj8jhEplLcfEaNHIq01c
RwvJ1Gm3jQ6bdyQFI+IY6IJsSrhmp7GA5kGaU4+TdKSB23OwgfWJeHeCCUvALbaVAowA0d3TWdjZ
9aXtzMZxTkEN6L5FAecqusRt7b/vyBV63/Ye1QgRReuaQ+JOCBvQkai9bVeOpxbzwQqCE4PaQKEi
ydRZJNN33eA1VFUQeiYxp7ua4QEYofYKZtR80PhaVxMns9UYZMG5GU3mg1FrekFFatDFnZ7TSdy2
HpQm3w3TQ+tE7RX/crH79a/+8wvisYAKYjslOG6abq8f1rEJVaeG5UdvoktGoBFJhPSQ4vG+m4Nq
C0LT+tevJFdULNbKxOXKevP6in499p4/p+2+DoKj1WCQwdvrF/Icv5BcEy7z+Otv+PO67TEQAMIJ
nxzx1iJo/fF1bIDjFvw27T6ZsmplI80+hvBbth7I2M2vL/XzY+oxmXZsRu4+QgLnzWMadowvBvIu
977Xq7PS0BZKNbwy/x9XweyG0BZ9GPfw9RfKgcHk7cANNJzarFeaQ+eBVql3/evLWD+vY3wbjzkb
JxvLZTt6fZ2UOC3LqZYUuNEqN6gnofqNOfGfDXRciTCXIwUPPpJhSDneA2lF+xISxW+WpeXk8MN+
wUO5COKkpRSTME4zbz5FOIwmfAcgSbbd4f/JUp+INmlH/rmkfiJxW9XFeepA4t34Ue/95hf9+eEh
oZWFxzbpgyNIXj7dD5Y+rRF19ZS7+6HDh+FOeJ0tNACbyY3z33zRv72U73GIwvC/yAlfX4o0996y
oF3tmTrFcOuQscEcrLYka+rffCtLvL6pHC7I6EUoqzATC+Tfb94JrdG+xL3bYNvI3O2g/WxHBlu7
kwNOwjVoa3m0itGnN1V+zcrBvYULi6NBQQ7O51mcQH0Ev3mq32q+v30mFzsNubE+P/ebrTqUhmEE
kWj2RdgVtBghV5kdeVtFqy+DpurWEGGrDxkhZMjgaC108E3XTmzaG9+DOukW2dcMp/Vl6o10qoaP
HV11KIdtdTcVYOmqNlYHmnrDqZiyS8Nsf3dg+/svAC4CWAMTcKYjr3/AwKr9fMKGs8dWdhvWbrXr
Bhm+i9gZ1pV2k03QAK3DHNFyCqjzE5F2T17s3je14x87uMEE0dQ9RsTSv8EFWN57cv46q6A4CS/y
dySFTWhBE2NRpuCNieEu/eaNX372H961bz/BD9/gzbuGmYcPXE5Mt6EKnILZL06kDKD5MWhZxDUb
Jx3QVZKYR1juOORwnP7mKXjRt/78ETAS4CawgXK8WUK9ifWZrNKGmUgEcaXLPPWJo+q1Kwmhz3zz
S5n14wOzo+gzqblt14d4S2wmxALVaB/Swjexq9aOBAuHCBDMsd0BKeeCeybrCUTG0Po6FZbF9uPe
0czeKjMhK9PwHyovoQfUK/McUVF2mIGYu71550xcKJQWyXWD36jf3POfj8OeQzWIPGKxNv/kGUYu
4aZBwiKrk+yhCPZun2QbY4bfWM5KbH/9A/+8xHAxdnoUGi7/8NuhGoRPp6hZyPd0w58BoQachBi4
S9Ief3OlN6v28iRxpSUwWkqHrvqblxkmWQfBS/Ek1eF9aonwAXnkkugyUaGpKQXDbTqGdwocK/rN
I/Q3JxoSsuCvCMFmTzHz+jWEFkoSRmKSY+NOH8g7vh5djUIyeM7c9hO7hfO7xXR5K948spjSiTex
bPYqFC6vL+j3RjPGMY8sO1iBV4SzJPkgm6lAdiL6+Ss5f/eYIMdNOFUcGFGerfsmBKXICfDXv+/f
PkzKkezWJOtgd3/9SeKu7VXU8/4OHnMHc1E6S0gPKyMuQ1zJyfOvL7e8iz99cU7jng8tw/zJpeP4
SRrileZHnupxj7wgWM+dF/2m7n7Z4d9exuIQwJPE7UW1//pbIX8O6dtXzZ6+A8LFfmTqVCT+2gk8
4zg0SGjDHh4geHlabgF+XzbSjHRXg5EUVIxff+e3sdAvTzZnPL4u1YiHHO71p2nDHikIFsn9ZMno
U+UimlgN9NSvGvCOGHac0nHWZcc/wMTUZ8TXOxrsDvFKjANy7S4TQ2Ma4GYLJib/l7kzWY4cObP1
q1zTHjLMg9lVL2KeGMEIDklyA2MmScxwAA7H9PT9IataUlXXlVS7uynLrCRjQCAA9/Of8x2TLAmB
8ciRH//6df7BV50lqEMb1bxw+l9fwKqsJrCbTDscM2muAYmtjRi98Jg2M4Lh75rY/S8fxL+Wfnzm
E+zJiJB5vvN76kEPwGWKJZxfq2v1NZ3XVA02093YMXqLCkNbQkSDJYmHeSEypf+bC80fvE8iGS42
BZ1IB261334cSN3J6JRuvXWHsNkom8pLG6s2QX0n+fNPRWkk2AfdQ/ADcfDbpyLZT3tI49XbFiT1
l83M7YqvnzGX5ur/7uP7g4sYHx9SE8tuj/Xg7855cwqjVCg+PuLQ0SrE4PZQRLW55u5GYfZAKZAt
4vHfXD7+4Fj+TADahGAMGDW/O5YRw33aw516S6lqtyycAScCbQSrRjflv3kq6Fkcrd99q1lp6HSZ
0WZmccX67dH0M1uoaDL44OyGWRX565b4QGz3TLaLcHYrN4zsXfY5+bK2ul7bsBtXwxocj1VcIVRx
KiUWy/N9CATs2aw6SlYbqo7UilpPOBM0pMXv6OXaXWbRYbKJ4jxiTgZsATccb8lazggkfxV0Tm9A
VtWt8UheLNgmI7m+NV1BEKki8DmPrjInA07m4IBWMorBXVtBFZsvQW8kxSfTJTozmM7obnwcGPiF
qybJmvhJ5sIY94SfA2dLc3EBxkKvjANs9UHbYhbp5NkpSuUDNVVjeHUljcMb/q711MI2MhsWyg5I
2ZVZZ0d3voeTYTVn+dMNyKT8odOwzx2aUhM7owFgDQC3wdgQxMlzIWnBAhlN+fzei6CTLxl5iWwz
QkaN1gV+meaUdmzRk6XLqD3fStnD3KK+dRxWoqMb54gbItTRcorKXFXw6VlcJdDT3j06V8GIhJjF
J98WzQPlK0zNqK1Nx/s+9GC6JjYI71GrA++mC3KEJN27SO1ZxA5MGnHebOwyom7drqJpWkqZBqCr
uEWtMQIgqeqaSQFBDb3yKY3Bwg95IayltOMOY1tVObvCxyrQJBvVOdW3sDLzl1zz9VtbulTTF+mw
00aw0FYdXBTjw7KWmyH2yltIpUdnYzvPKITewkxk/hVkcFZUd7C6EYx5Jd/TDAiGo+D/qHSwNoVl
fdjgsTDBj5LX0HhbV4JMJ+rkbjF0ADDuobCneDOP0q6G715LkautRspVvO59ql1n11nDtOgG/BhJ
/qzrLrArt753gqJZG3qZUHoBN5m4vnH0izy+s3o+D3YLzAST8HkgML51NOOa4NZZgKsI93iUcLun
mWJRgRkg5x5FjMObrlk+7GFstIBBRof/ZJcMxQ7TR3PIhsFcTXoG6pox2iKNw26ZeSRQetIQmAX9
e9Bkt0KLh7XR+zFdY80ETgoCJ34rc2bS67cwyqu30pf6qYw9wN0tkKxBb5svV6vLpdZ2jOIZAmyx
bzpgDjH1eGU47C09MfdyJLWO8HPAbrhJnMrYZM74UuiqfimTcOc59kOixhd6tYnM68HcwRW+FO7c
ORNlhb/vlFduOq3GUOVojxQchgcZWsnKjYS/1lMsLznOU+xhwKRi9g23pNG6+zpq4KcyDqcrRJ7a
MfQW+cAUbdTKT1n31Y4+G8a6jL13ZeF3X7aEtDomPbaQVdYlLUVOStTlZCF3mHrD/JPJa/uYCZ96
MZOT51uBSW5YeTX7CG7lXCQwg/SvOGezc91zlqVjCIQ/M/a6ikZK1FuB6XTyj/xBQB3ncIeO6Yzy
5I991MvXMW48yXyUwF6frSZpNq+aYW10OhjAkpq85q2nmeLH4E1ZtbMygOmrguBYtxhxh/gnTXPb
FAQq8BSixJ2D/wYfiET4rpNd03CkFm1W5qvJL7rHmEnJvZmn5mNYlFmy71O3WTtBUp+N3vQ3pP77
CSomAmecSP27q4esJ7FzVUAA9fyINwgQOhQAcDYjs/W0p8gD97N0H+wuC78CBiYKMLXLeLui+XE1
jf7whERTfDUVg/fFWEjjjfb0ZsUWzbkEpVm9UufeU0khx23LeunRH+30tZM8zkgOmGYQsz5Mgv10
MpQ0iNmW/IayOduYyZTh9lWcCTFT9RfQ8vWPuiJolQ1a/eLVZrJLm7AFZU6f+SbBdfUN8hBoXE/0
NDOETtGu1CT5cuQmyIZMt7NV5LrOEsehtafFPFt5yPJrdqVBs8nYNxW7ohL8fJtEHQmwPprWpJIN
Cqfo00qovrKpj8MoOEfW4nw+B7X+EAVp/ECNJ/RBr1EmOLe20p5pW+ctelVGRV5E/9UudbPumQm+
6u+iMIwuiQ8uUejVdCda3z/Zsc2jWlWytfXEfehaqOILlnf1wSWIdKHEunpDDjWxCQqHzAdf1XVJ
eGszUTyw6QX1DVsC+NGFKr3OA6cUOxe+RDVfKj5dBhu4jSgMvXhxXH1vuqi52lNjPMqE452k2bid
aBzf+jEHVSNpCVnYrK+V01TfnXmHuSzdCSJrVqfJliOb7Jyh4GE1NdwbjV0fKiMNTlMnq+8tBqKX
Lua4Tp5X/xAGaA+qRmMOK03h4YHY/LhVQSs/AuJPFxtXCDQOEUSXgXJSQNou0fYPEJI2Tu7K7C2w
jhYx7vGEf9SccSlptNRin0xaVMZpyRVKgduvSc49VsboXBJHhE+VG0dn11HizaVyeNWqGJKuqU2h
AaiLpZ2jLHMdtX59GBs9XEX0IR6bgjdvB97w5Gsp10X6zIAC89uVrkUXheObjKfvsP4vSVlcbKvO
900WUgzeBog4K8wyhGuLlh8Iu8CHk9eTu08nlM7FxPccGauU38aRQYDvdfLDi2xnGYYjHBLI1pzl
CvcmcyzTeUiKuHu2BSYGWFe8yNzRs5vfNtW7lcbugxZMdb6oyj6+jC5x+4WkK/Ylr6fh3neletar
Ibsl88cNRMg/4WAMb7Xd8USZNm7w6YIZYZERY+ziqIFGHwGnaOOXPolkqw10SZFU8MObWaT2HvNd
eXKtnkcUU3ZjIT08gWaTH4T1sNVP9MvGa60AAu1VyHzLUOFZXaC3gGHHngEx3dWEBziX6ihtmWhu
eLNjNhgL0nngDIoOgBDvnTNporaCSy953m7FNSu+5FkqDDpUJnGvWSnCeDfmc7UCuKRu71q4G5eB
bL8EgQ7QinqRLuuir7/gchvPdkRvOnxQ45PaT6VIGw71lavF9CXMtGqWrlmOGSB0R32avqIekbQt
535VcVioMWvkllIg0puEZozHycy1W9DqXM08t/scKr++tmHJMKU2KyJpIzWXKeRvo/WjS+jWybYN
lL9KKJTecx2be999vt9Yp9pvNXkH/dpgseMaLygKAvogOHiYpu/YE4ebSoWQdPASeOimraUYslv+
2wSP8xxCAMUQmHc72y34aLhtnixiloqGyii5d21ZbarSlk9N1YUYueKvNhL8L1lV1SrsKuu7Q856
Y1f5tKwIGa9Mi0Yup7PcrcHxWjAltrEQNXwPWyD5N6NohnsWIT0gJcxqZh7Zy1wTD3T53nUel8RB
1+EGtZT69CpIz9DFDrqKu0NaVA1Pm7kXvS+Mc0yxxtYleopTL9HuBlerLiUFaQ9uaIp9MCT097QJ
UUejZIBbEzvaO0l76MYxXyV8N+/0qG9OZeSVB4r8YDebFkvAgJEqEup74MT1PvPK4ZaJzvrAMHmo
aUnhkubzH4s20xLABHFC+zgMqf2N9ba+GGk6+R708+xOtJsYZXlf03XFBDJmQdqlYvzmD31007F1
YTaudq6gWiYAuRMtklrs/H56R/8rXrOCcAr3HA6SSbkAF3p2OEtvHGmVSbNM7sltUygZavolK+xq
I5VimGgoaPJj39/bfqZvrTSVD6qm7tLqg+imJE+inNC7VzopHITpEfNpaL/jbnafXaC/uyTxnkF0
0lHaRTHrQJZyi2IOgoikj+9gB86VfOY+JHb0PdbDftP5mr5tTWNa+YmyVn3Hl1FWcbvo6atbR+Po
Hllc2N9S29mWziA2fJ24AIuU3WnkkjgJ8iD4ojHT/AZHzjgHRTDhBCnsxyoe0uXAGnbjcO06FqHM
n2daw3Xs+JScTg71xmNduGigya8josufE+M7ApRRm5zrlNMgKfMoIShVVlzWQKjCJUzlcqgA1jNA
oKqLHJACoLuEg5e+p+OQHaK+3LVkJGnWsjXCSOlwnXTzW5vAWeSruEmsCWoVc0sWZJ46F7YTPtFA
yTIDq2rGJTAlV9UmN19vplVWWP5RjnMrqR7j18sBg1iNcyEQKsQyhl7F0CKf9uMoujvX0bjtFL6W
8YVzy0MVDeklT625giAFCUJYkhQw/viUrxFzye4uCNv0pTBtd4ujruSWQ8nODFhCaFCJNtzPntjT
iJjNrs6jF2uhmjQ7BH2i3xyPhFhKmUXYzaQ8md1ReC+OsoTKJ22RM3CmH6HsZUtld4oBn+yrMWjB
S8Acmn3OeyNKShNiZ1rWgBUIj5axD2mrNV4GUtF7YXrfjcn9DAHhv7Fizd+w5AkuWlJ7AkihbaxO
RevWU8V1dFmx5GNDNxpBoolKhDCGrKUPu84kcnHQLNHb+M7xM++8jAZnLhquuGigAMBBjp64IKpA
nzXpHxOMAUhmc46CESwKiMImSY8rbn5YzMnIBTSN+/YjlyYNdzKNP+pQn6qlqfGANc4K8q+peBip
iO5fGlY8fG4Jm5widnPuEppr7fPK544Cr+eVuyXK3ZQDaUD0559EmJiPrI/ZmQIhsw9RNsgPCiDb
D6kkIoIcVfGV2SWqgsQL+6ZTGfY9ixvu9Njwh3tZD+EbJlE24XaYgOGuplB+aA4dOhTTdAERscwp
HyA7cGGQMdQ7EHRtJzZ2QHR7Rb06p0dsKhY4oszFQ+wqKnyCSIRvjuHwO0E10MvjpUHmrOxS5zQq
LVhxOPN5lfh9mTSuSgacHpuYgSdNE7uUx2RyWvaNetkZWP2hd0UbFq88MqCEQeztHvFzFdvBqNHb
OS8B6IbhLbGZCk5prNslkYCCRWse0nq90OjBgU4xKHp+mi4m86US4Nlh5BRfplI8q6otyuZ6gChv
vxxMh2YFGj4YTyb0DOsMdT2DfDwICkjPVkDW3apdCbH6pyhAhXmJwxQX6jZPUuQe3BoJG8xsyHaV
gQp0MWtnMDatMznHsWnFg9PjUuEjZIa97MOa95d5DnpIQ7FPepQ4Q2g1HjHT0MrQdl+dizK7UKZT
xXeuZsSP2diZ25Kg8rfCCLxrhqM1XFbUVj32cSXH3YAMH15sxZvemZ3O6cGqnFedlCEfnjsOpcb8
j37NJZ8J3120/3hcoctwFDut5een0pQfCbuXZMGLDU6j7OQneISUPkXV1Awwgtmhr2eESJY5YGrW
u3yc065E/zv0CYRHSAstKzontqt0r+OBFzSD5XnKxSUh9M13ig03N2HuXzRN6xQblr7CqmZOw5Rf
4s6ChTovIXOvNNsFpeHxk0HZ7rrOhX5gzt/s+kJZ1yLyhxP+sOR5muL+qYdx8ous/qdKDLaf4vxe
fMr/O//WD1GNTRLF7U+azj/+dpf8aIQUX+2//KlHwUil+P2P/OZx5X/9/OfoU6ze2/ff/GX90z16
VZ/NePuUKv/lNfz6k//pP/6f/4jdZph4Jv9Jb59fy6+/OR+Lv/2Fg9JECZL8Lw+3//jbX379nX94
UOcgNAk+ncAcC0Nk6V+JRr7zVxePHV9tfFOzB5R/+h8PKtqvFKqN//YXC4IRNwa8pti+cASYf8Zy
6uu/c4Ky5SEuzoPBS7JRr91ZZP4nxwRdsiWpFz/fWX702mfxsGgl1yGGhC+UlD00nbYrZ93HL4wX
ljTGRnnjRiINtbNGxKre3Fs96Fo5K0ilQTlnMKtKxIKoRp+VJpgOzRdsTnclZh1KzIoUyYvqjZGy
ftN+6lWzcmXl6GqVT6E5UIsB+IB3I/rt3/cwTTK/LY5ln/Q8GqEXq6/rtdRME9oCahmi1rLuisso
TQffAIpairTWzBob1bHOSni9R5NUrx7NJIDtNqtyxBBQNBHq+lmxk230DWw7abZZzfNmXa+dFb50
1vr0WfUzXInYMiuBLOXXNtKgQiJUs1Y4zqphgXwolJHiMuv6VTNri8msMlJLPpEZR3msyJ5snVmN
bGZdsp8Vyp7mtDVh6o92Vi/tWcdMZkWTRc27yQpylukO3CmKDdHinu0mGtXUltGaT5UyXlTSArm0
RTZFZbmEs46qtHrYVRaa3OAJ4xbMems7K694nTZFMLvz2+KW4SQ6JbnfUAzMRDtjY5ffgZGKQNr6
HVeZss5eFDvGK4N6e29JrV1a1AQAnIu65qG2tPDBtA3naGekKhZa4TTgmt2aq06VnBuR9y9hwOUS
82/wPBRWVi6EUAg34DBPMQiotewz9jj4Ba5eD6qtzK2Z0Gp2zq61/OrVS1LuUKnX5c9lVjpHJ0fp
183cONvlzzu+kSOQR3pFCVhtUvyUWAYHLzCVwX4T/UCaFTRLmoNhBwi9PJBPYZVa+6UHOyXPSIYY
1BGcdZS948jAY2P2XvrmmawvVkMYlWsGceFzSoPsg28RcxqKRDwYhLrOljuA5ZvvACx3IS9X0EgW
AQHWaJNk4LqLVBvWLULj/eiA5lfQ7oF7R3COiVrMSY0CGHbbM113sNSumtq334mQ588jMtf3RnnW
HmqWopsIzvAOkyk/E3fDPQdQWyJMJxTzYFF4RCvCONnykHgmRrUi6jnemxGnpkORXLZzZMebr8do
vHkUiiSLQujsolzFClM49A9aI59D5ec8IAn/uF7nTVKux45KoqEtqleakpJtAqp9tpWy4w2HRLpz
Y0T+XBllch7B7n2QCOq2hrKqT2dgPxkqQZff/MpSHM/+plMGD5+bpneNJqK13OYcd2kBDL7awyyN
aW3xlc8LNXDi6lGmNh3Q7shMNpnf+M+NKhPL9smjvvYrpzzE3DsdF5EV1udxrQdyRh7a6dvPMy11
SK0sJiyEamGM7FeSoQ/Wvh2IS18FrHNYnKFxIrA8s1wzv/X009MSX9jelUiIvRdEdG8Ga7pV07Ar
MSPl2TuYxlz1lF0etGL2RJhhX20AsLYfrRcn51IXLk1tVLLUlKzcQj2l4KHWinXMGQlrJnDCt8BE
JyMKQvARjZ0H6nye0RvLbJNHsfYgJpykIHfFQx2xGxMwAqAj8WnR4CsekmiU/lJmM+jFwNm6FClH
juCaczJqCeUXimZM5jOac5X9nKDMB856SIgLZkCvRBUBctczOzqdzkRXz1093itNPnY1a/XOEW9l
gqJFyBm0/J3ZKvb10X08I4nyNt4VafPl9MExsNiRtKyIS9O7DdJi9xBvqUx5jgiarRx98E8khLnQ
hc46kyTnqlEsfbMUt5b7GNnX2atuJIZ7Y/XzRNbQOLsd1/DM8KOV68HXNTwcpUlB8f0QrPohXclQ
HKzSC++NVhsuxmCmG19ETGsoy4u3rsjShR909noEOLzwmPbuug5aROtndbzSGuOjhAXX1eYnXdHi
WJNiOqaTkuvSpLUS6/KPxmh3pe9cuU3CK++Uxbo0Cl+1yHyRmv9jVNj3p1IWG8KmLW6YEnN1YY0r
Ns5sI83G7JaV64oH+JUUpsfp9FF0Dss15m/zlH1TtcNDmarqEHgZQkAb0w898QEnoIGHWoXAssYM
O6Tx5JKjXbBo3WfDWOx137R2PRfhle6raj2UWQjrQ7EdnWY+mXitdcXEsBT6acx079Bw4jO9cPUV
ELxX3SjqpQYxXBnjlzVWtyrxvc/ERAOz+1p/8xDtVkaWPbaYRN/HUQOnnwLPTqzaX+qKVrYQoftg
BzRULrpp4npgdfkuSok8w56neG1CXQrCh7qQH/HYhmvCZeOZYWqP/5HUXLukGBUUXTk1pGE7szwJ
wz3nXPOvnFbNGhSdARmJpoDeVCV5QEUOC1potbKlRojRMKtP6ZjZmughXbX0lFlV9a7Aw6xqHw5/
anQvejiBiRHc7QP2Ephr1Q/iLq91DI57rMOn3qjIK1iUmDrom0v6xrS7xnaeQhzlS5evITurMnrx
U+7DpbRWLSaCU++zIWaR4H/YntPdPPZYTxncDNYQcHSYKLrjoW/DHkXSpIIYJ0v6BLKJTbO0WSpD
OPlEL6NMp6HlsowkbRKdhiTh2v0mk/xuRN/yOLX62QtTcYV6is0orllZWbMvpWr8c9VV/Vupj/lb
bxrW2W3J3zissBbE4acVVGpCEUWboB7HJUnkkHlbQGteGp06RiXGAaSVQT2EnNwzHUdq40d1ofOV
iJ5bd9AurkHfbEZzQc2HCDGAwgeYYVkKAt5pbM6YElKVqJ3KXNgTRGxnUOIs6OM62Mz512HtFGvw
eeFzgFfzhr6UpOtJAnFDKC+1cxv5zp6VQrY1dFFDwcvDJfgVYa/jZvgqC9O8GEXUPvVN0u+q2Ku/
uTXlpDnXwhXbQva2Xi8B1VbJEr/VPitYhaEiawddcAGrDLPeCXxqy4oebWY9Y8jcy/B5WTk2CDv/
7sGQIx0c9heaGPS7JiybTW6JZlub2LtUn4VL1gx3YDE3GFi3kRmxD/an17RpRLVKy44Bdk/B8mRk
xiIhjbwpbKqeRJPZ20lMd0NCLwC9OdwGFEgaJ5fd/TQ3e2edILLrdv4FAlj+UKeyZ16Zaa9WG5wN
ejo/ew9sWw0ZbBNULhDPPJxLuqhOgMWVwDie+IoTVJhnGDfuoOJSegMjg0CNC6n3zrNVDduhH6jV
s6aH0bW885CYBlwYP93ikNy6bDGptG3WohPRZz2MW4uo/aKr4Sh2SapgDA7DATY4WINUhvu+Dk9J
VN/s0HFWHn2E+3Fyh2OY4l5ltKHFmbFG1r0FGVdX4+gp2kDm7FScG9UWcEEaXS2oH/BuFFFZRnq9
DRgt0LSIW0JU6+x2Az2CTuH1+TjsB9a/08lhqULzcVRkzhrA2UyWr4hDOyqjG5qOE6XoAnETvFcy
6uLxR5z5TCIWrhUKc8fd8Bt76aumB92mgBuCXqD6B5gJ09oYJ3mOUpooaaa27xAWXurJouuzcm8J
bUlLeIlgkZhaUkDqpJfaq5zvdGyPy9Qsp++GNNq7vqA6KjG6zyYaGcY5Znfnd521grBlH+yB3Q9b
d3mP0GOeEFzqW8RSZW2GSK6j5r3hEg8XdaHS9x5ENdOQxra434eHgtZZqjJ1MMq1LJf0zINKRF/g
VlnlZGTsZKv7wWOg0X/pZPZxslhoIwt8eCY8JrsumrNrZMucGvmYclM0+SQ4jBGN8evUmBf9ERLK
dx2x8MPLHHiEfSlZx9M8a7mA6ps0eNAJKumLmrWMxqy8zfbAAXzId5M9nmym79cqL6ZveaPndzIu
frABjYq1MGuFiNHOGk0ZilVSxj8AUXPX1+riw+vc+ZoVtu1GleAMG0NvXlm+uGuTycOtDYNpyRro
ZiWpA9EE3vfCgJJ00O2AUo9x4pumyv7ZJZd7rCurPE05bThLmnHzS1bWnoNjxYq/YwgBNBmmybAp
gJpm3AcbJk5sDWlo7fPA//Aj8C7LLnKMG7MG/1uLl/t1sory+xQzhEWet2yNS74XlEul9+VjOY/z
nXmwD+9BbCQXRmq0pn0yj/+r2QggZktAMpsDjNkm4P50DDg0fzFUSnsqqnnySx2xKIGUj7ugnI0G
iHaz6QDa1k8PAqvn2ZIw/GJQsGazAipR9xXPBgZvtjI0s6lhwN2QzTYH+DMe20d5yhr4E1WEGcIt
9O4e0aW6WbNVIptNE9Nsn3BmIwUdXzSRzeYKXtgTG79w5QWx2GgpFoz8pxvjp5Txp1SfP5ZqfqMA
/Weaz/9LPvr/UPVB1ZyN7X93Wf4v1ec5QfT5XW3lr7/0q+wDh48RAI+DnRvfFd7jf8g+1l9dPIMe
a0wkHXIe/yT7BH+1mcoZuq5brjsHk/8hA9GuZbmWj1XUI1pkun8KZO39PmKCEhV4dAXwkLyKuRfg
tzqQD1xMCHrrdr4/lnB92WMtG1BUxP7HmuIVi0Vo+DayWKZP0Y/iJ11V0RKTqTgmcaTOlsDDFzQd
90QvNMJ14znQRseogvVRzgAeriAAXnwGcS0AOChIy1HV7zqksybBgddET4BIymeTL+N9Vczb487U
mg/yFOIo4oj8EEOUd3AETBYGUzrvjO/n3ZhrB6xshMaXiOl+Zoli+EQeCbz0kMBJOsNBXjfgNHwm
OUcdkdnful1YPmI+oGCKMmlls0c3DWNlxkJ71GyHwkwW8B1b43SGfzbZQiK/UBHEZe1sNEO+auAl
veWAnsyjZEPGYRGmyWimj05pRfIAshSYAQaZAuYMZIaNUeuoOjL7bhdTeYx6VH/Hn+wVS67spUkl
6ywjtFcaKTwkeqt/Ns10vBXCMaK9TUnWVlRFBQkC6WPLZMbe6/ilX1uZs3CQAzYdXZKpQGkHUjN1
tfdcyYSZkseKD4gMs+JqwQwb32YYRHmy9Ca7NS81Y7R6o0Gge/wpQqjK5lLm5n31akc2u7l5Oj5Q
nc5RzgyORSwC45G5BTuV0eyNxyhpmXXl+FHmkXKugxIVrXGWrGKwx7SyooYaWHWB0aZjYsS6Ai1b
a2q2vT2gjaPRsJwFyMQfc2oNKfqs3MZd1Kj4xZLWCH7HscbMO1Ulox4T5lOxdNoCWYbBarJ0lOuf
WnwKcJlivKmraHCCZ19kzDlKbj/PhtLAtzZ+B7IQxLjxCGuNt/GTx9t7Qk3ce/H7WHHrvDOVQcKH
nE29djPI6RiUhJwxPRniaEZGBprVnnhD8AF5nLqxIVxkUx4fNH/kBfRGPUS021OYsiy6kOBTXzA5
iMIuoxtqJC228gcvt1e+J1zzHHY5RBnZhnq0b6sO0SISafuRpixUEJH4uz3MDxuLusm3eZq29VJo
ZSc7mGizlkPfAg/PUIM/+1ML9WsyM45g0w/8n4n71f6ni2AYYj6WSbbVK/2n2tLGBMH2Tpn6vU+7
0+nnM7rsYAb8eozP+tzg3Kw7k+MLyHlm2GTtHDFzwE7ZvdlN26Yx7Hd9nDUJO0IKc/Wmeq0ZPncL
ZjooVtzv7StCS7DOrDoW+8RKGrkOXWVZS4xd8+DUynlbY4GMEYe5+40G7VF7/vkq/XxS0S4fKcpZ
wuXmxTqVy1mmEbw/Bw2tVaAqpUVnkdvzOWdzAdYD8UrUQJHPHykK/nxMUixj55a2t2PgSiS+RvD3
YEyYztH+jY6lCRwL8KQ4IQK65basUrlCeSkiAnU9xrghsJV/TRMJlEXqavM5xfJFLCJH8wtATl0v
jh7uYoJuVTYAMc3aftUG5rRj69Xf9J4RJUPb6tXiTLPYqZK75jwtCejCmqhOra+WonJgJzmmVrPp
NSUlU0UZWcsR7fpMIgH7P6SaZz5MNwYX6Rk33Dwtchp1V6+trSSV4ak5YCgLqAbs/WLDBt1c6iyF
ripp5Y8UyBi92tx0nvMgHx58V2M5bjac2GbTN7wZDsCJeI7Gu2P8aKGVOqVctn2TWysnKOGGcci6
aTcEjrfrmazh0ks9+lhL4VtrOyQstzAlUm4UYScCgMbxHQE8PDceSq+roIXyhEV/6Q0HsFXHhmut
tRZ2CtSyYFGglGPxSyw0Lz+Olw13jCsM9vKWdwLPYZfNwzEvi00gZXPTXt+Mn7ZXWIewYQGVUi/3
kTve9OxHavA2zN7SU81G+dOCnvaoHGfcz6yHNYtkPBOJ9tSkWvMcm7ZcIa7MG8/AT4iGaOmCYWt+
MoaSlXcwlBvdL8Z1GenTJx5sWuGsPpdHSmg9JP7UG+0FWqD1Cn5PHtFyKZQDFW/s1dRkdwUe0ZXT
kzJZhJCXkDLDyTs5UX1uGMJ+Ok4Q2+uJ7CAgcmhbB2rvffDqGo4cjUZB3THIyGR+J41TTj97fZ1s
K953erAFdTVsJkYMK1ln1V2PdrLINBXel13D1WREc0i0St2MEu5U1BvRsg3khKtIYfWsMrrPn8LK
Es99nDcPWKHvY6erbyB5okUfSeMWUiP0UHp0qudqaP1LzZaGRue8WutRrL9EZj8c7dB/nCLT/QYw
0dyKwWFz7fSlQBc0IA/uOii7fPH73VAF9OtU5r2UqIJuUcXOOtdj/dQL1v5jWLf6Vcazsdb09HWe
NljdUqtBu6DUvVoDyAcnSxyqfwurociXhq2cFOeKUsWO7BDxfc2w2dpa9G76OJsfTdIEr4kZ6JJb
IZ1rKrXVotC1at+5Fmd1b6Vv+N+qY08R2BmB6q1v/PquktMIYqsfKneJBZqaGXdKV50dmA8Eguzj
OKTGNTPc9qujNe1tZJZfvw+tnnfXxG3CCNLRBK0VgC6x0ebFHKfwGsdMIyCKkRjyDarkW7qoc8qu
O89tDkpa2gWB2V1jSIhm90/xmbf9cKpnMQWWgHlNk7Z79RMX9yK2h/ugCpwL7tLIW2REWGq8XB4M
BzBOdzrEvnIVK1272plgI8+OmGEF9RWd7Q6HOczzRtDMXoIXfApVpR8yvXnGsEBylVHySqb6q0EJ
Ydqn8qSNjv3S95GFmpqNzdIgArsOtTg+ysiOLpYvACN6zc5X+FIyjxl0rBuomJ6ohv9m78y6I0XO
rf2L8ApmuM05U5maVSrphqWSSowBEczw68+D3D5fudqn/fned+7lVkuZQPAOez/bOQ9J6/AJA+JR
E8cuNrGyOojhk3HtwQTbizQ5w9SsDmxxnqMMx2dceHJVW5WzJgY435CKXGxMhW+A5Q0Do9ELeVOE
0byJHU3OnccrfLdgsMeVZSn7LkDwcRuEdftQQWzkRc+Ql8+TkEg9j2Swtf2FuQ0rwS5+8oQ2rxbb
wsa0Se+IEajtwlbKhzSrADxllB87C6/JZkRh3Sy0dGPVtQDeV1OTkDsx1jYqYjE9irrur6bGXvAP
/GDPxPvCCdSDG2O9s2lleGe3ot+rskv4R8tRVzYxDPeJK6FbTmUzbEk9Rn2SDJV56pyswyvA3LaO
CKhos+Bc5fH0JBqEGitXdt8Qjn7P0KEyODYxgMZjHz/1KtQrv1lAGbqxERHL8TCKmIldmAQ7r2Nm
uGrrbPBWEkHzjO6o82rcJInLkyAhCqnR1TvC43k7slcjq4qV514NTvBNhXzwXo31A/NJn0WvjrIt
r0OGWVmTbnSB1yOImFSNtXmfRCRvroiVJ3N+ipsrBDRMPGBjdFdj7VS7wbJYa/Iz48WXhHyufc6b
D0Cx3icbi2HLrtOdD0ybineFnvgQktbFEorSSskG+n4PuXEmorNaFzLztqmhiQkt+xR7TNBdBqaB
GxS27XrqNfJl37euYP7313MTKPuJ91t+adkrMvcjGV7eZm3KBDeHQNvJMfbuC2JI5rVrgDjs24yy
oBycHznb/HgXemXJAySoBZnN5zcxL9m4L8YzuqJmOxGgO64zIM53DWXAxSJEnJN3suPvZBXibZ/t
jBrLCV/izqzuZ6z6RL7HyQ6MznSGAede6zLReH+0NuCLu92J1Up7NZoalXaZIrt22+YxGeRJD/pK
BfO40Qy5b2RTNe9IR+FGtro+4X2O9nUcfKNQQ8bY1OizaucuQ0jLbrHPc+IoAUAUJ8T2LO7TkEn+
ioW5ytZkPDI9kchyMMAK9WPMZRFz+1hFj/RYsmIvO74QO5rPeVcb8n3qx+bWCKf5xkhQBW9jlbrd
j6BVj6pjjeWv6rRzImuPDwkCDqDbPYN4/74yi2dlF2NyVRbaj844Md/aIVSXkYwxtlPcC8d8SCOu
czbl2yDPEv8eeKErnlPJ/6oHiD9ldFupRiN4KlY1ZgJXDc9zwljcsesg9m9jS+lb3n7HVvIGHQ6/
dPL/wi+5NL6/GN+A1+OUdWjaA9yZ9Ol0578KJHKKpchrRHVwp6V1ctOMMrEzCyr3v/5Fy3/oT79o
IZ4EtMG29btfESYjkv6CX1QkhftGnypB/JWaWo3L4Lw1aOAWyeFIPQptQL38p789wMAIcQV1Sohe
6zczoTLA6AqouIc6U9ajNwwonHWKSrgsarImDH6r12J2WRuDpIL/619u/sYu4Utma2Qx5IQhYANh
+u1LRidlREQNV4fGVPzX+yHunIufa+uxzBo6KOz4fHgycaorAkwoV0SN1gt3YOyzl3JG8/Gv/6Dl
0/7ztcCcDNbCNpGFYWT+7e8hcrebrJhmxq9r5zjYjB/cNLEe58lH1FCb6f6vf5/7m5eTL8CxcWVj
gfEFJuXfbcrsbycAPE2Fs6kOzy0jvxcin7kN2I8v4PiOya9wnOu4Dzr7WNcMxKd1YxqJvMB8Lnjd
cZpvPV069Y2se/NaGpg6TjWp7N/6hHUy6FzuJGcuI2p16TUfIhZ2yBTHaecHyzOimricvD6kHdSO
VmXuW+X2Q/tAJg5mzJl4pIE9mYcg7nWmiUQxEox06XHk2jR4rAaRWyJKkL6tXpj3I5lM5vIzmHsI
+GFMG9cy+pYo89HZC+mM4xmRmm8sL0xBV20aEZlPTdfswoxucR/EVX2Y+BdriFzK9PZ1YjKlJRa7
evkagEhPm9dfF+G/483HSSFNe/uQQHVSRCPpe/urQM0GkMcD8H+PN5/at+Rf/MAfo02mkn8TEN8X
CKIJTXAxP/+haDOXpFLAEvjVmerziOOb/kPR5lh/E0soaeD/Im3zIS0y6qTD8V3qROs/wil+jSx/
eYiZYYY2NmA89ZAlgBH9dqRVSB6SagqmS1jOxpyvg0FN045MyPCblDg2cFky1uljZpSNi5TFnCY8
DCnzx0kjpWQ6z+hHVeMtFhP0GKk53ic4fG6lMhtU/1UxplHAanoQHR0y6XG0w/eGj5RUr8HCQYx+
SqIxlOrQSXZcXjz0y1SwiIybUDq9PFV1VjfhmtljFXzayp/S7jBwDIz9MfYRzmAe9UcjQzwQ6P6B
wlg4D0ZZ+daWSZ3lbONsIBib79KxbwKkK+zuwx4xrxKsm6QV46Jy6G3ua+nQiQ1FiseE7Y32LeBv
A7jWRxayyePcksrFh6pgmnfGD8JEU3xDTg0+TibZ3Vi51+1Y6+PsInFKqqh7C03BlKyR6IuwTuNK
FsRlhziRC3LIEUZbyH+QAeBbWYFowy42DKLXV5b/lR8K3H68TuKcFFGkNsO0Ae0aTw+8gToCRwk3
yeJd5CgXj4yVjkm37/8eUmqKODKpAWTe63wBvIKev6ixQcGYr2i6Ear//ZX83xPh35wIlnD+OrHz
8lZPxVv58eup8McP/b+FB4+7LzymRzzSpP7876ngs9UIhUuRAYXk6yn/x6Fgh38DMcdJApLTZUos
oBD8Q/bq/43IacADHrtHX5Bt8J/oXv/8fkdGz5ZDhBANWBFwZP1a1KFozWqZ5KT9xIjysYc5JWo+
Gi8Jkor0X4CavxyY/19VpGC9EghuWsqsPxUUbREmrTF76NDHrL4jx7ZfYyX6d2UE66DfyhZKKNYQ
jkPJCoLzN6BM6zY8Zm4yHnB7g8teXHF5BZQ/9R1GOMZQrDDuYXjXmXEPo398+usP6YZ/ruPM5bgP
MHBaXOPfYYFw05kqT35LiDyRertxwOaLZl8cescNyIFL6hOZfLzf2XUyCFWRjeWvVqmBOE3Y7kMV
sPEg14NDuxmQa61iRjwMuAdgCFbOv1uQTETeBfkUPSl+GSNCF54E2PRgmj5JXsvZlAZYsceAxtJx
8Y6wpz8R9KBJj6K9Iked6bCKCQNG5WIjFKWfmg9CU0J6Nn6/GmPgozWit8SdF50Gr1FvVOKpWJOu
PLG85RP1ZdF/Kzo8tU02lufIpCmpI3xZGDrROiUcV69JyujXjAU/OIxpeMZXYhH7gUEy7H3My9hp
RXXkq1qKKKRHJgWV49h7kuT4mMJvLGzbqfWIfTDYkEKS3Lh6RkflMAMnhsLCS+VDigGvRX5m7w/t
mkADpC9eMl/QD5BwJSTozyiFJtBZ+q6RbXSaO3/cUzgVgAeAy5t223/DZ4YfOpu9B64Oxt4GP0Fp
4YPogHO/T1ic1jEBnOsUxfJT0kbVCylZXBmtSnHgXcozNNTRyW7L8OyZRnogK3D6HDrFFKPmRyZR
N88e5I5zNCKx1HFrPnbF3DxnX+lbVRWepQz4RsJMO8Ct5ID9xONNsMIZobYNqSC8q3prW2lydfH+
hnRfqHYyq6rfnYh/jPEjATPNLNKuDZJDsFF0+h1U5oTZt532HsT1YxVwcScf3+jYZRh1WCHUJUK0
pjiqJiBeaV4s444x7g1km/cMT/OdR+jBNU0hO7kw7n/mYoJACpF5BwtfcGiY1Ws66v4bhPb5Emo8
uKRfTXslo2BljnxiHIXqOsqXh93Q7o0Ri37thHwWD/QBgqlErmnTuRV79o0/TXAfexIKnZvY4Up8
+YydUk0baWBD2RR02p8D0ZNvPgoWZEpRlm1a1j0lyvoousfwr9/dUMwXvMPTk0WftmdKn2+KWuc7
Iy/bD5Gx60uddNgkcTHvKLqLdRNzHUkz56tebtGiHPufiw9sN+e0QKwTuRJYvaY9uQvTJ3Hp7LZi
PzoVTf4yULFDG6iJAg4+KT5ETxaOxPILytU6Jo37KqxJf7eiqPsWW9ybuChzYB6iCjaOQ0gbAJKf
rcMsk4aDm3JETzkmXCjPN9pdpB11o6Tt3ITt4N4AXTEfy5TVR+d61avROosNPZ93tRVVr7Z0J/T6
hvswBlOAsioLIPSXQ/UWBz6im9SeDJaAYFO+PlyQ8BAwTjHux0mVpMeTp3oZgql5Vo2R30/sMXHS
EeGO4taMTmNBVrw3iPTQYqozcURC6HbHtH5XJEEG3LWkUbKyDPR3M82xXImJJYln2fq69aw4sJ6J
vTBz76WvGHW+p3XnvKQmK5cY3shcOgekIka5tQVpK5dJD5F7YgrbOfd2PhHnwTLwyQwmdGjekrZs
smbbaD17O+5DV6xasK0I7AmyQ29dXndViP+LO+zkYGNsRUNysCjuDbe7dsijJy/Fd+/mGiO464/2
Ncrnh8iN6Bi1vUDO4gNMg+QorfyJstjcIlTrtp0z/UgD2bHC6T5Yx8ijUcboY53kmMweFkA8r+dK
9sO2cPtx3URx+2GmuHPjtLkaWx2hmK7N0zjn4cacajgovhszIY7Ta+iV04U0lH5ao4E7eVlwMnIy
ntICHQ36t0gfGR0UGwvz+lqL2MULi9puJYviMwabFeBKK/191yBzDp3yfiKPe2tJI7zKklhdGi8b
dl7CA6szZGxofDCXhEF8pJdnUm324ihKo8fBgRZMYT7YVgMkSrXEwPalme0T4S/mREmCmpuGYJ/N
B1uSwOs5fnPG02wXW4vv/r1Rw+CtXR0aM8shriHz7bY/WCr1oYig6WTAccaDiMPMEt0xxni6oS7w
CIfGVb6ZouYdkyUAcZToCK0Jm9n1Ca+5JYSGsaen78GtmUj1c+BIfYdTJ8nZW4XB+BosOXyDnY9X
5Rj3q6DI85eQiYq/9kZvAvLeY53xPQU9yQ2Std87NhWire+ozgJ8J7DTjorzVWwmDpFkxXIJhJTi
ubo4RcPCZI4gLFnCOlqjajZE/PFUNds4zvWqrLgDp9Z0Tyzvx6eZLQsiKXKIgqY8DMXG7o3qZNbe
/KYK4R6tSc6PKlMQ7swmPIyzGx4lfoXbNLfnTR91C8tCOQwKCsntjny3wGO6bWDO3vkNnOsqok9Y
xTWsSIHBQBu93BphMaOvR5hNS5h99z0Mx4GYhp0TTf2KpggaVcLutovlXWEavMtTMRzT1B7x0fY9
iIiYDWkQm7gVueOhDyTHoB+jbThEzgUTucMgmAWdXDZ1pp6nEwFArO+AcrHKIwpV/nRY7yXLni/8
Wvk5X+u/YtkESifJlyWTeQTBwqIwTUiQhK5ov3Rfi0T/a6loLfvFJSAmWLOMED+VlLLYOH7pjcDo
RH+cNXwSJY16z/DRZcbSoRqdl4Wn08bNu7QzT1zMxunnGKe9GbsvYS/EYUjyJl2JCqPtCg92vltm
8D+AKFRr8KFLXaD0HRmYBSI3ZtfboJfplcEmJl9FZCKREWvJ5FjbfX0OdcOqBnEEiyyckumBZKGo
IbwZaAkInPSAakb9sFRgNOtaEVvJtRHs9CiRsszmPVSYM5lcTXkOrcjlcFbtR5DipljHg8X+XuTN
AubiFP4siwJPz2RE9yr3l2cgp0zwIwEHHAA2BVGSkriNmf9mTlPj3iCmho+b2smuy9M82MQiIMmE
Ii/ZsAVjvq26WeH95iKZCB9XU0dV+PfiSyOifURG2Xyw2M6CjYXEkzpZgvlmPYsOlDLUexhzQsNX
S8FYbq0e2EyWWMBpfK88F/U8HxzRDBtZDRzGdcYOHA4XcrzEbXi5h7Iy7kkh7b6l7PtuSPnJN6Xr
qet4/vor4N/YhkdZGmm9HMqznD7ZBBEKEyJnPrIlMG85BssPFE9VvzFirN6oYzkqWdRFyw6dl1qj
pn1iGiyMUsG1M6E1lGsh62m/GDuuRJ/x+dlWbL4YLRXF1osicAg/9FL+hl714rdjcbQaPoIdo5UJ
5AjLZAJaM85RtS2zNFyZ6dCwr3QjFEAVc/1jjsT87q+bCPPPc3AybInZQIgGQR574j/3Zl2FhEtl
uj2Q3NIka2/u3BsgvAvSBQbL5FCEJSGfpo3FeOsTsLDNGnD8TDFe46jkZijh4TR2P+EYVPo7zh3n
pk+t8Wmgyt39mz/2NywePY7pLbxp20NEAUb8tz828IPc7w27ORhsnFd9U3oPEwaYtTCz5MbouNIc
/1xUs+cuy8EvbQTvhlNejtUb/igmn6BTLn/9R321eb8MvvijFsw4SwT+KGCEf5ped5rrksYNMylb
M5gJYdw1QafJrjZ69DtdsuE4nLeTjT4HMRBVS6YWCUyyPBrQoAgFdPTJLrz50EVu9aHSwr8LvFht
w5Ygg8gAKLDSrWts/vov/xd7AFCGX1cfeQik7N8ogzUouWpJNz3EBugosBNwZ/3GL7E96/quWKrZ
GZPKpuehfG0mIn5LXDLQ31r33zaz/+KPAZMZLPPIYMlk+R2/63YGCbLTUB9GzTsNhLjKtlqGE2TO
cXEcgr4KWXJ99tbE+pcYhZ1hWm9BpvCVxfY2ZX27Ndwh3nRKVpe+tpyXXqnyks52fiWEtF8tB8Pt
hRzgEkJRkgRH+LpYfhyifNORB1pylBziMHVvhIkkoh4l9WqBpZ8Cct6VIwhEJ6GarzXeymo5YSyn
M+4hQMERcv3pE5wfca9W6aAZthvOWKAW1L1DVRy7jgNsSaCkkWZMj5Yr518icIu7tV6mh3+v1cdy
1ncs75YzJVzKduww30PpNqsvlhUZf2RLjBEAJPYb56zT1KAmIwfU+/23mIw1CB+uVbwSp5B7JxA9
fn9e6Ft8SSkgFGNs2nHrwm0UaEWQGhpExmcdAhjXao3G2fCBSutbFTmoAvQSi+t7cxEf8yUyNyKv
PT9GFPTRRjR48NYRxqoAxw8V99UXx8gvlnW/M1DT12IhSkXRIoiLS4JSRg5hlC5L2I4/mlARJop8
2mlxoPvmiA2c5hmUm7dGGOCuG9eoajbJQL3GmsYtwMT/Y8o6kiJSzFddT3Ul8oGnA4duu0lKr/vW
psWrjxJ2PY+megmGAsF2PaU9TSUcsDAfgvQ0z3z5vHSM+zoDXWby4sB0i/MyyjH4roksLo6tG1Rv
CAKrN2cyqQ0tDJUrjpB8ZyNYvKUTxQ+oBcrcgabfK0BRlZJehiQAG6koJ2O79HZlQkYMEKt+WDtz
MUKhK4ZuZ86xPNZgHc8ZaZGMqVP/Tto1pCmzg2BaWtWbS97enr3VdKVMume4nTNvgBY09bOVMVDS
uoCU5Kc+p4nDyQY+ifDtoKUzihyn9dcV6Zf9ocFbZpINx//Zihl+2CLrDORcYPag3nRT0pzLhHei
VpqpnDXwyhnD5RWaSI5ul+XbqpCW/j7gPT+bA2MWKDf4cE1Vn9LJB2XF1Hlf8wLdo3Vy10Ck+m+s
CWjvB2b7wTIBInpCXcuc+ZCPl+cpGMr5E10XOLg0mNVL7pEHN/qwzjoikgfhxjcm0KWVHEhrNnHQ
r0tMO3dff/XohAyxgrTixqiK5RqgEjuay6M6Lu8akQOtVAxLXl09EpdXo2JYZWKwtl2fMhlZmtcU
aBL6ndHRd6KsuTIVhrSPr3exKsliWmY901VuY3hcil7mOrbHV7UMJSpcU1dz7E0XSKDB+es2tEZG
MNzeWhzGzpguX6Qsu5n03dfEp7S5fSTpnGtA3iFmFbpgiKfpgRxKiREKQW0XoUH+Gg8YscHX4Gg6
WwaOfPXLIG9OSX3LFQOhIUk+62CeLjOPW7kep5hiBPlpsQ5ipldi4ZSB9APnSAEc0qdQknVAmG71
si5JSiw6q3gQxXGc+URkdKAFjmcewQpQ6yNLdza+MWFxa9UZ1TbMuAVLBnfDtpQ8MfEo3RsLAckD
BQ/0sMbrm+c2W0CFs5Pr77PtMCgj1V2/xxkTl0a001Np8JhHVl0cjQXiZrsOxxodfQSPh0kNUl6x
At21IPHmlP+StBj2aNiNW3sJefia33y9sEdECwxXEGKjxv0pxOIGjXyDy1dIiiXdiHz391szZXSp
FjxbWQFqI4ayPKvKyjcan8A5aBv9vTKZoZlNzEwNiGl5HqSd3PQOndY6FmhKawMjfVWE1euIJwS6
rw5xH3HOVgPkn1Xi6vpdlDYXJM87c8u6nFGOR3mOqCXEWypvdb0cw5hpmytEaEwkw9Sn5s1rfpwX
+nS1hGo+JsvUmxppeQvQoL2aAbeEM3fNRwc86w1FW3zjd4qxUb3cP7lDA8BJtCo8Pk60TL++ytsg
ZEIaY+a8l0PPFMnhNen5pvX49W4wW0bAi3/gBlHnMndiiNobLuzC2HB5VQxAzzTpjhc95dYjas9+
vezK1kiAiyPydOJtvcx8VJ6NXbXjQoYMiI9TIbAP2V2Jv4wiFuV1tSVllh16M9RqV8+kIMkBwCKI
qf7bNFAmq5z5nKgK69GQGH4izrHvFcKhFyhDC62UY/9rJNi3DC0DSwE3BBa2yUZKkIbTBJqT0UAg
CCA0wtykUGppdr6k5WQ0MwVF0Eraoeir1y9CZTswM7ZRgh4cpPJH24PnYDFchiXxZSVejtnR59tg
cjRd1ZUTP9PVTwqlvVz6iWZkClUDFagZ2jwhl5oPBqm80xpNOF+m4HhLep6jPLR5a3m9osezudcM
Ed2PA/MyqwBhcCwdV58GdJpv/nJULgEuIGjs/GYOLJTV2MWYehnN1tYh74eEkQnPZM10umz96fIl
fre13/1cWLF7zPbFCh0tD24K5RaQc6V+NLKm5NAYpI9wdmliVJrcWH752vcu39rsG/bRgvE3MPrk
O2iJkd6U/aC/U5XAOwWrARQMGUxI3dK56fVgCA7ZQVNOEFRPNQupfNN3XPApyOdLbjFS//rHrwdz
Ajdlrgyzq9/dgXcquGPnWM7teDta4BHZZ+KlGCoe6JQKN/YX6wIyqvjGUT6cQFac80V5Mx3ZAOdk
bPJPGOWVt00aGtivQbEPrNOx6EyHpQqYAK72G2XN3Z5BAp94OPpFNhy6wHkh4hJ627KJaRmobDvX
55flVRec2gjp8Vfp/N9V5b9ZVQJ4X7xM/7d44fjxllS/7in/+Il/qBdM4h0ZHnHCoRz1WJv9754S
ecLfLBuTwaIe+NIp/EO7gOBBsDoUCJWwZ3kLqOePNaVj/i0M6QTx9qDjdln2/SdrymARSPy60UPH
S/vBn8VKjZA/7F7/3AznZqS5byLvGmaUcaS/HfUVgaeMJYwAICoL9tGSuQ0IhB6+eKDWcMMfpCL+
TMgjeXD8nChZs7IfPc8cn3PfSK+Y9ZE0W1gB8w1Vekw5CToPqw1iSKQCoPuQDSTxMOgnQWdlrNBb
Fra8ysO02UNXyLJrnzQncBa6CHbgQcujjCbg7BzvazmZ8Qb5oLMhpsrdJSk7ym0Wdne5Ctt6KX2i
c2ErdW46q91PXq9PFhq/D6KVXx3Z4roPG4F1pvL3Ah3Yay1zscZ37h0579/sOmM5CIYZAAQmhuRq
nlh1ClU5Oy6UcV1mRjRufL/fJezTiKOuQ7ZpNaDezpT9zm0KLJhWOmRoGBPruZ/GJZNKbUhPU0wE
E3E/EZV133a63JCN8Fww7n0a3XG6GWm19soKKagDb9uLaR3ZvbxzMkMfnK62rmsp62MHKGYtsjQ9
y74ajjQX6SU0ijdeseAviHjYYmXJr7TMw31RGf0PcoKj44SCapeXZvFTFmm9nbPA/ImLI9AMUBHE
hVb6k1atZhSZjt/RAA/lCocNixkVxGsti+DVsjpicfws4bupnmUqn7XBry61InsgGXpSVQx3a9tM
98j78tFP+rJc+SzVlnK6d82VnYbywZ9Hwl5gJKrjckc+6b7xdrAm0SpDB8oPvtVpHEm+T0Bp1fsb
huY9rAX4ohMn/zh0Ky8343snN/Nb3EHzTTTQ1CWzo8+JbRm8r8Xo8lswxUGpdfZOVoCmZ7eVPrBl
Lc4uoPtzMnn2hRA6ssuSaLgdal3vyqYZ39vAKRijCLvFXWeozxAQPWPgwTH30s+GM6sD6hHMK+c2
CsAtjd4QfzCjI31KwfwkmrOMGfsp/8qEBFOt0tYX16w0xcqrQ15jNUN5xgxezz4xaLpv9jiRZqXt
yUL3nWt8vMJPN1ac9Ezl6QJyQzJ8r6QVXvVSglppFZ0qsJGq3oVo+VPNH+VrT52wFzRPMZ5l9gm5
lXxiUmLMGhQhDUjunWvX+PBmZuhM1VEhG1QeK7smMn010pitbbjRuHxE+MxiPV/1tX+lIoBUeKcS
4DGu+NF7Jtp1uCrvzCjn0zzKnqlZn3j7ocagDeJk+M4E27418shnwRNEu66Fybwu82G6YtnhtOsA
Btgp8PJBbSR6fyTO1nyLrqjazhrXtOeRKtWONmR40Ij3zPHdfUDv+A0SdYV+vUyImYpyA3dczPRY
gTR1ZRjQJId8JK/CRrKyirAhTWtA6lv30xa7WIb9Lpq26RDMT/2oR2Sf2twlSM02SThxSVonuiRB
Wd967EfMKKgf09zw7kO7O9SlPd8MnaBfGv2T2/FYQ/2yxiOR9GjVKXhuicIwtuZgNuMqUMH0kDeF
usimtx4tS2evqSCnzVgsGt1QD8dgSpPoWIrQfxgzbaFmataMDsQFJsBWlNVwhwmhPk8Z6mkOT3Hd
dFxu3FIJzqnU5lDQ4SZGC8ag3vwwB9e7Vo4ujyyYrKNsOm+Vmo1cQ0GlzuIi79laJpsoVY+GrybS
ICy7fQCAMf2UQlEmoSM7MI9g6TFpidjKhPCDYiZZm6mb7/1uVJsUdxEm07nFgduNTyUC0R1b+Xjt
4ea9iLE0gG5xEIWkqG0icMIvdiWSw0SCxJoJf7itnXYyYNm43gsvQSrTMDR+mhlR4Ag3sKF5TveZ
RUZ17bhpdd9ozwQsLGmYtHiLZxlvURKwl6v6nrzWxqjXiuXRC2v49lzL4r6BWHVK0NKv7bpWVwCG
29u5hNAwMHC6FWYa3jRJzQqp7VgvObFX76UD5QObbbBpMEBtOj9xfsYLdQexyjvR3MQgcGYWqygf
MIt5rnFODBg1+OiGZ0VUxdox1XxPnmu4ae3KeyHeiGfD9tRmdgNa8zQfL2XSGRxYMXxhisPXvMDG
Efg6vTajstzPojLfBhk7MLBmDDMc6dYwWQe39xQbJyNyH1KUgHDD5+Aow+J+FuaR6kGwXEZNvEUk
wAVGQBFu/LS/GxArPxujS8pRJ5vV5JXJbVY0U7kydDx8EzHTjpCK+hSj7g44QaPwwLkJvrcV54Za
+X6eu9sOp+0KbXhxBWs9X7vce48ZjcESF4ABzKMXJan97M1xcgwD4z6fsF6NGPzoce0Im3YZBxhU
vI5+pS22jd3JtQiiM27ofF95TXdcsFXgegA+Dwr4NA8UqxQJMTxuu8UbVxBFEUTyHLs1x/cQDW+0
3WrPgse7mvvGfzf9oviBL9G4Zlh017COfyBw5ElMDqGq7HCBUrBkrBFB7YPO77ba9funRibdCc7y
WzZn7THJyCLSebqk6sIv6+aCAIPRiJtTCmODRil27lErVLfzgvcnEsHtCbe7A25tvYAiH86gdvtk
BXarfzZZCx2KuXfPUqXZyUrdXWVnei0sSM2e8200BmeFx6/YprgcVjRDxSNLYbXv2kDfqKBlx98o
ohx09DMA4LaGrpXsgyaEh8F+6NAQW3tOHGe4Um4ef+9Dlmx+g/9IzZCkUbfNn4S+PCayLNdWnvkP
ecSf0Jp5i6s1AuWb2RfMfOVWJeZr1NBzy8ohCkBVZ5yATHS88YzewXkqdA68DmL+1sFwtCdHN2Rm
lEevdTeNewcJwisECfSeIRrVqrf6oz9k3a7wmtfB5FwJ6Z52KE9X+UL0KLrkja0ERLmJdYUfZPMp
DMmHyeOCLf0V3mQHkTh7/GunYENLDh+EZOEXT5nhlQ8UVflVqQNe9djV/RWzjSC7qdBK7Am9VdcQ
xJHX2mqPHa++YLAnDGd0jX2SOXInEis++7SE29rKukMM0YNekxCLW+2q8Zg4BUisoKs3U5Yxh3CG
V7wAOFX82lX7YTDnG4X5cp27yAiquS53bjCMb10QBYwPNQkAUc7UA9FQrMuVN+HXd6t5fC/zRL16
jBEwQjVvMg7Zylnxp+yk3mUwZCo8WUZ9nBoRrGWWGwfa3RwjoM5lBq8gL1GYWrDycsfbDr3UyRoO
+AdUdAt674wmXno1ueKhAK2XZzfUveuWDRzeJ48BYKR4gw6ReZo5B2BQUW0m6KgZ4hnik+WRu2on
LDddC3Ku8tp4S0JRzdqxq7ek/93hbM3tVYMv4yqKmgXLaMGN5VK/MnqND8zdo61fdqjrQcTl4A67
Zg1Prtlo1sOgAPzI/64TUYc7s/OXjBlx5zO6s1ZQ4jJiQ1rzfVR+cUPEEQdCjzTBjnJrF5UzQ8GH
YIy6jODlPkiq97STPWRKWRahfPTHJM+dU+QGaX7FTjysHoep51sDszwaxrQKSyrlFdM4c0aeVph+
j8UvwxUbprm/mZK43BhtlLUMG6bxpyIG42MI+QupEdzv/AzyHlI50Pz1ivl+NNYs0MgJZcifnroe
06ZW/NtVw9rS5slDJVPv+I1kR4XAZTrwPXvWbgqDsxrLjzoS5qVKx+DoYVPnCaaZu/Y773EmMGOl
IRJ+OIVqInw1s7oiE3rYunNYo5vWNt5vWZ8MdDN3gonnBm3AhEIxGbqDU6A94TRgHKEhk1UOJYw1
NJJwiDQ/eHXhbH0UAFeibOB8i5oSANr7FuvbuHG9Sdor3+D3iVxVT2PaO88NQOeRHCEFPKwxDWvF
SD9fC765+4FMrHVatNPL4EY3cca2CSV5OD4AOIw3fRan0bpFNHeZVGwhBWyaTY3vSq8aN/A6yM4q
uAl4C+Ne/h/2zmPLjeTstu9yxze50kSaGNwJkAAKQBUKQJHlJrmKZDO99/n0dwe6W2JTv6Rfcw1E
Sd0sAxfxmXP2gTsHApzchVWL1esw5UnyOfSy7q1TQ68GouJpLpbwKbeXduupJztgbLLTZEf3ZaMG
OGnBMDbgradh4+Ao3c9JWz8FQa53flzyV3ugh/u0bYprF+KuC2ujfm6ixng1yFZ4LcrwOchd/V6Y
cKzB6+nsfMyKeIxCQuvpB/3oIpp/ImekVfuaqnAfwGqLC565D3dpGLVWy8RAU4t0vI3kD8XreAkF
CQeYJh/TbM5eEh3EoJeMwc4zJTbouTfMHa1Q9wW4zvh9IKVnXTEMBCwdVj6/UbFNMEyW/sRqA9Ja
Z8Nbq0lqYHpT4zKM7PHrQtVHxa8xCW/KaT7X7H4jv5BZfG1Ckg30eoHySB4Fw2ZPMzboSuUeymmM
QmpJ7kl6jPe5Jd0T5HUa2AlPv6NrXzOvXL5EIRSuFatRHhzAvhITeDq/MKJkzWIMo75eEhfr3VxC
gCN6dteZQ3YtVJ1kLbyvGngerPx1QmAVuKGi8l3HUK/uiiQwCCogkZH+UxWyht3co5OBw17oij++
wJJFb8bipiU7jmF0B0bg0cDWbhEThN3noTa4BcDBtPg3+wgn3AiU31m+a3D0xrMhIfc5EZjEuBi0
+aVjpTN9Zs/MBnmldTS83bnXWwvPQt+z9a9WEov3eOQpaTxCi8KatYrVGiUMvf/LoLeNBKjH0xJO
u0Bz689Zlk/PP41/zr/vwX8OQPxVYIDqG8ANpB2Xqozpzj9Y3UADJJlljCcGnbavSTNaGebAK4Ko
zQNzGr6bubUbEvNgpfZWE83WjoyN5wYPqEg2bdlteKg7iUk8Zbb3r3+5X3xgv/9umKAM4bjICcxf
hOm5MdSFHpjjqaqak1tRKwZ37Av/8x+Cq02gR0crgL3xr0MlO+kmmt5hPMWmvlL/cbRsW7jl7+KI
/44k/+1I0lNagX8xksyyuCDt7a9TydsX/TGV9FwsEgj5PQONPRIYNWH8w1MljU+2SltWwdvSVDap
nz1VNnsyjE9oKOip1TTxj7mk5XySUKaIwZSO6eHG+I+w4Y74JXpaIM3AqMnnCJA5E0Op5pY/YcNj
J2Z8Y7TRYaohH6/GqrRXNgDSY1W7jHrmyRC+6AHPVSnLYdIIbC4offBseJctDeRdg8IqWHv4BNiA
uwLf91Au46rT9ekCTTUXOwN1nHZJWfy9YGtkKUnETYgOI8gIIxzMdqBSzr16lQV0K6s+1xcQS2Xv
3MvEcbnc8EbtF2PBC18kJRSkzLWazUCIWgTMo2TH0wYVdD1Pq7/KZHa/cS8PfgccZhMuOoCZqMq6
dj1j2rR9g0GTiWytQzguc+dhRBW+yof+2rLcwXptcB1TyOlAUxwjfqqSZL5A3ulOTWjmV0WELjaI
+DVSY7wptFeFrYd0e0l1zewKfnI41kxEyvkuHB15MKsmPnLsYkYzG7Kjyrjc2ogV1mYbEaHRjeCY
/MkmCIXduvmCJ9+E3dpkT4ZJ2CWSxPeQzdGjXc7SB0VnnXu2W/uhnIUfGeY5cpbWJ+jN3WgzYMKp
0rKz5WrZySrGq61T09oZfJ5VNbnRN0J8qp1wS2vNBCs9GkqViEWuvg4Nh/qqj+LwgbJTnMaosPjd
+qW/18dNbZblKaia/EcyOHI7pAJqvE1YPYOw9mo68psdQBQ0QIWhjY+wYbT8wT7zRUJlXzVMKNdV
Zh+g7ECsIWbuCaucdbUmOR1xyo3nuNXJMEujr4gmog+7dEafS+PIaGr2bSJW8HUEgpu80i5DOeVP
WZPmTLyy9mRaabTueEbWgUwvTZZ0J21K+3XMJ/YLJL5gJVpzOs0EDfqAErBJ2PymGnAvXx+C8PPi
uTgUMq8GcpXAPeHbJglM26oyjlZU64dZ779n/P1HTMzZxcUtEvkw5+XVJUrxgnEGIFMTJIzfCdQ8
CY2RZlJxo6SkFu0WrS+uusk72nX67t5MBQSSzFxVjSW2lO7tQzlZyxtzQAJzta6LDiKJDJ/ovKym
2R+EX6M62FG4I0eq+6NjyfagR87DMLQ1SSlOQVZb6SVrL5mou3CygDfjPehPOjqLPgD07izds8aN
AEP26sEk3wbuUQzkg4B5hVTbJ+fIah41MOAouaUvM3Gl9sg2hVchgnbdfZ6Uz7MKeAdW+Z67TbYl
E6Ob13lsHm3B9Aks8zGbv2shCNTSIDd+6fUX0UNVGGYZ3FXjoCHGl3IDsCT0E128cRi2j2aVY3Rm
Kr7O0tDez3UrnoWjjcRrui2DywYNDwBVJ9EOLiXbiiiYN5Ks6k3v5s0uc8kqSNrD0sX3XQ7jBkXE
aoZjXgS0EAQurAB25j6z3By/YhVv0zGZ1oJS6OoFVnapPDvcE/cOEoSubI8WcLrkU7bsii4ldJUL
e7ekk/MgmoEUIGvcN7MIUp8B5HgZRffcG7N2p9WzfWJoHRV8wMpWjDp8aE1k0q8N+uLzHIxWDiHH
PuWN9xULq71xnEV+TqgKtwLCDSl1cXCeLS9+RKj6UYiKaU0NEmaJjQ+nGmyYLI3evbcND5nkwspv
qsw8hllBC27avKX1MFsPOeScbI6y88yxu4omzrusbMhDcov5feklOdgB5/PQ8x6M52l+l/OEXAsf
VP1UN0CtdQd3KRCyxxJ4O0mtkrr0HNoBXO2KnohtCbaOFWYAFMBLUu6rdCA5Li4QGpdVIa9d4v6o
Sua3IZKV7Rh5GUMFzwCRSyamt6qcIi+DNaqUfqJxhvzDBiV2NNRKyAs8s8u3c0RUD4c748wJ2Sue
c0PczUPRHfJCj3ruFq3+hkK+nFcRmBV9M0U05Y9pA8VmlZSTd5f2DEDuJ9E4l4kL+8lqAj4i6chb
j0nVYL+2BvapCDkR9nVyIr52vPvjtdHXIXNYLXAFiYaVe60JtKVJgH96QCTvHeo50LadTIrwLqi7
/Yw//jHK+uyJ7EELVMZAAm+UBrxx5TJGbxVCs81givzOIGHlw6Pqh4zlQRolq6IT96EFcAChaMU4
bBn7YI/UjM+HNQzDigAK2K0c7T+KVFCa44QeH7qhbc/zZNa675Js06wWA+XMijg8a1qJaelf9MCq
P+pGj9+4k4knIDbmAaxw/hgMtvyhY7olmBUQ4VUjd+dFgyx3ynV3T543a6rccr7bhbRjAMlW3RNm
NoCglTQ6djnsc05btHOGOftz1qj1IqZddn9J5D33w2zfM5rKvmuJngDG7U10X04VjxfMPs4z94jc
VOw9tj0rTo3hj1sFa1DMUbhv4mn6ltLVCA4jwHRELQ/nyaXpgcseaec4QU2xMq28eSPGNT1ZWRXi
jAuwF61NmS/kktTpd8Eq/gri9QkhzGjSNxbBnoVV7htpxIe1Krv6cUHmHazbsYXNZpLqCz4MqNRD
BbLmzR7n8bcAX9g7br1hW2gJDS7ugRClWj1rh8ZIhjPJz0xxrLbRvgl9bh9nMsOClUUq4F3vEqF5
52pj9S5D9PNraFH9vjJAovlJnNSMTtw8eam9WIiVV1rdNRFs39BJYiVyuirb85kjZQiAXzWvZ0GH
z28uN5bb6G+B7AKxKWI9nXwDVc2uR9Z1DWSl71hkueuClQWJEJ4AGG1FDHxtY2DDlJru/Tx29cGI
Osd3KoENZOhbWOO84YB/wdskQ2BT6+DGiensNsRLS7Ey2upi9G3nA7SR95k2QK11Aer6k5tU+9YV
DQKqrGje0ibpGBaGfWuse+zarxjLqmLTkVZVE4lZL7+RpW09BDrbJ8t0voowkl/cqMg/yrAtt1YE
fN/niA/y1QzGQlsTfs2JyGJW38dYhR8kqtX3wW4yiOIV+QdmaC/k1Vqz9RVvYnTsAsN6lh2KoJWX
WxODsYbVJ8zO8g79Dv8zXfrUu0sw713x0deY0MzI+Bhw6q2rwq7e6c67iy0hnK+TydTfepQ3wSbE
rMV7SW8VKsc1vsuavdImyJ1QO8AHDl6BAhdfoL077dYqounYtz1qp0TTkIU0oFSAZaT7JEzP+tLH
r3XhnsJ5wMyHeYZEvw0wepZLcycvopP6qYfJ7IcyZw1pE+vySBqatvKM0N3VyHYAijaD+CrdxXSY
4FbhcyFQEq2SfGS4bAACnDHcxDpRf2F4ajtz2YzmEuzNJCN6QtidvyDo3/a63t+DFWGwg6kFQlhP
ynvvuL85YDmAiRMfAdesa76EqBK+OqIMtkOpE6fMq7koLLvoHyJzgodGmQUEKbAZ6QB3RdmDvjj5
XoHuRl+s/qi0KONoscaHkrXRSxZM2WcGZBGgMFujPwj6+4adDlPY1PGOaZNL9HDUiPkYHjziRttt
0dT9nRdLROyFGaavrecS6snemC1AFNvkElSV6WzYii7HVDOqw4j8455HmN2bIo6/BUvcbfO466Af
1MM2lFaxr7PQ8s10ealmVtprwzSaj5AFzRnrB8sxkAP/ZQz8r6K0gDg5tK7/vEt+bH4Ly+LnHvmP
L/mbcsf5RFVGf2yCLnaQ6v+tRzZM8cl2LG5K+4YdcTDK/6ndcT6ZDnoeAMAKIqAYI3/2yDftDv2s
i5hWuMKBtnxLMyNJ7I+xEiFkkK7//v9/HjNxMv2q3REY8lzaQyUGYlL3q3an7YFfUEqdE0R5iWTx
o3NcNyHBqTKohLgIp8YKXyJebLZBICHtrMYhdtYpkXTjdKotkk3ZzdRU6F2cdtaVKolc7RfbGzSE
MQ6fiVU1FCk7CzWL67Ja/872eKQOwPJKs8XWWG3eoZAxLi0jk53qrpQi3OQo+w5KKvfDQtZYrmRb
e181NTucHC88uKlaqpYhJ3/nZlc2LcEuJP7At2TG/owVHfN8y+mJrzXR6JC/WDWI5yxBriQjTU/N
NnM15SzUvNNRk89YzUAnNQ11B7t/Z0dlboReSYaXhRNdm9swtVVz1aFfAomkbsybjVXxiFdE+HYe
9uSs8qUOjLAOEF4OMXRL2uWvsRrrtoMTJSfUn5rP/Nx9jBudgfAMPiReZ44CBLgRYQiBnCSoVb2L
5yfX7rrC55WYX4O5ZCHL0USePOFPT66wArlqS+oItuDkEUNiRG40TtMr54Zh7xwx6fsQ0e0G/ybu
Yuw+rNnczokgRsdW9UIMaANHghgI6HugXrSWnCCCk72KwM5gYRifji55ipm6wROM/moiTMPl448D
5OYg7X7r+rl2zjwSU2eHOOQTrRarg1jvLeTMjH1RoEQ/aK9gJaqNQxuLfottmDCeOu4By0XupV7E
hDs3SkPfnLvyghy4OcwloUF6XhsXTe06iiF3DoFg2kIUBbsQopIYLzBYQuml1iXRTI2fsmKSnrGt
C626F6GezA960WONPdCijl61lmhvPG/DEyEIDsXQXp3RYYP/JbTMYNdqwVFlqALUkmDUvAUXGaB6
QlBUGB78lgp5nvDzhWfv0rcsWylaB/cprwr8La42yeo5awa3XtllS32CrIAsVp3BMyqNie4Pl3Vb
HhI8tmAIqjD6nteUWuskc4HTZd6ca/cD/JpWcavKE+E+8T2tQnR0gmL8YKnBTCltx54oIZwTe1Ag
EZYPaA5Udzi8UU2gLkGNpbOmXHUGftf1uCijkk7Sy7YI4/gcT7NB4kFNDNCqbIKcT3bA0BgE9hx3
PpGm/YhAohqG+2WJ+xo/s7DWZcSr6VdDPhgserRmWSUauXFnhxRKXJSsKd2HaclHwnNsfdekbo91
H2go7zihqcRXXCeZ5sYnQoEypElBkEWUdbrT+EjDxlczbstdJ6c6PGBRvC4TqOiL7LVv2iILPlOa
U054TBK6UihA7bLtagwi27Cfy9cJcxBF6NyDCEIeXO4EA51ixz9UzGQNEsIdJ9H8JNAKl3vTdoBU
x1lmOjswryZC2CQArl1WzQ80Rl/sHnOBFdvt8jSk7PXuxjQyyn0TzJPvVRqzk7bVHxYCvi5Ixvk8
AlCkE0+osogH0YsVxqNkt0yWd0gQ6iMAGDUoYpOhOMxWWyz0lU26Q8nUbjIjDNiA8FqVWyziiW8u
wrpoFXLsrdVHeF1lYh4BDFM4ewmIdI2dG1bRCApItYjY161MRauwM0++NrVLLLHeaV8YsQ1vLXim
ZoNAW/BZExN+TGKRNrnhaN2+CVWGNtlt7caJ2rA58hdg0BoaIzZWZw7F6cqhdmFo02qs0ijg2VLq
q2TOBBOY3okY8Tl0NLbThGSHDNXAxKBRGPmOsqdblXjKMCQXVe9RcwbZZ2MOredhXF4Eb+FuFbcT
cDyJ+eUOEYx7wQYAFh2Vld+ZUb0nAQPULnJoOA8aqmfEU+N0Zf4hTvhq+gEvKViWB4Qj5cPSEUi2
8+rSeq276ZWsO6RxHRlEBoLJIPPWw6B3Leu6ZOofWI8ap2U2WmadJZM1ZEdTeIGlEzTmKhHZvMx3
ueV2rp2sBeqn4MDsZvROcNyN/24d/lf1FKRCpQ7+5/XUkW/Tf0vnnyuqP77oz60D4mUk/GiToCyR
VPG3esqTn2yXjREMa1hj5BRT6vxRT4FswvUE8Auf5D9GVFB9KZgk0mWH1eJ/FFFhqNXXz65Wj60Y
uwsCMizp/CPciAowwm4UhIfBCAhSQ7jtXkayhLfWWHS7uHblYdC/Jto47asaZQ4zHk9eh3Lo7nhX
DzuLNfSOm58Ynp+exv9hoWibv3KXPJMHhy5Rp7QUhq4q0Z+3IVNrz3Zqeo6qbaryUcpUf/QWBwEp
kmQb52RPih8HttjETbDqQotZYzWgHZlkH3z3isK4tES91s2mAgbtviyVFp6Yb0H1EVFrvOURnXnD
igT3zTI4Gmc+cew6QFjbazXkRp3mcZ5CShY6nJfIN4B7MwQoEYA3X6J5CBXCM08YONlZzTizzUAl
uKi0VnBh5IEcUAO+w5xspkZ+ruk7yW2To2ediWPuQa8T3Y4UNydGIUPGh2Iyqb/mc64THmUBkh2E
gspC2yPzzUPDYHARmVF2QIOXpVuEqwBpMXWywq9hcytabdEEz1Ra2q6Jl+ZQh4mx63ur/RbrUQMd
jzWRk7RH9taHCn3aZ/dGxZVkWrlt3yGGiYbDpA2aH7sLIN2Mlc+pFtZ8X4DZ1WJ0baSAwt7VgPDq
isarcQ8C5k2zSNFowPXqvT0+aGGpXej9GTy70dxuxniAS+kuT3ofZo/N3MeIcDkzWSY5Rrj1Uk2g
cUMYJKuoXU14A5Y1/NzYuepeWl0HtGRUd15+tofFRazI4C59YMbeWl+SkPZZmfMel6XeiDkwt7XM
xs+zDs66iOg8J6eyd+y7i20FgT1dG43Tr1s8C5uF6cLdZAUVSCiJkXfRUeOhe9+LpRvXRh06F571
+oiAt9kmhH0eQsOSB4l1/RAZehb6QaFnrxVxf59Lt0x+1KOBfzDtteqpbuOFxY853VuD7n4P3ciB
mtHVm7zm0RNw2K2zmQvPjMsOdXg0iC1sE4rWKq2ij5S3/coym4n6OmXO2IbjVXfZLLPZHo722PYb
RlByJ/Cbb9D+FcrUafGAVDPT5Q3zhsXE1xhHvKWppIItnrF2Xi9MA19tvokSqmqrwJP9hlLV+DDD
JEKnNc+/qaDGh5rhM8EagFqZg2MpwvLmvLUg2FnuuJGxNwcnafxytOZovXTMtncDSS3U2lTZ3sqs
c9dc27IGDQLCbvazMAtJQGkD7bM9taz4hJZ1ezk1xlFWNrP4iedxPyBCwRBqZNE9vVxxZK7MsycQ
sa7FkEAjGFBmz6ZN++MF4hsDmBHpD/wbdBEV8IsMjRISljp9sO0k2FqlRGOK2Y5PFwAhBiWZCIbd
4GQw1M1OjheXYtDeuWnp7FNGLzIal6/usEybYGzFXpIbuoodJJ9+ZSDW5SQc38hO85pV5TkI3HPa
QwMkfpMyQUEnObN4aNz3InBlT6vQIF4v0a0NJwvwyn4yGG6tUG+TdGBA4s/v59LtzBW+q2Ffhg6M
+ZZDBEEryjt2jCX1PL2Y+dhmYrw4DflyaHqiYWK30maP3PDI9zB8AaghmE7bNsj6cEw1i3NyOA6O
OaZkckuDLH8OuqImwsvq8GaTDPMQgL++18gHbH3XqvVHeNHlZ7c0NTDxfSx8veTfO7xH0RQac3QY
COt4GM0oOsfmmH6hJik+4582GKP3LHaqEZtEVXL42m2afkvCTitW0LBYqmhW45zbeM60V5bMCxsl
aCtX08KgvXF11MAIyRoY6kLP5W8NCIIDwTDjG6JddimzMVyNbqjvJiIEF0geSJ5ovu50M2H7QUEt
jpEkfdkdh+bJtsolWQWGE12AqZov5ZDHV5ihuXHXNm14RrZRsd6euzRbm27UvpezjnNAMMG3d40K
ewucPv2IalmTRkeF9dChhEXohuQ8YubpsSBO5w74xNRpqW8PbF/wEHfDD853eZVaNG5rF3Woo0l+
RAgv7J7tiLVNZivZNykBFPVoszLTEGUmbhq8sgEw+IM3Hec8H/KUUM3VDFEGu7mK9EVhajIXtWv3
HuqMpAGeTdpFvTWQNk/AvfdDxyKy8xzn9rLdaV50zPVGi1a9xYMcDHfTRs63xNJHf/ToHtN6sp5j
9oL7hHXiWVqRwU/Nv5l1C9lK2qn1ONGFJgFH/2Jn9+HsBfDeyr10mUGjCieYExK47+l4bqpKJKfZ
xlIkSq3iC5bJfCz4oLO8ib3xhHiA9pqFq59HMwvthj9iT9fekzGtLw1i9KOwawEorYqKN2HL4dtg
werBWeX6DduOnapLvmZaWn7jXWpba+auMUdH4g7eZibA4h5yIBNJrtPmaHn1hH3bilzibluED5t+
1tjLM+yQ1nZuyCP2WdDoz07CdAK0UE1mVOdCQJolei+AriEh4Qls6GXVZV2OtyFyxw9abxaRFVQE
bY2ArnnDmJU+U8LxcqH4FcnwqOkCrpnuPKVTYO+SJEcOjEfaXUg/jayHNh7pH6BzmI/05WJPiVW+
z2XQbbtey/2y03m9UInPTDGspHi3WDryPePhu2kUKSA9jP9cok3+4NUEl7QcZ3yK2nnBP4oqeUXd
ZbIP9BAZrlzXTD/IkgFxbTCsmA1LrMnTrg6Jh+hrxadOE8jg4DyvgY8RQqqVdX7FTdSdSqWsEEpj
Md3kFmpzQPKDUmH0bXsF3M1ljfbrAWNK5IOuNc372HQM25dwi1Tiesyq086ZgTFMGfxAKT/Y89Zf
PVlXBFgtmjy4AvgkBaaN7Yp+Rm5o7JGRNEpR4t3EJVLpTLqb5AQ2Csv6SVuYTbhJAt3CWJjGjzex
SnMTrlCeNIASlJxluElbmLKzO74JXvSb+EUqHcyQkH/AyjMu6jusPGLyYfxF6DpZ/bEszizvCaCD
8MubxEYotY0Hjw8OmFSa69LJkgcCdAgj4mjPTwqz+wxRpb4amFnfaxI+0fqHqJVBJLGZMgK1pnDr
Yle3kEXWWpjr1ioyFq6M2gW7G8MEPpusJPODV2HWCHsX31UBnmQN/V7fk4+W6euiHLQVjgIyLKYe
6H93dLzZLJ3fi+z/isn+vZjMg4Lzz9u6ffE9/ig+/tLVqYhB/sFH2/2//6N54pML1s1yBXNoYbk/
tXXeJ9A2CBVgLd00YfyrP8fkxieXNlDXXShMgtaSbuxPKZn7Ca4v3FykI78r0P6TMTmqw1/7OsMy
VPCAtBmhe+avzVOPqCleoonUCGuZfItknw/KIo6J/nZk4Pnn+JjVSdL2GodKGprGvaNOmuV26Bjq
/AnUSeTi83xcCFh/l7eDKpQpIDi+Kuck4CTLi6V4z22mUro655rbkZcgZHrAgOota9JDOBRbmTnE
3ntPbpNm12bqh0d9+MjVWQqPKiU7h/O1vB21y5AVC7qdavrAXMphHN8OZs1Sh/R0O7Ct2+FdqXM8
YtkV4u1Tfv7ZbALVccVQyNWNEGSyf0ALT6ZwT7K1SgY0PbGBeMRF0VgyMVaJl1i7GroCfYS6Vazb
BcNel8tGKzLHwpPIHVS1VfXGcb2cCGgCqqPuqlC24zfKBO6vLgbtys4f6IO63+YqCT/MCJxMDFB1
RdEPQjKv1o66FSd1Py72VJ6RDJeSG2zixp3hh+xgn6cnz8qni8isZVvNHQiycu+6I0E85Jysh6Jv
Vo6Yqf1i92zcbu6EO3xqGaBaU+6dHdtA3N8l3ZM1jy3geqJVxDhbAHQqKCUFnenB7oidS+alP3q3
SmJRRcVA7B71xa3WiFXZ4d0qkEabs2dK2P6pV2VK0htULL0qXmJVxnSqoKlUaVMUUrsfF9qArkD/
VpJDDqOXqJMlNPqXLJ2rmqYgb5hQN/URv8bwQ+IRJStyViUVdW4En6PINhXeyAQClcRxYhju8IDq
ixQrqQq0WpVqIfk59i6Mc/TRZjK270mSZeBsAb0xbq6t8Fx4sjDuGIPEV2LkrBczzOOLXGx+mqW7
zZNBOvKWY1UcjVs1GanCEsUYYboz1aapys5RFaCc0kA58mR6A8zZHCxVqOJrdJutc6tfuQOoZUdV
1tIsU+G2Hc3va8K64BzdauCBy7dgE7Sk38StSu5ZGLHkXnKokRTRwGKKz7yOKdHqbXR2p6R9aFXZ
7d4qcEMV41FQkGLpgILxebuWnz1VtnPlUMFrqphnESUe6kH08DmgvHFHuajukJ/wKX+doG1CAM5C
KQVPz4TevjpA9dP5rxKiYddBAxrmxMFZKCc9uy+4RosOjYbWwd8fGbcEwwLvYh4Haz5EdpTc1aNz
NrwEZYeg0gHMgU5TNJLqgU/Ppp367I3N27wyMiIZfbfHgL5OK7PE1NnaT31v9xA4KEXXnZhrEtdj
/SRQod13uLvpahObLVGb4UqcKSgIe9x4UEjWDZ+Xa9BiGV7FeOa/TDdVF3o+PTm7MWgM6YuKKu9J
LC2VX4bWr7BPplFrd2PfPAuUJhct9YDVgvwY9xaKsiEsnIdSicwIcCLDWgnPqj6fL4j5zD1QJhZ2
SqAGwja7jI2FS5eyRsnX4m3A2m7jVryQFiq3XMndjDo6wVRiE4MQjqHY/ZAccGPwnSyt3vVKNCdj
8421l9L1aockoTSuS31leAYA0JvoTsnvCPqiVlSSPEOJ81wl04vR60kl3BsXC0+aEvMlixFg+aJE
nFH6FUryxxCYF3n+3rTDsVt4DoNOPyY3naDB/GxLoumX6SYiRE3ouTOyQvSFxNFnG2SxV11JDwM0
iKijHp0xSc4d6kRcFHhw5qOrZIu5Xj4NMTOufHK79aj0jfqYDr55Ez3ioPXumBGoDZ9qZX6XRyKU
rDHqHhqLXD+loWTpNexMC12l0c54VQWAd9+VaXRoQlfEPLxqecOp0j7Q64itQ0a4ydvo6PBq3+sh
42/9puiEE7LT7ELbCQQh6w4nx2m+iUDb0oDYioDjUs80aPg5cJXg98wuqdKQOrL57rIlOqRxaByX
XNYbrcWjsa4Ys6ljtkaM6vH2++ySPu0zuy39WqlWF6VfDZ1wPmVK0zoPRvNlSUNS82wsmaaML3aj
1XwkUMM2iEMRHKKQxbebPw1ZEFxspZ8FbkA4O2M93+Jlkkh0fGgv0Uc2BR+RUuCaSotrKlUuqS3W
1VFK3V5pdjvLObRKxQtumxWApr/YSuFrK61vlEzBWjr8pmZK9Y0C5+pp0l0v/TRvrXmR2x5E1Q/m
MMVpGTfs0fv7sRPIixulNOaM0e6TLkZ+zLKqvtoEJvm1UicTtWmtbaVYptqPvombjFmW1P1u2l95
E2YnCQr5nNjKbaMU0LHSQhuGfqbmFyxJ0EnnSjGdeZb0tV6pqEfj3R4aZCSGlj7lSmttK9V1h99r
296k2ByHSpY96IoQ5hZbGN5Ic4hv3hlKya2hgD7Y7TjfFV487Z2OK5LkEWevZfRbvyMU/1sn/5s6
2RSm9S/XH49R/BcMzB9f8GeRrH+izpUgXfDDILSw/o6BoX72CKoxsFpwPBrEyfxcJeNKRK3OroEM
Hb7s71Wy9wltg254gqpW5dx4/0mVbFCJ/2X5QWC14Zk2Wxg8IaA9f/EFkbMaslK3CfBj8Bv4ZrKk
1yiDSmUjQ1xbs92+oDGhEGOevjWoZg44+mDisq38YiPMfhPM01+wNbQv4QTh/6eO43/YgKj9xs+r
GX47U+fh8wuabIF+xXbK3msCY5RinwwCWmAkgLzpUXFf2CqNuI4zsHsV7Pu2KlPxO/joX+hseJL/
8tM9OnGPJsV2gFc4QuWn/7x9CaB8VE4f13uulNe8hhHVI9OVeEGbUukZbfceVW6Bz2x23CPQvviL
AU3ufVqKhZ6hJTywWmbrwEyo3aROn+26rAGp0tSlc3EjD6HlhH12H4x5d29U8DgQrgg0/CRfJlMu
Dca+bf4YmbNerV1DbfK9GiXnaLiu3/fIh1GwRFq9sjoHyEXimAwOGTqWZFUyMvfYX7diYaWc9deo
aIstRo1iwD3HMG8b1lJGaxlEyRpklUqdbLQN0NnP/YQVEj5bzcLXdari1KD02GiRhte7Ka3hbtZI
jUy1BQvrgpQEc+s4oNmGq7dmksUU3Zzm1yLxcnultdK4t0fMvk4zdy/IfSAt4mIe9RXgUUBgvADO
nYfNFqU23dEElQYfNGbXFU6j+oqgILnoLdIYPwlrCD6l7vglu+bG9yLiYEeAnvF2sEDzg8FwnesU
EMeueMdOBq4v6j6zIYs2MMbGHoABEkW/MIvuOsUAHNaUrnhzY8fgSjdSELWEtKYWgkeHeTfciMUC
e94gE8B3a44MvCT6biyRvKxI6yE3mKa2ygRz6tG2X91k9jaR7RTntGimbRsiYULCTPK5aLoEuI7O
+krH0bFtSB04473Qdovphd/ryBy2qR6TGwoynE+q3JMdkl8Xcx4soBh9cgDeQ84318NH5HbV3cKA
iDFT1d3NcVOirTA71gtENs/OmiJ46ta4/cg66xLjGGjedEBgEzxb/5+9M2mOGzm36C+CA1Ni2NY8
sDiIlERpgyAlEfOciSF//TuobjtabFsKv7U37e6wVKhCoYDM7957LqZLCCbJyLgMPtkPMgLDnVVb
EwHuiqpY26fodWXjUl61ImU2TMAVMM/M9Bt6p9952Ybf3mMSYza/BYetmEbRIOqNj1ZXgjpiuMPM
BoJR1MbYWSN4aUEj8+9VltBhsvCrl4KG8XuO5cgCWYMdNVnoRYN56duwS18AQtHzG1aDy9C/p/tD
K+0cC3S24dkjJRDezAKanWabosjYKJxQPktb+a0iTw48FB4SgBqen+lWqq4ytte+F8boFZV2pi8t
8JiGTh9notZAUIYlaGNES995XbF53sAvjmGwhSML59yo4NWGs4DZGI85fEq8+TwKZHXTJWPabFrT
qV/6mj50i0ojLvVpqV3J+/wDEthyM8R/hP83re4yrfxbW9Vg1g0M49iLls/GAFc8dpGGO9mKHgY4
ChigydTD0dqlA+9+QjAE9wcCMGUx+KUHmPxlHOywZ1KNgWOTjEupAOzTpVLWnNSrmXXKvOCnFeZt
yM5ArRtqxl66nlqPDU4RvbveyhFcOE/M5u0tNHDuo3QBDresffUnBEUGxet8dHTe76fIjgq94Ulg
zS9CqY79UvDHtin/Yy9VzFbMzqpG2hmeCd8U7LkMVqMvapbAZeZOU966KDKMbnnHaOYINaOSKX0s
Rtfs28Au7uarqOPVKZb9nhjdg1pUH/cqAFGEhl56lYWqq0QULGrRdBWOzKuIBLgeQQmMA+KSvehM
1VVygqmD/ES2IlKbalGljGERqDg5iFWIcQhX9VXEUldBK1m0rXpRuZKr4BUs2ldEEhK/MYDbnGT/
a2/Jjw7Iw+MQhpnYW4uCpq5impEvwlqQLCLbQrccVvaivbmLCmcpM78kzhARQCHafJMsep2dqwkL
fKLENzFUHkK3YyVwN/MtwxJDrwtLTDcuFeVnhNHkRl2FQdlCmpnaoBHbYFEOnauGaNvaR3dCWYS1
wV2ArdHSVrBIj9ZVhvSukqS6ypPzVaqsrrKldZUwuY/HaxELdzdF3PD7Esrj9Rn+v4XjbxaOi6Tx
Sx/yGfXkpf9pvvrHX/lz6Ri6/xABxDL8H/zEQtvCHfJnVhcryD9M4bI2CkjMAsll6fLPASuL1X8O
VMnmEtq1sI84wOTxoP9XS0X3ve8Yxw2zIYCBdKgFtue98x23kQyKLJ68c2k3kDtt6KsgWC2SK/QS
9kYjESqw/jMuyUunjm7raoZvzd3IYEutJaTExwLEk1ESkfVI628NPXVudAgiBWJbOQMEBL8tNMzv
BDiiv6NwtHTHW2nmKa0ks+2P7hqDGzyTneyL0rsZ3Lb/lsfjg3RTn0CPbYAUTjx/V7jgZ3Z9Gy8I
TSoAA62tGy1Bt65biEbY/RcWnN7jwu/Nm2qi+YLiZbTDld9Rt30o8Kq095hs8seujcIvfaEdtrN9
q6x119F5cPaqLmHSOofPhkNcgUPMnt5O+FjSPeIivkJnrlDC6jS4y9vK+9Iyw9wYYT1+BcmR3Wue
5rta4SAm/4B2Akt4wofnJAaPSgTFfa5LSKewqb56vaDrqHeYo1p1Gn6rw+BbMc23gdll5OlyfKX8
I7oMynPuUpGaB0zqFjd3J1xPDOz4M07YPqgM0OzanGdzI0dsziuCXyFtZarG6OJG3rKwFMOhMnR5
rwjgfJqSkhxHN497ktTzQ4j/4WRQ8MColtoD3BMRrVxJkaXfuR7EQ0YfFbwyZPQ78ESEjIXXHXBe
W8w7ZfWUaD/d60DhiSdWsx4gbdC0HEj7Qp2a/dmoi95dea3t3MGoVZsQ6CtBFlKfQ2rpcwE5Y9jQ
Ba22ll3Bv08W2gxcxp3DwwrMdDZB3Ila/dWYy2YXpIWxB7GhYfva+htzXJ/aKKt51OYc3SqjrW9q
I1bl3tUGGEalvcECEzS40qY355//y0DMHZILjkooIuvUJCJDPcFAGVB3ymi5GKsTQ6+xqDe+jNos
3LE9Z+JgwQ6BQFT0o96aCfG9b/+7o1YylfPv7qihHXCj+8+S1U2t0v5votUff+uf+/GATbdnM+ml
LfHqRvzXTZX7LWQDIB5s9mjeYDv8r5uq4/zDtPEJAkxg6R2SC/nXTdbmBUMcklAVCOvh5vmvbrLO
OzOiZaFJo6YxFGBswAjg3X48nbtR1anVHQVaa7DJMsP6YCatvrDwanZ1mwVAoRrffO0NP3rykxDE
VFlFJ6NLIQ8wMF/7hW/dsE+q9rkL1hobRMEgD4vZU9CUGF6ShoB3bcpwbTEvA0JvqB9Zh/Q1AWf/
5Nqt3DZlkMJ74paCJ5tkQGX7w6ZrKU+geLAb97I09AHp3HtUlZp+AxF595ThDNAsQiKH07CQKt5D
RNhFdawTm+bIGme696I+3GOzoc1WyuVz8b7/con8mxnDuwnI9Xg81xyXAQw5rvdtHDbo9inO8+Y4
Gp2zmuLiFZ8OtYQR5+DXR3onSC5HovjDgqyB2dTimfzzPEErqFUYUoojOk3PqCUjlDkLYw/eNX0E
kuXu5ySLPvz6oP/m4/kgP7C4cjEF8Gl+Pmhm2igBGKaOmMDhfBrL4LU3bV9s1CTgpP73RxOYciGF
BJBmFrzIX0cmcRiM7BwziIjmKPIL2yq9gwljjXeqCJ9+fSxrWW/8ZTq0nE+mZBzEd8CFWO67g+FI
LxJAvumxTabCWTsJ9lMqI8p6E3QW4XMovncKB+rN2OfDAU6HbLZp7/X/9WcGVxJAljUxMfvcVH7+
zIXV+3OpMDm1KsfsjzeF1EgcRU+hRxD9Nwf7+zUkTEaGqNkiIAn8PvvV4e10JFtxor1aP9RB12+k
wS+YgGqeQJtLRbbxqzAPfnPcv19GwvQ9y8Lb6eHiNt/dl3IqodPYa7JjNbYDPjK+TTaY47iqUjiO
v/5i3x3LDRm4sT7D+s3XS/f0u2O5qTFaQxKS7cKCiuhAn8WqMbv5HM+j8/HXx1pe6y/X0PVYAuqx
SzExRSPWuy8vKyW2OuxGtPbpkT0hBpdTkTrDn+Pz/zhNfO/kXj4Tg/kg9LjJcLnaP18k7BP7jkhM
ChCTTj0MOFjgVu5c2UiLztI1kZaokAiagMvwPEdbxNXkN/1N766d5bNaS4Uuv0/f9phI//weGITk
aSsk72HoWRiDhMIiS5POJXJmSsPjAAem58y/uZ9fT+G7U8zoiA/uwBZiIPru6xyoFat15IMrA3fx
uYN7d6JYfaaas0r2ndNUQBCMegIWMDPyWEejmofj6FXTd8sr6KBohrA85VGF0LfsHSKC86dIZ8bD
r6+Ef/c+BV8Ma2NWB5CM3p2eXDjRSIuAcTAd33ud6aDsmKMVIV9R4Y0eC2Ncg6s5M3wAN+zVLyYF
TcXKqaLoqPLaPZPjjo54G5zb0PB6yhmHpM6IXYf+sP/1e/37VRvQ9uywtwPY5P1tJ2aGFcp3MaaA
Ys05x7lCWwR2u15uf32cv/8SGXHwlWGcgyLlv382pobNSTH69Ei1AfGuVDMtqvJaUPfhisdfH+v9
7ZzLM8AVROQB9j2z2PdI+jnoRe9OGbfzuss3cRANG5Nu2jWKer5De4vXzQRY2lKT/4VujXiPC0/+
5sRaplh+iT9frsz9ifAiuvBFB+9tQ0XXGDa/jOjgK2pCaF0g3boi6eY0x5iWkge2e+arYKQJCU+B
Y5ibJIv5d/gfK680xflaoRdSWX0vh9BWq77Nmm7dAokHQZyX+lIkfUS7bWt/0IUTvQ1Iz5+CuaBf
uQBhtwrbznv02yk/2WUgzkNncsPty9H+IKi6eqS+xjzQImvdJCTx1QagvQHredQPcxw5alUwTruj
K0O+FNFsvmqm9Rc25/g6w6mK3srAEM2pKttSLzmw6ID1xe1x9ycKxK3fLWsExBQKiVvbfUmAbHyr
VOl8HB2naVfT0nO9pjPEfSsG6dJ+Ar07gUuYJRccH+XJFdxarG5IX1XCzbvuY/GGHySwMT6wbMRB
aIKXp4ApVpBbPXc/uiaLocqf+u+Bz0iyylr/S9COXfChtjKuN379cb6jp5HDY1MwHgK7594JHcH/
otHlN1Mexhd/+bs93kzMTgKobZuO/UhktjCewtqZLzxnik+IJ+Pd9fRG3iipoErMh4aquhzwq18k
x4j+Z+dkQ7e5MOCkZQ38K4WA/vVuBWbn3EnNHSqwJoPW1Zwrsmaob66vBZQqpZqSDsNgyVeaZvIE
Q9f9zNAUVLwdm9X9wsOoNhnD1POYpMnFk1gZ+tZPXzszhL4fdd0cg/9bOkeZ+IhHPDTOR5qm0PoN
m3NbOnb6WlChtrOICb7gjCb9x4+m6CASlfpBEFzEApB30705tNNdSuVesvFdK/1aeJJbEzo1aCWi
pltnuQ7LhVYWqGyEY5kEktbPyWIBY5VICtVA3HDll1Jf4nGm0iFi6zWvZD/oBxLYZJ0Wes1GJfRD
rjM+AMGFjDrXdc8FtsVj0bwkI41n4HC4ekWOctdFyVQfFEjxWyR648lLck6YGbvzJTaK7JQHxTbU
GKEYCk13tVG0O2A+FugyuPYt4+81RWXdQ8wU52gGXXUm7+OuU9oNCOkS8bScSp9Ua3oHvIrRUyz9
be0ujimvyi+krfM11Aj/jijwPk81g6ClasZMM+dLgAlsBYF8b9azJLlEctY0Jo1P3rbXFpOeHUFU
Oou6CmwqZ9X+FKbDXRpX8ymzwl2StA5T7aSGuI18lBh4e/JyXGqw+FhFHnRrsLYF8JOlJ6InIy2F
+6UjJnXBlXXXTXCJGJ1Mm2EOiHnSV7UjaP3RizwIMX1jnwusdabKaayS1bjPw9Jc59qCRaGRw8LG
1as0TD70yfwKv+OlUfTsZEbpbACtE4zB50ibVPDcLr4HRkFNQbtMwFNNNfbX0nFPGmkY8F3K7JtM
NEDip2GIzshs8bNkfLZN3Hk6JUXJDdhd1kilPd96qeNcsNe0D1Za9CdjgJyttXeT++3Sku2WkLNC
eOUt8ekfLSjaw2zVsJaqaJmEEy7NTlbt1tYqMmL/RomCN1QXNKkQUbD1R0GudjeNS0O0RPI4S8tq
71gouclm9Jasl28WH+mCjT/iJxwf51qwfqh7qitWzaDnC+WuzkJM8XduTv1HVoLXmAoPHHS7VKtF
rKIvXWx+CMQ4fvDHed46Wqnt8vwRK+IWNB2kTVve9xJ3l88vjZIoMl/2ys6hR3Uza5E8IF+VV16/
Rj5OuRVVCIVuxBPBj0P/0GRsfRhX5ZuSZd4u1Ka7V+NACqFr7PIOVMAnv9DUD5ANu3VbDTktxpVJ
8zoNWNmOGF55NhqaoKosF/eIPP3O81VMFVk8nh01bSQNt6eMqgKManDpvzrZhJopKshCEA0741iF
XXJyWtbthKNABOmh5MLMWDuwRSiMh2Lu/G05d4Bz6VQxSzl8UW4VvEl3ygGJV5b9ZJfC/zyNOtR7
U6QGJqsRdbVWrMcojDk0Woe3k9F60O4IVzl13awN2fpwI8bwEE6WLcnfq+5HY5Pgb8ZsPrXSufil
a17CqAPY5qIPE32oWMIsVdt+ET4UUUtREyqiw+Y/S1zGFJ31ZKTUAFjUWp/4UrHZCUBSPIQLiZ9z
cL9N2uwffKyYCCRVvwlq4LqBxyXgZRVGuygW+xES4c4LJMx/IEgfc2yl97HsHXxrVnaMsta+cAbT
jQMlpx0iaz8IwYUdVhdsGuY6KkP7Pm4LccAZ6tyEMU7JrqELJxKttSmDsSadrptdgfD+ohaiDzea
dj305NLWgaw7dDa41pRpVTYmVKyOq5g2sE+VSVW6MoP6ztRQt83Qqb1V0xtZtZ1zo3bxzw7Fvsgr
/4vIPYY4dRufJ4APNQjjpaLMCOcfku34jXRGxSDcAJDtNCEpUIyuPNMXPXMx04tbduyMlZmpsgGw
6lMBbYBfl2wuY1YW940n5F3QT9PBafskXKdhcCjxAhzHgMIHsrHBuQaMdqFaLdhTd1a+5lXrU0zQ
hO1nNxbtzvOy/C0UJUTOxidFiD+NWRJtLJ98uq1oGpsW6wOJl1BokOB9pIcXDA8Z9kqjp4SoUaxl
A8uU6xZLyoYCW3WGaZ+uzZoAqVDpNi/tbyOV7gyCm4h+czrJtlUcLwViqn71rWo46SkjoBPyDCQz
oPezmKMNWTF5b5lD/5p1OffstuCpwU2gy2Okchcmu/go6ZD0+2+ey15xZbrVlLwlBtZMmfaQD2JX
VmyTpPHWekl1mURj36ajUB9BDQ6vbpcGX2IVAqZaPMBApShxQB0Xc1n45ZqJSHUw8CyfiAiCAS29
4fMsrfTWzEuqQoIB53LWLmG7MbfWrKLI6NqzT4UZJbsOfc/wz4rJ4V3J6eBWmXlxx7TYFMi0RHHt
eaZhUSkPjGdeJ1ABsnY6WNEoaUfHtbyRrl1zO5tBbwd4ADCdCFsdRTjxGLGYDnFdEiRZx702ntIi
NHd05fK98VDYO2YjTxRNqm8Ne6Ml0FNQz1NyFrog/RrZy6XMRMm8JH5jU/1jd9PBM53oE0K982LY
jfFmk1a+iQJ8hKLSGZ1RvOzkTuFHq0rRSZXovsKsSVlOmuGa0OhHFsbRVkYebcx5+8FzPsWotaAR
ub1Snc1FVX4yRYWBhD4Kf5jyVeZXeo1utWOWv1BfAEK6uVmuJhYnGx88C7XlXUyeKWXz4rj1OpzS
17ywk2ptsE8GNSprHpUL9t6wd8obf8DkC/fs5d1129nhLrcCf53DMrH7ktardLBWpVC7ADrbWgS2
sfEjLmczm6zzLEoo5daLbnjhpFbB3p7B7JTlXOyxyE+PrUfVik1R4SWrhjejIRnTalqTvGGwTwBm
zG3PNOuU4ikACsJ4wJ6Gmd9zp/ZNIs3XXFrhij0+Tx0WQicMzy7BgrTdlaPsb0w5ZTe5Ne1zaiVW
DguuNZtqD71nuhs90wJYOHkH0aH/m+UQsDVp4H4HCQ+IOrqfrJ5YYZEhn8j+h+xox2yMWu8tL10c
/OHXDuvPrpsb7ywbZgearA7mc7C6xkvqubs6SuCHqPAWj/OpNNovY6nvVB6dZO19bLrowi2XgVGR
yrPX6besjT9ZIfRSu9rj32rAndJpZabITTlDSl9SOCbMfq27RQ4yLPGxXoqszNp+nUKLhZURc5NP
7GPhdXKDkWyXqYbQrD+uVOx9Kwc6NeySqTbmUHYE8ajUZ+3obxPUIA/3A3HFIh3XczjHn03UHPjs
XZCfiJwTC5kxFNWps7f0dmjT52mYYOzJ5Ea0H81gUGTZ25DyvvTRd+Lk4I9hvu7aQT0bdhdspxE2
wMAe5gbTBMgxin/4mc/mSTip/+z1bkUGqvUoo0nG7pi2HuPRMVu2E36YTPQIYj8CCIaljZi8voEY
aXS7pJw+LJbB76ZH4OtkNAUDHWoZ+8Dc24M9OmcCm5RX4V0dpvvC7pbXs9s8e5kZOsMsysAbHONS
ckX7Y950K6aaLlUJJsDlHbUP4Jpy1kMH31G+cSuVBAjXG3WGcSFkaOr1I1tO6trWnbKjL0GcR299
5PED5KhIDAKrRsdShI3Uxg5qtkUxl73a1NxemDMtmsZcq+iLitkgRAY9o4DyBM5sDZGKZ9ynoI3m
i0El0Jpkh7GVQIrM28wQ6bCV4cy2Q/nclsY+c9a0mrE7oV9t+JFpe7zLvBn+mkXtrRV3+SnJx+hL
XBoMuWPXtz5YvZBbD44dxa8algMUEU9cZDIsW95QUnaZiKaHBj2wdCgMz9w3ltMdWdvz0hSUGIQK
2KCTKIQK4Vs++ytCjV892CabtGP5RxNtcy86kj7WUB1hYmakwuvuaOc9D9LeiU5OIiiDRUa+BFj+
zlel5nq8oXGN7UzYmY5uB82G2qC96bvl8/WP0HWFJd1j21/7Wbj3hdAHAHjNS19CtF5Pnc2UIHDG
u1Gz7DHYbKL1aMriw5yTibIsaGqT7e46KKZMDRllomxb5cyNizIFEZOmSUgHA2+xTMb8BKO32nsl
DqY6lXyANOMVuY/oh57By71IC+u5xG3E0j43ec/j1B07UU33+cR6V1OdcNC5osq6mWdJtxmfywXI
/dQItn0gjJp6Leas3bNUY2+vVOF3myGPxpwSEaYiDC+5GSiL3YmJaaB2B9Ee88gsS65/Uxs3YR03
Lwz/0r2ZZ0wUA30Ou66nzaAIJSMZTApA+2CK7SS8VfemaKV5K6xRnOtMo5BpwfAq0vnpet0ZaUWt
eMY34Ggs/8Cp9UMiexp6B+pGeH9JE70Z5B0ZirDNeijUck4Khcpm8Z98V9Nt7Q+cNoaU66Uj6kKn
NyijZRTXq0pf/Dka73QxBpu6xkHruVwB0jV57XBYXrDIvMfYDg3o2gPd7wWBFunDXpowOT6XJn+F
0Gx39Kvl/60lZ8vyJi5Yy/Hny8ALbWESYO9qqTN9TmjbojxA0gOY9lz3icHy2qIbh1/ksuGn+iN6
05bLUIkK372jeVFozfULo8QKOmFlDx+ljWAfWmN0Gihxf6HVfAIenPDTMRJ+wq6j0CZHGZ2ixqpf
cr+HY9BOhkOSbihMLKJFZH1gc8AnrKCaLBUhcc4KmLjtPqxS+4Z9S/dZhsvpLakhOama0zSAxPow
5pIs1PKDtfsc0JYumxeApRx6Uv1woqQkOkpGruCk6ch90RA5Y5OJnGz5exgI8zM331clesp8rZSt
h2y+VWYQUkscBft+wHVnSr4dKSN+7BNaaaTmkIlFFe5lN8htXHvzxWEEfmnKIfrSjeBX1trT1pmy
bOsOMh2+6AKLHNReqkg24M/CvekIhh/IosFGLFfBiDfmRjSCkcLVQ50H8ChWY6i4SnxtvoI4a16Q
Ig2YyEnDb7ruRLSp2Z2S0OP+GLqcKfIVBnCsKHrzo4YPHMrlGuxM+oYAO0UnHHIYCQMyDQfDV8GG
Sgq2fQFIuR+Bxz6ZVhxreu7ppvk6DQEqVM+CvGOU2sTbhGUFT0YAqTdWP1S3+AjVU2qOwfdmcKO3
tJ4A3gi4x7Qg8mRy07HdzcIHMUWkDNx72EZfMk9gj+yJA0Ubv2bAvSmatJ7/GD//zzr2W6ND4KI+
/Gejw+UlrX785BwLr3/jT5ODh/HL8WhLcWz0Aa4/9IM/nWO+RTSX5wfspCU8sIR2/2kcoxpCBAz6
/dDkkWGbWC3+NJK52B/EYkRDRg4RBLA/vANW/gpg+V5UQE1gw8zroEUBXPLe6UFzSJiYfkAcBNF2
DrdivlD29Zez8XtNHy0Pk4fAvL/QOC2cFD8rXUhIy+KQ+vMhcjDhBiucl6vA45T+65z/P46yfNC/
dFV0QB8nkXAUSqh742s9/ZDiN5aBv5+rnz/IO3nST2uXrTuHUPrBNx/mdNPq119/Cgue1jvJIwjw
xLqIPDZXhkUM5OcP0hcGad2h7Q7CqLpvNfLvuOWGYG9Z1+qDiIgrYyPj7lkoHtG9qSiwdqatx45n
P0/DuE+brvtkJ9qxIF/32aaT/gNM+EFsWIuON2HnpewOOnPjyGmgbSCKHlO6CBIGzCp7mpdRmp/5
2bn3BsbrNcOCoCHoGUDcI8V2UJDfoOkkYPjRpze54ScX2ldnoq6qXnl44NlQKJYDZuGfTQBZ6EM+
9utEzMnFbA2P+3cB/MdkMJoYglxgXKqJJCjQeChN6kaFpf4Ir7fYJE1CzZXffvPs0kdrLOnVMghy
9L7GLGb3N25uy49TNbsPI7bFvcHMalvTIMwyx6ToXFnujopJnJBTY10CdvjbzHGn1cQ+7gOgOl6E
B8KNr7N5WwM/nJl39tYlIqN+qBkOrONaJQ9RNozfQkkKc6B9nr1eNPlrfwBmZaT6x1h50XPS4OTY
UBSpPyJOCodQpPWj6yajWCOjyTejdSkkmbJCfiJUQafr5En3YRhMXmg5wbg4LjXbdLlClyGXPQsP
kk0kwagz5wBfQ2I9EpXfrHl/OSMb6QPNyIzbLHZ/yB6QxjhL9T3T00dX2z9CuO1fJlvQCamM9Fnm
E4VyM4PfVZe01r4a3R/LijhcJWOrD1kLnCpD3JvYNtAKoUxer5x4H9nk56cyFP2n1IAsTtOYfy4D
lfBEHqOtIzp4XkA0HsbCzq6g1E3YNd1uRL/cY3HWDIU8LybXMke4pGeThXgBeFYwtD+wmeIAtiYk
0WZyT8lLfshENjzmtVaPson4w11IrWtObPKhiEGS0PyVn5C1SSwatdri/HbvgpDTSYOvFW1KZrkb
m3vnrRxppD1myDS7psB4uJqIe0ZrRX7pAwSnGHEuNR+zSuXTijysuLMLK9sncWzuLbeLXiNfwA+i
Sz66tceQGXOeIGkteB4yJwz67uaEZsA5JuEBxt49zU3X3rTGsrkp9XD0wsa7jwzH2EOTce59q4xv
RlfQh9ayPgL3AzNFDCbqCwOIY9tJgqlqKqY1ztroVaJAgh4ba7lyDGXsa+SgNzfLgzfGW3LdEww9
d+RSXpPQtLaxal3C6LQJkBiVIfPgcDkfkZnD4dHT9wKtJlv3w1SAj0WrtHoLSCPEhxsI4e4Tewe9
jeaAdKpjCGsf+FW3F7CsngM7GqBHieQBhqx5GFK78DaumljW+ylRmJIp5zcr7+WphV96qzDjv3TU
T18qFYd38KWcJzYBaEowuIhPtJY4j3Y83zsDG8O46YJ77P/VCwTW8aGb5+l+yhJ5O9E/e2NNLKdJ
oYhz3rALs1oxrGEPeI8N5KONxBxC4ptJ3RomMwdoreXmVdjQ2ztt+tWKdDg42MrzxAb9vwZTN5pv
burJcpUUdUK1xZB9F9rrD/DzCYMZUFy5NBAvSb9BOWj6vaxH0u19k/ZU8CTwe0y3PRejR2I/qVtQ
qaz44hV9orymiBJvk4VYnpEU9Yl3Gz/ZVq1PMzDTM9rBvC5ElLbrDN4rQdsyC4+EEOkqhWOGIhiH
R0E3+47cGDMec8HlJXla8gHo9lszJWSbG5pySxi6O/6xq0zaYN5BjTG2fqQiuG20BK5pQeA8TLUm
HM0u6b4quvZ1bKXkNjbkD0XtMvDOqDWX3AW+0rGgqRL1/QN52OEHHmm9s3GdnK97prFOC+CjmCxe
+ry2XokqIDgWrN3f+hCFfO5JLWMaYsO7bLHsyhOPUNqYKkxIovCa/GUXjKORegW5HYKc5SjX8JUh
EWxcK16UmeWQaH9MVpjCDGs1L3Eap1gGa7nsP9Ng329Y+/JH3c4xtin4s8t1O2/3sf2BqTBLXzep
Pw1pWe5lqKo9O/Jom2oL2KphluuxZYxJGIfFfq1egFjKY+B7AZRjRU1lEJEkgv+Uc/PshtuQoTO7
1UQY284K04uXg92yDMoNV6hl06Fmtm8TorKcI7yogWbGYChPWW+xF/Cp9VTLjFwfZNXwhs3J0wdq
ML1Ha+rN56tSm7rLZOZq5xRNUO390WPzohvFYVOGJKdJB/3K6tjQAuwxnmhCwdJFlEnCG8AxT7yp
O6rCSb5fd4T5slstO0+cI6vGlunRBgkujxhXS8xsz2q0OzqNkX8aQ9h8VdUyh2g9YyvcLkQDYbIQ
X+dHy8OOZCBZoYxZyugx7XEstk51iByTMFO6d+i4ebHKlvKfhgscHkt+0lzRa0xccot+VP3IeIYf
0X37pz739CcupPjeS4z4TmYqpPwGGcdzMY+mXVPtg87xniULUrlSlP7S8FXBOr7u/OzImO6lzPWD
Nszhx1BFxsdyqQfRkvzcJjC8P7+nXE7R22zyZifXGXem21i3zEOMpzjKuckQYjzBcsaaLqb0S6X6
4CGsB3qFIEJ+dtTsfh46w/2ciWa+5Unl7ZI2MTYzfcIbZgvMEOmtuoB+7j5Q1FBt7Y70AGCX6fZ6
1qVAma8BYd/ZC8OgqmoefH12pjbZoncJK31FecS65kLcTQTrzz4ayrYKqT8uZ+lsGygbjItM6rLA
880nxT76Lgqs+Ijkj+xyvZZ1YOHyMdyAdUXgnjWp8luA79EWGSMmgg4UZMW+L78z26w80gDjPYcR
yScZYa2DNcDDkLI0vn6NYTnvayYOLQOweAwdamBn9vRCW8tYAstDPk+33BTmo03t/J3faU3HpyDB
juI9f6KxStBmpsdsq9XcM3TLqQIJ5wzwip/dwRaAy+Uw/HJVyQxx1NO95Y/MFbtmumv9nkc3RR9y
77c1o4lJl36+IesRUdRh0WrCs2k4hh0yJTToHgFM0ku7rsgvPimcaDvFDYc1EILQ2XJtedcyNmTs
6Q24ohngzCOdDy0ekh12X1ppqVI2nnrTZIcdlAMrZtfpV8XAFNCMe36aUtCPqq/ezGBY4pXA9fdM
IopPJqPWbdkwmXLC1Hq9miHcEoHbHUfzFUYEA5QprZ2V4S6eIVTjLZh4G5ULvw/Ubv/kje68DeTc
QeiAfk3qZMAoU4Ye/C45LLHoigKeB9NDDoGwVjA7iviPJ5eecEmHTjLcKGlk64g/ep85MI8A17TR
gSSeu09NRx+Bp3n7kUbK5RPd+clkrxl+JLcWdPl+rdLy0Z7ybot2XW11kxh7KWpJTY2Y7a9zNQfU
fFftozMs7aB5apxRzO4VPNoVoIMEPpvxI2jJwlhu9ewopLCCmp0bPka+KcyaO6eI+24XBN24rRnD
7KMI3YjeG3nG/NNhD2tNf8sKMUGoog5dJvO9zSxinfde+c2vjG/M/O4m4jM7exrLZd3WHmHb0YOm
06exTvS6C4z4wN1qz4kY1hhSq02Mjo8OFjwbFa53kjQ16lzfRsDBKf/JHQQHM5Bo7KIBpuQ3fF44
ii6rKpsy46BBImyo9aySeJ1DWNl6aYGzk/S0IkuTJV9jNYhDTuyIpjBF3S3F9fVjgy9eg6nBELUq
7eScZF5zX1V582zEebXiqV5CtmsQ4wYfh5iFTWZTBE1+VMOsqSIP8z2EF3UwklwgDMbt/7F3JsuR
I9kV/ZU27VEGwDEutEFMYHBOTpncwJgTZjjm6et1wO6WyGCIYVnaaqGWmVpVTiDcHe7v3XuucWM4
9XyThFZ9V0Ly36AAsOn/jXW+tmbL2ox2HayCmgTyDA7Rtq9SruRqFu/h5k4U2FsiDOs5PyeNVVDX
zUy3Xg8yFAMtom5M0/Om+M7xXvs2WoVzqbldq65q3ZS3fZXgpdJlN9wE8yTPWsD6u0SJmm3rIInQ
c+Ik6F0oNGeIBqi7NezA70ZkVMOqj+bp2tDa5LYwW7ntsER8s2rOV96oRfrV5LjtN3C79p7Mh+Ip
mGw18KqiE4/q8oW0tLyk5O1E/lgU3XkUO8ZllDftE2RY0x/bathnZtifk4We/miNBKkBtHiJC6oN
bnq7zH/mja2uekszXmimSLCQUH33Gk6gi7qlnG7hF6DY2RcGd90GO9KktMaDwEC9ob+vUceGyXgl
lelX2tvOV13aBU39mYDCEAMuYq1klfQ49znjzbRSIpLqvQ4gy9qaanayJEt8QvsISbRslZ+Xr+1+
4laBjFTMGLQcYi7Led3E+b2S0ZcqMN2F7PIehRtnXbj0rVKtfKpFIsjToa5L19iuwLFyMiaiw8rv
ZZrLi3bO9LO6poPLeT5HHwFdMi2djuS+ZlByn+uSpfya2gzFyFCbZ1pnOY+tAo+Ke6ez4xYzeLoS
Bw9UQ9sLPorZDUfF5GXUhHxIqrT6WnbEPO5KBQqjFwdVnELIXegoEI1Iglfa4tYgKrdYvdYo09qC
xdbVQ7Lv9e5XODj08CjvXIyuU5wLTrY/ihIKygQ/YG0p6dUsewyuuJVhKiA5WtEVkhdpXw4R8smy
vaKLH14lHIYWSDzUfAJdKgQ/Fvq0OtG/sP5/toS5eR3fNNfr4EbSLW0JrZdNd5NiplgbmAsex7oR
fLgw02nYxG+bUsjvQsEjnjTDM6qouxnKnLG1qbuuFUquu6Sa2dlLRaxYauSyuTaobfRh9RdTzZp8
FRDZZEWdup17MkGQMxlQS6WxizAtkskI4MojSBqvGjwYHzZS+J0SNJFS7ISeKRRQ0eFo33PV4XuC
QvF5ybtel6H7ZIzGcK6WpFHzb9ERzVftnREbP+3Mqa972U64WgJyHFLEL7y3Kbl0yYjb9bXNG5OO
swOVPZJJQQ4Kb8J+svvIuI97Cfe5i1mwtQtotOBMNUXEbppkgLUi0m+4gzyyIafXYzlb+wqJmdcO
rbUpsyJ4kW6KlZnCOFkDIrmyQKGByITS7+kEXfvQzatV2A/FlwK+Mydc5TbP8/asJVTjNogV68Ym
hA1et6VfaVEvfmthUaxkMpSbGov4Piii7hoSSHSRmal5Z5RIm1AyzoHSfUsK7IkRHvac7XbTw9bA
gDqqt0HQWX42oCqWbSp3ABayu5Yd1+tGkK6u25OFkXX3IVEx3mir1l6Ectq1Q/0cuYXtJ+SHrGhT
jCTM2QrJA25/wVHO3g8Gog2QDynnX1n87tqkj9eAUr4LxL/fGqclI4688ij9LkFAqOda2QXn4DCS
NdWSgcnW6PedrozTitho072KMwJeV7KoiH4XtSzNbVWMM1ezqKa9PtXZfZG7xKCZk7uL4kXNTwnr
Hhnkr3FEZKjiZ6QfLeq9Og8/bJNbg5kRC8GhiktShaJg1mif5bGrgZXWfAVhyp71D8Uitx5zFDUr
I5Chz6kwW1Pu+NHoBL9IvJPIHPi+TsPg42B/sbmCjEQdmrV6yxnKonJGmUjpHO2H4WbDuSFNsbEq
QSEFKMZ1GGh+7yrB78gS5g2+YP22Gd3f1WgojyFL70HX7Tpam42EO4GEJ1g3EHSAEJpyp7pjByy8
KtbYfwFbIUo+YVT4WAXFwGebFm6+hYlz6OOxQEOTv+3U/mBQv+sVinFxKZmT1Y77eH5Caf6hsuss
o7kaIn4AM9ahycUezZFzkl37kyS3V0Un7cW5PW6ysMzWn1d4jw2F3QxGmglIh63vfXlXbayS8qPG
g0VOeD8mBp+MpNcu1ZaM1s+HOrSYwAfF2YZtD8O6y4gH9WotNdWJCPTaL+qiu0izNvWtOuHIyeT1
qnDMd7Jncn0+6LHn0zWhCepwZCgcDkoCNMZvcH/+RHqrp6NF86yakh130lNQoEMbz/J8LGhaGDZ2
QcM6eJUpm/9clkrtEw0pAiKiSalXKic5S3UqmmDBqpty0qggZnN02WXjeOL9LpX4t+aE1/EFyFWc
qEuP5qBSP4VGGalp2PhOrlCAL3hAqxoePn+fy0McDiKgXjmLrw1LxuKQeNPXGDU+F62r137bUrq1
IcbEXmiL4CrT1dmfJx3YUOeOG1lzSP586GPzR+hYFVWQNAsT6/3QrmmMWqiLeimSTGjQzJZ40aUQ
bCsqJEK0NqY3RQTwfT7ssaUvwNjCo+Vxcf++H1Y0riUJiCJAs0qyvZb3DxaKEz+0mLUuYJ+/MWEx
CuOtAbjl4DV+P1xYV6qGHojhmta8r/Rqx+UfPnpgqyd2mQ+mmmXCEJSiG9zA2WjUwxc6z//6La25
G340r3NzCrqfY8vcVGCm4pdA70J4kPoSkWfot2Qq/Y1JC9LXsmFo4UH9sGhs0c54AWp0+aFxa0Jk
uixDttjPf8NjuwA/4dK+Uml8HrprDTwpnZGz9bzuAj2MRdTF0+hpRlKe+P2OrUID4QAMNqrymBTf
/37p2BVEjwxsqENFlMIgny1HPn/+OKfGONhJSZnULT7UtY+IGiBxvTOc/JTjbfnxDxc684/MDqai
CXv5/XOAsXGGWm9rv+Tsehl2qr7XgXas5n6Iv0YKOwwSJRXOqgB5JVD7YeA7taN9XHoCUzItFNaf
S+niYEczzBL5oHQrP9TALrWEgawGLa3IfU1Q/pRusf7T98p4UKkhy5l4sQ/XXsW1ypkw/fh5MXJA
sSZIbJp94ijxcS4KeugwMSnt6ghlDxa4G2otuM2s8uMWMCZ0uniFp+DCTuhlfP44R0biIRyTWEkN
X5N9ME1c2GjzNDnSZ2tDtaQ054Cb78s6efx8nCM/k2YbuophbjkdvcK233wTrDJPhVvb0p9jdVNn
L4qTrZK0WARX+89H+hh65EA9fDPUwTeWGpW1ODewCvUuhfvCIIh5sP8J6cWS1Rfzw2RyHgMzHtTr
ymidtQqk5RsgRVSDMznCCd3fnd5QRstrQQE8NxB8mU5S7lsBDzwcovkyyLgHGlUhEIvSLeJe1W4y
HWr03u6z8WqQHRXsCd/uijIbgCkCyk48KPidw+XHF5y+nsoC0PCuHCy/LINk5hYd77SJ2ieXdPEr
rXe+TJYVv+RAw/ZdltE/zVAi4XXf2gCk6VlbZxa+oNikM6tVZYqY+CEPuBi18PcKmX8pB4e0OwpL
uUyrTYNIHFAi6eBBnQh0mINEo9Xr9l5JlG41GtLw6W0P67bFo8c4yZoSnn2RGmgZyBcNQBQSeOCG
w2q2w3ENwTlzeVs6qQ0E86rf7UXY9fkMODLXdPz8KDj4ZnHkXw4Jb+ZakPcVp4+J95IozUWvueKM
X330w4SwQyyIYvA/H/DjgUcILMqGiYMHgsfhgQdPQt8PZU4Mo9MSVBPLfFMBl76wRNnuIAq2FxGl
13sCh8Lzz0c+snw5zalLwBmalQ93jppcZiXqrMKnzDV97aH8PgP40u4xqie/Ph/qyEMi8GA3otbB
/xweHemLct+cusLP+5quCIaOmnItcdxYTeozq0nJdW1osIMB0inafz74kefkXCUseuELyurQem7D
B6bsVBR+E8h4Vw3Ffbh4vZ1kqv/4GGAsm5SGgZfrlXmID6EG1IQYRzMfy9HTNBXDWnfGjlUkxB9P
U44bCKYQRnH7+OAXLwn+6sK+y9AVdMN6tii8iuR6GExrS+Hp55++QEMVPJiuGRAYSDR4vybCOCsL
I6t4LDMXPnbeQtJDpKfTZEse9ueDfVyADMbRhqOBSUP78PNVoQ2JrC7nyRTjPhLKE/a0n8ko7hEE
njiDLGv5/RGEobiWWjwae/6rG/vNWs9FFE+FghADW+JGUCt1pQm2POsh2S1unkw/dRo9PiL8H2Rs
y6I7/LwYpe1gSE79Suv3qVu+yEm7F3VaofaFGhp1+sXnb/Pj3DdUDt4LOm2B7R5+ok1oK7hv7dRX
um4/Zb1vGOl1bKknhvl4YFyG4WooFsCEflhQ6B11jGP+1X6v6IshnKydcuSL+PnDfNxFGEUjxoKd
GTLvoUkfh8xYJImW+rWgokWlB01p99surNukammok3ZBpMOJXXLh5n2YJcvGgb7dhMxwiGYI8hkH
QEQxwTXxsQ+ZSxmuKFNk5i5d+rmgid1MoNc8DHNgx0mzK2l7qfauJaD2LKOPvB04Fs2TWcGUTaEL
lCWHg+VYUC0mBGRx1oOrA3nAEWie+OuP/jCAP5hx5JEYhz8MkoQoo7OR+VSni00yucleGalzfv7D
HJ1lC5/P1Vwd+ePBBpEbFZ+RUGY+sFtCfWTvq6l279jtqVPLsZ8ChjqqSsAT3GHfb0SmnYmirAo2
orEUCFmC6Gy01HH7+dMc24HgFVKGAzRIsWN5p2+2hRls0Rh2Sop4CEdLb/OZwgCIpr7JvqPX//NT
NHdGZKJ8MhZG0uENFe+7BY+WJTqlwc/l3dWxdZvXwdPnT3Vs8QBjtGwkuVwMDqfx2BBMPUsWTxab
zk06abTYAvMnzRa5rUPT+TFkEHaoFjYnPlXH9rxXACSFoyOXHkqnaiSMnkB3yKptoeCgCLdl8lgm
8x0L8cRoxyY81x6dyc7N8kORLOMZbQvrsl+GZbrLLdO+HXRcmZ+/zA+8FvhHKi/R1vkcCWTOyxx6
M0fcTh87k5K773SD+hhHqtwqKI69IBF9Rm/OHh4SzZGrTrb9dTUV6ZWZ2WIXOWg6Z0xsNJaTcq1V
eMzxZ6DH6Lrk1O1WO/rmgasvKxOW2eHBpw4a1RzynK/NaNAmaKsXrXUhFQqnOYtt56kbqU7YZUQT
oxDxYzr0zVngyucIRcdsLe7LITfOqCK5njUpJUmOPMfnL/LIWqOnzRHUtgVsgcMPYmbzN5AxLv0B
bHk5a+1WLRFTBhn6lenl87GOvA7tVWMM0J0C8eExRoc+ocJ85GgfaD9VCg7r3FRfmikrfJvMG0xa
VnvihHFk0ZGzoGE75bbFQx5Mk77OprEOJY+XmF+jOITGgWqHPgaZ6AJ35kNVD9UaNUbv//mzwihz
l4oUB8TDndIAlRnXTiN97mpXePyILaqzW6rxIc7W8HEiVeXPz20MuJQByA122crerwjWCiZQo5K+
oobVivQeVAmFaG8HoAd+bnGR/vwJj3xzGI8z1BK0xWHx4NXmQW1EseTVjn1I58Koh7VayWotUMT+
naFc3O+A+EEfHX5ES9uI27zgiqa5srgBCI1b026t87jTtBPb17E5KlhQiw9hqfQffEl7JHHFTGXA
b/LuHqrHL9Os7oF51l4cVrcOpvY/vhyxgWG60AGR0T45XIDaSK9Nb+bCn/UZjZ89fKm7el1SBzgx
0JGNmZI6HDJB5Rkbx/J7vtkxyxm3nhpwBcxCE0L5uHPm6v7ElBD8Ow4O9O/GOJgTrpKkiWEwBoJ+
zSN0sNyDqDG/6J0FRCaD7B+HKtaooS6hjSXhgxxqohlNerWkPaQU/zrUkEVMp9cYUcAJTQPYgBs6
Fm29nw0jutXdkCjCCYdWUKrFLm8QZ3G7nVbIYIOzyHRoUqgjZkVtoRkRxKh9md0csVWhwdOQeVPv
1B6q7ytw7JqsQU6HcjGHE2V7HY12tIMKPJ1lGEavehHll71S976TuvexTJsVbzjd5tSKyG1DKOgj
ToSiO8zlJugiE7FwOlxIQ8RQjpJu+/nrPTY3Dc22NeaJWCil739B0CdVO1nMTWTCL9XYvjhReW0I
ZStyiakWBvrn4x1b4Zy5OexRvqchdDCeGU0FaWJT4YPWX2pOV+TSnA1tceLw+rGtthBPdUHhjxqB
5R4MA3AkggftFj4i8tuyjBfmvvOjSh9oQl8iSFl1pv4c1sWJK5M4Pi5VWt4ol+vDA5lbgsEqB5Oa
iJzmr9EItdmpDeUWo4uabdDMcMepzBweQdpX64w8dZrbBRt5pfdnJip/MxmUM6F2ylZrjWIVIAxl
wpU7+p10sN3ku6mRoTuMSAFB0oRrt9XIAOzteR1qwZ2e4uN3ZrPycD4aKa5C7HkJfw/oh/IXng/t
JnnNXx2x4OHo4v+ez+YqatpkY8MueKyEeeqnOPaLWwBoodxSZhALdPztHhGrjZkXaV/4AMQmukve
NKi7VGv7EzPr2F70ZpzDg1Ff9nkmwV75jrmEfVJvWJFGv/l8+i6bzeFmZEHro69Avw0q6fuHUSvy
DyqwTT5NJ2dFmIPHZfxJpoRGR810wnR2dDDqldxZwK5/OPZaNZtRkbFWlMjKuYnOO2g/WxSgaKnb
+MTrO7YRWJT9+Vpg2ftw+M2mSVgJKiq/TupbgGgkRAXTk8zqX22MZiGyTrzJD0FBnLapynPlX8qk
dPgPXuXclBnvl3NaMmbQRGZd2ztzPZzp1OLXUiiRb5QVju/SFV9iNYj8KcTUEMq4uHRC8mZcaUwP
NpYg7BlBCLLq81/62LTldxaUkajfuocbI8FEjUJAS+4PVflLuOEjoSp3mUBH8jfGsR1uilx/F8vc
+xnV9MoUlejxfG6iJdWc9qWYlGEtu/rEh/TYsXVB21JiWf7DPliHYnBxcKC99Fs8I1GDxHUobmtp
kmWsXYPRv88z90Sh4tgEfjPk4YE1mY0MjZ6a+8ow7kga/+UaGeJ2a1/L/sSdQxybvwuIm1o0uG1q
Se/fY7vkcc+jnbPN6NNzG5W/YQJaK1A4zorybbha+ACrnB15E1eL10DRFmVmjegPtNETuPfoKaig
WnU6jgVcbfiMora+C2cX/G9BGCZkdmc72oPz6JjsmgCtGgRTSjOu53QpbUr9tzro2FngIYyl+pzI
7gopTrkhoPpX7PSDl08i3hCFqN+ViK752Ovmidl07C24i1OXEgfz9rABS9xN0xT4E/y5nM/mdta8
VjWeMI+fUzMlDGYaTgx47CdenFkIZWyKrYevvUy0cKo4DPlxBXOgL7u63L7SCUQIXIf4FTTpny+Y
V+3EwR6MYkbnAVkuXDMPfumQ9FS6pFnuW/nsrqKhs+6MSOtXBeFi55HMskd4aHAIDJSTr3YBJwLF
kHczcCokfTtlAK134jUcee8cNhYLNHB4rhMHFyXXmhw4KCLzQUcam6ierMsi4tg4JbJ5SoBH++gi
v594EUeKmKgSqPosu7b94e4bjuZckiPK1jEHSFlFaGwRpIptE9TNDuay8JgpKCdNMIhhHREf2aQ4
L4xTKGJxZK9cfOHIMWBm02jT3689FWmElbdxjm85AaPy6muIBegLtNWFec6bsc/aBDUyFisoZRlF
ZE0hv9GDJ9LfDGJQt9MUgJt45cu3s/qVY3GxiwamFI6pdIuoz9whyf9FFIPHlt1vSImLNmiFjXWt
FK0fWZW9GaPOXjvhuS5TcZeKYrxm2WJCI8dyfoqczt1nqv1NBQp24mJ+7PnpgOFBt5cO/WHhiHJb
kjWt4PmzdLwDU4oWlXypp1hTou3nP/qxoRBeozXAjc5n4+CrSdMJHvnyWQJCGq3LylncfGOZ7t0o
C58+H+v1dztcaUv1V3B75TN4eP0vFCvrhjzmctAD4/FaGsaYvWZD2wWl7GGsZtq5JtXgph314UrX
lfBWbxW4JSIrd2UBzuX1D/p/fMMJfMPS5ORa/N8ogfVL+/KPX68JF1cv+a///I9LrAMvP6IOiFbb
vMU4/Ouf/DfGwf2L7QnoOm0PwQXlLcZB/GWicqKK5phoR19jJf/NcdD/4tjAFOAfo5bGafR/OA7a
X9T3OJz+T+Lk/4XjwAgsIbZRk8E+IM1dUg+VtFRKn7CV35EM2aodSZ6ew/X+zdu5+ecU/geC3RtO
g23zn//xcRVptk5hkBoqyq4Pt96sQAQCm5aRdBxbWEeey0KO3hBE3YkKybGRGINqLTU01HnLf/+m
QhK2SgB+HVppO5A1HnTqddPnCfe9+cRn8chAaJ6Qqi0bkPrhON2zFl2S0cCiNunvNEt/k6XzO+F/
//GbYxhzObsLi/LZwVaPJgRtiTmWPrUBd+M6VeUtCRSrlATEP391zFV2Hbru9J8Oi4FhqeYGbqoS
5gYR5yO8WpzhunNRF8mJh7L4Ed7vc1QjqJRxpxPgQw5vdXYPYpjwtdKPBrhRVjd9mcLxESPeY9lD
NPr8DX48hzOYoNWFPMNy3UM9Adg5ydqUpe9WDZwd7Hx+AqnMk0r8AsoauiNOYU+b8Ml/PvCxGULP
EIHh67Hp8KezatnpWVSUflnF8q5DzQ/vEm8tujhxYn0tX6EPL5T6C9dIzqCs6vezfu6SbkL0UtKh
BgICJXYih04N7v7GA70ZZTkfvVlbDkeRXulIeFTcEc93PT72OQlKRf33Xt2bkQ5m/UAMh+wLRoqy
blpbY/Iyg5NenV5eH+W13AOB7hFVgSgDgP3BQTLssHAYCq2ullIm3pZGeiAYAZwL42sFxQ5JCDRB
J4n0rQmma4Wq6EQ/1nxNcHn/69Fkcxwmp+0ayKWW5fLmvcogN51cljmffV2uS7VXwJCX7XgzG/lE
eLwq15pba1voBqav1qNcJxn56aIyin1f0W1cDRLjgUPDdVXLAr9IFOdAjwNxttB1tp2d/p6Qwp6F
s9ZfljaUYcC3jeXprqw8WfL/QphlvlHTQV91fLR8e6zyW3LU9afU1uWZGSTBc5/303rIR9MPbCgd
cgK6NSQsqdQeAXY0U0feOFRhZ91XoXHWtvTKuzQrNpxGizscqsYeG93wowr40Gitxd+O1+92Sgx5
Dt24T1aR7URyMxmZ+j3BH0wHkL+HxE3jJQ946BTS7Va6YXkd6rNct4jPuG+KIEg8jXAa7AmihfqJ
g3hbqaixkwqulkIawCpXebo5Z++Eat2u7LbQV4HN/haFMdZO/FxYhwl35RYr4clSud0beR/v6DDJ
c02FLurk2GcdF/69nVGACqPePB9DLXkOHZk9WkOKJqoR5bfKyvWngGcvPRuP8bcyN7qZv6kPEKbY
pduuhJjYbkbLwMevGHX2SGa7eQ4OLb+FqNY+B7wajKNVeW11yW9V4zftMFA9kej0e2yG4K61Znk2
LLtz1DTynBhamW7rDFMB24ubRTAyrPELQlXjjI9KuwL4H+/6MBMeJ5F4gV50Bfgx9Lye0YXxVShK
F/5iWPy2gPNcAfnmJXYZNUxdGRzHe115WQOyBEaGcwFivNikMS+BYjm8FQNkaF6V4b0z4yfEZhCn
zy7uZnijA4RjM0pyfFQEiGBtr61sFxe6Wl5qXV+6aysK+q9RUCruRtf6xkH+CNjds9SivsAPMj85
OIfuxyLNf+s2dHaecdpgmAwW8mXlG/AdHyWL+17AWEpWmJhgT9aGiSsGgUmP93TM3YsanQOlXKJQ
vTYYU/DgRFFID0uuQhPRch+bqmbZGdAJV73BV3bGto07rlwMfljNokca7mFPd6NIXlwqDlswav0l
Alct9GIXuHPTB+OXoXb7r3M9pzsU0S0dCaXW422CBWLeEP+LPKkmcK7zAG5q39G3ND/1mbVlKMGk
rbPBbB568o2+hQl0P3vK2MZHyR9bd4rYE7cTEwo6QPDWUn4JMwrT5yrUi/0YYE6ux0ZfgVz9rTuR
exFoZCDwh8AExRm6VqamGtZRbkVXwBvGTRdmi5OXX6gTfH0Rb2eryKmB35EVcZf0BFwDURqjX0Xp
mn6RWsBUrQiKqaF1X8tm6ne0KvDEux0TYYYtjXcuBiS6JOsp2IcbLdvhzP/VdrW9jprxDoS838r+
O0Gt8T4vLH3TBRBo+Rrbt1HHotQK/ixVy/rLvq3dTZiyzukxByDu7PTJAcp4jnlsC447W4XzWLar
fCCnFy866YmizZjU7IrjDbHn07roEvdacK7dVgqrPu2yad0Tk+GJBmLTXLO7Qdrtd9ry6S8NnlvP
k5e4UZxrhwbzSzbCfRB9q1FLGrT7xAjEfuyYUYiIg+fODeg8Z5Nc93S4NmYzs4xyULKIMhZ7hlKD
UMXgq6wiMFG3mlVXnqFmL6bJRlnX7B8QLuzbOQYAohMXsQ5sUgxwhnbOLQb++kIbMOZgfGIagqOu
QJLn3Tohs4ZU7k6urYGhaylrP8aTuMJMMfyIaCGURUZANaHuzGBC3Os4u0b6KrfRAP0mavLyuqmW
o73U5XmmlUymoYo6AI6aQV+DtxMHLlkgVqcRsMWuS77FtzZ1tF/qwG7VL3PEVGftKg3a+Coxx3Db
E3XGHsdhhljc1oQqZW4baCYrLKf6yhQzO2Irx1U/W/IhHnlDsx0UgLXtesUHd0Bp1rJzZ2pdo9my
ivu+DAMAiEVBNlCX3zYde48SsnsMLoueyGneuSu7rQDm74VFH1+JQFe/u1rXnvcKAQup7K6dtMn8
xlL7XRJRdMzdULls6/hakAj1VUmS5noao/YySOYn0AjDk5NOztqZkLQas2b6Mwk5myKq8mssYsFN
ln6zK6z2sYh+y3Dxo7TxA+v5se5VaNOoEAEk5SDGVUETb2qAaUsSQNjcvyumJCrC5qO3VKjOlDgi
vaRg560Ldhw1dzSIjRow1ZmftPznJgvthGIev8GW6x9UbwtmGN/tYoVXZex8qpdGvSsi19O1qBy8
tnFJJZ+yjM0s4Z5ZMUUSN18i/tIl5UuFM13aS1cUmxfZFdVMTGgpKNCIsGpVGERDtbBl9Icm1/P9
UAkypOyWqHrpdNVeZE237jSqp9k6qEhsts6nQQcSy8cnq9n/cnsIvlT6gP0VlCvYCCPu82g/JK4A
XQHsqHf2Rg8d1AusTthixXWAUpU3Y0P43UxJBCyI2NNfpYmgQotD+2x07FIDeA0YhdONqRIaMrKv
T85SCAFB1LY3hWVDHEgMAB+rxgkTSoxRbayBrGl9zt7TPDupmrYrcJx3QyJGfPiaFXJCmAIj9kp7
6vdFlqRryLnfDacj5SFJgAuK3DNMike6xfpi4+hvTTNRlkQShUAHO8dqZejTjnWqC08mcI26zGl9
vULSNlbBSxqZKbA9PQWrRDkaFg+UXUisVx3faM0bQ9B5haF3yorgivmK5Rr+CDMb/ViqNWTQ24B9
k0xRzuLRVJ2tHebsb4bF9m2EnE64sBmDN2DJJQecB/ZT6kT5ypnMU8FUH2uLy4EYs6lJSxWV6OEt
sEQ8j+uyS/0oz4191zf5bynwlntDOzRA2UnIQCkC9pY6WKK1Vz0B2p6W0sUuNY5VcZ2/8OEq9o5e
OetJ56rTxGUB4H7qzHMDxsVFQcfrIrUal+yCKi69tgtMP1xk5QLmmtwYdh7cYTYyXoRFgdJz+Y8d
oaz27RRobLfBNCIFiOPk+XUPLAqsiKthTvVTReaP9TjyQCnFqCpRUrpAuP3+YN7MgNq6Rs18iNzs
vfrQX2IHghbt1JyZoLLFVxONM+jrM2es1AVjyOZnnlOaDGOADqfuzR+q3svfQ8GGPt4S4HxYjLRD
YGho6jK/zjWQe8QZpXxfBptE1az7Ekx88j+/8X24qDMZkFwxksbdhDrowQswejMPhzKDhc6BtIAb
xseao0lRRPJcMeCCfD7exyblMqBNehh5rAI78MFFtqg57BlWuoj/wbUtWBC5jhtirtYJE4uUOXeT
Ek10bZnOcPP6CSbXjI58pA/aNtJIaoJ1ab4AwOl3I7yxP71nY8Wk14WEmRXCezl4Hyg3BotWUuy7
3Ld3phLK89IYTq3BDxULRqFQgd0CFxXChoP7YBd3fWAVMsYSxsnVQkaLVtoiVEN3OeRbKTShKeHk
Dry4//r5D6AvL/jdXdTlfCCW+g+yt492NBIGDQR3A83gZggDYpmle6EEgfucd5xLwf+b07WrmO4j
0WWPqTtVRCCYw6adesiRrSyieNnsiMOuiCUQm7AtOcsZae1z+HUvElk0P6tg4dgrATq6f1Zc/r9e
faJezVRclub/Xq9++tW0/3iMa66z8cvbevW//sl/1att+y9MPhZxOIgQQQAI/qX/wg47+l+YuqlT
UCFEHmbpVLv+Xa9W/6ICyrKlcEhEJHre/65XC/svAist/JrULtGrWe6fcIeRRxzOTupbeBdBGWto
vakdvt+PwskYsgKGx1mT2925dApTACkvF89kbqwzg1BFj/Av7UujKd6Uh5mnxiMcD1Ub/DSqlWQD
P8Te1q1b36GHVDxXZO5j7LTZLnKV0BNx57KHj2ThdHTY0hW6JvOMnBu73lJjC+aVqRiDBTvTzEzP
SEGu9u6Uwg3PR78KjH3hpB32vCnkFpA74YNWNG7g9SaUJtdKvrrD8Kg1WWB5RtBMD3PbzyseadrG
vUKou5F0t/j7NPI2Ci41Y9GwsgIl61ezElRfzKmKyZKYtXJdq0RSllK5jYMyadbRmAyLoQP+3AAo
Gbiv+jTXdX+eCHW6D2Bgbqe6iW6AJVoVtr/lybMibTZ6bsXrGLcV2VRmDxwIS9IdHn1zq4sR1mrD
f22rlXbuavGDJDjSCwlgunSg0JF6066UiuJUSNxzyGfeaO/SMrFvAqmJW5RUABWkVRvaVmLD9IzM
Uea12yHbc+ze2OhlryGJxn/N35yuRdMaK3abHCyRjdlxFE/4PEpfi6ML25j0ndZF16Ez9+1an0jA
WwO40VeGOcBHy8LZuGjR+NEAL6wWUPTcekHe+siT2geDs2bilSAeN0qvc/tIluNe3RQmv4fZXcwO
99NE/RYnOpnKPAscqPYxKIj7IHnpASKnsXIntXiGbjTtOXrbCAscKCcADvAJm+ssCcMvZIKIYt3b
MoOGnVdXpDjmvOosj2zO2NK6DrvGuoE/EayVyO6/BbCbbqeKYCQztMaLaS5/0dAOJ6+YZmsDbym8
AZ7X7Ec347xrkSPkaCNs3xRohWYF665QgltNtF/DRhYr4L7pWWTVQXg+tGrW345uKKuXmpCrZ3Wo
ut+EUGm3Vo4wIQkrurUWOQOKCeLDbJrKWrU9Dh0PC2V92enq8zAa3ZVSIq7QB/WXUeTP9jDIZpWb
RXWGfYOQylio1wgDtMWiOzmkiUTd/ax0EjhWkIGMCbKOhMGuQyBidGayDSxZZKusGIbniHQHdQ2f
LC43jcIZ30tp2Xszv/LGhLC8iYumV2+pGXGpUyP1oqw4FK1GzvC3fanfDKb2bW7cb2pN7xs76Ka2
VWrfrhWX9EJtYE27vmHGqKFuPdFIRQJT/hd757FcN5Ju3Xf556iAS5jBPzk4/pAUrURpgqAcvEnY
RD79XWBV3yhRdaWoeUdPFFEtgYT9zN57fTPtMV5ADZWED7F9PYqSVcO7tHQxGoWQwvPUs48J75x7
/oVk4zt9etPL7MLYdj4p0qN6bmZY6tGY0CBf92Gvk0MQo0yP0GB8rDJy3e67gVS8zoTGaYykkY14
/DpZtNfEFJFAPXkKQkB4WFwnPRWFnuQdI6CgOo6xVZGvOS75pXDMvKAHp0PYKLMR1z0A153vNCmR
UrG1Ixtr3nhAbrdW6wUf3K5aBLLDS02s5ep9Sg9QGBM6LsZUIl6ons1l3tcuk5JElcWzEs6yrXI5
X4IMtl5NFm3LAGrcBD36RWZI4i5tqmLXesW08eaUJmMq3CiXlTznhaMRSo0turiVUUdG8fU8CeiT
Iymmj7I0xUkMQXetzMF4PyfbdCwvI0O7bVWiPkM33IDWMZyKqdiF8MlnOwZt1AD/gGwZa+SafXsp
hdlcQ4dB+CVAoXVkY0rb3IqRDeuJYVTAm6qTd7SSziN7szTyPGgbqbBSSECtXg6xETc+bVZRfNR5
SAIzEqILDhTavG76BMyRxgVuDMHVftjtV2Mj8ZLTTamT5fuY0m+kBNzuU5EQBuhn7XhAmfbFjT25
9fw0ZOoKWG/b2OZ4ioFCRQ2x6FdZOX7iw+LtyVCajrWW8xot0xh6M7Tz7EVVlQ1f7Jqvzc53fTLI
qzjcT4n1kKCsOTpGZV4yEz94Vwf5ofQZpKe6O0JDNDf4E4Jd7a/EEEB5R1JFTXK5fSuKQ3jhhEeS
IuMH5sUbZpCvTRfs+9a0r0bSni8wSLKdssv72NNL5PeJf5jbsA+wkmffMSyTvb6gedhULe/e2ZqI
ioJWdpIhkdSbPCnk1lTObWc1kdEoIomBOi7XKUGEN5mpgqgomXMtugi3ws6s88JgFoqmvCgSl3am
Bggrmk5BEWrnXY5UCsCdk2z06KanToefyQGsTonovkpYsqwK5s90nCODwMXajSOfG6tLTwF143Gc
S2dbxcENnuf7oa+dG6eCVhaQwXjH8BGkldHfJEt+P5q9cTen+a3ivJ5jJWyexvIm8V8p9gWBWypL
hAmsq/f2Qvfd1mU8Q6bZNA4MjtXy5BYE8CFxmt17SUaZd9b5sIyAr8yk2QEksLqNnSkgocx8FhBd
7tws5o4cH23u0jhs9UOVmaHxPPe2WraZ7wfEogrGs+YEAVBvGP6WpbvzB4tM7VZkD8IHBr/Vk6aU
6YvSvZkKcjQI+rKcjc1wguQtKHDflsZSpEyNWr6zG7z725blxAeHAPYPFQzbs0/U7WUEnXiQyBlZ
YhBFhaR0KaYz9KGZV39JcrKa0uG4wOHZWRVvzKAwvJclh1kJR4LkPjMc2VHafnUf6JFZrVn1W1RY
O3gQ834hke+rZIRx6IdZ3PZLIPdzIK290w3Moaqa12shHU4QVFi1T80kee8ucbv1YbSzcCqYc4TQ
So9Zp13I0FqMG0IaLPTWnoMqoKHZuXTtWKVsjLqWcGF7GcNgxSeae9HzbdsExJoTTO4zuCTLMj0T
bF8nW+we03gy02W8lGlhnAxS7Cj84nVFYjpu+M4SBt1TM2iZ7QsB9qsJQt1tU2cERZBI82Mv8tQi
B83M78hnk/d5mGNzQGRG6oeFEqrPYrXvAsC02krVRFysmuDXLZ3fb/xuGT6U9HPbuAfWU+VBJdix
qOVZO5m793pxcIZ4lOCRhnEh9myNcyggLPaEiR6TzJinjUEA3I5gi+rGXdY1JBWQRP+I+PJEBKD5
IY7ZtLCfj9MoGR20uO3i1hO3C+P2jKnYMy9vTbZ+712a0Prs+uRTL4hLqg1XFFprWZjk6EBLTHeg
YvKFpYKwo4FNUhu5Xlq9qxnGW5FXpNBaBeE+gnzQcK6GqxnW1clLAxjBNTKFO1DFY7HrRQ0Nr/a6
XchFg0DcA1hA5LF8VXGQfgqpuZ/sxfMvsZvWHuTCyb/qTUqzbZxYSXhdmYJp4OI/D5XTf1jitatN
hLsvDZ1ENhMwsgQX3UU9YecfndadZmZ9LTNvpoh8S+zwmojZ5RtZ+/ScxPS/8D7NztlsWLtFut7z
NBXQTBl7+vHekFlKALypic4YiLtayBG9H63G2QkPZnOz+MWOINLwAE5x3Ak1TRftT/PNwrLmHk51
t8nrWUW5KODbFm36sshZSZJRG3dvZaTdMGBsux1+AtYSjWIhEQ9yZ7Ax2duoWr/CZFJXbZ/pm0Dq
9qGdUf2wbWzy781g9Y9hbZbPiWWWCXCyPDwzPwYOxJLxbLaxJDJEyIspE+/O0cMczSZUTlubHEAL
Y8OcqN0tNYjljniDnRAxsYj+ACi5KKt6z6xCHJgq1idlUou3BPo9NuQokGjdMTeVOQTkLt3kJG3f
5CilL7wkpi0PIA+LP9kULLz5nKLLotSQLezO3GM7C12aSNxFblYfDhWDm1/ajBqlrEwygMKh/JIW
HpQzMHJASDA1f59Ixv/qAfILopY97fVk2wrecuc2f46r/tv//6b/Z82zZub93/3/dfYFY+RL/ffW
/6+/9FfrT3+PjpQhn8V0y8elSRP/V+sfmn/g0+U9B3MI7atLE/+/rX/wB8ZBpIqMDPBn4ij/39bf
tf6AfECcwSpdYmhGxta/kKq9teGibCEd0MUJQm3uun8ScP6mkZAKMrose+tS8zoYwPIC3lbHTrCl
h3BW49do0oVc3LywjJl9E+EJEOxSIIl92IoX8BO1bW3Biay7CZFTD2GtdEtu3sReKexhXPMW4vuJ
lPdvZ/oftG/rTOJvEzVos/zAhLjhvkJEytjwx5lF0FO94APoLuRvqXsrrY1IsCO54qVo3pBizFr6
1wdkEvzTIYlQWYfE6Po8ruYb0aqRlYT4j01yYdRzBXOOdPByYtR/wNjH947PtCGPVme2H0OcpZKe
xp18lwaKweNeJOQpn2I/W0EDE8EvG2g1iBjsgVj/oM58Z9fUkATxo1uPpU1Q1sGN6+ZCDCmBNEyg
KKGtIu68jexkxcSEsLVin8z0IBfDm9Q90GyWrpYWL3APGNjkMuBQIVqAhE4uXjd+gkDIDagDJAEe
V4TN1tCP4x6LyAIIPrMfOzpfQoMdZr2dw+x9waxLGs5Aon8XICKI/CRbkh2WhDnZoahQt2bqloRN
pYn9aFlAeDaZ3/O7kSYsPxopLJHEm/kxFKgdxafUbj/a00z8rQeCM32n0oqfKFyEc2LKnqqnTq7x
z2y8bevRpnroUUGjSLzBO+gbtCiL1z7bzlin56Hruf8SyJFoWRiy3Ouuth8JybLVB0hzyvjk2ANn
LuvJiNos7EybU9cGrHcmEsg0icMGhy7bif/ajpCWdrA3WKgoLU1KB9Jo01tw0Mh5GogDKSoBh9+f
aC/xkjPCfT8uLBynEVTyJpwpJbeSaATcWvzTZi85SdnichU8F6nrczozaz+6Gl7jjvPojJHIVlxe
ZpSICJQYpH5YdMNlndZ0tgtuDeowvV4Sfz05ITnRXD9ili+hNBA2ZOVg+BFhyfN1mhB5bwQmrRfq
FCjVCTiYreT7TSwEZNoSVgjqhk2HC9rfNpNd7tzYT7YlfG4i6Ge1PHqDPdwwfWYxWuUE/wMNGZuX
JB/E9bIk3ntj8q2beWrLW2gOyYtNc3BEOOYGUWbX/kudFNOHlg5b7S3NLZvOsBGneRqCKM3XhVoF
LQjIs/KE2pHtGr43MGwOd3amDW8rJp/bZup8Tu+cVV73zhxop/e9SAxGG9VI8UsavBuk2mFl7xqg
rivFtcsoYebvS76M7VrNVPn3Vs3qPqtM9AUekvmoSbhHekqFMWJtbT0u9nrly8KQ3saIZ65tMesS
DRPkp4+cGR4uoJA8lEXbzPG+NwHNP/exUPesj3gQDO1zgjO7tb1DQfT0RdgaSVKsepbtU45gKI9t
dYt4UR7peRd15QA2YurRjBwFhUquCbbo0eUolXNe4MFBKxxhVVxAJtrdY6G1YbyHnaXlFdW60d0u
KuQnKReH16+u2OE+UblWxX085d1RVUYnUSI5zklP605PLxXnktKVc6nMmS1gGCaciNZEnhmXQanY
GpAPfW4lrtPo9UYulMGFA6nCc+xN60MxdC7/ipod3qG129iP2WhYoCqtIPWeVRmM9rs8DnlRBIlV
NF98Z7ZuUi+gwsbOwjGNIskV3I6kyz91VjcnEL/HZPjqxMFQfOh4Q1gQuGItundNVddewG7DiMOd
X0L52NkFNic6DDM/99Lnmg9lZ93ksKfVh4Cyu/gm/Nq2EYAsMgHBYVL3vKv4/mjKx5FM/1NcM/2h
rGyYoJ9S22FBTy4W4joDi/WnTGm81lkS3NQ4IZ7pUeMVD/Lg49WfI8qw8WlpFmMH9yaF4dj2kTMy
GmeiHW9RxWVwfTNMUJZjLWDc/EockV14q7U5B+6Jho3d5t5l+17niACXuOYl05xahg7ve/DokVOZ
nwx0FpuhJsWuoHDeZOmsgiNZ+snnso/9byohQxemZP2O7Oirce7ksivKTt2Rxpp8Es5U7yo+UlvW
Ps49otv6k+Wm1d6uTbQeANnoaAe/uw0TACZ+S/fIJrUor7M2KZ/svPeZXvXDXhsD+/dJ4RmH+AED
YW7fTaWurgTygt04++Udr/X2E9Oe9GFyy9vZN1V+6CTJ7nIhgNtk73SYwEE/JL1XPhHI0ScsAer6
isghxFeF1MCow2JPxmW2mUg3g/7hI53IJqd55KPTPteiatNtrvt6H2Rm8yH1vPXUEsDNtFmMdeT5
o7ppPeVASp4q+BN+/z3rwL2Wo+se7TWvBeSZfQMMw3e3KQR0EAIL5cB25QSjhqqaQ1BKJkqIO5vT
SunYJ8K6y+OmPZhYbbYEirfPedEh/QB96p1q1uHTbmETciMHN34I29Q7GL0uSHfHiUc8oA7w+Xje
jZEO8sILezlicF1O9EkhZrVi3i19BxzDdsdIMnw8pnXvPU7ZpL+aZplfQtrkS1d34e/yrN/ssSmJ
SCrhf69LZRJm1gXo34u5pnIC4HHQiwa6uqJeNVWzw0fINdBj5ebUXGKe8uOv66I3IunXo64uHvKI
SLgmR+fHo7qxTv10FuFZlrxFM/IoZNQONjXGr4/zZkn1ehyWYKQeUe2trocfjzOljTf2IW2ci0iN
d6rZ8c6uVftRqJgXxr8/GAIFaMEUyAiw35xKi2fYSCgCz0GJZKxpUvf06g8w2GTtfn2onwtZlvIY
Z6nFTfxvb4X0Mgn9FrIUkfrAum/qkdJbYHKlNR+aS+8je/nXx7PoQyxuE5K6xVstAMk/PLZlJWDl
pPH7Pz9BNeHZWSTqVdLYZwQF/+Z0rqfrx2KdX2417LL95OK9LdZZGbrsBgf33MFdmzaEVlP88ELl
C1yrldi7IludyKgm/mwiKFP/+iZFhSs4zyYNty3eGkqb2oWsWBbemQnoGk9sOCwf5t/lsf38KHAU
vHMhAWDM897qOsrYnus4671zMiAmWtgaH/zgt17VfzoKDWVAhiNyhp+09d7AMFkY/C6vzguPqQbD
HYb1//o2EeRUYQKl26HdfCMZKdhMZOCCxNlmqg0sjGgekJwzgngsHdbN0KpJ/6al+/n9xTuddxi/
FgkzHPbHJ7zOpniZS889G03sPVsjfEptTpQiI4kIuzpYTBs8neYW+fWv+vObBSPiupznt8WR+PZX
Jd8uM3ULPaoYebrjhvfkwEZkq3Mv+E2yxj/8itwcWJuowTH9vn1Z+oRjc6jKPquOHRA5lc1F98iT
S3dVn60dnFrvmn//+5FBECAwEP+QkTmZQMxTiMPn0sPGUldYFkozSA80Or990l+1Aj8+6iHTCZzb
rh/6wc9P2qp5NnmfIJXuGTPnViVItfHN8r6ddHfT5Hh30JpRJquZug7h7dLfTHJS8R79qktz0aAW
Tuz+K+5+h6pT14jvg8JrfxfH9vOLF/GEQygCbySPAc36nP3tc1lnYs4WI+YOr9BMRVmctR9X6nu/
YRXLrZaHlPW/vhLWz8/uGqVHXYkUCQPaW09KUjIvifnGnY3AoNZVgUP/QOT88DXoLD6ZaRuv93ue
WTdyLOXHaRLa2jpZqO5lb8sSHA27ij1VUnYYFqtM//VTjxoN5yQ+NYdr96pj+ts5MWXPqi7gqa90
QNFtivyTlaCUJ021zjazNH83xvnp2cNUuD4NjHK4RUk6/fEiyKxfi34wXSDWIUuZOZLIRdbcpmqV
N/769P/TwZgbMbQlofPn0H+sFCEBYFD+FCFPt3kNO8/sA7ocYbZ0Sb8+2E+Xmt8MN7VrmVjaeZ29
qYuqwrDaPjYXII2CxjLJVhUNDyJd4q8P9DYFFCssr8u1eMDPyCf9bWUEhjJTXuvPVBBd2t+a9HBj
ZAT9QE4QcSv9pUU80O3cxMVnwu4ZIEfrO6yAy/Uz2Eh1n2YFcwJjpllC7KvbjyhzuqNpeIyymHo5
e5M0XdpzWdAcv7Jjh7oJm+rfvohfsyaRyfJdw/z5thTKgOK1ftX3Z1ujH59RKV4qJPOHxISH/uuT
9tPDz6G4B1ykgIz0flJEDolpD5NKu3OHnfgUEMNYrivxcEeQa3NZgaa/mx++qYFcPmtYJVdzfWBh
QH57lWpdQdjrhHv2iDz8RuzgdO7cOHz/OhDx/J6pjtSleGqUsn/zAbDf3iLuatLErOlw5FWDLJwf
HzO3xGCAzyU/WxaTJL0188AjWWyBfuFgS2C/9NmzisLdTg1i7xtULjyBDsK3oz0sOCngIC335lgx
RdTFOq+RZN7TWIwdf9Y+91FXeX1+GPn3b30o9mh2GnDOR+RfBTLxAvjvnch7NP7r7QVYnephGTp4
kVMH5Xdjez3BZLNiNNbHiLcvBYMj/BNyStYwBCTg13CRim5rWkV1NzNtuOm8wTgoN/NuSSo29AGi
HOLuaag1WXGIG8Cv5SYgNV+M4LXdjkV54bLhR6tCrntD3gcNtM7OkL+syJ1KAex5tFLJOnuUcCaY
fZvT3Lw4Ol9d1XCpGR6NrVVaX+cOjO5VbuQ8L6Fq12HokhTp7bQo/uwbEi+Z1zCixLIDSvJIiipd
US01/1VL/6/icypiJi9hudY1suVZS+tSLN+ZlmdzVFjJam1dOhUWpyQw1H0LrjO9xSVUgnRL5DTc
9Zhvqi12Hp7uxqra4r7R2Em23ThYco8EWd0XRHVfJZ7XFPd+a/VfFbprzYQ3F/qb49Wje91JltaR
jwIQtJeZ8Rf51cWLmPlxH1qMzWiD7dy9mjibExMNFCPkeAMy33vtwuGZgzC5GnTKIDyoFs/ZYR7k
XxyxoeHImp36JFU+Gg8KkLGOZKH5aoUmsn0JA9rp7Xc1apfh3srAILI4xvNwS78KM9Ra/LmNsO+5
p2nqWBpux2EyIt3WLVhAe02y0wl3UF2jO8AVMmf+lTvF1nxKwb3HfFct7Cys5phpBSS664MiNcRG
aRAyZUxGU3WPVi268hBkghuMqBOQakbW8W14rQOY2XP36cRj1JAitErPluc7ywUejYLTAsBRfQ8H
Hd8GesJW+jqCEyWCtI2TKuvRRfn2ksVpGu/6sZ+RUr0+Vt5qmUNX5Jxm38mDl5rYTfCRgrhtS1kp
Kmi+ijKyB4wNUecJ7iIZeKvZrBScV7tfZ+ZO3o+fMSfP015hTLz9czWDyPMlFs5aSCQutV3Q+Lg8
rXydxHaM5zct0ZtHBSxaR6+fP98bGTKmzK78KwHAWm8KpJ35Hr6o2V/w+fCYVq3BpqFkRTmf3Hhy
nX0e2kl219eSH8RCWNXt29LuwdVZUn0ale8YE4MeURT3QUPG7rVQpfXo5XntIuqKs+VbYLDJ2OEX
t927xWqZAqcLtTHMCWv2K77HrAHSBuQxY/Bt6LLNQSDkDo7/gcK8gH0kuqFBxF1mU2vkmzjGKBDx
Chf5uex6pvVLyVByzwRNB4wkcJuhujAVozYm5MMqJdDjlM9/fvH/uyf93Z4UCTIflP97T/quKF+Q
t/0gkbb//Et/7UlD9w+XBgxiAMl6aF/+FulB/fTHaiP3BVkXxPyvsQZ/SaTRQfNfVjk9Aw2KPeQ0
Q/r//5/j/EH/TWdMtJK9/r3g3+xISXXk4/i3lsaiWicPiYx6fgLGum/nat1UBLXyLHl2B0NtHbfE
0TwNREsOwZ1I8WycBIa4GudYqsUOZudoPKWDyL8S8GTzlVS4pXWNWg1m+8HAeNo9jgh0L0ESZvkt
Jr3u08RU/KPQuLdTKykvw5zbW0IN2KzhyKlYncTF3sOXsB2mvL7KW2k0H2ts1ddoCVoe0cU6sAYC
w6xTu91X09yFH6eMNOUjiyF2P4Nc0G/MagxuF1v4zLXR/+Z2M7g7x5ugpOD/DrKXaTDS57GDyHls
uga2StuPhXc1CDMdkr2BFoEnmFERu6ZqznDT3ZDgzpJ6H8hStzcNrqyeHJ++A0xWY0GPSWnzSLDc
VY00jepcYy4PKLTsmD58W4xYkm4CW8cjvOmS84mcZ6nGmZ0GXpEZ1TCLp8jiO2J+mWeiZvWuSGnb
WLXWvWCsX+dNXLAi6rSxbLwRqfCmDmyDLd4Qurxlya6S5ESJvHV1hMoxqREDJq1NpDnhA2Oj8686
XpZeAPquEub5E8F87oZYkik52IWKuxu/AmdsznV3S80UbzTE3808uehX+rQ+AYOaDglj/Qc0X+in
nN5kl2XV852F93jvhe3y4rdIT+dyLAljXVJo3r3cT0FVXHVG5hya3q1OTTOMh6KeJAaPuvE25VSO
p2BSkT+mZKpWUM0dL03eYSXAtpiWaktocbF1B9RteMwborPC+K6r5upDXBsDOByWPRttTO070PRP
RVMld7gT+9sZFeZd2RbTx7QK1DYJrfjctam6435o9svUZO/LXmHRtJvlA+4zg+JwHCds/Xa8na3M
vwnDIn6Pkdk5qtQz3hkqVgPrXgPhpd85V7EXlwdm5JneWn5XED0iA7Hx49J7kp5VP/QLUr1NFadE
1QoSO1SUVZ2vInJG9anusFFswqGvUCrWw2lWujvMJaHQ0EOdS6h9umULGdWjG1qYBREvraTQoiu/
W7OLOs3xtVCbBKAKNUvD1hBZxi0lqn/qZvGYS3/b56OLQ99R/pW1tDCr80zj8Y27cXo3kgJ/sZRq
juTSjZshX7jWY9l3d2np1e+7XrHuiP3282ynH6jlp2gog+DMla52S+u4EYh2GEO4Su9ir0/PtUuB
kViOfh4dXVVIv5T9JW8682LoGnaSlA7R56UK96DYvk0hdHHqd7lLVcF3OPbzh7AIxmfTy8sPS6Gz
D848ZCISMig+SKMOt3PBE+YZA7m9vmXvQn8e9hke8LnJEccSP3TIO2d5V5Nedp5VH86o4IucBV0d
Gu8sMMAseqFub9CnZLc1xehZGa3q2JsWuJMtWvFUBHg9s8GAvG6whWrmsY3mGJww52XY+KiRosQw
o1b087kxoZKRXme/d6lu3uEceMp095C3hv9ViQallwlIFnD5zAApsludP/p4Ti8V/NQrc0Ay7uV9
vPWz5BS6vQ9OvpM8GmP/oFldbskhaL54oxls2lk3t04c6s+EIWDVs4wSHR77q0uSJ+4TKzgReXJF
pMyVXLZah8k1feD4cRDGtoaWjp2tMiNdWBZ1kOrOSOaTl54++ls5U3T1k7xC1z6vWja1RdbsPNtp
nKEo9m2WlfO8XL1OXN3CQ9A4DDYB9IWbgqlCULPvGvLSWLEFzV2RYwNgG2KFu3JU1s3UZ1TZZZxR
SafVzJjbTgd138wuJVuRzM7DNNCK0fvQjmJYo714XUCgVFzuiTQIrshvES/jujEOieTwEDZYvOdG
00FpYdVxuxmDlG5qds1rZsisvC00vH6CsW6DxnHeMvbBSt9n6ampApaQUDmDKwYGzU2fEQKNc6PB
d63IGA7qe2v2lhOrWcJ40z6JkjzuT6Jow8MgXXVlDHYWhUEbfHGbTnxvDPdr1kr7yvKnfogWWS2M
+POd7HDZZ5VRXM9I1a5DpyiuYBJ4+SbXX1KTLkCaMKtdpZ4as3tQUpusmsn5q+O1AaSN2Gf4qg5m
psM7aXUNKkA7hcvdz/0xMdKbEpL83h2zeMtSzfqQSeEesM2be573LzkQlHtpY4xP2U89Jr7FGyTt
WvzURbWD9C3Ka0HiRCSwQ143bFCPpHySD+dV3nBwLYu2FTL4FjfsfJstDbJq1RsmGQpWSdnjBu8T
cq7P/IQLwMOWdG7RihZpqKhuq9gQ+9LGzmnVA1LlHnA5iufsyugSn9zNujkMoxq37qiGj3YH4bcM
sHUjDvo09NZnwkqKSPN5vJrmKiHhop/TWxC8FQiXptiqCqPO4qj+u+VMxW7E+PGQQ/PYTe5MO7hm
y7oB2yOnM+KHDCXLjWf6w2EOHclPQaL3lOQOmGN848nGJWoyMrrUOM3jpcvclGXQ/LnDEPRJqnlE
ZxQUX6sA4PeiTa5rEHxKg/JbV2T9yTH43JuIY7dS8KcYA8BmYXlxnLIBUX1eMlXILHtvD5l1panX
v4R5IHh34m0fBEBqt4epkA+lc7b7PNu3A4TDkYJkN8oyPDrIaPY+QrUtMd7igB95umQ0wTxHql0B
BZg2TLIRidjFY+T4ff1lYLIb8bMjXEisaFxS7zhPjowyca1d+rDardAwt6G9byzxRZrt3UgKyYbo
iRwbE5OEzsTn5hjPVuYum5RsFjpeTYVRIgctzObGb7s7n1lo2MuDnivA0lWBXT+t70ngKs55o5M9
+aXBRobrziKrQbun6bnXZbKP3fLaqQzjPsRIeyi9MTy6+E7x2hNVU9S3S5el+6EykYk1BgvwcrkL
p9HaFllBJMrQEtFDB4yBvQk2Ih2tQz05mpew77xjoW9juzH8R3rHDExc3OBxt75JxE47dLAkVVYj
TrAMAesUFynfA2eEQWKFX7JqkQwuuP2a3jh6aqrvPGMK+BjrFKPdaEVm2I4nVXXhMa8Tg3mmDs7V
sNzBbPmEoOjptUH4by/1u17KYgLxq17qOqvrb30z/NhM/fm3/iM6Df9gZcc3FGnpGgRnMvz8j+jU
f006ND3co2tA4apH/Y/fNPwDfgQeZZcmjPKbruk/DZXr/LFiqwUJTWwH6Ib+negUesOPHRVAUxaK
0JhYvqzJ1Nabqb+DxboiF97EX2U0qRwjy/WMLXawGDKopRBFu86Ai8aZ2m6PtcmClt4ODhD3Em9A
pbMazd7SXyviJ8JmIx2CR5QuXfe9FTKp3s68PpPATp4qNfoRfhPxYXLd4VqayYD/D9T6PmtyOCMN
sTHXCfW8G02eCltK1xSGF86Li58rTViQuCu7wflszG68XFD2qYBltT1cTXno1k9OgT/pqtfrR2ss
vZmny62c8Wv+KoS1e4XOsDE3YU4CydJDw0NBzxvZdEjlcsaPJOPM9FLjVBnXhZOJda4KOmFfcG0f
SB6uvMixSW8i/TbOnqwUeXiCllBHHfYN7+R6ov9K9rN88NzRPvVo1A+2ou9kx7HL/CyLelNmcKKQ
SB1yO3tcCqe49XLUoEf+L871QvhOtR2Ukx0HgCjdpnMB0/NKfVGFqzaBmVfzickbQzdcVjvwkyHR
M0E6bRF9SLHTrOzuUdmL6ylE22cN+KN4dYeSDSodyXvNJ+Oh9UX8iIUP2wWRdo6xzftWlJeyd6mN
fCp4GtMu3RmgKOnRMKnKrsUMMqr67IUNzXDr0+mNNJzrlDim+VuW+TKMQ8InK2nTnZ95+l7WiZuZ
hzhB6VZYHtCAjs27PcyEF8+63rKIn9LIjWW+D5Y4PrpNZT+3GofzRveGfgxLv3Q3QzL72dE1zKDE
9w3T5ClZmefmbmReqQx8HmXY9wd0ZovZn9JE1FBU81Jglkh63SVcudLaCAgJu6p3I1u27o0mEWan
zJhINBKuTuiA7oM09nYh0tmoKJo558O0foMbWUWpF+LqGQfcZCsGNdv0wp53pY6nqFMBpkpe7oUS
20rYp2TsrsWC8U7PGk9dc+NKLaNRFAdXVfHZL+p9zZT/yTDSO0X6xabjMHuinoYNoXMfLXPWe+RY
8T6elgeUSf1JdqAGtCfzK1kZ5qkVbrEfYmmfQ9KJNwWrAZylBBRVrsrOLmt5rEpNdjHKRZ9MyaNp
e6X9FC72p3oI3Eha1Dl5Ohgk/OTTvqn9YTgDV8hPTLg/d0xmz9QayQX48EiVXkHQbZcDUsSod9tx
7+KjKRBrbqke6yiRRmjgCsnpONL0m9DymXC5HIl5Q+Mg6btDtysCvvvBjB96Sa5qoQAbZGAnJDyv
ITP6jdVk1gbJVhy5XW7d8tPnl1wsRoeIc2hPiOXHb+2adxWkDieHh+0o24ksPoaNdaKHYyMlIUDi
QTrlfRFkV9qKmfGPZpTb+jGjZGzMPjz7q8klzE4sfextYGJozjn7CSTaYHKfeikPwaKuc9ugbREj
Jqi2HHZTrEmVjt33+LbYtWKN3VpV+a10zW5j17NHPGE6PmQG4ABpWVE4eP1GItGlWg2u3ZbssLxS
qPLgFP8Pe2e2G8exZutX6RdII+cBODgXlTUXq0gWB5G6SZCUlEPkFJFzPn1/SdnYlnf39tlA3xyg
L2xAlkkWa4j4h7W+tSKMwb7XO1iBxahKhKaUkCyXMXbxerg7ZshNqCVBt/dV/jF71LssTIKjy3F5
7BTqQ9Jks0sStNke3kSy5lNh3MeJvO+zZqP5/FJzVV5G387e8uU0Ex19MSOVRjvVtWlfU1O6x6pu
k5AXjPEw8Qcwn5IXXWsYDZvjj6QtjH3sNTRbqcxXBOrhg0QEeoQAYm0ajvX71hrqVTy7wUFkHl5L
dY+kWN9yTPinKtMGL2yE237hXOnWZu9F/aq22uySmcwrZCvanc4LtdUr2aEOdJKrNY7BWY06SnGt
XdtZ8drEphkib4ReVWxLKWEDZNjQ57K5NngPeYaSFazbbJtZwuLhVfZbYqcXYSXcDpIIYGGQGJu1
j5j+8SUVc/QwiOFca1Jhq26zJywCTw5TvlWu9W/MaF7c2DyYnbO4mzrmdDl9a2IO22ZQBzqiXWBm
2PEyaV9MI5a7wVcfpTM5G0fNzV5vzceavEzewIK6vkjy/uTIQb8kBtaroL7Jm+TZFea8MvN5o5Mr
wYyq3oAf/GoHAzJWumKxnKW15t/5jYX/LhuvIy8dZuWeYCyOUf+rwEv2kjNbXSvLW5p7m+2f159B
PG16KY5sGtut00vzhMGSArevU8Z1QZWEYsr9HUSt+ZBU7R5G/bFPI7Frcz0N44AWGRrDlsssD+co
APYDd4kVm93ZH4wWWg5sCEkX2gv7Pilsja2ikue8g803DX21qTMnea9HF0et2d2MqeROGPInw8YY
HFXnoJ+5WLMA5KFqH3o0JWBGi49+LAkvnl4yT+Sbnt8HEXYlQlAY6amfrIMB8mdrJxEZz7HjzJfR
IesBhJes1x0brZOTOvGWMdC0arrYeo2qrr6yiRflSkPoWm+wejKQK6zyLtZ62FKVSnD9Lz1/SoTL
VDnZ2jCMelt2dXdjxmWEYt5kEdRR3kcWY2JtWK5nTN2VG6w037kMQJGfEb6Xt3pc9wRLT7kN9Wia
s+5aZpp/CBoxH8feerJHvX7HfK3F+6hAZ751vMFqVlZuDGpl29XU44TNzU3fBh+F1t8ZiQftyx7a
K0bDu6HUNJZx2n0xJd0t3OMvjbLAcYxudZSz+wXvY/44puJoahgJEIH0a7PM5VeOV3s/wAx4y3Dt
bvCUqAMeS3OTVX2yc3M3Xfk+jWvBbCpMm/41AJawKXVfO8c4P56BdQ4roir8H27nxOuO2SltjJW/
Vb43PXiDhii/818t4dSMsArv2fPmdK1Frh4Cq8wey7jUGcEszZcHet+yQJiO9vIh4gXLVtZoia1E
S8znmocXsw3aFNm3Won3Sde8axCU/Rer6TdYOBkd6MIB4caV7WW1gSk/JbmNBaOyV7Wu8hOoqmqf
dZ1NjVDGZ8PM961g4qw5Ht0pUJOrX5gSZ6mfdPeaZNw+e678os3Bvmqn8bGH77k1gjRgUDKL9KZs
229MVj44nfOtxP61Zh/WPaWYjN3SCnZ1ALvQwTCzAeXIBcGicg2+og8Tx2SVrVWZiWqdCC3CWeVN
ZjTzKm+b6aawh2AP4WRcg2n4yGPyj7sxT427GhrIAwdkg/mms5gJu+2QLCbTGI16YQsur0YrXyUy
0FPsTowrqAWf9YGxIbi63F8AbZP1UCSW8c5y2n230zJZybmNyZNMYBQiQdqgIRBbEzQo40TognbR
H71u1pjdQGezzNuIRoXpKDP0LjomyJ4LKg/gmGkfJ8SRGGg8Tgq9+VYUffzAgB1dwJlCKyzK/lkF
8wFE2Dckge5O1iREFWgPNx1ZDQj9K3M1j06w4pLc8aodncxuVwFbwXVeVdlqtLuvfWtDdJzrblXW
kbV2coCNKpLcf6LaJ3ZZr3BTtys8Q/neQrS9SlQGzU4fNpGyLlmSWVguXLXLAUOc0qTAktWi3RNe
gGUn2ea9VFeV9PZON947nNLblrZ7kxXRExv8YpVLcx1ptgWVtSbZzVHQ+TKG7u5UbrAj7+eS910B
anSFSNEIaflr0Nn9Gq+G5DhJ4eH4sEKxAq/8WSRfh4D8dQr8re7zFBdB/QQWrtpApMdlkRanwYVC
mRk+hqSR0hCfEMCF2Ku5E/OKaap9xYFs79zY+sjL7gmHgnOrufN9i9+dctmZtiOeslDV7bq2p2Rl
1Y46a2rstyxZzGcEjEw886J4GhnTh+hCuOomzUbop7SVVaGzTxCn4rGvUCkU8xMQW9wleF7CtIrS
b0IZa2P0ZlidvMvHnAmmTkycO/rRk2fkN+Az7YuyIfriuv9B8Qt5KGk2RjZX2GUZIY92j22sSYhn
6YonbLJwiADubqE2BxubTCuKbjYOk5blZ8Gqh5wuwehdd+TF9aN3vVGkjYkRttkgxns5YSuD3mOE
QFeoegwAdHqdXcpx6i6mXuE9lkMI0WDZP+vTBRLkUSP8F75kZYVe3yNmZux+g4L2W0W/kRvaq+nP
b3Ht7oC4dDe0uRNPhsClMB8iX/QbHD67PPmh+ZKUW7fRb4wmq/dSqDuZWqdyZCoTJNIPEYLr27qm
vcWYZOF273cm+AI2/9nJNywu0Aw3s/CfHC8hIiWd30av+4i6+L2qBO+fyrrv2rNXRU9VD4SGdir+
qmkmWdR2fmjTmZmR5d3Mgf/iM1NSQVDtBJfjyoz9+hJFJmCPUjdubLu+zwgaDLUm08O2m5t0JfxY
h1laDZRn2l3nSgZFohhnroQMXIHJTSCRcdfJdvLJcwUM436dVPLdEsDnrGhgpmaZjVoNNghjdgzF
a15lBPWlqVEQRmuSgjVWVk6BVwG7NRNV3g9Y1Pa9NsoQtrDYZakWq7A2lZ6EFWDbV5PlVDgiJKHJ
qeXT0Pk5opGkP1BVC3jdSbmzg9Le1tMMy0fv3K0qu8dJzbhTq+A28Lvsrkw144eTNt1pTlL3WFu+
2pv5JI5dFU1bkEjq0S4BWfrKfKOHz86CDU8YxfotRMM+7JsqvmGxZIUda6cz8ht7I2fSJK0KenfW
0y31nq1tWxRia5VCk7FKFkqlZa9jPFiQnVm4pE0br5ltaIzm9NvY7rBq1pm1MZM8unWxXGIAn979
AklTYXoYIHOeMYrac9mRQaay6UA6Ixawob9gZaKsaBJMfSL4CgMxXUsfp39WJBgca6ekDFIzSyS+
PbshpBk0We5IuUfXvyUMhli90QzRo2XbpNLzA3XjwSuYkeZ50W+XcJcNpzl4CvhFmxxWdwZCkGbK
v3aZZu9ohZm4WGP22osgoJK2dXHmquYWGugWQAEEJ7KnWOeQjLk2I89ZdaIINeRDq8ow5cljWA7B
IE/3jbCNUKk6IxCw0U+tkO0R0MMPOcMQwdKyWnoLc04vBqf7Zpzj4i5TvIyVcJHxCnMDHWQINRw6
K7dK27XAG3sa7OwuNTGKsR49x673DL+i2VFfS0bJvP2bcdyWhs5inXlHDsCBLVcybTuBOkvDBIeJ
rP0+VzWurPY8oYUCUBahFrLwV0r6LNNi568V5WpoE369nHGN1YT4NDmVHT3ak/GEt1bUDkXLdBz4
pIbdEjaldy1npGMo0tj7997L3lNoEb4t70ZcrIcUBtOaFhKoR/tMcFLJ7mPc0GrxTkYxFbZ9A9PU
SPXLbHTmzh8Hxigzly76GRywxhXq8YHl92buXRFKCSaaRmcuv0hbY2wyDIO/NXPjkbPzak4x67O4
bzdsuui8/AFSP+1gywZknlk2MRFYG1E6HBMfLZBjl+9lWwX3WcwOnmp2JweZrHFvzU+o0++8OWjJ
FDNMsGT6tm1Iw7WVYldJoayt3dyboCZ52SPr4e++IS/NbJ6E775ZbA/q/K01il3X+j9UP9W0uSn8
YmMGXFIEa5mVoZHVEF9k/6NuyUvNNfE1kVqykYuMakFHsxGuGKr4zEogGMXrsmQWkBjMtzm1iDnL
7lTCAR02nXJHLJO2d1t0vXlkLeLWWBRzvNM9TXkvJxga7ODomkTBoq+Wm5LdMOiT1kMj7Z7qwjgB
TQ/dbEQHN4q82zLFwc2Qd85KzIYnuaEn2UFjZ8FtAzgOVp5rq0OaS8RknGotY3hDOQWlsQToy1LM
bR812y2abeHjnAPNIwYVWsgVq5NLjzBxfJgdYHQ245IlAM+RwzZQQbmcdLBFvv3eiNETLRzzoGFi
8VO6+z89r999r5aon+b/LN/4g+KCcy5p/++vf2x+/jn+Xi0JQb/8AQx9yk6h+66m6/emy/lSvtHv
/+f/61/+njn0t5N4R/+bSXzDThTMbp3+CoD4/Lo/ZvGgHHR7Gc9bzh8D9z9m8aAcPiOKFunSH4qm
P6mY9N8gPODSCkzMYciY/i0V01/Vx4GzzNrtJSJ38WH9NZ+x01vi4/okRotZzmcduNzOIqM1hR8Y
oDzW40R9wGOXH7Whor+J4mC58Ou8H8ueg3wKirBrWQEulGUf8CdbAaNoyd64EYeC1djZi8W81cyG
z+VcYFxy2kTft9KB+w/3gEvQkJOwV31llrhqK4COgH4ohuPGZGIvSAtfBQar2FBE5oi8wxZrjwz4
17kWCh4NO8RuPkWpN3V8LmtzYwFTOAdeDJ2OJIdoNSUE6176pOy/e5mP4lim6bxViRVATUBqf8Vi
74UqiwiCHgaEnR6Pt7aSaefhUjhWzsjz5pZjecPDJDs1Gsr6zQoAQeH0E6DykXZOGD+5bBKben6f
ozTp1IMRzZ129KnwDOpTXqVvfWzF0M0Cj8pa76M43RRdPCquuURzXhM9AKEOXiBok1PVWoioF0FD
PdxJE2HQyov9Ib6gSEr8bSUmI74Ose6i1ReFtMHCFSCvzYaZGWhE3XIOhr38n7GRBN7LqERd7hib
4kzQBF2GOyWcmpHRgAYwBn+2fDIRXCNO81XhRroHd6KM34t5im97b6o2lT7nTKe9SbJQj6X/MrPF
1jiRh3GDdNjbde7McnYAVqn36gOtT3/xKFkb2IOxtc/RqtMDEMwyRKRVqPweW2y+K1ShnzHCIMkN
trXq4VL1uctdR0UibVnfSXzyvGFqT1+1XQpBbUL41EO9e+IiFS/gqsTKAxIZWiAMwjYVznetHLMr
bgiSTIJRrtmPBtukNNJD6wfWa+YwthlQm0IVU+UhDcr2iHRsj20gvyYwze/7EUsznsXYC8G/7zRU
ERQf0H+C6dHjoFUrLQiad1QE0bUQibce6dAPInaJfhna4oT3qdk0AApC0BY51bhbrqRmJLt4rIIP
Fx4cKMpIZXc9WIS3uOfqpwCZ9Esw+VxOEMi0IznAfNWkl/q9apiRD1LOz5aZP2bgJF9dN64hPNni
IzVd49lFk7G2idrZUk7Yh5i2mgH5WByUNXyPiP98m5lcboK6YpXPmdC+MV5ECIA0GNyfvRL1cOrt
xLnNwf5vrZ7NNGVYVO0VouIDIAX3DAvQeB3Nzr8YXgmVzxzaQ5CJ/ACtKqDDqJrHBlLKrYWeZC+s
wjoNwEAuyHjYqcW1Q5h1Yly6vs5eZJlkr7yi+W4cO+uEKC/fd2VZXwS5qx913LpRGCGYOKbKmu+k
0/Y0VRjlIA0Y/SqqfY+KpkU0rGmM7DVrTM/+pKz7YEY4RTnDxz4fVcTqwE/TY0nje9sxELnplZV+
QQ4PeMyaBv2MKC49A3mSj53ohgcCG+sjtItyo41p8Mo0NXtWvdueWqciz5FBeXbUZ282t0aRFHd4
T6NDTUDLrp31GH9F4G+V7J0fTk/cBArW6cuYmQLFnXYoRV0cWic6g5Ao1+S96Kvhc31WxgczqE+T
o0+MVC0KY7v71pUDcm9R5nsd19KqdOjWDKPpdyotva2ZICqZR1e+15HTwbQa0m1uQ1hzS3u4zyra
3oQI+H2lOuCx0zC9dCTAfECC6e95QqLbEUX/FzYARohupFjzOWnXVTFm+wGKz662M8i2RVeJJ9LH
czwWBp8WbYnd9kT9zdLYeMx+wfRijHRrM7qjvZKFau88A6cbk9HJZTPSJ3AwHfPHbIIDXulwb3gr
00gx8HisR9GfiUm6q5lTXoDwxS+mz+d/dgK5Ha0JKbk+pfrZTYV+DloRXDQ2d/fT2HdcFM0Eiacy
iEbJx9tcduAwDT6o2Hxj0gsYMBdhNLQUzdgpjnVFS4OrmzCbzirPHWpLAKgcNUxbYeggHjelbTy4
E8u1ENYmMDnpTh8wTOBlDpqvUgreLNs3UyPf2VSy1MvEkbsE06iszK8ZLfshbxxcenaaPhoqa66x
13oXPDQM0jrsPStSO+VTU3YBo2ZvPvcUpm911bEiNozhmqcV00Q+Pd4NRNfp28TED+JaLEmMKZ3h
qMVFv4sao7/0rUIuk5sLN0HK58FxmrvRof+YbCT7Vjom99xs9asbdNW735bejwnTBouWtgFYE8Tf
mH5kGzgfzPHIhRnIpjhNY+OsPUOHP1zxOMNAa+gUDJENK73J+7eaeI0cQg18oNCdNbT2iS2fI5Sa
m8qDcUGeMAA+x83Ej9LGR0Iisfzix6XrbuwqLt6tOPZ3pRyjc2dE/qn30f7kSDwPSeAzEhfkfEwm
9xvTvDa/tLYe3IL9a87CmNpN5zcMpiuNlJEWv0AGJfoy5B6dbF92X4Bb4wCpmSuzOtTY0TfW0N3X
cePfzFowfdetLu+WbB2ua9K54lM+tNpjkjjuK9kIHD2C5c4ifcnK5dCuidOYI+LtEfHdske1IHNG
JccSWV2AYCdjlUWOv/NaBnS8J4YU7l6gwVMykiok08N/E9h8t3pqvUESqM5aXDoPPoNw7BKjdTOg
TuYYnMw7TEh6GEfleXkBIShYxm5uu7CfynQdZNI8E+eSHWITNr1Kyuquik3ryYMVvRk9jRGyRBGl
uRlDzADjDZ4uE+xG2qy1yqpBKunNvQdx9aNNVN6ujLae193QBw8GimgWXo251fGFPBJEltj0qrV9
JyIZEbzQj8F9HpfeDvtdFQ66deNHauBlL2wdFQXjWdsdj0Fr+ht8O/I7oTdmS+AHY2g4fd6exVcd
Njm4QPiVzV095/WdmGq5J/HN3I8Ww4fZYbUzDHMw7yJDeV+oBczH0QrgKC5Q2h9+oXWvReU720jU
L47MvY2WBfeWqRoYy5WOypk6pSEsZGCWkrUZGSm10g5uaULRxXwN2dLDifWR1gpkNLDJ4Wh249qp
uN4mRli8NW3aqUw4dxG1KdhBLuvOFXbGVlt52dqSM/UHSojuYsWdpOlWz6TBFrewjew6jFhV7bjv
ym1PsAcTAtoyLTW8vVnl/q1neCO3gpe+UqC5TJszhulyivZdnUVssEVgrjxDGeLg5IjUeGcDWKlq
NAoAUzMk03pF+QpweSNo9a4u8sDVMFvDwdUnuDBCshzNMXzy5gg8xqpzwvRTmDuhc6wgvKGYHqlU
cSWY+vDQQ0J80kWVP9kmNaCNWMEOWXPJ21q0wWkWLtVK7EQH3avRsMQA3dBZoK1l6txHB6ITmBSB
pcmOWYu8g1WekXaUmEG1p++Mm+8WEXBNAM8GVzIyBUv6N1HvoFIEXHx0cjbHYMesMwPa6RJIhsCB
SKFMxnI8JiW6fojf8cvMhD2z3cfYJfymM9MLHm2D39I+FsIzvqaYOZmxkGGOoA2XnldACZh78zBp
HrLJIbHWstOaTW3NbyqZGJto9z7Kf+apvbvOAYwxRmczVLXlsNMJXQ4F+UYjLcIpzY1iA3D8iZfF
2nbEgYR0yd3ayilutDy97e3UAhptvxoNC9Gxb7tVLES+FsJnDlnkPDHFwB6iYDSBNqte4bwqj2zM
LXZ//jaJy+nIwuM2mWzz2VKgf0J/rIpQx/2xNWBWwKIfoZKJzlrP1UT/bxfAI4jamNPMep00c2To
iSCiIEQtQGN5O7oAKWu3xLfG2+9Na7wNHLToEaabu6+JPzsyPNfPSZGn2BoGGymp4pprkvSQ1h4I
m6adQxzKTjjZ+C/qqo0vJTyybSCy6dbR+eUyP9/AVy3oE2rVMohE4fEn7dp/QfH757YU445FKK8N
g5Do6aVx/FNjmESMLtLOTw9Z0dDWaaPHamT2OaUdjCcPtl7SkVJLlVzZuvgbszu99Z99PXSlrunq
prkwLiz3k/X45x+OiowtzFynB2Os1MecqfKmTvOEtKtAXP/17/kXM/jyozAO8c/S/f4z5CVFheUC
u+NH1aYsN3xGJthaU1x9/9c/55+ydZYfhKk5YOAAXNJ1lyf8T0+oqKYJFYwXHzr441tgDPbB7UZz
k5dpeyeVwPLeBwkb+cku3uol+oZTJU5utShZmmt2euXm8yH9T0+GYGmqqql+tL/Ogj7nO/8YFP3/
ND/Clw/S8793xV2+v6u3Rvwq5Pz5RX+44pzfiEdiRrS8f/SfiNDfh0cMlX7THRBFro8uc1Fk/jFC
Qqyp6xAHSAxhfOT/Ag/V/x0jHBqhXz8wOlWU7hg2ybv6wmf5a1BSbnUaVo2kv7GKOeiT8yyUaTIz
tmyZTeUNID97orWB45JQEbDhIktQDI+Or9xDM7fRQ1740bwqefhnZWTuLXe5ezNiJ0V5hyccb2vO
bsJEsr7Fmd292E1RQJ70ZLbuzaDbBq2fXkyoGZzcKmZp28/mpgYUEqKSsS5tXDhYlXS51TFY3Qmh
l3ftMHTXgHhEdit4tJ9RBQ7HBYjVrUZoRC90TMAc9UTDg41b9ZonfnFVZksXLeZDA0mSRZ4X37nS
ma+6kavrQmfbUqe4t3PUjhttsNojpoiZ9ZMlQtJXx42d2ByVKZ39Y4fI5s3zCkm0YBVR3M+4dYl9
au7AxCRfZCG6KdSrrF5bcW9ug8QzHjxHJldndLNNr+NEg0ZZjjcqHswbXzZPHOg4YA1gXMg8euz7
ulXPj2XbiVA3xncxjqxosQSgGNL69Eaiahfsvp3mKxBRnDuS1/ApF1lx8Yc+2WptMh9VwYGySiYL
LmTve4s5mE1+Rvj2Em6S7bU8vmVRlG1RxQrEnw5jdzA+e32ohpsxIfCi1Ayik4zC9VctnMKHqZXd
VmBeD1uq0lufDfd+4uw7e1IfbuymnPacX9YbA7fqiFajfSAhKh/ZVWliQ/gMgiCVIBktars7YyzW
t9LwcO9EeXlPHqb10E52+4qQOf8xcc89mn2Xrl0xlrdF42gXixgGPCDtC88VlG2mnsGdbPzixVJp
v6VEKdd4MnRGVQKihe5o6E/V+E0OTXNLnYy5f2zHkMi9VGIRmzCKMTYKPtAudiqkfkErps0WfMqR
lf/GdsvkfknXIHY7kC2IJEj/hV6xJcMTymbffuvN3j990r3QYNcXW+E56UqdNYk5g6ds4nE7GiRA
b3otyG7qGct5jidzr5ME9x3FfXan19Q8qYjnW0H5XhNOGGkfrHn9YhXFjRGs5OCiJ+P26U5l6nrM
v/EcpLjjVmAms/Xij35hw6p/UWM23riBgK1vN9059Wpcc1Ut+3ulxfOrzGvToeqpxxMo/fgxoNe6
9RkpKr+Od33vlXcpAMErfb25EY7VUrH3M6sQwyi9lYPgbl5ha3LWbtNitGyQGg2r1HejA7vriBGH
oQ64EZp8hZCR8iwa5Yi9RUXFM8dIfTeVTInKWOqbviucDREgmJkSTJU7BkZ16MnU31DfydsiLuJb
ldjm2pWu9TVPcypQPtvjlyZKCDQcyf54cF1hxSHBHxp5sUayd9yoOHYzptdVoZG1GPaadPptycQN
rCUmZdQ9RONeNFqEZ88o6Uc9t4pAuksZcZKkNFFzUX3LDR0rGnlG49maPcxOzBpTAaG0157jviGH
L4MUFrGIijENEwZEKGVGaOt2ZJuD4s6vx3uTCKUvqonKDg49dH65zd3K0cezgZBmZPRqxQW391aR
4kmUSTxMrh8zdiA974GkI2DwT4Qw1O21tZKuR5wKtKs8zrWJojlsCcwZ67Xdm2J4UNkYY9SKRZSU
aM9zfXCeCizw0tv4NYKNrdZ1bfZt8uraEAxfDaW4uLjc/rcO+Js90hJwSBX239cBD4tr/T/Wb+Iv
po7fv/CPWsD9zQbLRAIfRgxKgcWF/udaAGYTAs4AGDJm+H8UA85vsNQIGGPvstTYlAm/m+RtyOS+
w14JTJHh6lhB/q3awPpLwp1Odh8aNN0wKKRNqoSFfPanwjMgh6CNIqmdCD3s74HKgdW1lXMo8pkI
T+gbRFP05tXK3X7nV+QqGP0UMF0i8SlGA/84Cbc4WY1J0Kps/b1IdbQcEcwI0quNLPQ4YUGyxte4
tva2QDYSkfId2nb5PHTibjDRfYlhcQRgEENXkyHMaOwAVyiJP2Tw6GzH7dx8aEtObiTKwJP5bF3s
oW8eUd7RGXqtvZ7wvn/TNcaTvvXERviHVeNJh4txPwVTe80qd1lps+ZGhdMV1zSbO1TOvjxNHkQA
1rSF2OHGSpFqc2NPg+sdingsNlk2s1VQpNO0TQd3V1Szu455OoHY0NkhhGFyB4m1LlZkxFvJMumf
9rOu9I1eo6OsAWLc6Mrf57l5rXWk/FYbGOdCAG6PxmKdjfiVY7/lOE7EhLHYj7atXhchb5hq44OS
XclYcAhjrcfby/qahKLT3CLv9xzNOxYkQoRRhRC4s7GfjGaMbnYswQnhixxj4LPzgySkaj1MyTP7
QvNpKBz3MNpe/1oaiPCSRgZrfbKq6FKriXs1r5JUBSELeEM/9WVkzQ+lwvrZbVJmjdqHyEeQvKsq
77R524EOUitinRrg2U5lM9SzW6azMBSmq7RKHyBRoOO+8JGTMAHo5bArEBDtaXgpz2AIczEa7OvH
omyvGmG77WpKNRIX0Mw1Vo+tI3VuCJ1AFWqgad1oYkaj1vYBawMM4eKioTqvtbWGgD7G/1erWakz
rDqYNDlzENJMHUaKfeMFYY2meC6PpC63rnqtzMi5qrkeMFMHTZVq1FqwSVQ23EetKBh3omtlD+It
rO4tLCCyZghFpp3G//d5gCNG4jTX+s+jnbs/56A3fx77tJKft4D4eSkMALK4IuTnfWEsV0e1XCLk
ZnCfTJ93i/l5z4jlykk/bx+tW24iokK05+TzfjI/76p2ubbE5w1WBvIbHJ2FhgSX4Qptj0Kck4R7
LyOY4zn6eRtmk2mExXJJzv3g9oSKLHdnJxMsgwYLsiP7zmQPWVRjZOBx4w7L5as+72FruZLF5+3s
LBe1XK5sVKrxrVyucXe50Nvlanc/b3kegH5mdulsiqUIGJdyIF0KA7dR5TM7PKoFkoCpHFjKUEUQ
ragOhPpEBwA+0QGGGPWG81l7xEsZYqBghgm1FCfE/FGnZJ81i7GUL8lSyHRLSSOX4sajykmM3rkN
sj5+jD5LoM9qSC6F0f9eiJ/yjL+5EM0F9PKvLsTL9+E/jt9V8336RVfx88t+vw496zess64X2PaC
i/m82X6/Dj3nN4f/woxTp09FaveP29D4jTmPh0XBCUxYyUsD+wczxv9tEVnoOn+DXkOHa/mHtOT3
MRaqlJ9Sk/9irIXZ8tdW2UZQCsCOeA/fB4qM5uLX69CUhAZYaIT2QQ/lA8K2RVcA/kmcCGRwTqPO
aPUhdhrkBHqadIc+Ldt7eBt9sRNogwRqtx55O2NiZtlRRzxzhyzArEds+HiEUjzBjY5YrQSMHcgs
nEdtuMTCYAaKNj96HM3SeXHL/i03pjDmWz32MnIeWm6e+0YFj1Udo+Mr2TCSv5dHzUJIb1YKI+W5
GxZRg5/5xrVxWTy0dau/BFDZgeZrqXkty0EcG4UoDIQAi8ZlKshNp21wVYwXUqqRhGmGcY1mgg4L
lL8/GlMhLgbhwTiTRERm1n2GXYnNGbqJHnvBPDRBONtNhnCJJ+oThKq85J3XPwUA1vDVg9HTNTDn
9ndIzQICEYvuMKMcDDFS8oWNMzQmFoVFh+cWQRF86bNZxmGZ+/oLEJf57NZ9EEJQYQOtY+0kd1sd
eo2k8dlA5gFLhvl9k7YBKQSV1dHBBArxdZqabDwba0Zc6XcLbS3WXrvOYp/TwvCHOmMZN8pvAn03
OEb+PIkceWcfd8aLKpYEDjGyfGIwnIy3fp1rP+ZkCMLRktFRJGPyTYO3cqk56Hefj69ZHhXvbIV5
h38fTISHONML2D6ey6p9q6uu3HXd1KPPr2dsrDzJjc+CjICQRRPSpuZN7BtgE1ZdK8RwA24sSYD/
G2Le05ApixA+shZ21myhh8siVOSlVonjbFeHXtkt/P+s77ZtGpsvtab77taoJx95vbDnfYcx/QXm
Ax53LhZYNgsCommcdGN7WFZJsMifFSEcD0TETC+yTpobn/LqMYMqukX0q9w1PYoFCKiLT5G0ky8Z
5BQ4EZNz0mpebJ/tIQ6Q1iEIEQdLmBHItHFmsyl3rNjRJjhySWrE/LZ4tebXuRymnW83/8neeSzJ
bazb+lVunDkYSCTs4E7KV5tqV91NcoJoqkV4m/BPf78sbkaIrS3p7jjTPZDiGJHlgMRv1vpWsKc0
kt9HF9MYcoGiqMDIQ7imyoJzsgtSs4tPWV7xdwV9Xu/cClMBQaeSwT5s+rbyyLyPMvUYFsF8myxj
tpYEnmyWzgxvC5dUHLJxRn8vqLt2bR7LF4KYsz0QHaNaZa52NUxdUvh7Hqrqqavsz06XI/92zNfS
n+Z0rYsWQqHwRYDaB8ZfRCHMAsUId5f4C35Ez6rXzLhZGoQ+ew6m4i264ry6V+5SPChDIhSaZ5QG
iS2u+qgMVmhko22BcFC7TrqtRaL7FRvZjIqFHe16zB35PFH7rxyCVScYNxgGR2gOABcybgwL4DLc
P8hSZTcQf1J1OAXMMAVyOCoDr4VUtz1zrjvmbdk1Pbxz3zkRfiJKXQ2wUyY1J9Ee6co3AvsmB1vX
b8bJ9D4Pi5HchkJEv81tmv6OJPTYzvz0S63lUYAqCacTFW6dOYVBuDb5M28LiTn+xkiJKj9EVdE8
gU6o0+04iHjbxwNOWOAIyzM7bpM+volPg6xb+NB1RZqIM++txjORerExxz8b1VSLJL6KejXk1PUW
CH4MMCXbpJGDQqz6fDQ3g+vO12NYVw8xmRCvAZ9fQrhbpvRItKynNu4SwYZhOYrMyNVsPCgYeGc1
sG9lNj3ytdirAEqWdbtucys+u4jMmAPmKKmstkivhy7NZgJnSB02UwtrlHRrtW6DYdoT5FeuiQUm
VB3kT5vM1rEKG+9EqK9xZrPE4d9b8aKhQSlOgzLvajY4S3sPehIXXgmfuiKk/cFyGZJslNuHXy4n
S5N14fdgKrKrHBzXhkAgQdWr76La5dCaFs6odiz8jWuYHKuDFuuvkMqxYK7cck/52x4Zllg2t8No
PQpHvxD742nDXpV3kg/ZcjuapMGQamwE5YnH9nzCIFHNm6payJzpERi2vnCu/1su/X+WSy5Eur+e
H+hy6QuVw4diSf+hn8WS+MQewPJR+f4MDfs5O/CCTx47MNu12L/puQIri59ACOcTPb1GeMO0/zWA
3Db/N0AICrJf9nAAp9lZsQZkuwCT1/1QK4kBA4lJEOhxgAuZrLMycu5kO9anJR//Q6w9Iw+XPAeB
uJKhK4rUD/sxiiYDyroojx6AyNMyzFCuOeReZr6BG0R1/8QZ1n/fH9iB+vVA/VqEAbCcpij98Nl4
Flpe7Zu8XqFDmEaa8nAFWQKC/mTLIzMTdBty8sUZ45Z1/sN18G/K0I9FKC9OFUpihs8yCIH9hw/b
GKaiGkPVuLQYD4u8gEyai8G/mcWC8zdcgpfQMv/pI38U++pX5duS2Bl0QN1HqXGnurQdfQ+5YSGm
ewJFu3eCteAEB5qsGpn/KcsZ9xBYNJOX4+pFx6rHX38cPaWmgV+DovYQk1F87Wn140z1ti18SQpY
OLg/Gre/rO4vs6xfflTPYQGmu4iAL5dkkl9fkHxUc4nCaTj01dRkzIBDKLbLAk9fu5rBls99Ik4+
0Z1Hb87EIzrA8qWsaw8KlZstJX485T1CxLBI2gaug3NdV0piCqbP2Nn/4SpwvD9dB57DOoh73+bX
5Gb/8H5LNAMRabH9waExt89GAQDhWkU5izLizJFSNpEYr3giz2Rcq84RZ+7B+VFHQh0sE+npVaJ8
eUTb4LxFUrXuKnZzriUVWhC6F1+cJoyRMUm3FjlXSGLFqcCvWuAv1vj63lKIuo02wUAxW6TnsG4Q
J6hREPB7dC7XtTFPj3ibpvswCcCZLe1QOd98nvDzxm2XacBn3VjpdSud6Z5kBvRfCfnZkIjMwXgF
ixCEj03LExfASMq8aAVN24iwsmHhFr9zlRJPvBIJmzh0S8FgP0zlPN6UZgz0HdkfTQltJsB/fRC0
c8F9Og3gqAn8ne6DrGl90qqa+kufWojMwR0cf/CcCTWtv/hET92bgC+LddDg8V0jCtSj/9Z581uS
CX/gh4shJKSMpcijgfT37HS9v0mWBMxy4FjlsZyD6Qs2IhTxri1gaF5Cx3q75ZNSd48rkr4BSLN8
CF8wE8IF7f2RmISe7/HCHg5bW5xhZs2Pi98EL2NDDKBrwH9OIsY/DTJcuUNL3vngqg0gimoICTW7
XKtxGiGBj2UysgnKSJfO00r7Ahw+rDUPtdqrkVioNZT+LL4KvDApjhlJh6QPuwyeibZFUvQaD2Pw
4tecp5su60kJKdAhuKuhdO23SvmwraOam78pgptgboOXOi8I7bHLhCuDNhBCCGro65bVJEuPupru
aXGgPA+uxVfK3V1/wYaGmjOqaA53w4/cPcAHxz5OiRwbsUs/JqMdsFOiyz5cvn976py17H17G2ee
twl8ANPrpgzM0+W/YVyNQQtIOOfGEh8MPutD7HXDZoyCYNc3igs41reHS6ZTfVAqDcNrwZKvxuo3
9pjIJj+ABoCKiyaZAByQkTSb6alrXIWrC8SnNT2h0DGBu4TVFDI0S1Fch4zDoIlgzzaPo+g8kjMj
ACfgwRSMkv1s9um4aSKgx491XTpQTCsHpFwZ9114Yy3BjKgTQ/QwG82wHmGqJ/cj+qDxVfH1x3sF
DnuvqHiRDqH4AioAM7sC2roynMHhe1bnWobxdkpw94ZlMO/IT183cTMdR9ngkPRTeXL8ChXiMB7C
YJ6uu6iazi4qYBAiIdYHy5hPtpO5a8Va7rMyrWZTx7O7QuYqMBPH3eMYN+hMO0YdXxkyBzbXl6Il
AYUxXQ8egeug6SIqXBOt3MqsSPFte2KwFccmvZZ3VSaxe6rNMiAeb7HnG5Z/BSvYiVEAbq0o2Zf1
0r0HSawDi4w+SjZc3AHC/W4qN4E9KLojzwtfZKm6knGE/Yw/Dgxh27yVwgMSkiO3ODSj5MgWng66
a00dhjJnEJViMjwHDT2bHnnMcS1bROYlgDZDntILaThIp4idohV80fCEVBsxQEo7wzA9XkKVtMPj
VNui/jJjusrhdYxvU8U6MXVcDszKytDtm+lr2i7cWJf4y9BUpOx4JPn5dWCCjyQ5dcNjtDq7DpuU
BOWy4mNEO8LRfAdF3WIGr4uqxdeiNYzluMR27x9l0SIRXItaTTvZija7ci0pv+Hgc9xtW9ITBHV4
Mxp1dI+KMoYrH5y9OG5e8q59m4tJn/6JeMFR129SFO6nKUg5551aJFdBVVtfewNW75oIYvTyweg9
WagkvE0yjEcHcciwkWMDmSYW3rUdVq2/C+gy76bemvrdgvCtiP16U03EajMHiseNjSLAY9NsO8Oq
kGF5Kj3D/pYLyX9f88Rqn504sMJvgT8mrDCaOqx2C8ShHJdy1qPfU5lxgx6i56srsLstNKifZ8+v
DoldosGMpQltqiOGiTDpbD1bofqCGZdapO4c/0aOSFAzMfCzNgH5jglMKg4LO49aVCdqPs7w2U/G
NPNYKHAob4zcVe+QkoIb5xLqkbkLFw2d4PSoItPXPl59KdGdM3iIK3FiNcdZ2lww0GnA3zNAQdy7
XRzcqJGfBittwDlYkPiCLVFnRSVI7iPmfjona5JRgNm/Tgi+szLOe8wmhzkeOAcHAu9AYDiufxMw
VVqnfsUrpzxMCob3/nRPVij3kjOSGePNPMerlheW4WK/LXTdPdmNHJNe3MNhx9qiL/3RJGinG0tI
iH092oSU90wYc4dcybYz1HspAQIzVWm5IqylIX015/moEodzurgw7OemgtfOxMqjYpglgQA/3pa4
QPabOKWSCA2NtfZaTvsmJ2QEgPV03w3UvoVP1JqAxktU6Gi5hAX2M6CpWwE0R67NNqi+jAC14jvL
0XEmSVHzWcdh4SVL+mfvEX9QjvS3djvgXqs8jvQoZPTNwfPW0WQT/pWpFMxN48xPBKM4X1g3cLDO
rZHeIB0mZBynZqrzHkV0Hj1kmJybBDDai/QV5yLKnLwyzKu6j43vXdsE+7gfg2nFe6bKSQyCTa1p
5Knn5y1P8iboxFm2xGitIqYa2a71bLj70ZTob7TBhoEPGJnMuq994GlFy1H1FOpfNE0lP1Ov0zZy
xc9oiIauobP0QnDjYBlItrnvhOaLMGbEY3xPlJZPrkyM/gmMXe6CkBjjKPYf88wPXB5VyJPQpPpR
Mye7OcM8L55Tn2o52k9jh9hYOAQImxViC9OGbwJ5Ltl0BCwz2J2tfcF8Z1x5eE2uMruNT5C6hzWr
sXnLP81mYi99ladLfcvP3zxWPidLNsTG58kIkiuji8LVoGIePbNfHCIcSqsZ9fou70eHz9G4wFXR
nJtecG3PKlw3hXyIfI50iXt1J8yIQItFFKt2msABD2ifoi4Xj6XNEbOiDIF7xYSFjBEqEvZa2XcC
I5ydP1ThISBTl6DNZqg2VgUDllPhe9k23wGW3QWTPR65rikM+sa8C7ravGNQNmwGRDmumovD1DvN
lto4fJrcft6lPEQ3TJ6Audn2nW129i0OqPKBX5vncjnlVzz5ij1sUQPhuezWfuFuoyC/7TMidSVf
1Z0519FzDSn8S1tZ8lQN+CHXBFhTQE7NPg/ycuMO97IQj1R+5dYyRvM7ehXnSv6YUxYWg0zGwR40
Qv9gpMvv7NP4QeyeW3jnOHKMN0WvcbpUBAPZGTyB1WrGl8IJEpucEDyvOA27tLruGwuxvMS/d6uy
nIu0iDltErflilwGbUQP0Tap+zkbU4axlN2bv+9OddfxSxelt6aeJDHPYgiJEvfXLgo1QBrwxKsP
NTIZiv5hgpUKkHf6B+3tn7ofUph0thu+ORSMNG6/vg47165Pqw4bZulyGPeeJ86NaiEs25PQ7mnd
ulyOw7//fH9q/XldvVByyd2xbTrFX1+XljyXaTXVhynN3bfOAExYqIkI3tGLOb+Ivp0fXTfW/lMk
Ov8UP8Xc5uO3C4GBrpgbnDdxyWn7gx5jVinTE+FWBwhNSPsQf1tnRHjQay4B3ajiOPPNuqUt0ZW3
Zfsc7pcv4L+Kn39ccLri7yd2PGzj/7N+a6s8KZFRMQHH1X58/7//Y7Gf/MPczvlEm+V6TDgcLAAX
Yc+/lpy+/Uly29gobmykP7bk6vvpIXc/sS5iAkOSobT4Y1zwP7ec8hP/qeDCkIFjClK2/pMtp2d+
nNwFwqZICUjqsnxyOrwPsVJehuKFtIj0gM1D1waBtr8uKqIqt4YWMSNbfbOCI+rF0JqgSdhHCsIA
psnCmHhtjeh0dqxpimxbOVXUoDOtBPSymoGRuTJpGt6LhEIN0bF9xKEgTpWT28fOhrCCV4yMeahM
kuWphqCPac49jbCEdhmszU0Qh4Rk6N6zNhduONCFulMsAZ6L2LLffswpAs2WrMqI4IG+svx6b+Ve
3G4pLPUfuSQZZQhA762Gcp9dHy88sl3gqaL86TECPvVSJGJ6bFNLHsHK86CW9eSRL2SVWYVZvK18
AByeele+KSAF6vEC+cTGWpSXaG57nu6JDOAYyHp9DtZgLCmwrKg9mEKKM9tqSi2LtKOqMvqDHGL5
vIxUeKWkglPSZFzgFkqcIqvh86PpD19+xJ+TAU+ylkcJryCLLeo9bRO+gR+R3irnzg/1yGqSLf/Z
5Sws6DTf5kiXLIQhtAdHjLzbEQ7YvSkj65yGMXOOniyKhR3cxKe2dXCcn0kyvVKTzx5c6sV+NOXJ
tcFRlYQDn2RGhYWPSMClScCahclwlBW5VqUu23lY6u8T8oyuhKeCmQfXNf+XHz9obkYUjFFCVJrV
61/4UjHykyr12SU9cqJ2Cxk7TKRUFRuMilnywISLj1BBOoFwTyUCk07ltFoOKRzE2BHhDHbokhE1
EijvrD3Do6dsusKBmZcVMRJZVxF0lBcL671hXL7HoQ5yN4eSUXE+PnaLcnYzrmx7DZkX0C27kQfo
AGwo4XYZ61oU1rmkQPly6QUrp+BCz8CRhTtKAP6mJbT4Nw8C3lusLyIkzdN97GokAzMIrgar1WEq
gew8ub20iAz3e/uWAG0e0DgbufgMi9o3HCxuPZKyund8IQSM4Ywjjx2H+LjxgokfGIUaT1Y/iCjc
iX+gvi6B4jBoD9gybRm1cb0JbsubquYpdoAJLI9GOlB0z6PkfSdLT61aZIyMJFsrosnHgismFD15
YlRREbtng99u0NcJkywmZbqo9yXAmcLBhOoLxV/WkWVDx2IR9M7cZz8PQ7C9NMlwfcKXyyV8qaHn
TFXXJKIwmdcXaejSVo+y5ysZrWi+v2Q3FguTRztGpr7TidFY4XWf1ZEJJdd17usBmR4s/njiX24J
lr40Xomuty81UGNycCQiab4sHm1I49TERrm9K872WIUvhh4trmqaZHbkTVSs85YQE+hBTK8Xy09A
eDnjsBqTgo9jklCWqIkftLkMsHwTrePKkNzkKgPuCEmO8dyl9ZvJZwMGbzFE9OIquBmrPLhZGuBw
q+4SvFwBTKUxwG0MAsxTsbxPLxl4Rkt0Cju5BZ0d8Y0HcsFMUA+6FSV0gsY7Nlocfxlfg5zwCuwW
NffxFqIodxijUd4Qbcz0WFjVGD/Oaqpvo5S422Ru6Atn7uUs4Hj2y8xgci5y/h5wM/Yxyyj80g5v
pmky/+icuucbpC97rLnQQTLHWfMlM8PmQCRLtA+72Dpfdituhndu58cMOZ4UgY829TRHpFz4wFOW
cUUZgcUPlQOYPIcmOKGrqELPt5VlkcdXKNYBSplLsu9ti7YJRnR7yBMdEpoQSbwVZMjKNatyLnBi
DPlZW5U7bybR2cxgS0GN18/inDp43jdZC6JTC/K5XoRiNXAJDh/R0LjQLRpxSqAanAtWNC14rDoK
t0Oga0WIdNV8Zae6JraiUL0jVWVMEztc3Ri2z1JfezD6RHpt13176IU2n1yueRtFKrCyjs8MkU5f
/73ngjxIBiIfEdvwOU197A0jeteHAT7KhF9Ycb7RB/obFAb6egxmgkHqxg9egBvwQ/440lIlKOjp
+biUnJDR2TH1VWOsmkv0Q4365t52ubvyPAtStvl8vZK683LHFYNvv4xlNwGZaJw23l1OVhLO6dbH
2G9eRAKW7GWMojl7JamFcyK39SklhjHZ23HnvAU6Ez3tm+JBxL3FJKF8L+MpOLZ1rR8GjakfzsBM
MCXTGJ/GxeEgQy7PHewjWhGrKYa/QR8/x/OB40cW5JJEkJ1iHd3DQt2tluC6YHSHE9kLmUq1Kgny
hyXFCWEm6GvWmG2jFx6lpFR2NG1XsOS5azI9Dyd2sgDFxBHD7HO0cKrIpnXfq7J4qSLRXgXh1Jsj
Ct9xog6R7ZnSF6iFfhAB/SUzYo5q2LC9f49g0Ay5dwcJygEBAtTl7sRmiFj2ngyZwY/i58RrmNAS
kfm1QX1rWFVzo8zAWbedzsSAiDGu+kIUxnjoqABV3Negg4O2CO/N2CadIeheS4wydU0olIHc6b5G
/ZoW3mNoYcZ6nZn+GDwnKhgsR8JICk7VlDvcdlFTMHG2NjUbxY3lWgSMeaxuIkgfdrquK6s4CNFE
8Sqxa1TRdiZ3WWkNgKZg3Zg9VDAH1D0oU2+csVyVDHB3swsF8YDSNmnXkeoxhYBcDa47aS93/tR5
VyoNeMwlE2amyaiRQozi2RYDBnfTLe+SJfOvCIri6hV0vG7sV9vIT2t6+5pgijTz+mtAkpg5aHnl
ShnO9JbbVfo8e8UzCYRNfpM3yn5oMrjVRqdGf20vbUArL4fviq3Bt9hHeaJGrNMLF9m2AeO78ZGW
gOhNMSMNzbCZpw7iK7pYYO82YtxeqvTWb+N0vuX7ct/Tzi93S4/pC+epuY2S8TnQeP4M/MveC8ev
bEbWTpJ63/Amz4+xMzM/BuK5k5mHAK9z2gcFLYnyp3S3zlRMv6W9dTZg6mNHV+rWT+LlAUyOs668
vthVsDH3YTB4N6ib7G3UqHMT9ND+WpfKaKuKprolQZIjCljmmjSAehtRN1z1RSuIQ2kNmEWVOmZB
b99UElgAX1qJgKhByuGi35rQem8N4LKrlBMLvnmR3ePGI+DNvzIIOLrjITBT8oGJI0TUPeaQXR8i
2JWSsLSDZah2j02EmnUGcz6RE3QA1IQanmTsLwpjziat2+B2SZ2HPoFljtDXfMxQwt1Uc949W5Nl
3MxFnUOC9T3+HIxE91s35AF1iWUtV4zjG3zLXfU51QZjBp0FoUNpwQTcahlheKM0TiYYojVPXg+2
gr3rPRikKZk7x9H0vDcjK5gj6UmegPeLlqZVOwNUP+kQ3mjCRSY5zSTLZO2wI1xz+JOkgqOeIIC4
OxKW9F4Thbm1OqHH4mauTytxnMnFegtbyG2bsFLTZ7uytlTXLZVgYpabOTOzLRlH7jlsOFE4+dti
m1SCFUpieQeGNXIPfnveKGsGWz5CXL6Je8MTq1r28MQ5SGi1yaZxzEeYx7nAWp+3M7U4PMj0MQkF
CmaRFnZ+8BY1RO8c/tEuTtmjsEyt4cUOUGCjOCTirsJtuO/c2OBgahP34AOneTEyRRDV7BIljlBM
xJsWD1CbxkS4uG11myjui0R24wvM2vy4wHZaQRbOdsvSLaip9H4h9ZKdi//oeYwmn0ucXFnbuEoc
XfhxkBZJ8BuRINENK7sTgi/1qnHx10Xr37qE7615eIVPRW+hBhyVi3if3gUbZMOA8VW5dW8eiwyV
3pXRiMUCMy/TYCcD2Tcju1GDyglCqgzvwi7AklAPFW2Ik1T+l7DJOdTxfYz1zPE9g9VBmspWY++l
sMOIDctJZ1hFZDCNSGEds5df/LjgqaszGVwIzr6MdqjanOK6YVza7DJIVQDOHNIauXosxvxOTw0a
tzH1WjkqChF3sHk2JYyP5ytTSyNmaxRn5rn5umgAgEGt+Tkc+UsRgdS98R/HX7hu0IY4AR5txl9/
GtB47BHbom3iQ+1GPDAj1FwaUTKOxOFxSEtVPtWwMu3jXOnx8iQrlV0NtjU89vYAqeyycTVNdHUr
WE88plHhJ3sjoaaL7IVqItGr3zwELIFxj9aTxSc5swZwRZ6UDOBBZzKneP9RIyfFOD32i25KMBmQ
CB7qzSwS2uleP1beEh2WXi4K8dkK+DUF2d8Py6yPUzq+Dg+ltEtELRON4KNWJRZGg0vBM/YydvhJ
SO9jI+r3uvIqJ979ZXWMOGIwnkpLr83Iv+JtzbDenqbA5duKJOCwtbMYMIhzm/+RL4t/TwBTI6I3
qHClpYdeI5TU6aYf2RoeqoiGfI0Bcoi20dC0h2XWShXSgOkl3Wxmego7oHj/+w/7Z5e+QKTBP9hT
TfbDHyUyQxAlhjT8HHT9gBCaHWuvtDSkptRBEcBHrgviQibVvAHpnh+bjglDE9OBJ9XUPhZl8w9f
v/h3V6MpbamVWETyXN7xH8aFhtMYS8/THpUzIu/VRTvQMUh6UQxm+BIuK6LRstQ7MhN5rAe6gnJE
3LAXEDkImlG17pxoR/7+q/o4RGXC5DD/spgzWR7Tpg8Spj4OGU13SXoIq4Crt6gQkb8u9tKrzzaR
kQ0U84CivWJPjm6Y9IVk//dv4N/8VjjrhM0b8XzJu/gwxh1jV1SL1UUHZ0JGw8ZcsZroCc60TgKa
RkRPFtb7RCZxdN3V4VIitFThKSo7cfbNXpxsJAvDj9HqX54e/+ZrQUyGYI7ulhD7jxcQsV0h+lk7
OpQGHRJIJUxaU0JyCo1LmK8RgdMg9MVCD2EMUf1PAqiPEi++DF7e1f/QqQr7w+i+nL0MFtLCdzLn
TAxS0cyQt1TjFyk/SDw7xDfI0ZfnzAuNo9BdamnDE7se2NFZd7Y7oyJdmfj54kOnB011E5Xp94vq
ZSxxK/93Ev1jZvwPk2gpTYuZ7V9rR8+/6zQx9fvvfxxC/+tP/Us86oMp1afVhdHCX/avAXRgwqZw
oLYw+fWkz7//OIDmmQaZgjGGttJoQd7PAbT9CS8qZAAvYDytPan/yQCao+nDQ9S3kOBpqIqQrhmg
c/x1x+LNLXu10SmPBrwDUe+JgYnSYRsaI9A8vAq+wAvqWeNNpyu1QpEGKnT1xpDUOzSFTQqHExIR
QRyaOCld8U269nN1FRhFrnLWRCFgQ3Onz1gDG5ITpSPfAl1DWrqa7ANnRDtDhemFHqi+mppTMgZx
kjLaoI1o1kLXptRdPQMv02QaS54hKcKT2jkxeU956VPapnP12abNZyatimOPCJtZgLvrFbIlsxvM
9ZAm0R1kVv9Qzkl+tmLABCxVbUpqabnV51j0zd4ajOVKXYpvtqzut/BSkk+X8rxoo+i2aufuOaMD
grmxmI/92FqbMvceiBcMbkE+NRu/iKKvbP0oEGU24CvoCT9KGnaBqdnuGYGVhzFBd6G7iKquvGPL
PH/nGphOSVQXd6UXXEVlBmRryu4NH+qix6BzJebR3+YR4p1edy6tKcvt2Njm2lxs+yZIJ3Xs1WIc
QmMRVzbw06tcka6SWQ05Eaw5ie01q1umZLRMoLtpn6B6nAVaia3FY/YmCgtnbzN03VmNdPhb1fJQ
D5a69RIjpJq1zq7u1Oasd7dqJPGWGB31sGR4F7DU5zsXIefGqOn3bN359bSAjEm/mkWi9qKWhCAN
kbVnyBi+DH5S7fAauu9+QoFw27OGuI0cAiXzS9M56f7TL/Jhk8S+f6A2bnfoP5LNrDtWJNiUerqL
pWsNvkFkGr/j6g92C4gPH64Vj33uG/vBnkeV38xp/Rz3In32p2p+M1xmKKtyccxbDDvDtW8w1q0K
k74rCWgc68in69b9d6w78VD35FJ35ywCnxl307Ab0m4OPjjHh6lqYNGWcrizyHS8tpvEnVY1Z3S7
ToRReIfe6BM406TNDIDzbEYFi54auIwP0ssgYZm0l0hPF6zLoKHRMwfmJum6XAIGEZbdk1mSW9gT
JNnkFrvziABmUSSryVqKe8NwDtQ6JCv0ZXPbutZblTdeeEO01hRfk6/66iat98hOYh8avjAIDevt
0NrnnWSUgGZzLIPfEIc1yTYK5wVf6qTuVW/5xW9BidLlxi7J/PC7/tmpJ4lvoo/bHk69d7ZDlW5h
YNOX5WVwNVaeBcc7VHR0NaxvJptGkaIWmIfoUNv4hp+tfLQz2HH4c4C5l65XoVFTjq8MpC8YtTD4
unzvxYAlK4TH5+oE1tDEktGM3dpkhnMiaqLwXrH04g3cKmcWDyWu7fA91VkklLzBihMO86lt2Fuz
rwj6Ch1SygPy0GnebJGtp0Gv6c0uSL958L2Mg18OJuHzVU6sAgBHIHQ/hJHhRIrG7QgyAoEamt1M
eHQY0F5FdBRxx8S01G1N2Xn2+2zLLttbqJnrAzBfr9wMRgJGg1zhMNiWTsZLEltKl1HoMlxGSCrQ
XeV0B+bISJ2zj5qaVBym46BiKDiKCGLZaoCkCzvRn60Kvjs+YdldMw1zTFwiTNYjb/JYVcSlezch
Wdk5eo1gmvnAZMThO167DHjP6P+t6xZyXHuB0RG7UQTjXjOab8vAbo5ZEnDfT064ccjiJeall4CH
hRXvS2/w9xVI4/vSym+WiETKVSucCliNE1+HaLF31djZMaxJMhFW5ZAwC+jLXuB+c60rn2GQY5Sp
vlcZIonITbYtYxNjB9HPfPJyrEmupRaxRlprUC6X5QkxFXlAg+eeOrcZvjgpC09YRsH1TCVHDgzQ
OzZA0b5r2R7Bl+xzc1WoZf6tmZtvPKPak1a4ow4IESoS/uGvLLMxnyIi5naIign6QLv5YBMDzcOh
zI85KvK7qvNR0sB4vxpQ0fy2sES+n0OxUZ4bHTk6wwMDF/Nz5olkg6zP/zKQUV2hzLTqQ8rm4NqD
YXvLFtpfMe/KNvU4p19jLLxXTlMNJ1S5u84o7dXUmaD2wYxgqUoHaW/TOVzu3SBNEdcGe4WV9Hnx
qu4440eiJyiXvTMUDvAcMeoAFQOpKkyAO1ZUZGK1k+VfM2eu2U9IZ1O3TOdHXp9OznZWlsAvFWFb
vK/naFwPiybsQOzf4+tEPM5KhWHQaMccjYv9WTLe5VnoBPXb4FvdLVgB8fvQW9XO6Ra5zUQo8D02
8tWYeD2co+RrsKnYIRuu0URCGs3MsXnpuQ9vaTfbe6bzwQ1iLxCVcZne4NKkwpbxcMoqhxGdlbuH
fBm+Nr6d3MzE+r6SCmaSmCLYD6OWpBLABbnq/QrSYCHNkwL81q0T7vx7J/UmQt7c9s33ynWj3Gwj
p6V7aBWTxJVd+O6xgDv4gKFwuRZgIr6NLNNX9UQ0YjZX5hHX2GvYli7LYwLM85K0TMOY5RaTautj
cUdzVYbm1sYBd+skiXktDYVakqc/Mi1DQoMRsY3iWnTPhsXEfdMrdIQrm3VEQLwyuvDJhdqAq2TN
Cp1YwDKyOhRZmJxd6vUfPHDzBx4cWMYAKzhExQ6Si5qCfRwiRjPlJGhbEl65q5g8eU+SeSGSLVTO
hAGclTvXycOlaP2v0uSf6nvYMvRef13fP13YMv9OaaLpMvzRnw4x/5PD/+6hVdL1um4afgpN5Cck
Wg7bUCDVP/4/P3UmzicNeuGBJdlz/RIYLK1Ppu2bDp5fvDmWNtp/cM//nZseC/6HMh+FiemYcA19
3gdSrg/9JnDZrGzTpDpMgydGklMzVM7kd6DAhM+0A/lq92sYWf5DkEjqFSspk9PoEg03wHMjbQdJ
J+KFRL66Kp7v8f6WT4Nyw694xJDK0qvy8GNPdeAkovkM+I6uEwPVIAb7alqPE3AaQk+mlLGbpIS/
8XOC5zNRQRFBvCzhSTV5Qz5uEpG9QzytQMzhxpC5h5QUq6LnIeoFs73LDGXfxSLFFwX7Es7yNBhb
szHkVRvOZMnyE5TQbWVsxUfKGeyr1ezeWkYLf6qz2Mv3hZRX44IbJ5hoUkjQ4lFjFrwpjNVh9zuv
IlCXEoYl1pCZlVz5dcNx6pEj/kNGMIVUJ+vM7YgVTjD1HnjSBN6W3ULxPeEHPyBtxmUDbjpCjZuE
74vrkL6Qsd14rReG3OuQd/ZqA5R7LUcze4QjhnEHB9Dd2IfluVYwkztFAMk1pI7I2dhMiam4Y4/q
NC9yEYKpa7CeLnHtPxCOMm8bt+aLTKk4ipUpk3Ba2enkEQ+w1F9F5Pv3Yc50dAUq2hQbsiNtNP75
WO086NArZ/GOU13UdwT3BPcOfNP4JuUpc1B8f7uhaoIbQgnJaY9jPaUn9H26KKhBQVdPrMj8B4Nd
4SnNCHWDuO8cCsG6vwjhIodVxmKf+Mcr4/+xdybLcStZtv2VtJrjGhw9BjUJRMcIip0oStQExitK
6PvW8fVvOahbKfIqpcw3ziqz7KUIIByO4+fsvXbOiB/me3WdtQ0tyMUq5M5xU04rHe83mtaDtU1s
w+6Oi1aQLjoIc2+WSfPntBTNY4u06GOtU2uRA9jYTkAgafdMmQ3IrI/xsnucAW7nmrkS/E7/vdEm
0S2pOXR1/LklO80ezc/UaGzVrDybOQzBkU/kwXmUYryt6tp0I7C1enQCHlwmx9Bt+uUCD40hD0k4
aJcGM4UJAYVbMHem4c+IB2t3fxHbmU2M11QPd0SR2NllbM4MIT1NmBvROs6HUkjrXfzSbjfX3rv3
0oh31q58NK8teu17w37t3su1k4/oFg3E2t+P115/tvb9aSypIYDnekRRtOtwAKeA1p/6dWqQrxME
o+6YHdj8n0p+ZsjAsV57L6e2C4wsfOcWxXhO1FCCI/QVpPzoMl8nFunL+MJ4GWZEhU4566ohh23q
CToW5iC6GoGEahiiq7FIbxJs1SzR9JD0HNI0P67eIfpodh0TlVSNVhL4Lw75kIYg5Iw19OA4ZA8e
ebw1wigZzlRty5wGZnVRBzQc6m2iBjmgCCPYiljfnu2S73CUesLUh8Jk2Mp+ns8aVqELKgcCKP3y
rlq8yz7twot0FF3ge9V8mhJCmlwocDurJ1uxqebDpFkasB52mjwEQxguh9kT6UEmBprqGtI8GpH3
VJfRlgTiA6Wr/SBahZIYhmGzyKG6Rg5/J0zT2AB0hmzcMaiLLJjzY459wmMUsafBGXSpXZ71su6+
ptK90hcjfIQdOx1n7ATvS2f0rtOx6gLiT2Dw5N14I4bQ3CuGNYoYclIsZ7lKGk8eyGXsgzgmRkIK
gmuBJXTEioA3Sdq2qpn3LY9V6IIgzt1roEjv+imDdmXEY5Chbjs0IXTkFKf6u7YNp2unIzsMjOaf
Prvtgfgmb5eEMtwzxuDQGdpdUAmjOS5VhWhhHDWYzIk4y5wB9+BGn6vE6LaRiFE+uUx1AYqSBwWr
6eOUNtNRL6L+A3THnoUxaQck+9+G1skPktHxrm8ZCI3CCD8TTKoVpB3EgHVTq8DX6Bn6xeBUU3Y0
C8s+l6jn9rhJ6KLXEWqRGvn3iU4IqEhNc2+HOvYPycKrCeRxcugBpbEqnMUlD62BY0VjNEl3XpMo
QFQTPvgN/h/TLsIdLbaYtBev+ZMQ3SrbLJCsPtUMRfdiGAmwTgxvXyBuOVQLvsR6CvWPfhtpaDCR
Wlakxl+VHqop2UwIkXER3Zr8F+86Z9auO4U6ZMKiB8JHjQAd3LlqDcaUm2HuM84Ccxpd+lnh+RtI
9g3yi2QgrN0wiadp6AhsiY6QGxvfBfEAwrwyQwT9NJ/JTdBqplJkm0HLr92MMK0oZ1oZDZtGG7SH
vta7j6w40GLJMNVn3WzvnDCtbqmK9SvO+eXW6xXCOGcZWNBPZqMjWjm2jgbzY9UB0/B8uulXs7OK
rwzNmdqgnEEu1IcTWYB0mk8UyT7MNdkApCSo/UMFKvEu9jPvGT5ktKt9WOVNaHzW/OFbQt/uk2PQ
CtFkqZMlYH8oLVtjRN+BdKAlthmhofAoNeGHqLUOs5l+Dp2BQNfGPiwVELolBNViJvKThG+37fPK
2Lpu+9QUebYZTf2C40S2a4VRf6UFOaLH0/AmMB49jngJKoJKpUUCeyhuMNi2u6ybsttSOFdl1JeX
oHOGXdEbmAiNaEz6YIrbqd7RUlmuItmHu7ronoc0vidbg1KK+iJZTJAX5sigGVnZFs+I0cApY3PN
7EYVMwRN9lZLfAdvuV1chsmTkWX3Gj1F5eXSOQq6TMkSz/3aivaOFt+3EJg+URjM2jX3sUTWsyWT
JTnQN3VPPofCy1onL9c1m8cqIgMB3MoJyCpduJjz1lg22daLRvOYzrK4MMcaEihdrNQRH5JJZmRY
02yEXir2ou38g0HWalDr6aEd8/pU9fN7a4m7PaFt5SbHzYj7c3lGn2JxNKVnEnozxpRu4V6HhSm3
uSzHHZ47cHBlV+znAV9Qq3lfQtg29KzCR72xzWsEzgx6Pfu2ET3ryv5SGIW4QPUISj5O6nNdjqtd
4qtbTLBlBErejFi7ga/EOaybjl5NI7Gz6EYmmJw2o+fEByoW9w5/TrSN8ynd61SP10bphjdtWJ1a
fnTS/1CSkd4tO1D8bs0SFV6Ec302tsCRxZVZpx+wxjp3qp1zgDBngz0zyupuoNEQpB291REJioPR
2eKVfqlxngQEsjz0KOdUsUm033Xl9lFgTf7ZqCuyLaNjYxQ4SjX9Opy6axXhhD8fJEnnbtK6+Nzm
MGaXbr6fuuGmFv01h/93VGsM+JxF8tzTGZUS0nA4DlEg0QNvbA9m89Y2ExsuvmvZl2XKYdApGjij
CAMM6dod7JZiuTFwIP4XCvJvDXZ8DkG/OvdtyQltky/9P6pv/wjQDRR/Jq98Bi9//q/DnwNLzXcY
xniOySDnh9Of6/4BrI36X+eMx9RPZ5Tz1/EPYppvMXPxMRR4HA5/mPJ4f5B0RjscmsdqXPiPYGp/
n8DiX9GxLdhI3hhQr+jRH2bTUpRwzeSsH7OZQN7oWx5p17OkVOJkVxKzXiT6qUOp54fDJ4H5KjW7
7Q837ycgDf9v81a+guk4VEZcM4DiN3OmCpNP7ZF6i42SYK7Q+iT9+rIbIVUX+ygzVFe2GbZ+HZXU
Q+G7GrrawTUsphzGIwBeOknbkibwOx3aFjKXfU+HtWbk1MROuFHuV0F2JZNaJZX7YtELSir4XVTp
pFimnbFT/1JaFjgy+aFbqkPCwafTdtL2j1bVgzSNMucSMX/Ju0nvqwHaQmeaWz0bAmmWD9KDSsma
OM7guQsT471B3jeR2xsQprdWz0HTU6UVIe22nXoblNtElmWXljbc5tC9YTDSz9f8/tbxH4UJcSyC
2NTxDQpS7oieCSyHmNnGx7MBrqnKtyPJl+2Q3c1aeE91pd5kSM37+jMHMP2Q5MNN1LnnVJSYk4eA
HmvQOFN+cBaVDtvTLEKE+qWYifXOUk/CQ52+lFa0jZyhu2TLtTc5Nvza6fgwIGiZeR3BE3gRRfy3
q/S7rhKyAjow/7qr9PAVu3PZv5oZv/yZv3YU8QezWsAauO4MB5sRw+Hv/STAjRatJFpNFrIn1Wv6
vx3FWoFDBrkD/5w2f58bQyt2eezYomyginjz3f+koaQkGz9IrwziKInVdPmGlulalv5G0uGJcVh4
Cu0j6dSIWGMSVtOoMV9EB/+2RsNju+Aaoe+YPm0r/c2eEZKmSYEckfiTlqXYjLrvbbw5rD4r3NpN
4SCjyRdyv7dQs36n0FC/14+XyE4uaNvpbMPcNpeb/XowDp8FSxHm32Nk+RWU37YDpjHT7IJIl92l
wqieIr+o/U1XJuaWKUTyddZQd+6c1jG3OQdzbKPUEf3o5QiotQbzNO37zksxNaQ5qTG9bCk9owhg
ZOeSfOjk0/aHRfWTXfenFwGzxodUS6MRlsDri9Bbq8ZqvPhHZJMGrlsedQKVacmgWf7QmPpIXmWG
PUbDthuQrFU/Tj5gFZxkyG/7xFdtLBJC4Y/QGx8RyhBDvexHJu6EN44ZwmJOdUUy9Fh5lp6jXMFZ
5dfXQOP0b7+D5/Lq9NZ3pPGmc4mJiCaMSywWfOFp2xKaCVuG8FUXuPSvP4nX7d8/CcefDXPKg6P1
5mbZ9A2KWvBJI+rqIz4XfjzHa05tbza3uk1P69ef9+YhWleYr4MUUwYb0FZqBf7wVjYEoJFCy/m8
KGlv2VGYaQ04iH/9KT+5f4g7iERAfEWj+a3SyG/ZLhhvesfWQNrlcddq00+OWfc7StKqJPthU1DX
YxsQj8Fosi/8bVNIEWH6E2vwaIDIu1hc3rqxz5qRikMjC5MYBRE73QZnUnYnR1yJdc78xqJteccE
ezkXtt3ctlL5RpyRmhdohq7Oi6BDo7wG9ArZ4JCwNj+MkVvKgI6rxSA0BSmysSI+ZK4tYyc8g7xz
w+k+Ts6SHH99N194Y6+uEu8RZmiqMhf9lm8rGeYPv1pIDvkQL+18nFJOhgWq0wu0MN2FRn+HENnO
2Dhm9Q2CoaZGqrS1pJseYfUMew6+/T6r2/aqJgEds1VJ3JZT6h8F5uUrmwPHZ3cqio92A2pETMZ7
4Rcq2RR1dNA6IaIVPSN4ldSlLUHE8wcisVCfRIk8ZFBNwC1/ZjvLjk5v29fRYNjHManwJTt+fCzq
ELQjM9ijBq8mqOyk2OHgFIfOrLx7LOPpRaoh2CyJ5eghnYdfYl48yH2y6MKql/G6RqHdbMbFtS4L
DyLGGDr2DoGIFTj4dgJsXxWiORGRVdpW2UPfoVtoAMeXhdSumSySxCiRb3PS6XdR1psHO7SYBaRO
TGnHEW2ruYt1a8emfl8PXfHRJd/tG7k01bzJdB/lkU96HzCFCv1GhVfmk4vPausWBhZLIokvUpnO
uMB859qB2LAl5Qa8p1kk0/UAsP7PMlXOpqbbafBYgjjMvmqZ5r3TgG1vrSiJdprbnooClGbuiAbZ
jH/BXKG8IrUC79dcTj0EilbbEJN2AKp5qe4n508i+lBoaZuumggmLMxHG/8hRtBYV5mxxaUV1vKD
lme9wX+rL1cC+gteF4XN1nm/QOCdzINR+d4Fc1jzqQ2d7iblPpUXvT4wRXQ7BIDWvqT9u+P8jhej
Mc2nqmmrfRYbeNbq2Ss2pDy3H0rZDUGVEZ+K/YKz9FxFx0kO+zg2b42wGDBK1OMF3RRKQQ2zscqG
eWauWGxbR9S3ss3fJaENp3MaEUFE+bAdwqzdMHgdglYH2WHgT9QjKujUn6P3ZRq9o4n7OaZ7fYz7
Xr8LxSJ3aet8lH32ZECU39JsTkntc7Bm4rHam20rLt15mGDXZv6mGheyajDFboYU5xUaLXysyMTZ
ogDkiKJMAwvzP13eyD9kpMMHEjnUo4bNhi8zh/vYyKAi0eWsQA81Smc8Tu6W11CGcNtzym06JehM
I8c4tBTaZ5uu5mVP7mHQwkB9SqdOx5LRuR56bUZ0G91I6+ulUowH0QkSCaSwLmKoFEdhJvrRrXhc
HI0ZMpz6xlgA8QNZiTcoqhqwOXGouGXll3a0ok8pzs5nx+3kJ3Nsp1PheSM8D7/foCS1Lltdq7HK
0qelmzReDILnS5MZjuFcysgEdOp2Amev7y7NVjTkChY6qKdZW+YP1qiXezSL8YWeRfXOyiuLxtzA
xM0ESyGcprxMIBaSEAXLw674t2k5ZHTUnbk5+TX8DYdkUhIvGSU1nZ7tw3SU30a6s9WVLukshjVF
AVRHHZopabu1Aeg0iXhziCVUeoqh3unjZOy44vbkOli2JkYB8GF1eabj2H1c/Mm6NnhQr2QC4nWb
hXgvOJRV41cB1pC5k74cZZq2X2KXBr9TJe5DnNCbK1EQ3ms69UVewaiBvEx1MlLyVRU2FScC7L8N
8QY3m0EAqp11J7vLab1/AvaSbYkLnSDIUBdqdk3bPINsNoHy3ddYch6qvmNIkTAyWrSYOOMUd1XK
QXTT1JRfTl6FpwX471FKs74y4yU8uZ3CVE0m0zrHJIYxrZTWoh258oxBna9jubMHEwtVT4IWDJno
enHrsNvQ0efPGH7efcQST4OtBUk14UzXD+MI9SVEhIbchzwD0huz1N6RnWFfCzaGYCnpZ9dQao46
/vPAd4fwRK1iBzVpjTTF8vY0gqmEIBTLb9TA40OCH2NnVkZzSmWOqIPaxjgIvWgOYanZ576ttDvJ
ByBiBrxEa9XF02zL2P6Mv0NB1QCu3Okuqvkwi4a7lubmFmy4+KR79rmDWH5wx6Y6dKmxTBvqRfNs
z/qhb9gURDuYIIQV7yyGfAaqzSFpPI33lWKjVSXqwlAzAo6iycbOANUg+6F1V/q0bOOI8OWVtcbt
d7MvreU18SXKTXhsqbSh0MzlIJGfQutpTfrUlz76xJqdVQJFowlvxVfzZMzFcrG+3v97YP3tgRXT
yA+V0Papf/oO1bh6Kr7+7/98fGLsS4u8Kl+fWdc/9v3MSnLNH7RA6OR8j9ihNPp+ZhWG9YdL5+l7
b+x7A8zyCdoDpqmYo45Fa4qv8NdxlQgCyxYYmkhhI/CGb/ef6B9eVfY8ImBUybCg+Yao2kCI/bpm
W6pFxZoOzm0Bx38JSuaIt1A3FAJ9arrPP9yYnxy61F/2zwJx/TCfgzbgGh8zjmG/Kesje7YAYPTW
bazJ+nFlRUiCUh6ypG8d1KV6/RjBun3yx7T9TXX6049G3KErXC3bkjrh/FCbJlom5r4S1i3yaD6a
ERp2BjmhTXKVLx/3OirGTm/xUndg65PfnNdfH6DUldOR4wTg0dLkh3v78YaZAFVPc/M2LxSG2NPG
FwM3xvSkUh838yb8zfHGYI28ud18KEsF1wzJSe7bU1RZl+EQ1b5xC7kNYgRKwQujcPC10A6Bkqko
dSTP8uGDGNruAMqof3ZqNtpcc7gPDS+gA3yDdD52jNbC3bJAeANd2zVBaI+6OI8rHCNZ1GwWjw76
zDkvoST8etWoY8PrVeMaDiEcSiCECPntMc3D6zHMbmzcUiOyVgYgLXM+YELzuhnoSSKr85zx/vr1
p75mHL38YnSXfN4aPBj88+sFw1zYTWe7FbepGPG3rVYYt4y/6enc3K6MY9uChWG7HPtfyFe//vzX
h9P18+l9kzSCMpd18/ZZGX2/zJpsFrcvqFX1wEgf8gVOMnH1648SP1kopuC8zdyODwTw8/paQ+n2
pY6d6Nair3FHHQnK4IV7E5pgcubMImNQd9TTqcMHrFc4ALbk+QZli/abn/tnF27i7TABFeABebtq
DUur/EYPqUB5mTaBBRqjujTwW4yb1Sj462v/2UOiOoI8l/y/yxjg9bXTG9fxy40GOkkki6WMsf+t
vNgV8lG0qcUkEWgIwBtW+QodKEbqfAZUaE5w2i7VWVMYkaixVZqVbiC2oKLdrczhOCaagb815Smz
vRKNux/rDJx/fRErcOvNI+Ia/H50M2wmit6bTlCaR+HgSV/chngpmv1KHVnXzdwX9WPbFlqQexP7
nsRpubIQo4T5XNBJvznWK5U4ySwOr8u04IQTEEOfvVb/HS3tJ7ugS/vDowHCl7XfSu00kHajE1ri
Fl0VN2S9zUJhwoTCf4Bs/N3KVtOlV3sH5ldWNWMkusHoY95+YtET0aFnsrudatAKNhCep9Cf1T+Y
HNoGxcVpTQdSB6AdwB/6mDL8nRBMvU8GpU43S9k/mxW184oL0TUegoTI6UswsNV5vUUdbw0YN4nC
bo4uGghFe8fnaF0YLheklDEvg8l/2fzlCt5eFlfC70yJbRlMx95Cwhcv80mqlNFtxSoJ6CEssEVc
Lb3G3yD7Yzli4A1Sd0z7rWFT36L5xpq792Pk80w3dFMP5FyTBZYa447zkLvHcKf1R3pQgwhKEUlz
g0UgXLa6uficboljgC2IimWru1XVIqimUg4s343J3jN0nowUbPGOV4BTozsAEmh5dXk7oLY/e12R
XnJYqq7GlCp761UtOOPayLVPArPftcDu/0XPOrElfJYkegPvZc33G+NnaSNRPPUyLrdJz/v7BP6i
MCm30/qm0RUvao59NeWqOuCVLoiRDUBOrX4YyhzQsRm67nsi5WNOMylTrE1rjA00WDtqIcYDQGkD
jmnen7CtIOKUCFyy44I6hLjeYbAIyMFxrl2EnrAujWjApl2P4Umn9YVcbBRD4BKg295qE3pY8Kh9
aSO7NrBkQTus6xuXAJM2QHUeh1svBWEdoRB8qDPWCJkYGBscBfxpYNVGO0oDWD+iR1+6crI6clGT
oPRAnFACcu4eFYQacgJ/TLokGW9DRQDyujBHPy/S3L0ElpsNvJlFLDziPMqBw8uJdi1wCtpuzSX9
HU/sI1kVMfPBZPYuaO8QdZL5/Rc6Rk6FLD7WD3qStlvfLCJEOla7b/1kUzUV3W+4Q58wQScnY/Tm
rUcd8Kfsqwp7SdMdXEi6e4PUn89ozO1PmBlsxDt1/MxCmb9G5JygXqErt9UHfh7aTH15QEdubwvh
jgELa213hOU8gx5Adb7xqv7ZanQnmBEW1Pea7SUZWX9eh+CpLHO/uHfHsNJJO4KVULnbwiUQCWeJ
xGlLajTeePgFmCtoRNh1kFmJJnAySbJWiq2XCb/+pMWjY/J1s7Rst7KRhbcn04DiZ4ESWWUZd7pE
pnvWI3rH7Paa9dR4ExOBLlf8ADJ28g8wo/nFZAhPquCADNYaIhos6YrebiJZlZuYPIhsb5HNijxT
uPWjj+sJMjw9g5wBaaUFut5628mHzoEgvrNJ9UZh1SZWdDu4HjE+iwRzHtqkSEWJTr0KB5zdqADR
voYsrL7pDkQzQibwrprFPuRiXN4VLZzsTcMT6gVFYfLXo1JSnSrThoqvSG4DYrttJovqnJWZcd/o
tvofKWhU32PUQbDvhiEaZL+ItkL0/CcR2rIO+w2FD+Zz/gOOqEyAPJub04LTyaGUwxKggybSK5xX
bDErRhj5F2x2t5rvDNvhpf7SjVB7JDWcdxnSgAJdg0U+rLzuufHVrVS+pPuuG/iX67cthgFfEKdq
hi4w2QxUkYm8adZaJMMp3F6vzJ4oIiFgWPhFRovKUBqMYUZB9oZhEPi4IpLMPFW4OaY3QPNVA15V
jwQ920+CniyqM57flKP42D0nFYshVf+KwQpcsgj3P/2lEQC/AhX5qjyqFWq48aPmMc1QUAdz0sm7
tVBYsgYg2oroXF0MK3OsVUEgeFTSZ8vMXe4FI4MLDHP6FY4lDT5RiK2jzbPqkmXEb2eob1tWDS+e
TkH5UFDf6alOEV6hP97ZIoNjNuS8zWWGmHsXktX05HSK6DRWQOwu4JHyzUf+DLi2aoJP0GgtZIK1
wBlUqZItaf/8cvhZgZ0SFA94YFtapKBqWQOFvHaU68uW3mVc2NZT7DKzOPDa4QvScsSb4WnllCIS
E+Gf6Nf58HJ9hAQN9Hk/zq0qg3jz9Nt2uvWsiSgAH64gJwiP4o5/60eCFzCCOPY2cqdNxGwFrTUJ
CYttgFgEfukrNOfuBZdTnc1Rc+4SOUhIHnHOtyWiuz0CuCD8RC1PG/XYlR6RS03bSYGo05Fy1fLo
CL6rp0ij8Q8fjyrNIfV7w9jCM3eM2fgyoWISAJbnnq2QgnlM3Ps0o7W/6xVlDmkKaySPaZvHxcQ9
RSDO9a+bQJabAD4SwJABqED42tI2LxqfJ6x21McXE6AQJM6UY72oHwmqqs5+xK9Kud8cm9DkV0VI
CuSIFzn3YYIz56tgBgC/880sI+ep9XqeVz0vMBYnCzzDyOaJh1zDN1lXIiJt0Z1XeBzsMDYMQXwU
Ioqoibobfw6N6cKr1A+UNhZbk0Ey1BEgkI9IeZl9OHeL1qES7CmKDE+ZCwzMfu+JMrCfiNgW94bm
cQbwU44hFgrh+8lUuFvTUN4A9nlSEmTi149OVPOgN2Kab9Yr5E1Ejdw57EBtRQNxPfAu4OIfF0Wi
HJnY3Cds3aTxcaS9p50v7iuc3uauV1Xa4k38TmvFuL425aKzoupcg/rmxVz7YteAAAxGDjCTaN0r
bvp61+imzT4db5EvaN/4OrHDVWSK9lYPPc9rGTNZzLOSx2qRZrh1Sa/DHp2jybZxMD03CQjjwFgh
tnHX2uYmZslj/1TQwjhRITvT6DZHmdggD20i4Oy7uZ3KNigxdqpwC91+oj/HquF/7T+syJE8H+Df
oWqudiidpvxUkMVe7BigGc17mrgTS0QRP4NFvVxQa6u9bzZS7QBojE2eUiRSR3Kr57zCKKI6rzfg
ZS9SB/dRBYqsG2sbEcn3QkgMIwUSnPu6Pc5uIv9kFB/eruvTMobwgCZ9OCCjtLJ37uCxRGBMtEfS
GMZTHElMYC8LopgK71vtjtkYFC3UeC0tgcEoMyhtXUgdalU4c6agaeh8YXUy+RZNCXPRVt2GrNOS
KnDQLZSk8DLoDeSSaUSvGzQhWlvR6hN1QdpUsPqS1s6D1mJicpAUQu12Eoa4EhaXwJIT98yVKhBv
ecST5YJUujNcwzT30BrJ+Ugr/8EkH/2ameVyy0mdRa1rAoB6P7Fprzsggc9ZgdXM5Wb3oWJN+kiG
8L67E4+NegGVG2YPcgpqNEbMaKN2DPeN5kH7KVe2fjr0PGZmI/ncqJZwENd8kpqj2oOvAP+RHXHd
5Cp6rG7Yfdo2tdoZYim10PJ+FF4yH/thLONroczoFxBaxFW7hkbYXs/9iJKK1a4LoE33vT1QhERa
5j+sJtkSAzLX6/rTjQVl5f3gzcU1zscvsRaSQACh9WjnDXQABWgGuZp+i0zM8q6BGNZ0OFIThmjy
AM+8HvEt8kaSyUTCOy1PnwpFOg9ZCuzQTmp+0MqelvmgDam510sP7XvUIICNUWRdYHlM35lWJ0TA
W7O44GQ/H0uB1z3I67p8F1YMf/05p15wFHEWswYrrO2M3tvNc9frp0Zt/qc0jGhE0pinphoQoG2N
HEOqVhmKMuQq9n0eTtr7KDX4edqi5h8bX3CTTBugEB3AaeOZyNCZ4LEvNSM1TqFKuiaGUJlFyIlX
iipGEZ4Zl1WQAac/T6bPo+rHDaNUHRr8TbiA3M+MivrACie+6by+TMKYfXvBhJJ9ragxebv4NcBC
9Q4XOGIfQk+RZteDYQTPtD7ljELZ8nr2tMqZ3fBMP02FI8DnTBQUc6p98LozlFYBlu4Zjba3dUy8
QZzB+F1Lx+D9iT+N1VpE7FaLivJaQSzrvumnGZujzwtzJ5uSZyJX9WYd+t4lPC1ALWFN+2qarfpx
pRdXPfte2/AI9QpamoQauvnK3juR2pmXpeINxNkuPhp2nHy1RkfvznYNaYb6Dy21nWF50l4qjAbh
ssabuchKjzAqd9HdCw5sc3/sON9s8Iy3B6ZLwz4nw8zjrALqSc8Wce95gpadrTCx9Hm4JW5KHNQm
DA1OEisy0yGx+j6mY71dGkUEsiGltYuiPr6UzDZ+MpIb5g1dskJHJVm43s6RvbHnk+N7vPjzhzl2
lsvYksmHeoiybccTwu7MaWchY9MYXGxrhW4E0qq1G4j4WPHILCu9ndma89GIbO3LUJv2c+oPy9ec
qvJblc/dw2RM5FhRVxlnUXf6paAoIx7Umz5hgXRAw+JVx0/TlClGGhK8TrY5J1dAoAjwSJ3kY1H3
0XuHGn8OhgImQNbZ+gFnmLzyzTr8EGvMfKpG8jfZJchOKuXSj26WUuPECq14IhGy10nrJefxe/TY
fyc8v5vwQEmj6/evJYkfk+5LxYDx9YDn5U99H/B4Dqpk1Z+2DRt7GZq8/xvw+MYfLGjiqnzLVFJm
1fv/a8rj/qHDfbI8WkLWGhr9zymPQQqi6dLPwP6qxgb/kcv1beNNiXGwoRmWMtMK521MAYOJOBt4
U74Um22BVs8W7BaLlOx6fcvR54cbdPPSevxHORQ3FdnR3f/+z88+kK49cx7Vd3PEm65qxlXXRl3Y
ZxP3/1YovCtmDTRzZHIcI0LuftPCftvnUxcI4I37xXiFWOw3DVA/BfpOLLd1dqvYeUrV0WItVjt7
/J3q7m3vjY/ip+a3ZiBBCPjbwLs2nuJoyIR1ztQZPHEZVQEDYGtyjIhddSH40CVm++rfSJv4yVWy
khgheh6AfYY6r3vVU5OhPtBa69wZtKVLr+YUrNmlYoNElFG//gn/NhXgQlmBwudILmjnvG0yzlXe
FVgErfNUMczjCEhFAjddpxgee5e3RUkbDpgyL28vkC2HZPZAFdIz50Qf6Qr6/etv9PfLd5jfOUi1
BEK6v/HaUgEonU63dX4Jl0MClhx0xmmH/8/Pwp3A4JUlzMJ5s6CiFO9mjF/2TLYY/QRL657dvpjv
1py+X1+WehZ+bN5DmaJvr9THhCBgbH8zFU2oxnn9DNZ5DONvnQFYkQPMfzpVWT+EAe/6z+xSbx5I
GtuW2xu5dV4UAT31Rlo9HtboQFB7/27aqcz+f7skxdRjbqdm128HSl5oinHB5ntOjYTieh2goHmg
+s7bDmY72Y1P2Od4SNXAiUBNk9h2HOi/vrE/WcEO3g76z+pRVUXG6+clNDBVhk5mnWevN05mVgo4
1qo0qrWOFcrBp9hlmdE6oF4Bem/Xh9dWE1B2kN9NoH+2ei3LxNaifmlm4K+/TJb7cKKymodX5SOu
depUMhvgJPO7lNSffRTBMOTyurxa/jZnn2uPI7bbmOfE5vb6vsqC0PKZrd5z+PV/fZdfb/Vs3+hZ
mR2qFEs+7m/Lt4570EpNrZ1CegSA17WWOZMJXH9RQRK4Rtgdfv2JqyPmn0+M+kgUu9iGHIdHB/3u
m30QQijCYdKIT3pIJ8HySgr9riW1AHMtUY1dyO+6ngZij97ZyiotmB6cXa2knIethY9XFcvrDvLS
6pEL3RRAAkDCtolqy/z6K2PoefVIYCoAsL0OsZF0mLg83/z8BLWneG9M69TlerHXF8RcVeJo+0h0
2QA/qZDMFDkstFUYVGktnZ1gVd8iraQtINOck2dYAKxk9B71zwva9ecZMIuzeTnVGsww4i2VIV0Y
e03WEBF9wPXQkzt0VvWUP9aqTpor+XNQzwDmT0baPPZqauVFFpyIlBtITmEqb6Ikp5eIbAWJ4gLr
JyAHtRFH0dkcjYlmRK5W+FBFyS5IQnMTDYnpHPKy4TNUg2pFYTQNguGNNZLhuaGRBAQvrlgh9Rpe
iHlwOWiU3M5pnc11fVTQh28FaNY115cpUvPo1qVRnwqRyDvhUbVoRq/R6wG1mnwW0ucncxfTgRs7
0R96aJDHPZZ95jxlUD2Y46YGkSPCJx9F1OoNPdK4LWiTfqnJyDiOjdvctQ65WvbEsddNIvjo7L+j
vZl8mxfq2n3UTA469DSY+YW0KcyZeII1l0NaRnJYB+Tr6Hg9oaJ44/74U+jedV20PBiItZ9fUlcK
hxGQmNvuOSsiQ2mhyQpYulCYgSdb+D615NeEvQV+Iyz5Wwp17Ma+QZ9tUO3e9S1X8qYGU+Tk5kYW
cZviwZhxNEnXVQdVMkOYTBBO755iVZisM/q1+U5EPKdfpmnzLtc12oZrg7RJGlZNZtKgch0Vm4D6
sO5pCHiyDJCdkrW3HiU1+ltktVojI2K43HwZVOBZAWCC96JTxTx/lR6Bwi1UYG+sMfjaypWKTEOf
zoULy4gQihXkJUqTtTxy5HvAWMdfC0XNUwChGVOox7uo78n+2cuc9zJCcAgwQQ0Z7N3i5ugCCSew
nwBvEEGreBtYTFo/R7cnWhi9i3FclgkQnBE51udyHMt7b0nkOzgm+bZB+Cs29ASEt0c9356SvBov
olyNErp8hsRSLtWw1bvQuSfPJZk2usNcbOPaqbzycMOcCyuuiDLLfD9I7I5GP2OPAHeHvM/wmOAW
w4V8ynRFNmJNYlLXu/KWlhGhh2k4FDQM2v6bZy1g1Qx3uPIdG/O8nFN8r0PGzhQsqqs7wW7mJiD4
+IRgGyJ5Z0vny4x0ctthorlk1NlGeyXkgN021MlWIMA8jNVQXfnpCIocknL8OVITOJhZ9TvpxM6B
OUR4FrJ3m4PXTc4jsY/KmFIvn51oqk6mVUQSxZe1fC7zJttBElyCToz8jB5SnwDFafk5rVO33zJb
7pCUtu5BFaNgx2dmnlslMdg11IAKQlHsYTr1amNiCoBq+G6g5XeBnKW++H/snVuTm0gShf+KY95R
cL88zESs+uq+2m7bY8+LQm7JgIRA4iKQfv1+BagtpHbPeKofiI0l9mVH7QKKqqzMkydPzlIqrDdW
sZmOKA84o3uO8n7jJYsv4XxNu5tNnA+p6UevhXatQ8Txxk6OrglNNRU03xfBCWIE2vlimTCQq4A/
k7BEYXcE0RnZyEA7FX3RkvwElILmcMMUco+fiC+/LG/wdN1LxMc21mlMU9GhORpxIzPyRqdm4QeA
4ssMWD4LTrcI65/pi6T4tJzbKzryxtl5Yc03IMXqY+RkyRek4HV0EbXqPFNGxmkR8RxolC/ecyoh
l7/FvN/Y5qpEpUHlizqwEG7AH+J3al4sqb7PWdQK2rv5uE4bKPCrqbkUqZ2zBJbr7LppWKQbFRg6
1jaf+KmKQaJ3hfaxafOi5hDnUqeAc+IWlYWGVxhUAKrJCi99QSpue0LqP/k60kiY1YhX3aozzzzO
Y7ew6LUb6SbNcNKIDaBq1TK7aHh4MCVEgTh9kpWKOCrLSGvROhDgZr002fpFYK0uzQoZHXo4kXxa
0m+ZR3NQ7aBDVhx91ZOVjz9HA0v4uInowqsFGQXgNIVwl983y7UpUotICkROnp3FM7OcwklZ+SfW
XLH+JJ9Pu4/Ayy5h5FO0Gld+WNDiYxZ8y9b5eAasemaZoe+fIM+xyr5EW8QeHpDzSYxLVw/cuzVo
2YkdhfOzoCxXlzPF3p5vXKEh5/kLZ4jET/lpbaWLD6QovuvR9ktFucc9lQgAV3ZEub7uIYVgFkt9
4ueBP9mGYfngFw5fjh0/O1vRzNcjFYGo03AdhMiTrqLMuUL/IUtOqzJaLihox44j05T55WVOn6Rr
c5VsbldZbnywkdZQhuliXmhDm68Alx884bMSr+m9gHZadFulqXmPPlF0v9LM4sMidOk/k2jZo7lW
orME4blviWevr3N7uRU9WvSQbumugfIIuvPDstiW3pDqGMyFN7JQAnHNK+gK30ZLpXwoc38Oj65A
9CT0rb/mpT33T1KanHNWxvQgAMP27zxAs1sqAYwrxSs9GrKv/Wysh0hoLFAdP4sRC7im/lKBd5Fn
ixRWNZ0/FZxZujxouj6iLcjIqc4DuIAf7flyebmOje3DMgxGN+qm2L7PA/q2eWu//FpElDafqVlm
hldVWFUWTVzg2AzdUenO7+wKgPvCC4rskihXuZnRNvWTGqa6d6LQRSCmathR5+CibnlXcsJ/19ar
7LZYLtcXFQfhdTzLFtHpkl5toPYa4UWAcbuYmyONRq54FsqJv3bW7319XaLSOBtBo0bhNv06r3ID
pa3IuqlCHTNqqBsPobrlOqb13CItRojjJfpt7my21hAGFVIxbuSYGEStnCa6TSMuT1ltyQWA75rm
Ch56ZG8vs8IJP2QLbfWp0DbZZzdCjWNdbdE+nYn2sNRZorUA7I0W1cyhgKV00N0fbYMJBB3OoVyl
EBGlpTA6NZmqd+stcUocAWGfWAjl3cMPqz6paUmZdZhTOxIaK+PcVYzUGcIEtc5XmYOecKKHXnZR
sHa/A1RWfy5dI3+kjaMzKe3cDs9VEr1o9EQaWZdZEjlov7jg9ggbrcLTNIDNdOnky+9WUPnvshm0
guEWuYAro6yChOwyWitIGq42QxNkHf2oOL1XkKg401V7lJ96vpDw3W6qCkZR4qDvUJi5ez0vEB1R
TGf9JSBfDa3G387uwYUddThaxtF9TC+xfEi1pQJx2OCrRQBIJpVbZVQVnys49iOz4ev+Hwv9WywU
lGwvtDlmu8MPgu3eobrTEp5/s6O6q+YAPQM0G8FDKQcU8vE7qrum8ZPI2QpxboKhH0CoqM5WdSTf
0eEDNRQdJ3d0dxUpCLAukB/o28Sz+q/Q3btYC1CkSmtKgnAqfk3Y9YaInPdo4DQY19ASWZV3xWLi
ZxH6Kd/2ZuMZ4LNLVj6+wUFomlZGtKB5WXnnzjCclKAV3jhc34UeSdrJy7eqgaG9MBgYzKVBhEY6
E8m5YzrlhlqsyMJNvp1ZEbE3rqmiGyiPDT1Xn6+sv7JZ5buPAfpIObyupZ4pW/Q8LPgJVzAAaTw3
gdnlOj4lkWages7FKPVFMiIupiEOb7i4KVIzU8xrqL/bt1HmzUbpR3dGOZMNSXf0cbPKzwF4rKss
n2m0kkvoHoVsyypGLDfWyYIZKQUr+tpWqAEs14aXn5IhXwXzh5WHxhDkOzMm9jzlISjJCsmpUJ1V
6FcpwdqnDRzv62i0QguKmquoPEdrNjIW106OxqtVIQLmasjL/UXVGp0HFfQ/h4A8KY2xLNO4NxVn
ub2e5V6gPJQQlVDLMNb+yIN7RmVRXo1oPp6G2UX9Rf5nrEb7ImJTn9VtYd8X03TzYUpLsfxJNFP8
WsP6H5N/90e7apTnB2prZxo79JjAABVPQAK7k11hd+5thqeR6ud9aYRoTLfbYkJZjuENLKhsDnYG
LI3L+O1NRK/V9mfFo8IGfr0tALn6am64N0U/m4SX36+ZzZf/pvMG4wkGdaeps29XkUSEqN9JS9WP
dDwJB0PsTYI5oN4EVj8qB/WFXe1MAlkmwwNIAneuL+whN+zTJNQfTm4S0PewyXvp4pTaf3uRtDNB
43SV5Fx99e/tReJB6u1tc6Bx1Dmg4M07ss73J4FcwEDnTCZH17uPD04qlE2k3t9wB3x7JB6QWKiv
w0WgDpAzIW7BAakv7ES/tgCYhMZDS82CqQ6oGCSbTP+l+sIr218FjjkAC7Fw2JpJ8npoDdv12ZRJ
vHAkvGQNhZYIlZatyT9YChr+KYaCWi/SReJqzG+PrKGFGZdcCYYz0C1aeHoUfO1ecn8laJrHhkDC
g7LBZi30bT84WCvJSTC1AYQIzTLocvXcJDgcGXXfIb1/NtGqC4vlrIEzMGuhFtd51iZqujoguSRk
PBtz0buNQMM00WZObhbMgQFThxrZdqEfOEeahlEUFAiCxt7tgZrDI/X6HIy4hhbqh5RqiIuP3DEE
qig0J9Fq9+5EdGmaJ/nxCQ9AFOgwZrSeMXZ1/+0da2DawBGGhgMtrt4tAUJ5AV/IrQFPNGAQ+gKt
c3i0BWy2gEUuCcZRu0a4YY9OROhJrqwhMICYRG0o5PTmWx+sBU8jikIbS3d/uNA9mwXq4vHopNaC
TpsOIV74NAkHs+ASK9KuCNqVkFHg6p1Z4NgScotSs2DohAsuDBOK7uvrwCq6SEzC4oEQ1kbM/ZsF
o6aYSs1C7QNiHqHYdM0iUMGA5LQ4Mszd9PRsK+C1SLuHREt4BRx9baBwuBU8Ymr0jIUWYnPVq65H
ZpGYUdogGOYASpeoMW+ioUMEDT77AGUKwkrRn7N3q8CVNYi4CARJHlIcP7b6vosAfEQoiQcNgFRf
vXMRIMgdMdt/FUI0cYIN3B+DtMxurXdmwSNUEqq3aCzUV/8MIiq50vgJTafITAEnN2bvcC94Bmgz
HoTWmkXB/+/Xjmh7ckkdC4aBmDuAua61hyPfurMWVBwlTkaAlGap9G4W8OFsjLnULAjwAHjEQPm4
WfEHWBqZBbxJh/KzFlzo3Szg4wkdHKlZIHyEs45SlKAyi+vAUfJcomsyLAQpzVpotmCPzkjks4VQ
jtwsOGItsKisFl0+CKBc+ti5DmrgWmsd+3dGYNmlnWZmQdNR2YHjXF8Hs+CAwZOFQmm7/b13ZwTK
d6I1hNRaMO0BiXjBLmj9hcMdQSYG7gORWnOnPm0F+BiyWwGFfVrIAp/vbfj9w8H2BpSeoTRIG9b6
6l2KAYW+o84nv+wuqUCrRNGIHD67FYii+YV8Exm5+urfVqC7pqy7JLBF7CIroesgODZvTyLuKene
w7eHHiJrCPQBCRRRvPn8GnBIM8FDMoDV6jv1yBDg2QmlQzk7COnAMR1k6J7H1TkTHfBGjoLeeokU
rcqeBgBJSPIBnO4ggoOt4JJmQ9FSlKU1hqB3XqIo55L2lalwJsmGOXw+btJUpgE9F1Eo2L+9wHNJ
7gUMIU4RAEKbSBPLav9QpDjcxDukUrLdC73zD6n+1aUNoogLSTm3ftFRrEAnMJRO6QS2d2higvpk
F4XBklwLpjGwXWqpYZ0+Hf37a4FjgbpQhAI4N+qrd24iqKItGzfSbYnjHyWCHWrG4urMgjXAKqrM
U+sm9s8uGraoNJY6Iw1gdBS8hShD4yayuDqzAMIMt5di9xZj6OMsiCJyqVkw4SGYNt2r4CY1V3cW
QJnIwgrKTmsdm+OoT3aBDlKy1lGsBRdZXLs1C0dICtF1Q35vo+cezgLbVXYtgC2y3smqoJ9aXwdr
oeakAKyJ/mxi2fVpFQh+qez7ExTQnQ5xkfb1DzEUTgf4/qrgp9VXs+x6NAsCYZbOvJFzwryaHITN
Wx7YRWERCNKBWdoJ79P7ozQhTciwoCQDJdKm4MkH2D8XyDkZpiHEDdqoodl2vZqFHZFYgqhJi0fk
K9BFej4JD8KO9pmAnn+grv2yCCBhumwcTf7RAEXAI2wPhoPYoaarOtBSdNEet2fvTwAtGzuReaRY
B/US69BFhKPB9NK5pHUbehc0cYYdldH9MpKIo4xaD2mkNnQ+/PwqfgHNPUThV2Mr//ki+Af24qke
6CQIo0ldCRROs+cKhn72B7samOPf2/qXt5PffxOFPp0/FIVBzb2ndYmS+P9/dCjd9cm/9+POE6jv
0/7z9gWPb9251+6tdv/xMpymY7prbeofNu1jNm1+/hONv40X406BTs2B+vEkv//Wec49h+BvBs7m
B+MKMF563JTGK3F3YKSHXmPg+TjOxtluJPEZm1ol2Uc+GUfh9ySNu/3EG9K79NhJlKTjSbL/1DQC
wnLKjxzH08c8fCzy3WBiShqauuzgp9NoXI7T6f7IDf1VeuR/1sb9aRP+u9VNR7o0nHRXYUNWlH3+
i2mS+t2V0hIAZUe+ZMbDcH/GtYZTJzvw28k46CzAlsYuPS7q7nESdndkw4OTHjqehOMDK0JDFc4i
6ZGTsrssGpqO7LDXx7apYTtID8wAxeN8s3vz2uw1FALZoW8SumkeTXPDbJYd+3Ycxh3rIRqdv8Lx
cjtGAWMcT/ang2yGSGnJP3KWjR+R9ZjmeWdNI+QnknPS44ePQeiPuwXHTeJLfmjOgizJOyu7JRfI
j51lIf9bLju2SW+SVa8xelKkh0OLDIj00EmcH9iQNrckO/Ld9FtKQ5TubDcUL/mh1+PuudUWXMgP
XL65HC+WWRB2j3XGFzmG1xj/appm046laotIX2Pw22kVPnaOsZZt/BqDf03S+W4O6vigSTlID52k
efDmZJwmnJTd5dKg+a9zg9Px/HDvU8MMNCg7/H0Qdme8oapIDzuP8Ei6UQ0sGAFpSw+dTv1DTYca
JZYd+N00jjNa9o4PwoQ2USk7/IcgmUzfvM2OzrYG45Ud/iEpfrIQW4Lu69zgeCG26Kzs8B+Z/WmW
TTsuhdEgn/JjV92o0uChXyFg/ZSPg92CFjalBedkH/fzNF1wsnVGbmAv6ZFDIpuD5W00PE3ZoV/u
ViwZ7P05zfI3n597+EbIQfrhXxLil332nwtbvTjyc0jTU3LqGH/aycM898+64Jr4i8doOk7/+C8A
AAD//w==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microsoft.com/office/2014/relationships/chartEx" Target="../charts/chartEx1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19</xdr:row>
      <xdr:rowOff>12700</xdr:rowOff>
    </xdr:from>
    <xdr:to>
      <xdr:col>4</xdr:col>
      <xdr:colOff>546100</xdr:colOff>
      <xdr:row>35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548F0-802D-BE09-DF0D-C3821EEE6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41275</xdr:rowOff>
    </xdr:from>
    <xdr:to>
      <xdr:col>5</xdr:col>
      <xdr:colOff>298450</xdr:colOff>
      <xdr:row>25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C67A0-8395-B4CD-3837-C45571352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1</xdr:row>
      <xdr:rowOff>83608</xdr:rowOff>
    </xdr:from>
    <xdr:to>
      <xdr:col>17</xdr:col>
      <xdr:colOff>378884</xdr:colOff>
      <xdr:row>17</xdr:row>
      <xdr:rowOff>112182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7A42C-E722-0DF8-84A1-BA84B1C9A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41275</xdr:rowOff>
    </xdr:from>
    <xdr:to>
      <xdr:col>6</xdr:col>
      <xdr:colOff>454025</xdr:colOff>
      <xdr:row>23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11BE53-50AA-461D-6B70-6CC8AB130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22224</xdr:colOff>
      <xdr:row>14</xdr:row>
      <xdr:rowOff>15874</xdr:rowOff>
    </xdr:from>
    <xdr:to>
      <xdr:col>4</xdr:col>
      <xdr:colOff>273049</xdr:colOff>
      <xdr:row>29</xdr:row>
      <xdr:rowOff>146049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41B0D-3033-6C42-AD25-949EF025E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574675</xdr:colOff>
      <xdr:row>0</xdr:row>
      <xdr:rowOff>9525</xdr:rowOff>
    </xdr:from>
    <xdr:to>
      <xdr:col>10</xdr:col>
      <xdr:colOff>269875</xdr:colOff>
      <xdr:row>14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847A4-E1D3-0CDA-5FD0-D26106CEF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0</xdr:rowOff>
    </xdr:from>
    <xdr:to>
      <xdr:col>0</xdr:col>
      <xdr:colOff>590550</xdr:colOff>
      <xdr:row>73</xdr:row>
      <xdr:rowOff>68385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BF9C83-77F0-AD54-189C-D08EA70A8C6C}"/>
            </a:ext>
          </a:extLst>
        </xdr:cNvPr>
        <xdr:cNvSpPr/>
      </xdr:nvSpPr>
      <xdr:spPr>
        <a:xfrm>
          <a:off x="6350" y="0"/>
          <a:ext cx="584200" cy="13618308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21</xdr:col>
      <xdr:colOff>317501</xdr:colOff>
      <xdr:row>3</xdr:row>
      <xdr:rowOff>173180</xdr:rowOff>
    </xdr:from>
    <xdr:ext cx="173180" cy="317501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DDE29AD-65A7-2238-C416-F212CFDBFA39}"/>
            </a:ext>
          </a:extLst>
        </xdr:cNvPr>
        <xdr:cNvSpPr txBox="1"/>
      </xdr:nvSpPr>
      <xdr:spPr>
        <a:xfrm>
          <a:off x="13046365" y="721589"/>
          <a:ext cx="173180" cy="3175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441271</xdr:colOff>
      <xdr:row>26</xdr:row>
      <xdr:rowOff>75339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46ED62C-7D20-EB32-03D1-EFB96AF78BC4}"/>
            </a:ext>
          </a:extLst>
        </xdr:cNvPr>
        <xdr:cNvSpPr txBox="1"/>
      </xdr:nvSpPr>
      <xdr:spPr>
        <a:xfrm>
          <a:off x="10870339" y="48324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55308</xdr:colOff>
      <xdr:row>9</xdr:row>
      <xdr:rowOff>135102</xdr:rowOff>
    </xdr:from>
    <xdr:to>
      <xdr:col>24</xdr:col>
      <xdr:colOff>613631</xdr:colOff>
      <xdr:row>41</xdr:row>
      <xdr:rowOff>160686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BDFF4E3-9EAB-F60D-958E-B0DD796AD303}"/>
            </a:ext>
          </a:extLst>
        </xdr:cNvPr>
        <xdr:cNvGrpSpPr/>
      </xdr:nvGrpSpPr>
      <xdr:grpSpPr>
        <a:xfrm>
          <a:off x="713399" y="1693738"/>
          <a:ext cx="15648232" cy="5567403"/>
          <a:chOff x="726738" y="934556"/>
          <a:chExt cx="15648766" cy="5547660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43682E17-0AAA-25D8-98E0-D78CCD131E64}"/>
              </a:ext>
            </a:extLst>
          </xdr:cNvPr>
          <xdr:cNvGrpSpPr/>
        </xdr:nvGrpSpPr>
        <xdr:grpSpPr>
          <a:xfrm>
            <a:off x="726738" y="934556"/>
            <a:ext cx="15648766" cy="5547660"/>
            <a:chOff x="772200" y="3908323"/>
            <a:chExt cx="5352535" cy="3978598"/>
          </a:xfrm>
        </xdr:grpSpPr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90415EB7-567B-35A3-83A7-54F537616A5D}"/>
                </a:ext>
              </a:extLst>
            </xdr:cNvPr>
            <xdr:cNvSpPr/>
          </xdr:nvSpPr>
          <xdr:spPr>
            <a:xfrm>
              <a:off x="835185" y="4299171"/>
              <a:ext cx="5289550" cy="3587750"/>
            </a:xfrm>
            <a:prstGeom prst="roundRect">
              <a:avLst>
                <a:gd name="adj" fmla="val 5096"/>
              </a:avLst>
            </a:prstGeom>
            <a:solidFill>
              <a:sysClr val="window" lastClr="FFFFFF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3200" b="1">
                  <a:solidFill>
                    <a:schemeClr val="accent6">
                      <a:lumMod val="75000"/>
                    </a:schemeClr>
                  </a:solidFill>
                  <a:effectLst/>
                  <a:latin typeface="Amasis MT Pro" panose="02040504050005020304" pitchFamily="18" charset="0"/>
                  <a:ea typeface="+mn-ea"/>
                  <a:cs typeface="+mn-cs"/>
                </a:rPr>
                <a:t>Sales</a:t>
              </a:r>
              <a:r>
                <a:rPr lang="en-US" sz="3200" b="1" baseline="0">
                  <a:solidFill>
                    <a:schemeClr val="accent6">
                      <a:lumMod val="75000"/>
                    </a:schemeClr>
                  </a:solidFill>
                  <a:effectLst/>
                  <a:latin typeface="Amasis MT Pro" panose="02040504050005020304" pitchFamily="18" charset="0"/>
                  <a:ea typeface="+mn-ea"/>
                  <a:cs typeface="+mn-cs"/>
                </a:rPr>
                <a:t> by Region </a:t>
              </a:r>
              <a:r>
                <a:rPr lang="en-US" sz="3200" b="1">
                  <a:solidFill>
                    <a:schemeClr val="accent6">
                      <a:lumMod val="75000"/>
                    </a:schemeClr>
                  </a:solidFill>
                  <a:effectLst/>
                  <a:latin typeface="Amasis MT Pro" panose="02040504050005020304" pitchFamily="18" charset="0"/>
                  <a:ea typeface="+mn-ea"/>
                  <a:cs typeface="+mn-cs"/>
                </a:rPr>
                <a:t> </a:t>
              </a:r>
              <a:endParaRPr lang="en-US" sz="3200">
                <a:latin typeface="Amasis MT Pro" panose="02040504050005020304" pitchFamily="18" charset="0"/>
              </a:endParaRPr>
            </a:p>
          </xdr:txBody>
        </xdr:sp>
        <mc:AlternateContent xmlns:mc="http://schemas.openxmlformats.org/markup-compatibility/2006">
          <mc:Choice xmlns:cx4="http://schemas.microsoft.com/office/drawing/2016/5/10/chartex" Requires="cx4">
            <xdr:graphicFrame macro="">
              <xdr:nvGraphicFramePr>
                <xdr:cNvPr id="18" name="Revenue Map — All Locations">
                  <a:extLst>
                    <a:ext uri="{FF2B5EF4-FFF2-40B4-BE49-F238E27FC236}">
                      <a16:creationId xmlns:a16="http://schemas.microsoft.com/office/drawing/2014/main" id="{D59A4AF8-9EB5-4C9A-BBED-53E8A2697290}"/>
                    </a:ext>
                  </a:extLst>
                </xdr:cNvPr>
                <xdr:cNvGraphicFramePr/>
              </xdr:nvGraphicFramePr>
              <xdr:xfrm>
                <a:off x="772200" y="3908323"/>
                <a:ext cx="5347201" cy="3844751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1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772200" y="3908323"/>
                  <a:ext cx="5347201" cy="3844751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US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</xdr:grpSp>
      <xdr:sp macro="" textlink="'Shopping Data'!AP19">
        <xdr:nvSpPr>
          <xdr:cNvPr id="45" name="TextBox 44">
            <a:extLst>
              <a:ext uri="{FF2B5EF4-FFF2-40B4-BE49-F238E27FC236}">
                <a16:creationId xmlns:a16="http://schemas.microsoft.com/office/drawing/2014/main" id="{EA78AF77-5C8B-62E4-E16F-712147644ADE}"/>
              </a:ext>
            </a:extLst>
          </xdr:cNvPr>
          <xdr:cNvSpPr txBox="1"/>
        </xdr:nvSpPr>
        <xdr:spPr>
          <a:xfrm>
            <a:off x="12821651" y="4004806"/>
            <a:ext cx="2946054" cy="56334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113A053E-0485-4077-86CE-C89D2F572A66}" type="TxLink">
              <a:rPr lang="en-US" sz="4000" b="1" i="0" u="none" strike="noStrike">
                <a:solidFill>
                  <a:sysClr val="windowText" lastClr="000000"/>
                </a:solidFill>
                <a:latin typeface="Aptos Narrow"/>
              </a:rPr>
              <a:pPr algn="l"/>
              <a:t> </a:t>
            </a:fld>
            <a:endParaRPr lang="en-US" sz="40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25</xdr:col>
      <xdr:colOff>174494</xdr:colOff>
      <xdr:row>14</xdr:row>
      <xdr:rowOff>48805</xdr:rowOff>
    </xdr:from>
    <xdr:to>
      <xdr:col>30</xdr:col>
      <xdr:colOff>616857</xdr:colOff>
      <xdr:row>25</xdr:row>
      <xdr:rowOff>127000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3BDCAD6-30B1-EFDD-3A49-BFC59E582862}"/>
            </a:ext>
          </a:extLst>
        </xdr:cNvPr>
        <xdr:cNvGrpSpPr/>
      </xdr:nvGrpSpPr>
      <xdr:grpSpPr>
        <a:xfrm>
          <a:off x="16580585" y="2473350"/>
          <a:ext cx="3732817" cy="1983195"/>
          <a:chOff x="16981851" y="1055899"/>
          <a:chExt cx="3533534" cy="2381149"/>
        </a:xfrm>
      </xdr:grpSpPr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CDB4C47D-2EED-5995-9833-61578D68E38F}"/>
              </a:ext>
            </a:extLst>
          </xdr:cNvPr>
          <xdr:cNvSpPr/>
        </xdr:nvSpPr>
        <xdr:spPr>
          <a:xfrm>
            <a:off x="16981851" y="1055899"/>
            <a:ext cx="3533534" cy="2363332"/>
          </a:xfrm>
          <a:prstGeom prst="roundRect">
            <a:avLst>
              <a:gd name="adj" fmla="val 5096"/>
            </a:avLst>
          </a:prstGeom>
          <a:solidFill>
            <a:sysClr val="window" lastClr="FFFFFF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2400" b="1">
                <a:solidFill>
                  <a:schemeClr val="accent6">
                    <a:lumMod val="75000"/>
                  </a:schemeClr>
                </a:solidFill>
                <a:effectLst/>
                <a:latin typeface="Amasis MT Pro" panose="02040504050005020304" pitchFamily="18" charset="0"/>
                <a:ea typeface="+mn-ea"/>
                <a:cs typeface="+mn-cs"/>
              </a:rPr>
              <a:t> </a:t>
            </a:r>
          </a:p>
          <a:p>
            <a:pPr algn="ctr"/>
            <a:r>
              <a:rPr lang="en-US" sz="2800" b="1">
                <a:solidFill>
                  <a:schemeClr val="accent6">
                    <a:lumMod val="75000"/>
                  </a:schemeClr>
                </a:solidFill>
                <a:effectLst/>
                <a:latin typeface="Amasis MT Pro" panose="02040504050005020304" pitchFamily="18" charset="0"/>
                <a:ea typeface="+mn-ea"/>
                <a:cs typeface="+mn-cs"/>
              </a:rPr>
              <a:t>Discounted</a:t>
            </a:r>
            <a:r>
              <a:rPr lang="en-US" sz="2800" b="1" baseline="0">
                <a:solidFill>
                  <a:schemeClr val="accent6">
                    <a:lumMod val="75000"/>
                  </a:schemeClr>
                </a:solidFill>
                <a:effectLst/>
                <a:latin typeface="Amasis MT Pro" panose="02040504050005020304" pitchFamily="18" charset="0"/>
                <a:ea typeface="+mn-ea"/>
                <a:cs typeface="+mn-cs"/>
              </a:rPr>
              <a:t> Sales </a:t>
            </a:r>
          </a:p>
          <a:p>
            <a:pPr algn="l"/>
            <a:endParaRPr lang="en-US" sz="2000" b="1" baseline="0">
              <a:solidFill>
                <a:schemeClr val="accent6">
                  <a:lumMod val="75000"/>
                </a:schemeClr>
              </a:solidFill>
              <a:effectLst/>
              <a:latin typeface="Amasis MT Pro" panose="02040504050005020304" pitchFamily="18" charset="0"/>
              <a:ea typeface="+mn-ea"/>
              <a:cs typeface="+mn-cs"/>
            </a:endParaRPr>
          </a:p>
          <a:p>
            <a:pPr algn="l"/>
            <a:endParaRPr lang="en-US" sz="2000" b="1" baseline="0">
              <a:solidFill>
                <a:schemeClr val="accent6">
                  <a:lumMod val="75000"/>
                </a:schemeClr>
              </a:solidFill>
              <a:effectLst/>
              <a:latin typeface="Amasis MT Pro" panose="02040504050005020304" pitchFamily="18" charset="0"/>
              <a:ea typeface="+mn-ea"/>
              <a:cs typeface="+mn-cs"/>
            </a:endParaRPr>
          </a:p>
          <a:p>
            <a:pPr algn="l"/>
            <a:endParaRPr lang="en-US" sz="2000" b="1" baseline="0">
              <a:solidFill>
                <a:schemeClr val="accent6">
                  <a:lumMod val="75000"/>
                </a:schemeClr>
              </a:solidFill>
              <a:effectLst/>
              <a:latin typeface="Amasis MT Pro" panose="02040504050005020304" pitchFamily="18" charset="0"/>
              <a:ea typeface="+mn-ea"/>
              <a:cs typeface="+mn-cs"/>
            </a:endParaRPr>
          </a:p>
          <a:p>
            <a:pPr algn="l"/>
            <a:endParaRPr lang="en-US" sz="2000" b="1" baseline="0">
              <a:solidFill>
                <a:schemeClr val="accent6">
                  <a:lumMod val="75000"/>
                </a:schemeClr>
              </a:solidFill>
              <a:effectLst/>
              <a:latin typeface="Amasis MT Pro" panose="02040504050005020304" pitchFamily="18" charset="0"/>
              <a:ea typeface="+mn-ea"/>
              <a:cs typeface="+mn-cs"/>
            </a:endParaRPr>
          </a:p>
        </xdr:txBody>
      </xdr:sp>
      <xdr:sp macro="" textlink="'Discount Revenue'!G4">
        <xdr:nvSpPr>
          <xdr:cNvPr id="60" name="TextBox 59">
            <a:extLst>
              <a:ext uri="{FF2B5EF4-FFF2-40B4-BE49-F238E27FC236}">
                <a16:creationId xmlns:a16="http://schemas.microsoft.com/office/drawing/2014/main" id="{7076DE80-70C9-4820-AD32-E8A8081605E6}"/>
              </a:ext>
            </a:extLst>
          </xdr:cNvPr>
          <xdr:cNvSpPr txBox="1"/>
        </xdr:nvSpPr>
        <xdr:spPr>
          <a:xfrm>
            <a:off x="17375086" y="2146675"/>
            <a:ext cx="2638239" cy="12903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5F9995B-9315-4A4C-84FC-116A5E6E4F17}" type="TxLink">
              <a:rPr lang="en-US" sz="3200" b="1" i="0" u="none" strike="noStrike">
                <a:solidFill>
                  <a:schemeClr val="accent2">
                    <a:lumMod val="75000"/>
                  </a:schemeClr>
                </a:solidFill>
                <a:latin typeface="Amasis MT Pro" panose="02040504050005020304" pitchFamily="18" charset="0"/>
              </a:rPr>
              <a:pPr algn="ctr"/>
              <a:t> $99,411.00 </a:t>
            </a:fld>
            <a:endParaRPr lang="en-US" sz="3200" b="1">
              <a:solidFill>
                <a:schemeClr val="accent2">
                  <a:lumMod val="75000"/>
                </a:schemeClr>
              </a:solidFill>
              <a:latin typeface="Amasis MT Pro" panose="02040504050005020304" pitchFamily="18" charset="0"/>
            </a:endParaRPr>
          </a:p>
        </xdr:txBody>
      </xdr:sp>
    </xdr:grpSp>
    <xdr:clientData/>
  </xdr:twoCellAnchor>
  <xdr:twoCellAnchor>
    <xdr:from>
      <xdr:col>25</xdr:col>
      <xdr:colOff>220925</xdr:colOff>
      <xdr:row>26</xdr:row>
      <xdr:rowOff>103808</xdr:rowOff>
    </xdr:from>
    <xdr:to>
      <xdr:col>30</xdr:col>
      <xdr:colOff>646084</xdr:colOff>
      <xdr:row>41</xdr:row>
      <xdr:rowOff>145143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1FF220AD-2736-EDEF-0A3F-6526BCF1EC7C}"/>
            </a:ext>
          </a:extLst>
        </xdr:cNvPr>
        <xdr:cNvGrpSpPr/>
      </xdr:nvGrpSpPr>
      <xdr:grpSpPr>
        <a:xfrm>
          <a:off x="16627016" y="4606535"/>
          <a:ext cx="3715613" cy="2639063"/>
          <a:chOff x="17275292" y="3711897"/>
          <a:chExt cx="3257854" cy="2266575"/>
        </a:xfrm>
      </xdr:grpSpPr>
      <xdr:sp macro="" textlink="">
        <xdr:nvSpPr>
          <xdr:cNvPr id="66" name="Rectangle: Rounded Corners 65">
            <a:extLst>
              <a:ext uri="{FF2B5EF4-FFF2-40B4-BE49-F238E27FC236}">
                <a16:creationId xmlns:a16="http://schemas.microsoft.com/office/drawing/2014/main" id="{5A33762E-499D-93B2-2F0E-436BC99116CB}"/>
              </a:ext>
            </a:extLst>
          </xdr:cNvPr>
          <xdr:cNvSpPr/>
        </xdr:nvSpPr>
        <xdr:spPr>
          <a:xfrm>
            <a:off x="17275292" y="3711897"/>
            <a:ext cx="3257854" cy="2266575"/>
          </a:xfrm>
          <a:prstGeom prst="roundRect">
            <a:avLst>
              <a:gd name="adj" fmla="val 5096"/>
            </a:avLst>
          </a:prstGeom>
          <a:solidFill>
            <a:sysClr val="window" lastClr="FFFFFF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3200" b="1">
                <a:solidFill>
                  <a:schemeClr val="accent6">
                    <a:lumMod val="75000"/>
                  </a:schemeClr>
                </a:solidFill>
                <a:effectLst/>
                <a:latin typeface="Amasis MT Pro" panose="02040504050005020304" pitchFamily="18" charset="0"/>
                <a:ea typeface="+mn-ea"/>
                <a:cs typeface="+mn-cs"/>
              </a:rPr>
              <a:t>Undiscounted</a:t>
            </a:r>
            <a:r>
              <a:rPr lang="en-US" sz="3200" b="1" baseline="0">
                <a:solidFill>
                  <a:schemeClr val="accent6">
                    <a:lumMod val="75000"/>
                  </a:schemeClr>
                </a:solidFill>
                <a:effectLst/>
                <a:latin typeface="Amasis MT Pro" panose="02040504050005020304" pitchFamily="18" charset="0"/>
                <a:ea typeface="+mn-ea"/>
                <a:cs typeface="+mn-cs"/>
              </a:rPr>
              <a:t>    Sales </a:t>
            </a:r>
            <a:endParaRPr lang="en-US" sz="3200" b="1">
              <a:latin typeface="Amasis MT Pro" panose="02040504050005020304" pitchFamily="18" charset="0"/>
            </a:endParaRPr>
          </a:p>
        </xdr:txBody>
      </xdr:sp>
      <xdr:sp macro="" textlink="'Discount Revenue'!G5">
        <xdr:nvSpPr>
          <xdr:cNvPr id="68" name="TextBox 67">
            <a:extLst>
              <a:ext uri="{FF2B5EF4-FFF2-40B4-BE49-F238E27FC236}">
                <a16:creationId xmlns:a16="http://schemas.microsoft.com/office/drawing/2014/main" id="{D63F667D-2989-476E-8598-6F3EA6B1BD8D}"/>
              </a:ext>
            </a:extLst>
          </xdr:cNvPr>
          <xdr:cNvSpPr txBox="1"/>
        </xdr:nvSpPr>
        <xdr:spPr>
          <a:xfrm>
            <a:off x="17715546" y="4378435"/>
            <a:ext cx="2682664" cy="12765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fld id="{D0FBE2BA-CB0D-40EE-9868-34668F54417F}" type="TxLink">
              <a:rPr lang="en-US" sz="3600" b="1" i="0" u="none" strike="noStrike">
                <a:solidFill>
                  <a:schemeClr val="accent2">
                    <a:lumMod val="75000"/>
                  </a:schemeClr>
                </a:solidFill>
                <a:latin typeface="Amasis MT Pro" panose="02040504050005020304" pitchFamily="18" charset="0"/>
              </a:rPr>
              <a:pPr/>
              <a:t> $133,670.00 </a:t>
            </a:fld>
            <a:endParaRPr lang="en-US" sz="3600" b="1">
              <a:solidFill>
                <a:schemeClr val="accent2">
                  <a:lumMod val="75000"/>
                </a:schemeClr>
              </a:solidFill>
              <a:latin typeface="Amasis MT Pro" panose="02040504050005020304" pitchFamily="18" charset="0"/>
            </a:endParaRPr>
          </a:p>
        </xdr:txBody>
      </xdr:sp>
    </xdr:grpSp>
    <xdr:clientData/>
  </xdr:twoCellAnchor>
  <xdr:twoCellAnchor>
    <xdr:from>
      <xdr:col>11</xdr:col>
      <xdr:colOff>252454</xdr:colOff>
      <xdr:row>70</xdr:row>
      <xdr:rowOff>138060</xdr:rowOff>
    </xdr:from>
    <xdr:to>
      <xdr:col>23</xdr:col>
      <xdr:colOff>102362</xdr:colOff>
      <xdr:row>91</xdr:row>
      <xdr:rowOff>62045</xdr:rowOff>
    </xdr:to>
    <xdr:graphicFrame macro="">
      <xdr:nvGraphicFramePr>
        <xdr:cNvPr id="9" name="Revenue by Age and Gender">
          <a:extLst>
            <a:ext uri="{FF2B5EF4-FFF2-40B4-BE49-F238E27FC236}">
              <a16:creationId xmlns:a16="http://schemas.microsoft.com/office/drawing/2014/main" id="{C95AB04E-0E88-EA82-C924-AC4158320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424304</xdr:colOff>
      <xdr:row>70</xdr:row>
      <xdr:rowOff>63377</xdr:rowOff>
    </xdr:from>
    <xdr:to>
      <xdr:col>31</xdr:col>
      <xdr:colOff>145143</xdr:colOff>
      <xdr:row>91</xdr:row>
      <xdr:rowOff>10743</xdr:rowOff>
    </xdr:to>
    <xdr:graphicFrame macro="">
      <xdr:nvGraphicFramePr>
        <xdr:cNvPr id="12" name="Subscription Revenue Mix">
          <a:extLst>
            <a:ext uri="{FF2B5EF4-FFF2-40B4-BE49-F238E27FC236}">
              <a16:creationId xmlns:a16="http://schemas.microsoft.com/office/drawing/2014/main" id="{725F3147-F24B-8D7F-910E-8C007CF6C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296550</xdr:colOff>
      <xdr:row>46</xdr:row>
      <xdr:rowOff>161632</xdr:rowOff>
    </xdr:from>
    <xdr:to>
      <xdr:col>10</xdr:col>
      <xdr:colOff>583686</xdr:colOff>
      <xdr:row>66</xdr:row>
      <xdr:rowOff>111861</xdr:rowOff>
    </xdr:to>
    <xdr:graphicFrame macro="">
      <xdr:nvGraphicFramePr>
        <xdr:cNvPr id="20" name="Revenue by Category">
          <a:extLst>
            <a:ext uri="{FF2B5EF4-FFF2-40B4-BE49-F238E27FC236}">
              <a16:creationId xmlns:a16="http://schemas.microsoft.com/office/drawing/2014/main" id="{49C86E03-151E-B015-87A0-604EF5831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229364</xdr:colOff>
      <xdr:row>70</xdr:row>
      <xdr:rowOff>162483</xdr:rowOff>
    </xdr:from>
    <xdr:to>
      <xdr:col>10</xdr:col>
      <xdr:colOff>570779</xdr:colOff>
      <xdr:row>91</xdr:row>
      <xdr:rowOff>54051</xdr:rowOff>
    </xdr:to>
    <xdr:graphicFrame macro="">
      <xdr:nvGraphicFramePr>
        <xdr:cNvPr id="25" name="Revenue by Season">
          <a:extLst>
            <a:ext uri="{FF2B5EF4-FFF2-40B4-BE49-F238E27FC236}">
              <a16:creationId xmlns:a16="http://schemas.microsoft.com/office/drawing/2014/main" id="{83740108-1EF0-F148-56AB-BB31897D5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445307</xdr:colOff>
      <xdr:row>46</xdr:row>
      <xdr:rowOff>145143</xdr:rowOff>
    </xdr:from>
    <xdr:to>
      <xdr:col>31</xdr:col>
      <xdr:colOff>90713</xdr:colOff>
      <xdr:row>66</xdr:row>
      <xdr:rowOff>127000</xdr:rowOff>
    </xdr:to>
    <xdr:graphicFrame macro="">
      <xdr:nvGraphicFramePr>
        <xdr:cNvPr id="27" name="Revenue by Discount Status">
          <a:extLst>
            <a:ext uri="{FF2B5EF4-FFF2-40B4-BE49-F238E27FC236}">
              <a16:creationId xmlns:a16="http://schemas.microsoft.com/office/drawing/2014/main" id="{617BF8C9-938A-CA84-AFF9-9A041126E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331185</xdr:colOff>
      <xdr:row>46</xdr:row>
      <xdr:rowOff>149149</xdr:rowOff>
    </xdr:from>
    <xdr:to>
      <xdr:col>23</xdr:col>
      <xdr:colOff>138627</xdr:colOff>
      <xdr:row>66</xdr:row>
      <xdr:rowOff>162106</xdr:rowOff>
    </xdr:to>
    <xdr:graphicFrame macro="">
      <xdr:nvGraphicFramePr>
        <xdr:cNvPr id="28" name="Payment Method Distribution">
          <a:extLst>
            <a:ext uri="{FF2B5EF4-FFF2-40B4-BE49-F238E27FC236}">
              <a16:creationId xmlns:a16="http://schemas.microsoft.com/office/drawing/2014/main" id="{6CCE9EC9-532F-FC8A-9BDC-924C0AB0B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528517</xdr:colOff>
      <xdr:row>23</xdr:row>
      <xdr:rowOff>677</xdr:rowOff>
    </xdr:from>
    <xdr:to>
      <xdr:col>24</xdr:col>
      <xdr:colOff>96582</xdr:colOff>
      <xdr:row>26</xdr:row>
      <xdr:rowOff>60831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734E340-73D5-14ED-F304-A347742C8867}"/>
            </a:ext>
          </a:extLst>
        </xdr:cNvPr>
        <xdr:cNvSpPr txBox="1"/>
      </xdr:nvSpPr>
      <xdr:spPr>
        <a:xfrm>
          <a:off x="12901946" y="3756248"/>
          <a:ext cx="2833779" cy="550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solidFill>
                <a:schemeClr val="accent6">
                  <a:lumMod val="75000"/>
                </a:schemeClr>
              </a:solidFill>
            </a:rPr>
            <a:t>Total</a:t>
          </a:r>
          <a:r>
            <a:rPr lang="en-US" sz="3600" b="1" baseline="0">
              <a:solidFill>
                <a:schemeClr val="accent6">
                  <a:lumMod val="75000"/>
                </a:schemeClr>
              </a:solidFill>
            </a:rPr>
            <a:t> </a:t>
          </a:r>
          <a:r>
            <a:rPr lang="en-US" sz="3600" b="1" baseline="0">
              <a:solidFill>
                <a:schemeClr val="accent6">
                  <a:lumMod val="75000"/>
                </a:schemeClr>
              </a:solidFill>
              <a:latin typeface="Amasis MT Pro" panose="02040504050005020304" pitchFamily="18" charset="0"/>
            </a:rPr>
            <a:t>Sales</a:t>
          </a:r>
          <a:r>
            <a:rPr lang="en-US" sz="3600" b="1" baseline="0">
              <a:solidFill>
                <a:schemeClr val="accent6">
                  <a:lumMod val="75000"/>
                </a:schemeClr>
              </a:solidFill>
              <a:latin typeface="+mn-lt"/>
            </a:rPr>
            <a:t> </a:t>
          </a:r>
          <a:endParaRPr lang="en-US" sz="36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110316</xdr:colOff>
      <xdr:row>1</xdr:row>
      <xdr:rowOff>22678</xdr:rowOff>
    </xdr:from>
    <xdr:to>
      <xdr:col>32</xdr:col>
      <xdr:colOff>113393</xdr:colOff>
      <xdr:row>8</xdr:row>
      <xdr:rowOff>-1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38E1329-33F1-9C54-6FA1-DEC2FA15A730}"/>
            </a:ext>
          </a:extLst>
        </xdr:cNvPr>
        <xdr:cNvSpPr txBox="1"/>
      </xdr:nvSpPr>
      <xdr:spPr>
        <a:xfrm>
          <a:off x="110316" y="204107"/>
          <a:ext cx="21003434" cy="1247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600" b="1">
              <a:solidFill>
                <a:schemeClr val="accent2">
                  <a:lumMod val="75000"/>
                </a:schemeClr>
              </a:solidFill>
              <a:effectLst/>
              <a:latin typeface="Amasis MT Pro" panose="02040504050005020304" pitchFamily="18" charset="0"/>
              <a:ea typeface="+mn-ea"/>
              <a:cs typeface="+mn-cs"/>
            </a:rPr>
            <a:t> Shopping</a:t>
          </a:r>
          <a:r>
            <a:rPr lang="en-US" sz="4600" b="1" baseline="0">
              <a:solidFill>
                <a:schemeClr val="accent2">
                  <a:lumMod val="75000"/>
                </a:schemeClr>
              </a:solidFill>
              <a:effectLst/>
              <a:latin typeface="Amasis MT Pro" panose="02040504050005020304" pitchFamily="18" charset="0"/>
              <a:ea typeface="+mn-ea"/>
              <a:cs typeface="+mn-cs"/>
            </a:rPr>
            <a:t> behavior analysis/ Sales Dashboard American </a:t>
          </a:r>
          <a:r>
            <a:rPr lang="en-US" sz="4600" b="1" i="0" baseline="0">
              <a:solidFill>
                <a:schemeClr val="accent2">
                  <a:lumMod val="75000"/>
                </a:schemeClr>
              </a:solidFill>
              <a:effectLst/>
              <a:latin typeface="Amasis MT Pro" panose="02040504050005020304" pitchFamily="18" charset="0"/>
              <a:ea typeface="+mn-ea"/>
              <a:cs typeface="+mn-cs"/>
            </a:rPr>
            <a:t>regions</a:t>
          </a:r>
          <a:r>
            <a:rPr lang="en-US" sz="4600" b="1" baseline="0">
              <a:solidFill>
                <a:schemeClr val="accent2">
                  <a:lumMod val="75000"/>
                </a:schemeClr>
              </a:solidFill>
              <a:effectLst/>
              <a:latin typeface="Amasis MT Pro" panose="02040504050005020304" pitchFamily="18" charset="0"/>
              <a:ea typeface="+mn-ea"/>
              <a:cs typeface="+mn-cs"/>
            </a:rPr>
            <a:t> 2024</a:t>
          </a:r>
          <a:endParaRPr lang="en-US" sz="4600">
            <a:solidFill>
              <a:schemeClr val="accent2">
                <a:lumMod val="75000"/>
              </a:schemeClr>
            </a:solidFill>
            <a:effectLst/>
            <a:latin typeface="Amasis MT Pro" panose="02040504050005020304" pitchFamily="18" charset="0"/>
          </a:endParaRPr>
        </a:p>
        <a:p>
          <a:pPr algn="ctr"/>
          <a:r>
            <a:rPr lang="en-US" sz="4600" b="1" baseline="0">
              <a:solidFill>
                <a:schemeClr val="accent2">
                  <a:lumMod val="75000"/>
                </a:schemeClr>
              </a:solidFill>
              <a:effectLst/>
              <a:latin typeface="Amasis MT Pro" panose="02040504050005020304" pitchFamily="18" charset="0"/>
              <a:ea typeface="+mn-ea"/>
              <a:cs typeface="+mn-cs"/>
            </a:rPr>
            <a:t> </a:t>
          </a:r>
          <a:endParaRPr lang="en-US" sz="4600">
            <a:solidFill>
              <a:schemeClr val="accent2">
                <a:lumMod val="75000"/>
              </a:schemeClr>
            </a:solidFill>
            <a:effectLst/>
            <a:latin typeface="Amasis MT Pro" panose="02040504050005020304" pitchFamily="18" charset="0"/>
          </a:endParaRPr>
        </a:p>
        <a:p>
          <a:pPr algn="ctr"/>
          <a:endParaRPr lang="en-US" sz="4600">
            <a:solidFill>
              <a:schemeClr val="accent2">
                <a:lumMod val="75000"/>
              </a:schemeClr>
            </a:solidFill>
            <a:latin typeface="Amasis MT Pro" panose="020405040500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2" name="Category Revenue">
          <a:extLst>
            <a:ext uri="{FF2B5EF4-FFF2-40B4-BE49-F238E27FC236}">
              <a16:creationId xmlns:a16="http://schemas.microsoft.com/office/drawing/2014/main" id="{652FB420-0288-E8FD-44C1-42CC0BB4E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3" name="Season Revenue">
          <a:extLst>
            <a:ext uri="{FF2B5EF4-FFF2-40B4-BE49-F238E27FC236}">
              <a16:creationId xmlns:a16="http://schemas.microsoft.com/office/drawing/2014/main" id="{FCA33FE0-60F3-AD1A-53AD-CEE1CA023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di" refreshedDate="46269.831359606484" createdVersion="8" refreshedVersion="8" minRefreshableVersion="3" recordCount="3900" xr:uid="{C3E43DF1-6CA5-4811-AB2F-331DF6647676}">
  <cacheSource type="worksheet">
    <worksheetSource name="Table2"/>
  </cacheSource>
  <cacheFields count="17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 count="53">
        <n v="55"/>
        <n v="19"/>
        <n v="50"/>
        <n v="21"/>
        <n v="45"/>
        <n v="46"/>
        <n v="63"/>
        <n v="27"/>
        <n v="26"/>
        <n v="57"/>
        <n v="53"/>
        <n v="30"/>
        <n v="61"/>
        <n v="65"/>
        <n v="64"/>
        <n v="25"/>
        <n v="52"/>
        <n v="66"/>
        <n v="31"/>
        <n v="56"/>
        <n v="18"/>
        <n v="38"/>
        <n v="54"/>
        <n v="33"/>
        <n v="36"/>
        <n v="35"/>
        <n v="29"/>
        <n v="70"/>
        <n v="69"/>
        <n v="67"/>
        <n v="20"/>
        <n v="39"/>
        <n v="42"/>
        <n v="68"/>
        <n v="49"/>
        <n v="59"/>
        <n v="47"/>
        <n v="40"/>
        <n v="41"/>
        <n v="48"/>
        <n v="22"/>
        <n v="24"/>
        <n v="44"/>
        <n v="37"/>
        <n v="58"/>
        <n v="32"/>
        <n v="62"/>
        <n v="51"/>
        <n v="28"/>
        <n v="43"/>
        <n v="34"/>
        <n v="23"/>
        <n v="60"/>
      </sharedItems>
      <fieldGroup base="1">
        <rangePr startNum="18" endNum="70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Discount Appli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  <cacheField name="Total _Sales " numFmtId="0">
      <sharedItems containsString="0" containsBlank="1" containsNumber="1" containsInteger="1" minValue="233081" maxValue="233081"/>
    </cacheField>
  </cacheFields>
  <extLst>
    <ext xmlns:x14="http://schemas.microsoft.com/office/spreadsheetml/2009/9/main" uri="{725AE2AE-9491-48be-B2B4-4EB974FC3084}">
      <x14:pivotCacheDefinition pivotCacheId="14010073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di" refreshedDate="46269.831380787036" createdVersion="8" refreshedVersion="8" minRefreshableVersion="3" recordCount="3901" xr:uid="{8DB44E77-A660-4D58-B585-2F089CFC8F42}">
  <cacheSource type="worksheet">
    <worksheetSource ref="A1:Q1048576" sheet="Shopping Data"/>
  </cacheSource>
  <cacheFields count="17">
    <cacheField name="Customer ID" numFmtId="0">
      <sharedItems containsString="0" containsBlank="1" containsNumber="1" containsInteger="1" minValue="1" maxValue="3900"/>
    </cacheField>
    <cacheField name="Age" numFmtId="0">
      <sharedItems containsString="0" containsBlank="1" containsNumber="1" containsInteger="1" minValue="18" maxValue="70"/>
    </cacheField>
    <cacheField name="Gender" numFmtId="0">
      <sharedItems containsBlank="1"/>
    </cacheField>
    <cacheField name="Item Purchased" numFmtId="0">
      <sharedItems containsBlank="1" count="26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  <m/>
      </sharedItems>
    </cacheField>
    <cacheField name="Category" numFmtId="0">
      <sharedItems containsBlank="1" count="5">
        <s v="Clothing"/>
        <s v="Footwear"/>
        <s v="Outerwear"/>
        <s v="Accessories"/>
        <m/>
      </sharedItems>
    </cacheField>
    <cacheField name="Purchase Amount (USD)" numFmtId="0">
      <sharedItems containsString="0" containsBlank="1" containsNumber="1" containsInteger="1" minValue="20" maxValue="100"/>
    </cacheField>
    <cacheField name="Location" numFmtId="0">
      <sharedItems containsBlank="1"/>
    </cacheField>
    <cacheField name="Size" numFmtId="0">
      <sharedItems containsBlank="1" count="5">
        <s v="L"/>
        <s v="S"/>
        <s v="M"/>
        <s v="XL"/>
        <m/>
      </sharedItems>
    </cacheField>
    <cacheField name="Color" numFmtId="0">
      <sharedItems containsBlank="1" count="26">
        <s v="Gray"/>
        <s v="Maroon"/>
        <s v="Turquoise"/>
        <s v="White"/>
        <s v="Charcoal"/>
        <s v="Silver"/>
        <s v="Pink"/>
        <s v="Purple"/>
        <s v="Olive"/>
        <s v="Gold"/>
        <s v="Violet"/>
        <s v="Teal"/>
        <s v="Lavender"/>
        <s v="Black"/>
        <s v="Green"/>
        <s v="Peach"/>
        <s v="Red"/>
        <s v="Cyan"/>
        <s v="Brown"/>
        <s v="Beige"/>
        <s v="Orange"/>
        <s v="Indigo"/>
        <s v="Yellow"/>
        <s v="Magenta"/>
        <s v="Blue"/>
        <m/>
      </sharedItems>
    </cacheField>
    <cacheField name="Season" numFmtId="0">
      <sharedItems containsBlank="1" count="5">
        <s v="Winter"/>
        <s v="Spring"/>
        <s v="Summer"/>
        <s v="Fall"/>
        <m/>
      </sharedItems>
    </cacheField>
    <cacheField name="Review Rating" numFmtId="0">
      <sharedItems containsString="0" containsBlank="1" containsNumber="1" minValue="2.5" maxValue="5" count="27">
        <n v="3.1"/>
        <n v="3.8"/>
        <n v="3.6"/>
        <n v="4.8"/>
        <n v="2.6"/>
        <n v="3.7"/>
        <n v="2.7"/>
        <n v="4.5999999999999996"/>
        <n v="4"/>
        <n v="4.4000000000000004"/>
        <n v="3.4"/>
        <n v="5"/>
        <n v="4.3"/>
        <n v="4.2"/>
        <n v="3.9"/>
        <n v="4.7"/>
        <n v="2.5"/>
        <n v="4.9000000000000004"/>
        <n v="4.0999999999999996"/>
        <n v="3.3"/>
        <n v="3.2"/>
        <n v="4.5"/>
        <n v="3.5"/>
        <n v="3"/>
        <n v="2.8"/>
        <n v="2.9"/>
        <m/>
      </sharedItems>
    </cacheField>
    <cacheField name="Subscription Status" numFmtId="0">
      <sharedItems containsBlank="1" count="3">
        <s v="Yes"/>
        <s v="No"/>
        <m/>
      </sharedItems>
    </cacheField>
    <cacheField name="Discount Applied" numFmtId="0">
      <sharedItems containsBlank="1" count="3">
        <s v="Yes"/>
        <s v="No"/>
        <m/>
      </sharedItems>
    </cacheField>
    <cacheField name="Previous Purchases" numFmtId="0">
      <sharedItems containsString="0" containsBlank="1" containsNumber="1" containsInteger="1" minValue="1" maxValue="50"/>
    </cacheField>
    <cacheField name="Payment Method" numFmtId="0">
      <sharedItems containsBlank="1" count="7">
        <s v="Venmo"/>
        <s v="Cash"/>
        <s v="Credit Card"/>
        <s v="PayPal"/>
        <s v="Bank Transfer"/>
        <s v="Debit Card"/>
        <m/>
      </sharedItems>
    </cacheField>
    <cacheField name="Frequency of Purchases" numFmtId="0">
      <sharedItems containsBlank="1" count="8">
        <s v="Fortnightly"/>
        <s v="Weekly"/>
        <s v="Annually"/>
        <s v="Quarterly"/>
        <s v="Bi-Weekly"/>
        <s v="Monthly"/>
        <s v="Every 3 Months"/>
        <m/>
      </sharedItems>
    </cacheField>
    <cacheField name="Total _Sales " numFmtId="0">
      <sharedItems containsString="0" containsBlank="1" containsNumber="1" containsInteger="1" minValue="233081" maxValue="233081"/>
    </cacheField>
  </cacheFields>
  <extLst>
    <ext xmlns:x14="http://schemas.microsoft.com/office/spreadsheetml/2009/9/main" uri="{725AE2AE-9491-48be-B2B4-4EB974FC3084}">
      <x14:pivotCacheDefinition pivotCacheId="15877857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x v="0"/>
    <x v="0"/>
    <s v="Blouse"/>
    <s v="Clothing"/>
    <n v="53"/>
    <x v="0"/>
    <s v="L"/>
    <s v="Gray"/>
    <s v="Winter"/>
    <n v="3.1"/>
    <s v="Yes"/>
    <s v="Yes"/>
    <n v="14"/>
    <s v="Venmo"/>
    <s v="Fortnightly"/>
    <n v="233081"/>
  </r>
  <r>
    <n v="2"/>
    <x v="1"/>
    <x v="0"/>
    <s v="Sweater"/>
    <s v="Clothing"/>
    <n v="64"/>
    <x v="1"/>
    <s v="L"/>
    <s v="Maroon"/>
    <s v="Winter"/>
    <n v="3.1"/>
    <s v="Yes"/>
    <s v="Yes"/>
    <n v="2"/>
    <s v="Cash"/>
    <s v="Fortnightly"/>
    <m/>
  </r>
  <r>
    <n v="3"/>
    <x v="2"/>
    <x v="0"/>
    <s v="Jeans"/>
    <s v="Clothing"/>
    <n v="73"/>
    <x v="2"/>
    <s v="S"/>
    <s v="Maroon"/>
    <s v="Spring"/>
    <n v="3.1"/>
    <s v="Yes"/>
    <s v="Yes"/>
    <n v="23"/>
    <s v="Credit Card"/>
    <s v="Weekly"/>
    <m/>
  </r>
  <r>
    <n v="4"/>
    <x v="3"/>
    <x v="0"/>
    <s v="Sandals"/>
    <s v="Footwear"/>
    <n v="90"/>
    <x v="3"/>
    <s v="M"/>
    <s v="Maroon"/>
    <s v="Spring"/>
    <n v="3.1"/>
    <s v="Yes"/>
    <s v="Yes"/>
    <n v="49"/>
    <s v="PayPal"/>
    <s v="Weekly"/>
    <m/>
  </r>
  <r>
    <n v="5"/>
    <x v="4"/>
    <x v="0"/>
    <s v="Blouse"/>
    <s v="Clothing"/>
    <n v="49"/>
    <x v="4"/>
    <s v="M"/>
    <s v="Turquoise"/>
    <s v="Spring"/>
    <n v="3.1"/>
    <s v="Yes"/>
    <s v="Yes"/>
    <n v="31"/>
    <s v="PayPal"/>
    <s v="Annually"/>
    <m/>
  </r>
  <r>
    <n v="6"/>
    <x v="5"/>
    <x v="0"/>
    <s v="Sneakers"/>
    <s v="Footwear"/>
    <n v="20"/>
    <x v="5"/>
    <s v="M"/>
    <s v="White"/>
    <s v="Summer"/>
    <n v="3.1"/>
    <s v="Yes"/>
    <s v="Yes"/>
    <n v="14"/>
    <s v="Venmo"/>
    <s v="Weekly"/>
    <m/>
  </r>
  <r>
    <n v="7"/>
    <x v="6"/>
    <x v="0"/>
    <s v="Shirt"/>
    <s v="Clothing"/>
    <n v="85"/>
    <x v="6"/>
    <s v="M"/>
    <s v="Gray"/>
    <s v="Fall"/>
    <n v="3.1"/>
    <s v="Yes"/>
    <s v="Yes"/>
    <n v="49"/>
    <s v="Cash"/>
    <s v="Quarterly"/>
    <m/>
  </r>
  <r>
    <n v="8"/>
    <x v="7"/>
    <x v="0"/>
    <s v="Shorts"/>
    <s v="Clothing"/>
    <n v="34"/>
    <x v="7"/>
    <s v="L"/>
    <s v="Charcoal"/>
    <s v="Winter"/>
    <n v="3.1"/>
    <s v="Yes"/>
    <s v="Yes"/>
    <n v="19"/>
    <s v="Credit Card"/>
    <s v="Weekly"/>
    <m/>
  </r>
  <r>
    <n v="9"/>
    <x v="8"/>
    <x v="0"/>
    <s v="Coat"/>
    <s v="Outerwear"/>
    <n v="97"/>
    <x v="8"/>
    <s v="L"/>
    <s v="Silver"/>
    <s v="Summer"/>
    <n v="3.1"/>
    <s v="Yes"/>
    <s v="Yes"/>
    <n v="8"/>
    <s v="Venmo"/>
    <s v="Annually"/>
    <m/>
  </r>
  <r>
    <n v="10"/>
    <x v="9"/>
    <x v="0"/>
    <s v="Handbag"/>
    <s v="Accessories"/>
    <n v="31"/>
    <x v="9"/>
    <s v="M"/>
    <s v="Pink"/>
    <s v="Spring"/>
    <n v="3.1"/>
    <s v="Yes"/>
    <s v="Yes"/>
    <n v="4"/>
    <s v="Cash"/>
    <s v="Quarterly"/>
    <m/>
  </r>
  <r>
    <n v="11"/>
    <x v="10"/>
    <x v="0"/>
    <s v="Shoes"/>
    <s v="Footwear"/>
    <n v="34"/>
    <x v="10"/>
    <s v="L"/>
    <s v="Purple"/>
    <s v="Fall"/>
    <n v="3.1"/>
    <s v="Yes"/>
    <s v="Yes"/>
    <n v="26"/>
    <s v="Bank Transfer"/>
    <s v="Bi-Weekly"/>
    <m/>
  </r>
  <r>
    <n v="12"/>
    <x v="11"/>
    <x v="0"/>
    <s v="Shorts"/>
    <s v="Clothing"/>
    <n v="68"/>
    <x v="11"/>
    <s v="S"/>
    <s v="Olive"/>
    <s v="Winter"/>
    <n v="3.1"/>
    <s v="Yes"/>
    <s v="Yes"/>
    <n v="10"/>
    <s v="Bank Transfer"/>
    <s v="Fortnightly"/>
    <m/>
  </r>
  <r>
    <n v="13"/>
    <x v="12"/>
    <x v="0"/>
    <s v="Coat"/>
    <s v="Outerwear"/>
    <n v="72"/>
    <x v="12"/>
    <s v="M"/>
    <s v="Gold"/>
    <s v="Winter"/>
    <n v="3.1"/>
    <s v="Yes"/>
    <s v="Yes"/>
    <n v="37"/>
    <s v="Venmo"/>
    <s v="Fortnightly"/>
    <m/>
  </r>
  <r>
    <n v="14"/>
    <x v="13"/>
    <x v="0"/>
    <s v="Dress"/>
    <s v="Clothing"/>
    <n v="51"/>
    <x v="13"/>
    <s v="M"/>
    <s v="Violet"/>
    <s v="Spring"/>
    <n v="3.1"/>
    <s v="Yes"/>
    <s v="Yes"/>
    <n v="31"/>
    <s v="PayPal"/>
    <s v="Weekly"/>
    <m/>
  </r>
  <r>
    <n v="15"/>
    <x v="14"/>
    <x v="0"/>
    <s v="Coat"/>
    <s v="Outerwear"/>
    <n v="53"/>
    <x v="14"/>
    <s v="L"/>
    <s v="Teal"/>
    <s v="Winter"/>
    <n v="3.1"/>
    <s v="Yes"/>
    <s v="Yes"/>
    <n v="34"/>
    <s v="Debit Card"/>
    <s v="Weekly"/>
    <m/>
  </r>
  <r>
    <n v="16"/>
    <x v="14"/>
    <x v="0"/>
    <s v="Skirt"/>
    <s v="Clothing"/>
    <n v="81"/>
    <x v="3"/>
    <s v="M"/>
    <s v="Teal"/>
    <s v="Winter"/>
    <n v="3.1"/>
    <s v="Yes"/>
    <s v="Yes"/>
    <n v="8"/>
    <s v="PayPal"/>
    <s v="Monthly"/>
    <m/>
  </r>
  <r>
    <n v="17"/>
    <x v="15"/>
    <x v="0"/>
    <s v="Sunglasses"/>
    <s v="Accessories"/>
    <n v="36"/>
    <x v="15"/>
    <s v="S"/>
    <s v="Gray"/>
    <s v="Spring"/>
    <n v="3.1"/>
    <s v="Yes"/>
    <s v="Yes"/>
    <n v="44"/>
    <s v="Debit Card"/>
    <s v="Bi-Weekly"/>
    <m/>
  </r>
  <r>
    <n v="18"/>
    <x v="10"/>
    <x v="0"/>
    <s v="Dress"/>
    <s v="Clothing"/>
    <n v="38"/>
    <x v="16"/>
    <s v="XL"/>
    <s v="Lavender"/>
    <s v="Winter"/>
    <n v="3.1"/>
    <s v="Yes"/>
    <s v="Yes"/>
    <n v="36"/>
    <s v="Venmo"/>
    <s v="Quarterly"/>
    <m/>
  </r>
  <r>
    <n v="19"/>
    <x v="16"/>
    <x v="0"/>
    <s v="Sweater"/>
    <s v="Clothing"/>
    <n v="48"/>
    <x v="6"/>
    <s v="S"/>
    <s v="Black"/>
    <s v="Summer"/>
    <n v="3.1"/>
    <s v="Yes"/>
    <s v="Yes"/>
    <n v="17"/>
    <s v="Cash"/>
    <s v="Weekly"/>
    <m/>
  </r>
  <r>
    <n v="20"/>
    <x v="17"/>
    <x v="0"/>
    <s v="Pants"/>
    <s v="Clothing"/>
    <n v="90"/>
    <x v="3"/>
    <s v="M"/>
    <s v="Green"/>
    <s v="Summer"/>
    <n v="3.1"/>
    <s v="Yes"/>
    <s v="Yes"/>
    <n v="46"/>
    <s v="Debit Card"/>
    <s v="Bi-Weekly"/>
    <m/>
  </r>
  <r>
    <n v="21"/>
    <x v="3"/>
    <x v="0"/>
    <s v="Pants"/>
    <s v="Clothing"/>
    <n v="51"/>
    <x v="7"/>
    <s v="M"/>
    <s v="Black"/>
    <s v="Winter"/>
    <n v="3.1"/>
    <s v="Yes"/>
    <s v="Yes"/>
    <n v="50"/>
    <s v="Cash"/>
    <s v="Every 3 Months"/>
    <m/>
  </r>
  <r>
    <n v="22"/>
    <x v="18"/>
    <x v="0"/>
    <s v="Pants"/>
    <s v="Clothing"/>
    <n v="62"/>
    <x v="17"/>
    <s v="M"/>
    <s v="Charcoal"/>
    <s v="Winter"/>
    <n v="3.1"/>
    <s v="Yes"/>
    <s v="Yes"/>
    <n v="22"/>
    <s v="Debit Card"/>
    <s v="Quarterly"/>
    <m/>
  </r>
  <r>
    <n v="23"/>
    <x v="19"/>
    <x v="0"/>
    <s v="Pants"/>
    <s v="Clothing"/>
    <n v="37"/>
    <x v="18"/>
    <s v="M"/>
    <s v="Peach"/>
    <s v="Summer"/>
    <n v="3.1"/>
    <s v="Yes"/>
    <s v="Yes"/>
    <n v="32"/>
    <s v="Debit Card"/>
    <s v="Annually"/>
    <m/>
  </r>
  <r>
    <n v="24"/>
    <x v="18"/>
    <x v="0"/>
    <s v="Pants"/>
    <s v="Clothing"/>
    <n v="88"/>
    <x v="19"/>
    <s v="XL"/>
    <s v="White"/>
    <s v="Winter"/>
    <n v="3.1"/>
    <s v="Yes"/>
    <s v="Yes"/>
    <n v="40"/>
    <s v="Credit Card"/>
    <s v="Weekly"/>
    <m/>
  </r>
  <r>
    <n v="25"/>
    <x v="20"/>
    <x v="0"/>
    <s v="Jacket"/>
    <s v="Outerwear"/>
    <n v="22"/>
    <x v="20"/>
    <s v="M"/>
    <s v="Green"/>
    <s v="Fall"/>
    <n v="3.1"/>
    <s v="Yes"/>
    <s v="Yes"/>
    <n v="16"/>
    <s v="Debit Card"/>
    <s v="Weekly"/>
    <m/>
  </r>
  <r>
    <n v="26"/>
    <x v="20"/>
    <x v="0"/>
    <s v="Hoodie"/>
    <s v="Clothing"/>
    <n v="25"/>
    <x v="21"/>
    <s v="M"/>
    <s v="Silver"/>
    <s v="Summer"/>
    <n v="3.1"/>
    <s v="Yes"/>
    <s v="Yes"/>
    <n v="14"/>
    <s v="PayPal"/>
    <s v="Annually"/>
    <m/>
  </r>
  <r>
    <n v="27"/>
    <x v="21"/>
    <x v="0"/>
    <s v="Jewelry"/>
    <s v="Accessories"/>
    <n v="20"/>
    <x v="22"/>
    <s v="M"/>
    <s v="Red"/>
    <s v="Spring"/>
    <n v="3.1"/>
    <s v="Yes"/>
    <s v="Yes"/>
    <n v="13"/>
    <s v="Credit Card"/>
    <s v="Annually"/>
    <m/>
  </r>
  <r>
    <n v="28"/>
    <x v="19"/>
    <x v="0"/>
    <s v="Shorts"/>
    <s v="Clothing"/>
    <n v="56"/>
    <x v="0"/>
    <s v="L"/>
    <s v="Cyan"/>
    <s v="Summer"/>
    <n v="3.1"/>
    <s v="Yes"/>
    <s v="Yes"/>
    <n v="7"/>
    <s v="Bank Transfer"/>
    <s v="Every 3 Months"/>
    <m/>
  </r>
  <r>
    <n v="29"/>
    <x v="22"/>
    <x v="0"/>
    <s v="Handbag"/>
    <s v="Accessories"/>
    <n v="94"/>
    <x v="17"/>
    <s v="M"/>
    <s v="Gray"/>
    <s v="Fall"/>
    <n v="3.1"/>
    <s v="Yes"/>
    <s v="Yes"/>
    <n v="41"/>
    <s v="PayPal"/>
    <s v="Every 3 Months"/>
    <m/>
  </r>
  <r>
    <n v="30"/>
    <x v="18"/>
    <x v="0"/>
    <s v="Dress"/>
    <s v="Clothing"/>
    <n v="48"/>
    <x v="5"/>
    <s v="S"/>
    <s v="Black"/>
    <s v="Fall"/>
    <n v="3.1"/>
    <s v="Yes"/>
    <s v="Yes"/>
    <n v="14"/>
    <s v="Credit Card"/>
    <s v="Weekly"/>
    <m/>
  </r>
  <r>
    <n v="31"/>
    <x v="9"/>
    <x v="0"/>
    <s v="Jewelry"/>
    <s v="Accessories"/>
    <n v="31"/>
    <x v="17"/>
    <s v="L"/>
    <s v="Black"/>
    <s v="Winter"/>
    <n v="3.1"/>
    <s v="Yes"/>
    <s v="Yes"/>
    <n v="16"/>
    <s v="Credit Card"/>
    <s v="Monthly"/>
    <m/>
  </r>
  <r>
    <n v="32"/>
    <x v="23"/>
    <x v="0"/>
    <s v="Dress"/>
    <s v="Clothing"/>
    <n v="79"/>
    <x v="8"/>
    <s v="L"/>
    <s v="Brown"/>
    <s v="Winter"/>
    <n v="3.1"/>
    <s v="Yes"/>
    <s v="Yes"/>
    <n v="45"/>
    <s v="Venmo"/>
    <s v="Monthly"/>
    <m/>
  </r>
  <r>
    <n v="33"/>
    <x v="24"/>
    <x v="0"/>
    <s v="Jacket"/>
    <s v="Outerwear"/>
    <n v="67"/>
    <x v="23"/>
    <s v="M"/>
    <s v="Silver"/>
    <s v="Summer"/>
    <n v="3.1"/>
    <s v="Yes"/>
    <s v="Yes"/>
    <n v="37"/>
    <s v="Venmo"/>
    <s v="Annually"/>
    <m/>
  </r>
  <r>
    <n v="34"/>
    <x v="22"/>
    <x v="0"/>
    <s v="Pants"/>
    <s v="Clothing"/>
    <n v="38"/>
    <x v="24"/>
    <s v="L"/>
    <s v="Green"/>
    <s v="Summer"/>
    <n v="3.1"/>
    <s v="Yes"/>
    <s v="Yes"/>
    <n v="45"/>
    <s v="Cash"/>
    <s v="Quarterly"/>
    <m/>
  </r>
  <r>
    <n v="35"/>
    <x v="24"/>
    <x v="0"/>
    <s v="T-shirt"/>
    <s v="Clothing"/>
    <n v="91"/>
    <x v="25"/>
    <s v="L"/>
    <s v="Violet"/>
    <s v="Spring"/>
    <n v="3.1"/>
    <s v="Yes"/>
    <s v="Yes"/>
    <n v="38"/>
    <s v="PayPal"/>
    <s v="Quarterly"/>
    <m/>
  </r>
  <r>
    <n v="36"/>
    <x v="22"/>
    <x v="0"/>
    <s v="Blouse"/>
    <s v="Clothing"/>
    <n v="33"/>
    <x v="2"/>
    <s v="M"/>
    <s v="Cyan"/>
    <s v="Summer"/>
    <n v="3.1"/>
    <s v="Yes"/>
    <s v="Yes"/>
    <n v="48"/>
    <s v="Credit Card"/>
    <s v="Bi-Weekly"/>
    <m/>
  </r>
  <r>
    <n v="37"/>
    <x v="25"/>
    <x v="0"/>
    <s v="T-shirt"/>
    <s v="Clothing"/>
    <n v="69"/>
    <x v="26"/>
    <s v="M"/>
    <s v="Maroon"/>
    <s v="Winter"/>
    <n v="3.1"/>
    <s v="Yes"/>
    <s v="Yes"/>
    <n v="44"/>
    <s v="PayPal"/>
    <s v="Fortnightly"/>
    <m/>
  </r>
  <r>
    <n v="38"/>
    <x v="25"/>
    <x v="0"/>
    <s v="Jeans"/>
    <s v="Clothing"/>
    <n v="45"/>
    <x v="27"/>
    <s v="S"/>
    <s v="Cyan"/>
    <s v="Summer"/>
    <n v="3.1"/>
    <s v="Yes"/>
    <s v="Yes"/>
    <n v="10"/>
    <s v="PayPal"/>
    <s v="Weekly"/>
    <m/>
  </r>
  <r>
    <n v="39"/>
    <x v="26"/>
    <x v="0"/>
    <s v="Dress"/>
    <s v="Clothing"/>
    <n v="37"/>
    <x v="20"/>
    <s v="M"/>
    <s v="Red"/>
    <s v="Winter"/>
    <n v="3.1"/>
    <s v="Yes"/>
    <s v="Yes"/>
    <n v="44"/>
    <s v="Venmo"/>
    <s v="Every 3 Months"/>
    <m/>
  </r>
  <r>
    <n v="40"/>
    <x v="27"/>
    <x v="0"/>
    <s v="Pants"/>
    <s v="Clothing"/>
    <n v="60"/>
    <x v="28"/>
    <s v="S"/>
    <s v="Turquoise"/>
    <s v="Summer"/>
    <n v="3.1"/>
    <s v="Yes"/>
    <s v="Yes"/>
    <n v="18"/>
    <s v="Credit Card"/>
    <s v="Monthly"/>
    <m/>
  </r>
  <r>
    <n v="41"/>
    <x v="28"/>
    <x v="0"/>
    <s v="Handbag"/>
    <s v="Accessories"/>
    <n v="76"/>
    <x v="7"/>
    <s v="L"/>
    <s v="Beige"/>
    <s v="Winter"/>
    <n v="3.1"/>
    <s v="Yes"/>
    <s v="Yes"/>
    <n v="31"/>
    <s v="Debit Card"/>
    <s v="Quarterly"/>
    <m/>
  </r>
  <r>
    <n v="42"/>
    <x v="29"/>
    <x v="0"/>
    <s v="Scarf"/>
    <s v="Accessories"/>
    <n v="39"/>
    <x v="29"/>
    <s v="M"/>
    <s v="Orange"/>
    <s v="Spring"/>
    <n v="3.1"/>
    <s v="Yes"/>
    <s v="Yes"/>
    <n v="40"/>
    <s v="Venmo"/>
    <s v="Annually"/>
    <m/>
  </r>
  <r>
    <n v="43"/>
    <x v="30"/>
    <x v="0"/>
    <s v="Coat"/>
    <s v="Outerwear"/>
    <n v="100"/>
    <x v="30"/>
    <s v="M"/>
    <s v="Beige"/>
    <s v="Spring"/>
    <n v="3.1"/>
    <s v="Yes"/>
    <s v="Yes"/>
    <n v="15"/>
    <s v="PayPal"/>
    <s v="Annually"/>
    <m/>
  </r>
  <r>
    <n v="44"/>
    <x v="15"/>
    <x v="0"/>
    <s v="Scarf"/>
    <s v="Accessories"/>
    <n v="69"/>
    <x v="31"/>
    <s v="L"/>
    <s v="Lavender"/>
    <s v="Fall"/>
    <n v="3.1"/>
    <s v="Yes"/>
    <s v="Yes"/>
    <n v="19"/>
    <s v="PayPal"/>
    <s v="Fortnightly"/>
    <m/>
  </r>
  <r>
    <n v="45"/>
    <x v="31"/>
    <x v="0"/>
    <s v="Hat"/>
    <s v="Accessories"/>
    <n v="53"/>
    <x v="0"/>
    <s v="S"/>
    <s v="Silver"/>
    <s v="Summer"/>
    <n v="3.1"/>
    <s v="Yes"/>
    <s v="Yes"/>
    <n v="45"/>
    <s v="PayPal"/>
    <s v="Weekly"/>
    <m/>
  </r>
  <r>
    <n v="46"/>
    <x v="2"/>
    <x v="0"/>
    <s v="Socks"/>
    <s v="Clothing"/>
    <n v="21"/>
    <x v="30"/>
    <s v="XL"/>
    <s v="Indigo"/>
    <s v="Fall"/>
    <n v="3.1"/>
    <s v="Yes"/>
    <s v="Yes"/>
    <n v="25"/>
    <s v="PayPal"/>
    <s v="Annually"/>
    <m/>
  </r>
  <r>
    <n v="47"/>
    <x v="9"/>
    <x v="0"/>
    <s v="Shirt"/>
    <s v="Clothing"/>
    <n v="43"/>
    <x v="18"/>
    <s v="L"/>
    <s v="White"/>
    <s v="Summer"/>
    <n v="3.1"/>
    <s v="Yes"/>
    <s v="Yes"/>
    <n v="45"/>
    <s v="Cash"/>
    <s v="Quarterly"/>
    <m/>
  </r>
  <r>
    <n v="48"/>
    <x v="0"/>
    <x v="0"/>
    <s v="Jewelry"/>
    <s v="Accessories"/>
    <n v="54"/>
    <x v="6"/>
    <s v="M"/>
    <s v="Charcoal"/>
    <s v="Winter"/>
    <n v="3.1"/>
    <s v="Yes"/>
    <s v="Yes"/>
    <n v="36"/>
    <s v="Cash"/>
    <s v="Weekly"/>
    <m/>
  </r>
  <r>
    <n v="49"/>
    <x v="32"/>
    <x v="0"/>
    <s v="Shirt"/>
    <s v="Clothing"/>
    <n v="55"/>
    <x v="22"/>
    <s v="M"/>
    <s v="Orange"/>
    <s v="Summer"/>
    <n v="3.1"/>
    <s v="Yes"/>
    <s v="Yes"/>
    <n v="38"/>
    <s v="Cash"/>
    <s v="Monthly"/>
    <m/>
  </r>
  <r>
    <n v="50"/>
    <x v="33"/>
    <x v="0"/>
    <s v="Hoodie"/>
    <s v="Clothing"/>
    <n v="30"/>
    <x v="32"/>
    <s v="S"/>
    <s v="Indigo"/>
    <s v="Spring"/>
    <n v="3.1"/>
    <s v="Yes"/>
    <s v="Yes"/>
    <n v="34"/>
    <s v="Debit Card"/>
    <s v="Bi-Weekly"/>
    <m/>
  </r>
  <r>
    <n v="51"/>
    <x v="34"/>
    <x v="0"/>
    <s v="Blouse"/>
    <s v="Clothing"/>
    <n v="28"/>
    <x v="33"/>
    <s v="M"/>
    <s v="Red"/>
    <s v="Spring"/>
    <n v="3.1"/>
    <s v="Yes"/>
    <s v="Yes"/>
    <n v="39"/>
    <s v="Debit Card"/>
    <s v="Bi-Weekly"/>
    <m/>
  </r>
  <r>
    <n v="52"/>
    <x v="35"/>
    <x v="0"/>
    <s v="Skirt"/>
    <s v="Clothing"/>
    <n v="59"/>
    <x v="34"/>
    <s v="XL"/>
    <s v="Gray"/>
    <s v="Winter"/>
    <n v="3.1"/>
    <s v="Yes"/>
    <s v="Yes"/>
    <n v="7"/>
    <s v="Credit Card"/>
    <s v="Quarterly"/>
    <m/>
  </r>
  <r>
    <n v="53"/>
    <x v="32"/>
    <x v="0"/>
    <s v="T-shirt"/>
    <s v="Clothing"/>
    <n v="20"/>
    <x v="29"/>
    <s v="M"/>
    <s v="Green"/>
    <s v="Summer"/>
    <n v="3.1"/>
    <s v="Yes"/>
    <s v="Yes"/>
    <n v="26"/>
    <s v="Credit Card"/>
    <s v="Weekly"/>
    <m/>
  </r>
  <r>
    <n v="54"/>
    <x v="26"/>
    <x v="0"/>
    <s v="Skirt"/>
    <s v="Clothing"/>
    <n v="24"/>
    <x v="16"/>
    <s v="S"/>
    <s v="Peach"/>
    <s v="Winter"/>
    <n v="3.1"/>
    <s v="Yes"/>
    <s v="Yes"/>
    <n v="35"/>
    <s v="Credit Card"/>
    <s v="Weekly"/>
    <m/>
  </r>
  <r>
    <n v="55"/>
    <x v="36"/>
    <x v="0"/>
    <s v="Coat"/>
    <s v="Outerwear"/>
    <n v="94"/>
    <x v="35"/>
    <s v="M"/>
    <s v="Brown"/>
    <s v="Summer"/>
    <n v="3.1"/>
    <s v="Yes"/>
    <s v="Yes"/>
    <n v="35"/>
    <s v="Debit Card"/>
    <s v="Bi-Weekly"/>
    <m/>
  </r>
  <r>
    <n v="56"/>
    <x v="37"/>
    <x v="0"/>
    <s v="Jacket"/>
    <s v="Outerwear"/>
    <n v="28"/>
    <x v="36"/>
    <s v="M"/>
    <s v="Lavender"/>
    <s v="Winter"/>
    <n v="3.1"/>
    <s v="Yes"/>
    <s v="Yes"/>
    <n v="49"/>
    <s v="Credit Card"/>
    <s v="Annually"/>
    <m/>
  </r>
  <r>
    <n v="57"/>
    <x v="38"/>
    <x v="0"/>
    <s v="Backpack"/>
    <s v="Accessories"/>
    <n v="73"/>
    <x v="16"/>
    <s v="XL"/>
    <s v="Brown"/>
    <s v="Summer"/>
    <n v="3.1"/>
    <s v="Yes"/>
    <s v="Yes"/>
    <n v="46"/>
    <s v="Credit Card"/>
    <s v="Weekly"/>
    <m/>
  </r>
  <r>
    <n v="58"/>
    <x v="3"/>
    <x v="0"/>
    <s v="Coat"/>
    <s v="Outerwear"/>
    <n v="64"/>
    <x v="8"/>
    <s v="M"/>
    <s v="White"/>
    <s v="Summer"/>
    <n v="3.1"/>
    <s v="Yes"/>
    <s v="Yes"/>
    <n v="17"/>
    <s v="Debit Card"/>
    <s v="Fortnightly"/>
    <m/>
  </r>
  <r>
    <n v="59"/>
    <x v="28"/>
    <x v="0"/>
    <s v="Hoodie"/>
    <s v="Clothing"/>
    <n v="54"/>
    <x v="9"/>
    <s v="M"/>
    <s v="Charcoal"/>
    <s v="Summer"/>
    <n v="3.1"/>
    <s v="Yes"/>
    <s v="Yes"/>
    <n v="29"/>
    <s v="Venmo"/>
    <s v="Monthly"/>
    <m/>
  </r>
  <r>
    <n v="60"/>
    <x v="6"/>
    <x v="0"/>
    <s v="Belt"/>
    <s v="Accessories"/>
    <n v="79"/>
    <x v="7"/>
    <s v="L"/>
    <s v="Yellow"/>
    <s v="Spring"/>
    <n v="3.1"/>
    <s v="Yes"/>
    <s v="Yes"/>
    <n v="4"/>
    <s v="Debit Card"/>
    <s v="Weekly"/>
    <m/>
  </r>
  <r>
    <n v="61"/>
    <x v="2"/>
    <x v="0"/>
    <s v="Sweater"/>
    <s v="Clothing"/>
    <n v="37"/>
    <x v="37"/>
    <s v="L"/>
    <s v="Brown"/>
    <s v="Summer"/>
    <n v="3.1"/>
    <s v="Yes"/>
    <s v="Yes"/>
    <n v="17"/>
    <s v="Cash"/>
    <s v="Weekly"/>
    <m/>
  </r>
  <r>
    <n v="62"/>
    <x v="0"/>
    <x v="0"/>
    <s v="Scarf"/>
    <s v="Accessories"/>
    <n v="68"/>
    <x v="21"/>
    <s v="M"/>
    <s v="Orange"/>
    <s v="Winter"/>
    <n v="3.1"/>
    <s v="Yes"/>
    <s v="Yes"/>
    <n v="21"/>
    <s v="Credit Card"/>
    <s v="Every 3 Months"/>
    <m/>
  </r>
  <r>
    <n v="63"/>
    <x v="11"/>
    <x v="0"/>
    <s v="Sneakers"/>
    <s v="Footwear"/>
    <n v="21"/>
    <x v="16"/>
    <s v="S"/>
    <s v="Magenta"/>
    <s v="Spring"/>
    <n v="3.1"/>
    <s v="Yes"/>
    <s v="Yes"/>
    <n v="31"/>
    <s v="Credit Card"/>
    <s v="Fortnightly"/>
    <m/>
  </r>
  <r>
    <n v="64"/>
    <x v="23"/>
    <x v="0"/>
    <s v="Sunglasses"/>
    <s v="Accessories"/>
    <n v="79"/>
    <x v="28"/>
    <s v="L"/>
    <s v="Lavender"/>
    <s v="Winter"/>
    <n v="3.1"/>
    <s v="Yes"/>
    <s v="Yes"/>
    <n v="43"/>
    <s v="Credit Card"/>
    <s v="Weekly"/>
    <m/>
  </r>
  <r>
    <n v="65"/>
    <x v="13"/>
    <x v="0"/>
    <s v="Boots"/>
    <s v="Footwear"/>
    <n v="83"/>
    <x v="15"/>
    <s v="S"/>
    <s v="Green"/>
    <s v="Fall"/>
    <n v="3.1"/>
    <s v="Yes"/>
    <s v="Yes"/>
    <n v="18"/>
    <s v="Debit Card"/>
    <s v="Fortnightly"/>
    <m/>
  </r>
  <r>
    <n v="66"/>
    <x v="13"/>
    <x v="0"/>
    <s v="Backpack"/>
    <s v="Accessories"/>
    <n v="36"/>
    <x v="32"/>
    <s v="M"/>
    <s v="Purple"/>
    <s v="Spring"/>
    <n v="3.1"/>
    <s v="Yes"/>
    <s v="Yes"/>
    <n v="44"/>
    <s v="Venmo"/>
    <s v="Every 3 Months"/>
    <m/>
  </r>
  <r>
    <n v="67"/>
    <x v="18"/>
    <x v="0"/>
    <s v="Blouse"/>
    <s v="Clothing"/>
    <n v="94"/>
    <x v="38"/>
    <s v="S"/>
    <s v="Magenta"/>
    <s v="Winter"/>
    <n v="3.1"/>
    <s v="Yes"/>
    <s v="Yes"/>
    <n v="3"/>
    <s v="Venmo"/>
    <s v="Every 3 Months"/>
    <m/>
  </r>
  <r>
    <n v="68"/>
    <x v="4"/>
    <x v="0"/>
    <s v="Coat"/>
    <s v="Outerwear"/>
    <n v="33"/>
    <x v="39"/>
    <s v="L"/>
    <s v="Gray"/>
    <s v="Winter"/>
    <n v="3.1"/>
    <s v="Yes"/>
    <s v="Yes"/>
    <n v="49"/>
    <s v="Debit Card"/>
    <s v="Monthly"/>
    <m/>
  </r>
  <r>
    <n v="69"/>
    <x v="9"/>
    <x v="0"/>
    <s v="Handbag"/>
    <s v="Accessories"/>
    <n v="46"/>
    <x v="40"/>
    <s v="L"/>
    <s v="Silver"/>
    <s v="Summer"/>
    <n v="3.1"/>
    <s v="Yes"/>
    <s v="Yes"/>
    <n v="21"/>
    <s v="Cash"/>
    <s v="Every 3 Months"/>
    <m/>
  </r>
  <r>
    <n v="70"/>
    <x v="39"/>
    <x v="0"/>
    <s v="Belt"/>
    <s v="Accessories"/>
    <n v="70"/>
    <x v="30"/>
    <s v="S"/>
    <s v="Cyan"/>
    <s v="Summer"/>
    <n v="3.1"/>
    <s v="Yes"/>
    <s v="Yes"/>
    <n v="5"/>
    <s v="Cash"/>
    <s v="Weekly"/>
    <m/>
  </r>
  <r>
    <n v="71"/>
    <x v="40"/>
    <x v="0"/>
    <s v="Belt"/>
    <s v="Accessories"/>
    <n v="29"/>
    <x v="15"/>
    <s v="M"/>
    <s v="Magenta"/>
    <s v="Fall"/>
    <n v="3.1"/>
    <s v="Yes"/>
    <s v="Yes"/>
    <n v="32"/>
    <s v="Debit Card"/>
    <s v="Every 3 Months"/>
    <m/>
  </r>
  <r>
    <n v="72"/>
    <x v="24"/>
    <x v="0"/>
    <s v="Dress"/>
    <s v="Clothing"/>
    <n v="48"/>
    <x v="41"/>
    <s v="L"/>
    <s v="Gold"/>
    <s v="Summer"/>
    <n v="3.1"/>
    <s v="Yes"/>
    <s v="Yes"/>
    <n v="34"/>
    <s v="Bank Transfer"/>
    <s v="Annually"/>
    <m/>
  </r>
  <r>
    <n v="73"/>
    <x v="20"/>
    <x v="0"/>
    <s v="Dress"/>
    <s v="Clothing"/>
    <n v="26"/>
    <x v="42"/>
    <s v="M"/>
    <s v="Olive"/>
    <s v="Winter"/>
    <n v="3.1"/>
    <s v="Yes"/>
    <s v="Yes"/>
    <n v="21"/>
    <s v="Bank Transfer"/>
    <s v="Every 3 Months"/>
    <m/>
  </r>
  <r>
    <n v="74"/>
    <x v="39"/>
    <x v="0"/>
    <s v="Pants"/>
    <s v="Clothing"/>
    <n v="85"/>
    <x v="11"/>
    <s v="M"/>
    <s v="Teal"/>
    <s v="Spring"/>
    <n v="3.1"/>
    <s v="Yes"/>
    <s v="Yes"/>
    <n v="43"/>
    <s v="Bank Transfer"/>
    <s v="Bi-Weekly"/>
    <m/>
  </r>
  <r>
    <n v="75"/>
    <x v="34"/>
    <x v="0"/>
    <s v="Gloves"/>
    <s v="Accessories"/>
    <n v="58"/>
    <x v="27"/>
    <s v="L"/>
    <s v="Violet"/>
    <s v="Spring"/>
    <n v="3.1"/>
    <s v="Yes"/>
    <s v="Yes"/>
    <n v="3"/>
    <s v="Cash"/>
    <s v="Monthly"/>
    <m/>
  </r>
  <r>
    <n v="76"/>
    <x v="14"/>
    <x v="0"/>
    <s v="Scarf"/>
    <s v="Accessories"/>
    <n v="85"/>
    <x v="40"/>
    <s v="M"/>
    <s v="Blue"/>
    <s v="Summer"/>
    <n v="3.1"/>
    <s v="Yes"/>
    <s v="Yes"/>
    <n v="21"/>
    <s v="Credit Card"/>
    <s v="Annually"/>
    <m/>
  </r>
  <r>
    <n v="77"/>
    <x v="2"/>
    <x v="0"/>
    <s v="Hat"/>
    <s v="Accessories"/>
    <n v="43"/>
    <x v="12"/>
    <s v="S"/>
    <s v="Teal"/>
    <s v="Summer"/>
    <n v="3.1"/>
    <s v="Yes"/>
    <s v="Yes"/>
    <n v="32"/>
    <s v="Venmo"/>
    <s v="Monthly"/>
    <m/>
  </r>
  <r>
    <n v="78"/>
    <x v="40"/>
    <x v="0"/>
    <s v="Dress"/>
    <s v="Clothing"/>
    <n v="53"/>
    <x v="12"/>
    <s v="L"/>
    <s v="Gold"/>
    <s v="Summer"/>
    <n v="3.1"/>
    <s v="Yes"/>
    <s v="Yes"/>
    <n v="36"/>
    <s v="Debit Card"/>
    <s v="Fortnightly"/>
    <m/>
  </r>
  <r>
    <n v="79"/>
    <x v="2"/>
    <x v="0"/>
    <s v="Skirt"/>
    <s v="Clothing"/>
    <n v="91"/>
    <x v="43"/>
    <s v="M"/>
    <s v="Maroon"/>
    <s v="Spring"/>
    <n v="3.1"/>
    <s v="Yes"/>
    <s v="Yes"/>
    <n v="50"/>
    <s v="Venmo"/>
    <s v="Fortnightly"/>
    <m/>
  </r>
  <r>
    <n v="80"/>
    <x v="21"/>
    <x v="0"/>
    <s v="Jacket"/>
    <s v="Outerwear"/>
    <n v="96"/>
    <x v="44"/>
    <s v="M"/>
    <s v="Olive"/>
    <s v="Winter"/>
    <n v="3.1"/>
    <s v="Yes"/>
    <s v="Yes"/>
    <n v="43"/>
    <s v="Bank Transfer"/>
    <s v="Every 3 Months"/>
    <m/>
  </r>
  <r>
    <n v="81"/>
    <x v="1"/>
    <x v="0"/>
    <s v="Sandals"/>
    <s v="Footwear"/>
    <n v="72"/>
    <x v="14"/>
    <s v="XL"/>
    <s v="Blue"/>
    <s v="Summer"/>
    <n v="3.1"/>
    <s v="Yes"/>
    <s v="Yes"/>
    <n v="24"/>
    <s v="Credit Card"/>
    <s v="Every 3 Months"/>
    <m/>
  </r>
  <r>
    <n v="82"/>
    <x v="29"/>
    <x v="0"/>
    <s v="Shoes"/>
    <s v="Footwear"/>
    <n v="96"/>
    <x v="41"/>
    <s v="L"/>
    <s v="Maroon"/>
    <s v="Summer"/>
    <n v="3.1"/>
    <s v="Yes"/>
    <s v="Yes"/>
    <n v="36"/>
    <s v="Credit Card"/>
    <s v="Every 3 Months"/>
    <m/>
  </r>
  <r>
    <n v="83"/>
    <x v="1"/>
    <x v="0"/>
    <s v="Pants"/>
    <s v="Clothing"/>
    <n v="28"/>
    <x v="42"/>
    <s v="S"/>
    <s v="Olive"/>
    <s v="Spring"/>
    <n v="3.1"/>
    <s v="Yes"/>
    <s v="Yes"/>
    <n v="21"/>
    <s v="Credit Card"/>
    <s v="Every 3 Months"/>
    <m/>
  </r>
  <r>
    <n v="84"/>
    <x v="24"/>
    <x v="0"/>
    <s v="Dress"/>
    <s v="Clothing"/>
    <n v="40"/>
    <x v="21"/>
    <s v="M"/>
    <s v="Turquoise"/>
    <s v="Summer"/>
    <n v="3.1"/>
    <s v="Yes"/>
    <s v="Yes"/>
    <n v="34"/>
    <s v="Bank Transfer"/>
    <s v="Weekly"/>
    <m/>
  </r>
  <r>
    <n v="85"/>
    <x v="16"/>
    <x v="0"/>
    <s v="Coat"/>
    <s v="Outerwear"/>
    <n v="32"/>
    <x v="28"/>
    <s v="S"/>
    <s v="Peach"/>
    <s v="Spring"/>
    <n v="3.1"/>
    <s v="Yes"/>
    <s v="Yes"/>
    <n v="42"/>
    <s v="Bank Transfer"/>
    <s v="Every 3 Months"/>
    <m/>
  </r>
  <r>
    <n v="86"/>
    <x v="10"/>
    <x v="0"/>
    <s v="Sunglasses"/>
    <s v="Accessories"/>
    <n v="95"/>
    <x v="35"/>
    <s v="M"/>
    <s v="Charcoal"/>
    <s v="Winter"/>
    <n v="3.1"/>
    <s v="Yes"/>
    <s v="Yes"/>
    <n v="2"/>
    <s v="Debit Card"/>
    <s v="Bi-Weekly"/>
    <m/>
  </r>
  <r>
    <n v="87"/>
    <x v="41"/>
    <x v="0"/>
    <s v="Hoodie"/>
    <s v="Clothing"/>
    <n v="41"/>
    <x v="22"/>
    <s v="L"/>
    <s v="Pink"/>
    <s v="Spring"/>
    <n v="3.1"/>
    <s v="Yes"/>
    <s v="Yes"/>
    <n v="47"/>
    <s v="Cash"/>
    <s v="Bi-Weekly"/>
    <m/>
  </r>
  <r>
    <n v="88"/>
    <x v="16"/>
    <x v="0"/>
    <s v="Shoes"/>
    <s v="Footwear"/>
    <n v="53"/>
    <x v="31"/>
    <s v="M"/>
    <s v="Green"/>
    <s v="Fall"/>
    <n v="3.1"/>
    <s v="Yes"/>
    <s v="Yes"/>
    <n v="44"/>
    <s v="Debit Card"/>
    <s v="Fortnightly"/>
    <m/>
  </r>
  <r>
    <n v="89"/>
    <x v="23"/>
    <x v="0"/>
    <s v="T-shirt"/>
    <s v="Clothing"/>
    <n v="47"/>
    <x v="5"/>
    <s v="M"/>
    <s v="Orange"/>
    <s v="Fall"/>
    <n v="3.1"/>
    <s v="Yes"/>
    <s v="Yes"/>
    <n v="35"/>
    <s v="Credit Card"/>
    <s v="Monthly"/>
    <m/>
  </r>
  <r>
    <n v="90"/>
    <x v="36"/>
    <x v="0"/>
    <s v="Jacket"/>
    <s v="Outerwear"/>
    <n v="83"/>
    <x v="18"/>
    <s v="XL"/>
    <s v="Pink"/>
    <s v="Fall"/>
    <n v="3.1"/>
    <s v="Yes"/>
    <s v="Yes"/>
    <n v="15"/>
    <s v="Cash"/>
    <s v="Quarterly"/>
    <m/>
  </r>
  <r>
    <n v="91"/>
    <x v="15"/>
    <x v="0"/>
    <s v="Hat"/>
    <s v="Accessories"/>
    <n v="48"/>
    <x v="36"/>
    <s v="L"/>
    <s v="Violet"/>
    <s v="Summer"/>
    <n v="3.1"/>
    <s v="Yes"/>
    <s v="Yes"/>
    <n v="29"/>
    <s v="Credit Card"/>
    <s v="Monthly"/>
    <m/>
  </r>
  <r>
    <n v="92"/>
    <x v="42"/>
    <x v="0"/>
    <s v="Scarf"/>
    <s v="Accessories"/>
    <n v="99"/>
    <x v="36"/>
    <s v="S"/>
    <s v="Green"/>
    <s v="Winter"/>
    <n v="3.1"/>
    <s v="Yes"/>
    <s v="Yes"/>
    <n v="18"/>
    <s v="Credit Card"/>
    <s v="Every 3 Months"/>
    <m/>
  </r>
  <r>
    <n v="93"/>
    <x v="12"/>
    <x v="0"/>
    <s v="Jacket"/>
    <s v="Outerwear"/>
    <n v="87"/>
    <x v="21"/>
    <s v="M"/>
    <s v="Olive"/>
    <s v="Winter"/>
    <n v="3.1"/>
    <s v="Yes"/>
    <s v="Yes"/>
    <n v="13"/>
    <s v="Venmo"/>
    <s v="Every 3 Months"/>
    <m/>
  </r>
  <r>
    <n v="94"/>
    <x v="43"/>
    <x v="0"/>
    <s v="Sweater"/>
    <s v="Clothing"/>
    <n v="62"/>
    <x v="20"/>
    <s v="M"/>
    <s v="Purple"/>
    <s v="Fall"/>
    <n v="3.1"/>
    <s v="Yes"/>
    <s v="Yes"/>
    <n v="46"/>
    <s v="Credit Card"/>
    <s v="Weekly"/>
    <m/>
  </r>
  <r>
    <n v="95"/>
    <x v="44"/>
    <x v="0"/>
    <s v="Skirt"/>
    <s v="Clothing"/>
    <n v="76"/>
    <x v="22"/>
    <s v="S"/>
    <s v="Silver"/>
    <s v="Spring"/>
    <n v="3.1"/>
    <s v="Yes"/>
    <s v="Yes"/>
    <n v="28"/>
    <s v="Credit Card"/>
    <s v="Weekly"/>
    <m/>
  </r>
  <r>
    <n v="96"/>
    <x v="43"/>
    <x v="0"/>
    <s v="Sneakers"/>
    <s v="Footwear"/>
    <n v="100"/>
    <x v="9"/>
    <s v="L"/>
    <s v="Pink"/>
    <s v="Fall"/>
    <n v="3.8"/>
    <s v="Yes"/>
    <s v="Yes"/>
    <n v="48"/>
    <s v="PayPal"/>
    <s v="Monthly"/>
    <m/>
  </r>
  <r>
    <n v="97"/>
    <x v="45"/>
    <x v="0"/>
    <s v="Gloves"/>
    <s v="Accessories"/>
    <n v="73"/>
    <x v="12"/>
    <s v="S"/>
    <s v="Gold"/>
    <s v="Spring"/>
    <n v="3.6"/>
    <s v="Yes"/>
    <s v="Yes"/>
    <n v="43"/>
    <s v="Venmo"/>
    <s v="Every 3 Months"/>
    <m/>
  </r>
  <r>
    <n v="98"/>
    <x v="3"/>
    <x v="0"/>
    <s v="Shoes"/>
    <s v="Footwear"/>
    <n v="92"/>
    <x v="41"/>
    <s v="M"/>
    <s v="Teal"/>
    <s v="Winter"/>
    <n v="4.8"/>
    <s v="Yes"/>
    <s v="Yes"/>
    <n v="37"/>
    <s v="Cash"/>
    <s v="Annually"/>
    <m/>
  </r>
  <r>
    <n v="99"/>
    <x v="30"/>
    <x v="0"/>
    <s v="Jeans"/>
    <s v="Clothing"/>
    <n v="67"/>
    <x v="14"/>
    <s v="XL"/>
    <s v="Teal"/>
    <s v="Spring"/>
    <n v="2.6"/>
    <s v="Yes"/>
    <s v="Yes"/>
    <n v="20"/>
    <s v="Bank Transfer"/>
    <s v="Annually"/>
    <m/>
  </r>
  <r>
    <n v="100"/>
    <x v="8"/>
    <x v="0"/>
    <s v="Hoodie"/>
    <s v="Clothing"/>
    <n v="40"/>
    <x v="9"/>
    <s v="XL"/>
    <s v="Indigo"/>
    <s v="Summer"/>
    <n v="3.7"/>
    <s v="Yes"/>
    <s v="Yes"/>
    <n v="33"/>
    <s v="Debit Card"/>
    <s v="Quarterly"/>
    <m/>
  </r>
  <r>
    <n v="101"/>
    <x v="46"/>
    <x v="0"/>
    <s v="Sunglasses"/>
    <s v="Accessories"/>
    <n v="98"/>
    <x v="45"/>
    <s v="M"/>
    <s v="Maroon"/>
    <s v="Fall"/>
    <n v="2.7"/>
    <s v="Yes"/>
    <s v="Yes"/>
    <n v="31"/>
    <s v="Cash"/>
    <s v="Fortnightly"/>
    <m/>
  </r>
  <r>
    <n v="102"/>
    <x v="7"/>
    <x v="0"/>
    <s v="Coat"/>
    <s v="Outerwear"/>
    <n v="85"/>
    <x v="25"/>
    <s v="XL"/>
    <s v="White"/>
    <s v="Spring"/>
    <n v="4.5999999999999996"/>
    <s v="Yes"/>
    <s v="Yes"/>
    <n v="50"/>
    <s v="Credit Card"/>
    <s v="Bi-Weekly"/>
    <m/>
  </r>
  <r>
    <n v="103"/>
    <x v="47"/>
    <x v="0"/>
    <s v="Socks"/>
    <s v="Clothing"/>
    <n v="67"/>
    <x v="19"/>
    <s v="L"/>
    <s v="Violet"/>
    <s v="Winter"/>
    <n v="4.8"/>
    <s v="Yes"/>
    <s v="Yes"/>
    <n v="35"/>
    <s v="Credit Card"/>
    <s v="Quarterly"/>
    <m/>
  </r>
  <r>
    <n v="104"/>
    <x v="22"/>
    <x v="0"/>
    <s v="Boots"/>
    <s v="Footwear"/>
    <n v="89"/>
    <x v="8"/>
    <s v="L"/>
    <s v="Red"/>
    <s v="Winter"/>
    <n v="4"/>
    <s v="Yes"/>
    <s v="Yes"/>
    <n v="22"/>
    <s v="Venmo"/>
    <s v="Bi-Weekly"/>
    <m/>
  </r>
  <r>
    <n v="105"/>
    <x v="0"/>
    <x v="0"/>
    <s v="Sunglasses"/>
    <s v="Accessories"/>
    <n v="24"/>
    <x v="13"/>
    <s v="L"/>
    <s v="Pink"/>
    <s v="Spring"/>
    <n v="4.4000000000000004"/>
    <s v="Yes"/>
    <s v="Yes"/>
    <n v="1"/>
    <s v="PayPal"/>
    <s v="Monthly"/>
    <m/>
  </r>
  <r>
    <n v="106"/>
    <x v="28"/>
    <x v="0"/>
    <s v="Backpack"/>
    <s v="Accessories"/>
    <n v="96"/>
    <x v="14"/>
    <s v="M"/>
    <s v="Charcoal"/>
    <s v="Fall"/>
    <n v="3.6"/>
    <s v="Yes"/>
    <s v="Yes"/>
    <n v="4"/>
    <s v="Bank Transfer"/>
    <s v="Annually"/>
    <m/>
  </r>
  <r>
    <n v="107"/>
    <x v="14"/>
    <x v="0"/>
    <s v="Jacket"/>
    <s v="Outerwear"/>
    <n v="35"/>
    <x v="46"/>
    <s v="L"/>
    <s v="White"/>
    <s v="Summer"/>
    <n v="3.7"/>
    <s v="Yes"/>
    <s v="Yes"/>
    <n v="31"/>
    <s v="Credit Card"/>
    <s v="Monthly"/>
    <m/>
  </r>
  <r>
    <n v="108"/>
    <x v="48"/>
    <x v="0"/>
    <s v="Sneakers"/>
    <s v="Footwear"/>
    <n v="67"/>
    <x v="33"/>
    <s v="L"/>
    <s v="Olive"/>
    <s v="Winter"/>
    <n v="3.1"/>
    <s v="Yes"/>
    <s v="Yes"/>
    <n v="46"/>
    <s v="PayPal"/>
    <s v="Fortnightly"/>
    <m/>
  </r>
  <r>
    <n v="109"/>
    <x v="27"/>
    <x v="0"/>
    <s v="Socks"/>
    <s v="Clothing"/>
    <n v="79"/>
    <x v="6"/>
    <s v="L"/>
    <s v="Purple"/>
    <s v="Spring"/>
    <n v="3.4"/>
    <s v="Yes"/>
    <s v="Yes"/>
    <n v="32"/>
    <s v="Bank Transfer"/>
    <s v="Bi-Weekly"/>
    <m/>
  </r>
  <r>
    <n v="110"/>
    <x v="44"/>
    <x v="0"/>
    <s v="T-shirt"/>
    <s v="Clothing"/>
    <n v="85"/>
    <x v="15"/>
    <s v="M"/>
    <s v="Violet"/>
    <s v="Spring"/>
    <n v="2.6"/>
    <s v="Yes"/>
    <s v="Yes"/>
    <n v="43"/>
    <s v="Bank Transfer"/>
    <s v="Fortnightly"/>
    <m/>
  </r>
  <r>
    <n v="111"/>
    <x v="19"/>
    <x v="0"/>
    <s v="Backpack"/>
    <s v="Accessories"/>
    <n v="26"/>
    <x v="14"/>
    <s v="M"/>
    <s v="Black"/>
    <s v="Summer"/>
    <n v="4"/>
    <s v="Yes"/>
    <s v="Yes"/>
    <n v="26"/>
    <s v="Venmo"/>
    <s v="Fortnightly"/>
    <m/>
  </r>
  <r>
    <n v="112"/>
    <x v="8"/>
    <x v="0"/>
    <s v="Belt"/>
    <s v="Accessories"/>
    <n v="75"/>
    <x v="2"/>
    <s v="L"/>
    <s v="Purple"/>
    <s v="Summer"/>
    <n v="5"/>
    <s v="Yes"/>
    <s v="Yes"/>
    <n v="9"/>
    <s v="Credit Card"/>
    <s v="Annually"/>
    <m/>
  </r>
  <r>
    <n v="113"/>
    <x v="43"/>
    <x v="0"/>
    <s v="Gloves"/>
    <s v="Accessories"/>
    <n v="65"/>
    <x v="20"/>
    <s v="M"/>
    <s v="Red"/>
    <s v="Spring"/>
    <n v="4.3"/>
    <s v="Yes"/>
    <s v="Yes"/>
    <n v="28"/>
    <s v="PayPal"/>
    <s v="Bi-Weekly"/>
    <m/>
  </r>
  <r>
    <n v="114"/>
    <x v="42"/>
    <x v="0"/>
    <s v="Hat"/>
    <s v="Accessories"/>
    <n v="54"/>
    <x v="32"/>
    <s v="L"/>
    <s v="Maroon"/>
    <s v="Winter"/>
    <n v="3.1"/>
    <s v="Yes"/>
    <s v="Yes"/>
    <n v="20"/>
    <s v="PayPal"/>
    <s v="Quarterly"/>
    <m/>
  </r>
  <r>
    <n v="115"/>
    <x v="27"/>
    <x v="0"/>
    <s v="Coat"/>
    <s v="Outerwear"/>
    <n v="95"/>
    <x v="2"/>
    <s v="S"/>
    <s v="Blue"/>
    <s v="Summer"/>
    <n v="3.7"/>
    <s v="Yes"/>
    <s v="Yes"/>
    <n v="9"/>
    <s v="Cash"/>
    <s v="Weekly"/>
    <m/>
  </r>
  <r>
    <n v="116"/>
    <x v="10"/>
    <x v="0"/>
    <s v="Skirt"/>
    <s v="Clothing"/>
    <n v="94"/>
    <x v="5"/>
    <s v="M"/>
    <s v="Gray"/>
    <s v="Spring"/>
    <n v="3.8"/>
    <s v="Yes"/>
    <s v="Yes"/>
    <n v="48"/>
    <s v="Debit Card"/>
    <s v="Every 3 Months"/>
    <m/>
  </r>
  <r>
    <n v="117"/>
    <x v="0"/>
    <x v="0"/>
    <s v="Shoes"/>
    <s v="Footwear"/>
    <n v="86"/>
    <x v="41"/>
    <s v="S"/>
    <s v="Blue"/>
    <s v="Spring"/>
    <n v="3.4"/>
    <s v="Yes"/>
    <s v="Yes"/>
    <n v="12"/>
    <s v="Venmo"/>
    <s v="Annually"/>
    <m/>
  </r>
  <r>
    <n v="118"/>
    <x v="2"/>
    <x v="0"/>
    <s v="Sandals"/>
    <s v="Footwear"/>
    <n v="32"/>
    <x v="45"/>
    <s v="L"/>
    <s v="Yellow"/>
    <s v="Summer"/>
    <n v="4.5999999999999996"/>
    <s v="Yes"/>
    <s v="Yes"/>
    <n v="29"/>
    <s v="Cash"/>
    <s v="Fortnightly"/>
    <m/>
  </r>
  <r>
    <n v="119"/>
    <x v="2"/>
    <x v="0"/>
    <s v="Sweater"/>
    <s v="Clothing"/>
    <n v="45"/>
    <x v="0"/>
    <s v="L"/>
    <s v="Orange"/>
    <s v="Fall"/>
    <n v="4.8"/>
    <s v="Yes"/>
    <s v="Yes"/>
    <n v="27"/>
    <s v="Cash"/>
    <s v="Bi-Weekly"/>
    <m/>
  </r>
  <r>
    <n v="120"/>
    <x v="21"/>
    <x v="0"/>
    <s v="Coat"/>
    <s v="Outerwear"/>
    <n v="76"/>
    <x v="5"/>
    <s v="M"/>
    <s v="Orange"/>
    <s v="Fall"/>
    <n v="4.3"/>
    <s v="Yes"/>
    <s v="Yes"/>
    <n v="44"/>
    <s v="Cash"/>
    <s v="Annually"/>
    <m/>
  </r>
  <r>
    <n v="121"/>
    <x v="14"/>
    <x v="0"/>
    <s v="Hat"/>
    <s v="Accessories"/>
    <n v="84"/>
    <x v="8"/>
    <s v="L"/>
    <s v="Red"/>
    <s v="Summer"/>
    <n v="4"/>
    <s v="Yes"/>
    <s v="Yes"/>
    <n v="32"/>
    <s v="Bank Transfer"/>
    <s v="Annually"/>
    <m/>
  </r>
  <r>
    <n v="122"/>
    <x v="1"/>
    <x v="0"/>
    <s v="Shorts"/>
    <s v="Clothing"/>
    <n v="72"/>
    <x v="41"/>
    <s v="M"/>
    <s v="Olive"/>
    <s v="Winter"/>
    <n v="4.2"/>
    <s v="Yes"/>
    <s v="Yes"/>
    <n v="11"/>
    <s v="Cash"/>
    <s v="Fortnightly"/>
    <m/>
  </r>
  <r>
    <n v="123"/>
    <x v="37"/>
    <x v="0"/>
    <s v="Backpack"/>
    <s v="Accessories"/>
    <n v="40"/>
    <x v="47"/>
    <s v="L"/>
    <s v="Brown"/>
    <s v="Spring"/>
    <n v="4.8"/>
    <s v="Yes"/>
    <s v="Yes"/>
    <n v="44"/>
    <s v="Cash"/>
    <s v="Fortnightly"/>
    <m/>
  </r>
  <r>
    <n v="124"/>
    <x v="9"/>
    <x v="0"/>
    <s v="Sweater"/>
    <s v="Clothing"/>
    <n v="89"/>
    <x v="7"/>
    <s v="L"/>
    <s v="Brown"/>
    <s v="Fall"/>
    <n v="3.1"/>
    <s v="Yes"/>
    <s v="Yes"/>
    <n v="46"/>
    <s v="Cash"/>
    <s v="Weekly"/>
    <m/>
  </r>
  <r>
    <n v="125"/>
    <x v="42"/>
    <x v="0"/>
    <s v="Sweater"/>
    <s v="Clothing"/>
    <n v="86"/>
    <x v="22"/>
    <s v="M"/>
    <s v="Gray"/>
    <s v="Spring"/>
    <n v="3.1"/>
    <s v="Yes"/>
    <s v="Yes"/>
    <n v="50"/>
    <s v="PayPal"/>
    <s v="Annually"/>
    <m/>
  </r>
  <r>
    <n v="126"/>
    <x v="34"/>
    <x v="0"/>
    <s v="Shorts"/>
    <s v="Clothing"/>
    <n v="54"/>
    <x v="18"/>
    <s v="M"/>
    <s v="Indigo"/>
    <s v="Winter"/>
    <n v="3.6"/>
    <s v="Yes"/>
    <s v="Yes"/>
    <n v="45"/>
    <s v="Venmo"/>
    <s v="Every 3 Months"/>
    <m/>
  </r>
  <r>
    <n v="127"/>
    <x v="49"/>
    <x v="0"/>
    <s v="Shorts"/>
    <s v="Clothing"/>
    <n v="36"/>
    <x v="16"/>
    <s v="L"/>
    <s v="Pink"/>
    <s v="Spring"/>
    <n v="3.9"/>
    <s v="Yes"/>
    <s v="Yes"/>
    <n v="48"/>
    <s v="Cash"/>
    <s v="Every 3 Months"/>
    <m/>
  </r>
  <r>
    <n v="128"/>
    <x v="41"/>
    <x v="0"/>
    <s v="Sweater"/>
    <s v="Clothing"/>
    <n v="89"/>
    <x v="16"/>
    <s v="M"/>
    <s v="Gray"/>
    <s v="Winter"/>
    <n v="4.8"/>
    <s v="Yes"/>
    <s v="Yes"/>
    <n v="26"/>
    <s v="Credit Card"/>
    <s v="Weekly"/>
    <m/>
  </r>
  <r>
    <n v="129"/>
    <x v="30"/>
    <x v="0"/>
    <s v="Scarf"/>
    <s v="Accessories"/>
    <n v="32"/>
    <x v="18"/>
    <s v="M"/>
    <s v="Gold"/>
    <s v="Spring"/>
    <n v="4.7"/>
    <s v="Yes"/>
    <s v="Yes"/>
    <n v="21"/>
    <s v="Credit Card"/>
    <s v="Fortnightly"/>
    <m/>
  </r>
  <r>
    <n v="130"/>
    <x v="41"/>
    <x v="0"/>
    <s v="Dress"/>
    <s v="Clothing"/>
    <n v="67"/>
    <x v="38"/>
    <s v="XL"/>
    <s v="Olive"/>
    <s v="Summer"/>
    <n v="4.2"/>
    <s v="Yes"/>
    <s v="Yes"/>
    <n v="49"/>
    <s v="PayPal"/>
    <s v="Bi-Weekly"/>
    <m/>
  </r>
  <r>
    <n v="131"/>
    <x v="42"/>
    <x v="0"/>
    <s v="Scarf"/>
    <s v="Accessories"/>
    <n v="39"/>
    <x v="0"/>
    <s v="L"/>
    <s v="Violet"/>
    <s v="Fall"/>
    <n v="3.7"/>
    <s v="Yes"/>
    <s v="Yes"/>
    <n v="13"/>
    <s v="PayPal"/>
    <s v="Fortnightly"/>
    <m/>
  </r>
  <r>
    <n v="132"/>
    <x v="48"/>
    <x v="0"/>
    <s v="Skirt"/>
    <s v="Clothing"/>
    <n v="29"/>
    <x v="1"/>
    <s v="L"/>
    <s v="Indigo"/>
    <s v="Summer"/>
    <n v="3.9"/>
    <s v="Yes"/>
    <s v="Yes"/>
    <n v="46"/>
    <s v="Credit Card"/>
    <s v="Weekly"/>
    <m/>
  </r>
  <r>
    <n v="133"/>
    <x v="11"/>
    <x v="0"/>
    <s v="Backpack"/>
    <s v="Accessories"/>
    <n v="58"/>
    <x v="35"/>
    <s v="M"/>
    <s v="Orange"/>
    <s v="Fall"/>
    <n v="4.7"/>
    <s v="Yes"/>
    <s v="Yes"/>
    <n v="42"/>
    <s v="PayPal"/>
    <s v="Weekly"/>
    <m/>
  </r>
  <r>
    <n v="134"/>
    <x v="16"/>
    <x v="0"/>
    <s v="Sweater"/>
    <s v="Clothing"/>
    <n v="65"/>
    <x v="6"/>
    <s v="M"/>
    <s v="Violet"/>
    <s v="Winter"/>
    <n v="2.5"/>
    <s v="Yes"/>
    <s v="Yes"/>
    <n v="25"/>
    <s v="Venmo"/>
    <s v="Annually"/>
    <m/>
  </r>
  <r>
    <n v="135"/>
    <x v="49"/>
    <x v="0"/>
    <s v="Hat"/>
    <s v="Accessories"/>
    <n v="94"/>
    <x v="21"/>
    <s v="L"/>
    <s v="Gray"/>
    <s v="Fall"/>
    <n v="4.9000000000000004"/>
    <s v="Yes"/>
    <s v="Yes"/>
    <n v="25"/>
    <s v="Cash"/>
    <s v="Monthly"/>
    <m/>
  </r>
  <r>
    <n v="136"/>
    <x v="49"/>
    <x v="0"/>
    <s v="Sandals"/>
    <s v="Footwear"/>
    <n v="81"/>
    <x v="23"/>
    <s v="M"/>
    <s v="Purple"/>
    <s v="Fall"/>
    <n v="4.0999999999999996"/>
    <s v="Yes"/>
    <s v="Yes"/>
    <n v="12"/>
    <s v="PayPal"/>
    <s v="Quarterly"/>
    <m/>
  </r>
  <r>
    <n v="137"/>
    <x v="31"/>
    <x v="0"/>
    <s v="Blouse"/>
    <s v="Clothing"/>
    <n v="86"/>
    <x v="36"/>
    <s v="M"/>
    <s v="White"/>
    <s v="Winter"/>
    <n v="3.3"/>
    <s v="Yes"/>
    <s v="Yes"/>
    <n v="4"/>
    <s v="Debit Card"/>
    <s v="Quarterly"/>
    <m/>
  </r>
  <r>
    <n v="138"/>
    <x v="33"/>
    <x v="0"/>
    <s v="Sneakers"/>
    <s v="Footwear"/>
    <n v="43"/>
    <x v="24"/>
    <s v="M"/>
    <s v="Turquoise"/>
    <s v="Spring"/>
    <n v="4.7"/>
    <s v="Yes"/>
    <s v="Yes"/>
    <n v="38"/>
    <s v="PayPal"/>
    <s v="Weekly"/>
    <m/>
  </r>
  <r>
    <n v="139"/>
    <x v="33"/>
    <x v="0"/>
    <s v="Skirt"/>
    <s v="Clothing"/>
    <n v="29"/>
    <x v="42"/>
    <s v="M"/>
    <s v="Maroon"/>
    <s v="Winter"/>
    <n v="4.4000000000000004"/>
    <s v="Yes"/>
    <s v="Yes"/>
    <n v="42"/>
    <s v="Bank Transfer"/>
    <s v="Weekly"/>
    <m/>
  </r>
  <r>
    <n v="140"/>
    <x v="34"/>
    <x v="0"/>
    <s v="Coat"/>
    <s v="Outerwear"/>
    <n v="95"/>
    <x v="20"/>
    <s v="M"/>
    <s v="White"/>
    <s v="Fall"/>
    <n v="3.8"/>
    <s v="Yes"/>
    <s v="Yes"/>
    <n v="30"/>
    <s v="Venmo"/>
    <s v="Annually"/>
    <m/>
  </r>
  <r>
    <n v="141"/>
    <x v="6"/>
    <x v="0"/>
    <s v="Shirt"/>
    <s v="Clothing"/>
    <n v="28"/>
    <x v="17"/>
    <s v="L"/>
    <s v="Yellow"/>
    <s v="Fall"/>
    <n v="3.9"/>
    <s v="Yes"/>
    <s v="Yes"/>
    <n v="50"/>
    <s v="Credit Card"/>
    <s v="Weekly"/>
    <m/>
  </r>
  <r>
    <n v="142"/>
    <x v="19"/>
    <x v="0"/>
    <s v="Gloves"/>
    <s v="Accessories"/>
    <n v="46"/>
    <x v="41"/>
    <s v="M"/>
    <s v="Turquoise"/>
    <s v="Fall"/>
    <n v="4.9000000000000004"/>
    <s v="Yes"/>
    <s v="Yes"/>
    <n v="45"/>
    <s v="PayPal"/>
    <s v="Weekly"/>
    <m/>
  </r>
  <r>
    <n v="143"/>
    <x v="43"/>
    <x v="0"/>
    <s v="Jacket"/>
    <s v="Outerwear"/>
    <n v="58"/>
    <x v="43"/>
    <s v="L"/>
    <s v="Violet"/>
    <s v="Fall"/>
    <n v="3.1"/>
    <s v="Yes"/>
    <s v="Yes"/>
    <n v="33"/>
    <s v="Credit Card"/>
    <s v="Fortnightly"/>
    <m/>
  </r>
  <r>
    <n v="144"/>
    <x v="11"/>
    <x v="0"/>
    <s v="Coat"/>
    <s v="Outerwear"/>
    <n v="48"/>
    <x v="9"/>
    <s v="M"/>
    <s v="Beige"/>
    <s v="Fall"/>
    <n v="2.7"/>
    <s v="Yes"/>
    <s v="Yes"/>
    <n v="25"/>
    <s v="PayPal"/>
    <s v="Quarterly"/>
    <m/>
  </r>
  <r>
    <n v="145"/>
    <x v="1"/>
    <x v="0"/>
    <s v="Shoes"/>
    <s v="Footwear"/>
    <n v="43"/>
    <x v="32"/>
    <s v="M"/>
    <s v="Silver"/>
    <s v="Fall"/>
    <n v="3.2"/>
    <s v="Yes"/>
    <s v="Yes"/>
    <n v="25"/>
    <s v="Cash"/>
    <s v="Monthly"/>
    <m/>
  </r>
  <r>
    <n v="146"/>
    <x v="41"/>
    <x v="0"/>
    <s v="Jewelry"/>
    <s v="Accessories"/>
    <n v="95"/>
    <x v="9"/>
    <s v="M"/>
    <s v="Teal"/>
    <s v="Fall"/>
    <n v="4.5"/>
    <s v="Yes"/>
    <s v="Yes"/>
    <n v="44"/>
    <s v="Debit Card"/>
    <s v="Quarterly"/>
    <m/>
  </r>
  <r>
    <n v="147"/>
    <x v="16"/>
    <x v="0"/>
    <s v="Skirt"/>
    <s v="Clothing"/>
    <n v="30"/>
    <x v="24"/>
    <s v="S"/>
    <s v="Black"/>
    <s v="Fall"/>
    <n v="4"/>
    <s v="Yes"/>
    <s v="Yes"/>
    <n v="21"/>
    <s v="Venmo"/>
    <s v="Fortnightly"/>
    <m/>
  </r>
  <r>
    <n v="148"/>
    <x v="6"/>
    <x v="0"/>
    <s v="Shoes"/>
    <s v="Footwear"/>
    <n v="64"/>
    <x v="37"/>
    <s v="M"/>
    <s v="Purple"/>
    <s v="Summer"/>
    <n v="3.5"/>
    <s v="Yes"/>
    <s v="Yes"/>
    <n v="31"/>
    <s v="Bank Transfer"/>
    <s v="Fortnightly"/>
    <m/>
  </r>
  <r>
    <n v="149"/>
    <x v="43"/>
    <x v="0"/>
    <s v="Gloves"/>
    <s v="Accessories"/>
    <n v="90"/>
    <x v="5"/>
    <s v="M"/>
    <s v="Gray"/>
    <s v="Fall"/>
    <n v="2.6"/>
    <s v="Yes"/>
    <s v="Yes"/>
    <n v="47"/>
    <s v="Debit Card"/>
    <s v="Annually"/>
    <m/>
  </r>
  <r>
    <n v="150"/>
    <x v="21"/>
    <x v="0"/>
    <s v="Pants"/>
    <s v="Clothing"/>
    <n v="76"/>
    <x v="12"/>
    <s v="M"/>
    <s v="White"/>
    <s v="Summer"/>
    <n v="3.2"/>
    <s v="Yes"/>
    <s v="Yes"/>
    <n v="14"/>
    <s v="PayPal"/>
    <s v="Monthly"/>
    <m/>
  </r>
  <r>
    <n v="151"/>
    <x v="25"/>
    <x v="0"/>
    <s v="Boots"/>
    <s v="Footwear"/>
    <n v="96"/>
    <x v="18"/>
    <s v="L"/>
    <s v="Cyan"/>
    <s v="Fall"/>
    <n v="4.9000000000000004"/>
    <s v="Yes"/>
    <s v="Yes"/>
    <n v="17"/>
    <s v="Debit Card"/>
    <s v="Every 3 Months"/>
    <m/>
  </r>
  <r>
    <n v="152"/>
    <x v="48"/>
    <x v="0"/>
    <s v="Sunglasses"/>
    <s v="Accessories"/>
    <n v="47"/>
    <x v="25"/>
    <s v="L"/>
    <s v="Turquoise"/>
    <s v="Fall"/>
    <n v="4.5"/>
    <s v="Yes"/>
    <s v="Yes"/>
    <n v="3"/>
    <s v="Venmo"/>
    <s v="Annually"/>
    <m/>
  </r>
  <r>
    <n v="153"/>
    <x v="11"/>
    <x v="0"/>
    <s v="Shirt"/>
    <s v="Clothing"/>
    <n v="85"/>
    <x v="36"/>
    <s v="S"/>
    <s v="Brown"/>
    <s v="Summer"/>
    <n v="4.3"/>
    <s v="Yes"/>
    <s v="Yes"/>
    <n v="42"/>
    <s v="Venmo"/>
    <s v="Annually"/>
    <m/>
  </r>
  <r>
    <n v="154"/>
    <x v="28"/>
    <x v="0"/>
    <s v="Hoodie"/>
    <s v="Clothing"/>
    <n v="55"/>
    <x v="17"/>
    <s v="M"/>
    <s v="Maroon"/>
    <s v="Winter"/>
    <n v="3.2"/>
    <s v="Yes"/>
    <s v="Yes"/>
    <n v="22"/>
    <s v="Debit Card"/>
    <s v="Annually"/>
    <m/>
  </r>
  <r>
    <n v="155"/>
    <x v="38"/>
    <x v="0"/>
    <s v="Dress"/>
    <s v="Clothing"/>
    <n v="98"/>
    <x v="19"/>
    <s v="M"/>
    <s v="Charcoal"/>
    <s v="Fall"/>
    <n v="3.6"/>
    <s v="Yes"/>
    <s v="Yes"/>
    <n v="21"/>
    <s v="Venmo"/>
    <s v="Quarterly"/>
    <m/>
  </r>
  <r>
    <n v="156"/>
    <x v="6"/>
    <x v="0"/>
    <s v="Socks"/>
    <s v="Clothing"/>
    <n v="77"/>
    <x v="1"/>
    <s v="S"/>
    <s v="Olive"/>
    <s v="Spring"/>
    <n v="4.3"/>
    <s v="Yes"/>
    <s v="Yes"/>
    <n v="21"/>
    <s v="Bank Transfer"/>
    <s v="Quarterly"/>
    <m/>
  </r>
  <r>
    <n v="157"/>
    <x v="25"/>
    <x v="0"/>
    <s v="Shorts"/>
    <s v="Clothing"/>
    <n v="26"/>
    <x v="9"/>
    <s v="M"/>
    <s v="Lavender"/>
    <s v="Fall"/>
    <n v="4"/>
    <s v="Yes"/>
    <s v="Yes"/>
    <n v="40"/>
    <s v="Debit Card"/>
    <s v="Annually"/>
    <m/>
  </r>
  <r>
    <n v="158"/>
    <x v="24"/>
    <x v="0"/>
    <s v="Hat"/>
    <s v="Accessories"/>
    <n v="68"/>
    <x v="34"/>
    <s v="S"/>
    <s v="Yellow"/>
    <s v="Fall"/>
    <n v="3"/>
    <s v="Yes"/>
    <s v="Yes"/>
    <n v="1"/>
    <s v="Bank Transfer"/>
    <s v="Fortnightly"/>
    <m/>
  </r>
  <r>
    <n v="159"/>
    <x v="15"/>
    <x v="0"/>
    <s v="Shirt"/>
    <s v="Clothing"/>
    <n v="73"/>
    <x v="39"/>
    <s v="XL"/>
    <s v="Teal"/>
    <s v="Fall"/>
    <n v="4.0999999999999996"/>
    <s v="Yes"/>
    <s v="Yes"/>
    <n v="50"/>
    <s v="Bank Transfer"/>
    <s v="Monthly"/>
    <m/>
  </r>
  <r>
    <n v="160"/>
    <x v="44"/>
    <x v="0"/>
    <s v="Gloves"/>
    <s v="Accessories"/>
    <n v="27"/>
    <x v="13"/>
    <s v="M"/>
    <s v="Charcoal"/>
    <s v="Fall"/>
    <n v="3.8"/>
    <s v="Yes"/>
    <s v="Yes"/>
    <n v="39"/>
    <s v="Bank Transfer"/>
    <s v="Every 3 Months"/>
    <m/>
  </r>
  <r>
    <n v="161"/>
    <x v="7"/>
    <x v="0"/>
    <s v="Gloves"/>
    <s v="Accessories"/>
    <n v="23"/>
    <x v="21"/>
    <s v="M"/>
    <s v="Orange"/>
    <s v="Summer"/>
    <n v="4.5999999999999996"/>
    <s v="Yes"/>
    <s v="Yes"/>
    <n v="34"/>
    <s v="Venmo"/>
    <s v="Monthly"/>
    <m/>
  </r>
  <r>
    <n v="162"/>
    <x v="13"/>
    <x v="0"/>
    <s v="Backpack"/>
    <s v="Accessories"/>
    <n v="49"/>
    <x v="25"/>
    <s v="M"/>
    <s v="Olive"/>
    <s v="Fall"/>
    <n v="3"/>
    <s v="Yes"/>
    <s v="Yes"/>
    <n v="29"/>
    <s v="Venmo"/>
    <s v="Fortnightly"/>
    <m/>
  </r>
  <r>
    <n v="163"/>
    <x v="22"/>
    <x v="0"/>
    <s v="Sunglasses"/>
    <s v="Accessories"/>
    <n v="74"/>
    <x v="18"/>
    <s v="M"/>
    <s v="Turquoise"/>
    <s v="Summer"/>
    <n v="3"/>
    <s v="Yes"/>
    <s v="Yes"/>
    <n v="31"/>
    <s v="PayPal"/>
    <s v="Bi-Weekly"/>
    <m/>
  </r>
  <r>
    <n v="164"/>
    <x v="22"/>
    <x v="0"/>
    <s v="Skirt"/>
    <s v="Clothing"/>
    <n v="67"/>
    <x v="41"/>
    <s v="M"/>
    <s v="Purple"/>
    <s v="Summer"/>
    <n v="3.4"/>
    <s v="Yes"/>
    <s v="Yes"/>
    <n v="8"/>
    <s v="Debit Card"/>
    <s v="Weekly"/>
    <m/>
  </r>
  <r>
    <n v="165"/>
    <x v="35"/>
    <x v="0"/>
    <s v="Handbag"/>
    <s v="Accessories"/>
    <n v="65"/>
    <x v="12"/>
    <s v="S"/>
    <s v="Purple"/>
    <s v="Spring"/>
    <n v="2.6"/>
    <s v="Yes"/>
    <s v="Yes"/>
    <n v="5"/>
    <s v="Credit Card"/>
    <s v="Fortnightly"/>
    <m/>
  </r>
  <r>
    <n v="166"/>
    <x v="32"/>
    <x v="0"/>
    <s v="Handbag"/>
    <s v="Accessories"/>
    <n v="60"/>
    <x v="0"/>
    <s v="S"/>
    <s v="Yellow"/>
    <s v="Winter"/>
    <n v="2.8"/>
    <s v="Yes"/>
    <s v="Yes"/>
    <n v="7"/>
    <s v="Cash"/>
    <s v="Monthly"/>
    <m/>
  </r>
  <r>
    <n v="167"/>
    <x v="5"/>
    <x v="0"/>
    <s v="Sneakers"/>
    <s v="Footwear"/>
    <n v="31"/>
    <x v="12"/>
    <s v="XL"/>
    <s v="Indigo"/>
    <s v="Fall"/>
    <n v="4"/>
    <s v="Yes"/>
    <s v="Yes"/>
    <n v="30"/>
    <s v="Cash"/>
    <s v="Monthly"/>
    <m/>
  </r>
  <r>
    <n v="168"/>
    <x v="23"/>
    <x v="0"/>
    <s v="Gloves"/>
    <s v="Accessories"/>
    <n v="27"/>
    <x v="10"/>
    <s v="M"/>
    <s v="Green"/>
    <s v="Fall"/>
    <n v="4"/>
    <s v="Yes"/>
    <s v="Yes"/>
    <n v="14"/>
    <s v="Credit Card"/>
    <s v="Every 3 Months"/>
    <m/>
  </r>
  <r>
    <n v="169"/>
    <x v="50"/>
    <x v="0"/>
    <s v="Shoes"/>
    <s v="Footwear"/>
    <n v="80"/>
    <x v="7"/>
    <s v="M"/>
    <s v="Magenta"/>
    <s v="Summer"/>
    <n v="3"/>
    <s v="Yes"/>
    <s v="Yes"/>
    <n v="5"/>
    <s v="Cash"/>
    <s v="Fortnightly"/>
    <m/>
  </r>
  <r>
    <n v="170"/>
    <x v="7"/>
    <x v="0"/>
    <s v="Jacket"/>
    <s v="Outerwear"/>
    <n v="30"/>
    <x v="22"/>
    <s v="S"/>
    <s v="Gold"/>
    <s v="Summer"/>
    <n v="3.3"/>
    <s v="Yes"/>
    <s v="Yes"/>
    <n v="3"/>
    <s v="PayPal"/>
    <s v="Every 3 Months"/>
    <m/>
  </r>
  <r>
    <n v="171"/>
    <x v="16"/>
    <x v="0"/>
    <s v="Shirt"/>
    <s v="Clothing"/>
    <n v="25"/>
    <x v="5"/>
    <s v="M"/>
    <s v="Maroon"/>
    <s v="Fall"/>
    <n v="2.6"/>
    <s v="Yes"/>
    <s v="Yes"/>
    <n v="46"/>
    <s v="Venmo"/>
    <s v="Bi-Weekly"/>
    <m/>
  </r>
  <r>
    <n v="172"/>
    <x v="26"/>
    <x v="0"/>
    <s v="Shorts"/>
    <s v="Clothing"/>
    <n v="35"/>
    <x v="41"/>
    <s v="M"/>
    <s v="Blue"/>
    <s v="Summer"/>
    <n v="3.6"/>
    <s v="Yes"/>
    <s v="Yes"/>
    <n v="4"/>
    <s v="Credit Card"/>
    <s v="Weekly"/>
    <m/>
  </r>
  <r>
    <n v="173"/>
    <x v="22"/>
    <x v="0"/>
    <s v="Jewelry"/>
    <s v="Accessories"/>
    <n v="67"/>
    <x v="43"/>
    <s v="M"/>
    <s v="Violet"/>
    <s v="Summer"/>
    <n v="3.9"/>
    <s v="Yes"/>
    <s v="Yes"/>
    <n v="42"/>
    <s v="Credit Card"/>
    <s v="Bi-Weekly"/>
    <m/>
  </r>
  <r>
    <n v="174"/>
    <x v="15"/>
    <x v="0"/>
    <s v="Hat"/>
    <s v="Accessories"/>
    <n v="46"/>
    <x v="11"/>
    <s v="M"/>
    <s v="Turquoise"/>
    <s v="Fall"/>
    <n v="3.1"/>
    <s v="Yes"/>
    <s v="Yes"/>
    <n v="30"/>
    <s v="Cash"/>
    <s v="Annually"/>
    <m/>
  </r>
  <r>
    <n v="175"/>
    <x v="38"/>
    <x v="0"/>
    <s v="Shoes"/>
    <s v="Footwear"/>
    <n v="35"/>
    <x v="34"/>
    <s v="L"/>
    <s v="Brown"/>
    <s v="Winter"/>
    <n v="3.5"/>
    <s v="Yes"/>
    <s v="Yes"/>
    <n v="37"/>
    <s v="Venmo"/>
    <s v="Annually"/>
    <m/>
  </r>
  <r>
    <n v="176"/>
    <x v="10"/>
    <x v="0"/>
    <s v="Coat"/>
    <s v="Outerwear"/>
    <n v="86"/>
    <x v="19"/>
    <s v="L"/>
    <s v="Violet"/>
    <s v="Fall"/>
    <n v="2.8"/>
    <s v="Yes"/>
    <s v="Yes"/>
    <n v="2"/>
    <s v="Bank Transfer"/>
    <s v="Annually"/>
    <m/>
  </r>
  <r>
    <n v="177"/>
    <x v="10"/>
    <x v="0"/>
    <s v="Backpack"/>
    <s v="Accessories"/>
    <n v="81"/>
    <x v="13"/>
    <s v="L"/>
    <s v="Black"/>
    <s v="Spring"/>
    <n v="2.7"/>
    <s v="Yes"/>
    <s v="Yes"/>
    <n v="30"/>
    <s v="Credit Card"/>
    <s v="Quarterly"/>
    <m/>
  </r>
  <r>
    <n v="178"/>
    <x v="3"/>
    <x v="0"/>
    <s v="Hoodie"/>
    <s v="Clothing"/>
    <n v="42"/>
    <x v="23"/>
    <s v="L"/>
    <s v="Magenta"/>
    <s v="Fall"/>
    <n v="3.7"/>
    <s v="Yes"/>
    <s v="Yes"/>
    <n v="47"/>
    <s v="Bank Transfer"/>
    <s v="Monthly"/>
    <m/>
  </r>
  <r>
    <n v="179"/>
    <x v="12"/>
    <x v="0"/>
    <s v="Skirt"/>
    <s v="Clothing"/>
    <n v="43"/>
    <x v="37"/>
    <s v="L"/>
    <s v="Lavender"/>
    <s v="Fall"/>
    <n v="4.3"/>
    <s v="Yes"/>
    <s v="Yes"/>
    <n v="21"/>
    <s v="PayPal"/>
    <s v="Quarterly"/>
    <m/>
  </r>
  <r>
    <n v="180"/>
    <x v="14"/>
    <x v="0"/>
    <s v="Boots"/>
    <s v="Footwear"/>
    <n v="31"/>
    <x v="26"/>
    <s v="M"/>
    <s v="Violet"/>
    <s v="Fall"/>
    <n v="4.9000000000000004"/>
    <s v="Yes"/>
    <s v="Yes"/>
    <n v="9"/>
    <s v="Bank Transfer"/>
    <s v="Fortnightly"/>
    <m/>
  </r>
  <r>
    <n v="181"/>
    <x v="47"/>
    <x v="0"/>
    <s v="Sandals"/>
    <s v="Footwear"/>
    <n v="81"/>
    <x v="45"/>
    <s v="L"/>
    <s v="Green"/>
    <s v="Fall"/>
    <n v="3.3"/>
    <s v="Yes"/>
    <s v="Yes"/>
    <n v="12"/>
    <s v="Debit Card"/>
    <s v="Fortnightly"/>
    <m/>
  </r>
  <r>
    <n v="182"/>
    <x v="45"/>
    <x v="0"/>
    <s v="Pants"/>
    <s v="Clothing"/>
    <n v="61"/>
    <x v="2"/>
    <s v="M"/>
    <s v="Beige"/>
    <s v="Summer"/>
    <n v="4.7"/>
    <s v="Yes"/>
    <s v="Yes"/>
    <n v="4"/>
    <s v="Bank Transfer"/>
    <s v="Weekly"/>
    <m/>
  </r>
  <r>
    <n v="183"/>
    <x v="21"/>
    <x v="0"/>
    <s v="Gloves"/>
    <s v="Accessories"/>
    <n v="96"/>
    <x v="15"/>
    <s v="XL"/>
    <s v="Purple"/>
    <s v="Summer"/>
    <n v="2.8"/>
    <s v="Yes"/>
    <s v="Yes"/>
    <n v="10"/>
    <s v="Debit Card"/>
    <s v="Annually"/>
    <m/>
  </r>
  <r>
    <n v="184"/>
    <x v="44"/>
    <x v="0"/>
    <s v="Skirt"/>
    <s v="Clothing"/>
    <n v="29"/>
    <x v="31"/>
    <s v="XL"/>
    <s v="Beige"/>
    <s v="Spring"/>
    <n v="3.6"/>
    <s v="Yes"/>
    <s v="Yes"/>
    <n v="26"/>
    <s v="Credit Card"/>
    <s v="Weekly"/>
    <m/>
  </r>
  <r>
    <n v="185"/>
    <x v="45"/>
    <x v="0"/>
    <s v="Sneakers"/>
    <s v="Footwear"/>
    <n v="33"/>
    <x v="11"/>
    <s v="L"/>
    <s v="Cyan"/>
    <s v="Spring"/>
    <n v="3"/>
    <s v="Yes"/>
    <s v="Yes"/>
    <n v="40"/>
    <s v="Cash"/>
    <s v="Fortnightly"/>
    <m/>
  </r>
  <r>
    <n v="186"/>
    <x v="5"/>
    <x v="0"/>
    <s v="T-shirt"/>
    <s v="Clothing"/>
    <n v="32"/>
    <x v="48"/>
    <s v="XL"/>
    <s v="Silver"/>
    <s v="Summer"/>
    <n v="4.5"/>
    <s v="Yes"/>
    <s v="Yes"/>
    <n v="34"/>
    <s v="Bank Transfer"/>
    <s v="Fortnightly"/>
    <m/>
  </r>
  <r>
    <n v="187"/>
    <x v="31"/>
    <x v="0"/>
    <s v="Backpack"/>
    <s v="Accessories"/>
    <n v="56"/>
    <x v="46"/>
    <s v="S"/>
    <s v="Lavender"/>
    <s v="Summer"/>
    <n v="2.9"/>
    <s v="Yes"/>
    <s v="Yes"/>
    <n v="31"/>
    <s v="Debit Card"/>
    <s v="Annually"/>
    <m/>
  </r>
  <r>
    <n v="188"/>
    <x v="1"/>
    <x v="0"/>
    <s v="Shoes"/>
    <s v="Footwear"/>
    <n v="94"/>
    <x v="42"/>
    <s v="S"/>
    <s v="Purple"/>
    <s v="Spring"/>
    <n v="3.3"/>
    <s v="Yes"/>
    <s v="Yes"/>
    <n v="1"/>
    <s v="Bank Transfer"/>
    <s v="Bi-Weekly"/>
    <m/>
  </r>
  <r>
    <n v="189"/>
    <x v="2"/>
    <x v="0"/>
    <s v="Hoodie"/>
    <s v="Clothing"/>
    <n v="53"/>
    <x v="10"/>
    <s v="M"/>
    <s v="Pink"/>
    <s v="Spring"/>
    <n v="3.1"/>
    <s v="Yes"/>
    <s v="Yes"/>
    <n v="5"/>
    <s v="Bank Transfer"/>
    <s v="Bi-Weekly"/>
    <m/>
  </r>
  <r>
    <n v="190"/>
    <x v="24"/>
    <x v="0"/>
    <s v="Blouse"/>
    <s v="Clothing"/>
    <n v="82"/>
    <x v="8"/>
    <s v="M"/>
    <s v="Maroon"/>
    <s v="Fall"/>
    <n v="4.4000000000000004"/>
    <s v="Yes"/>
    <s v="Yes"/>
    <n v="4"/>
    <s v="Credit Card"/>
    <s v="Weekly"/>
    <m/>
  </r>
  <r>
    <n v="191"/>
    <x v="13"/>
    <x v="0"/>
    <s v="Coat"/>
    <s v="Outerwear"/>
    <n v="70"/>
    <x v="27"/>
    <s v="XL"/>
    <s v="Beige"/>
    <s v="Fall"/>
    <n v="3"/>
    <s v="Yes"/>
    <s v="Yes"/>
    <n v="48"/>
    <s v="Venmo"/>
    <s v="Quarterly"/>
    <m/>
  </r>
  <r>
    <n v="192"/>
    <x v="14"/>
    <x v="0"/>
    <s v="Hat"/>
    <s v="Accessories"/>
    <n v="76"/>
    <x v="40"/>
    <s v="M"/>
    <s v="Gray"/>
    <s v="Fall"/>
    <n v="3.9"/>
    <s v="Yes"/>
    <s v="Yes"/>
    <n v="29"/>
    <s v="Cash"/>
    <s v="Every 3 Months"/>
    <m/>
  </r>
  <r>
    <n v="193"/>
    <x v="5"/>
    <x v="0"/>
    <s v="Shoes"/>
    <s v="Footwear"/>
    <n v="29"/>
    <x v="43"/>
    <s v="L"/>
    <s v="Turquoise"/>
    <s v="Summer"/>
    <n v="2.9"/>
    <s v="Yes"/>
    <s v="Yes"/>
    <n v="12"/>
    <s v="PayPal"/>
    <s v="Bi-Weekly"/>
    <m/>
  </r>
  <r>
    <n v="194"/>
    <x v="24"/>
    <x v="0"/>
    <s v="Belt"/>
    <s v="Accessories"/>
    <n v="100"/>
    <x v="25"/>
    <s v="S"/>
    <s v="Silver"/>
    <s v="Fall"/>
    <n v="3"/>
    <s v="Yes"/>
    <s v="Yes"/>
    <n v="29"/>
    <s v="Venmo"/>
    <s v="Annually"/>
    <m/>
  </r>
  <r>
    <n v="195"/>
    <x v="47"/>
    <x v="0"/>
    <s v="Backpack"/>
    <s v="Accessories"/>
    <n v="94"/>
    <x v="9"/>
    <s v="M"/>
    <s v="Olive"/>
    <s v="Spring"/>
    <n v="3.1"/>
    <s v="Yes"/>
    <s v="Yes"/>
    <n v="15"/>
    <s v="Debit Card"/>
    <s v="Quarterly"/>
    <m/>
  </r>
  <r>
    <n v="196"/>
    <x v="47"/>
    <x v="0"/>
    <s v="Jacket"/>
    <s v="Outerwear"/>
    <n v="25"/>
    <x v="14"/>
    <s v="M"/>
    <s v="Magenta"/>
    <s v="Fall"/>
    <n v="4.3"/>
    <s v="Yes"/>
    <s v="Yes"/>
    <n v="34"/>
    <s v="Credit Card"/>
    <s v="Monthly"/>
    <m/>
  </r>
  <r>
    <n v="197"/>
    <x v="21"/>
    <x v="0"/>
    <s v="Boots"/>
    <s v="Footwear"/>
    <n v="88"/>
    <x v="47"/>
    <s v="M"/>
    <s v="Lavender"/>
    <s v="Summer"/>
    <n v="3.9"/>
    <s v="Yes"/>
    <s v="Yes"/>
    <n v="41"/>
    <s v="Credit Card"/>
    <s v="Fortnightly"/>
    <m/>
  </r>
  <r>
    <n v="198"/>
    <x v="35"/>
    <x v="0"/>
    <s v="Scarf"/>
    <s v="Accessories"/>
    <n v="78"/>
    <x v="36"/>
    <s v="M"/>
    <s v="Black"/>
    <s v="Fall"/>
    <n v="3.2"/>
    <s v="Yes"/>
    <s v="Yes"/>
    <n v="41"/>
    <s v="Credit Card"/>
    <s v="Monthly"/>
    <m/>
  </r>
  <r>
    <n v="199"/>
    <x v="9"/>
    <x v="0"/>
    <s v="Jewelry"/>
    <s v="Accessories"/>
    <n v="45"/>
    <x v="40"/>
    <s v="M"/>
    <s v="Turquoise"/>
    <s v="Winter"/>
    <n v="4.8"/>
    <s v="Yes"/>
    <s v="Yes"/>
    <n v="39"/>
    <s v="Credit Card"/>
    <s v="Fortnightly"/>
    <m/>
  </r>
  <r>
    <n v="200"/>
    <x v="22"/>
    <x v="0"/>
    <s v="Hat"/>
    <s v="Accessories"/>
    <n v="73"/>
    <x v="37"/>
    <s v="XL"/>
    <s v="Green"/>
    <s v="Summer"/>
    <n v="3.8"/>
    <s v="Yes"/>
    <s v="Yes"/>
    <n v="32"/>
    <s v="Cash"/>
    <s v="Weekly"/>
    <m/>
  </r>
  <r>
    <n v="201"/>
    <x v="15"/>
    <x v="0"/>
    <s v="Dress"/>
    <s v="Clothing"/>
    <n v="61"/>
    <x v="38"/>
    <s v="S"/>
    <s v="Teal"/>
    <s v="Summer"/>
    <n v="3.3"/>
    <s v="Yes"/>
    <s v="Yes"/>
    <n v="29"/>
    <s v="Venmo"/>
    <s v="Monthly"/>
    <m/>
  </r>
  <r>
    <n v="202"/>
    <x v="28"/>
    <x v="0"/>
    <s v="Blouse"/>
    <s v="Clothing"/>
    <n v="22"/>
    <x v="9"/>
    <s v="S"/>
    <s v="Beige"/>
    <s v="Fall"/>
    <n v="4.3"/>
    <s v="Yes"/>
    <s v="Yes"/>
    <n v="15"/>
    <s v="Bank Transfer"/>
    <s v="Annually"/>
    <m/>
  </r>
  <r>
    <n v="203"/>
    <x v="9"/>
    <x v="0"/>
    <s v="Hat"/>
    <s v="Accessories"/>
    <n v="38"/>
    <x v="43"/>
    <s v="L"/>
    <s v="Magenta"/>
    <s v="Spring"/>
    <n v="2.7"/>
    <s v="Yes"/>
    <s v="Yes"/>
    <n v="33"/>
    <s v="Venmo"/>
    <s v="Annually"/>
    <m/>
  </r>
  <r>
    <n v="204"/>
    <x v="27"/>
    <x v="0"/>
    <s v="Scarf"/>
    <s v="Accessories"/>
    <n v="38"/>
    <x v="27"/>
    <s v="S"/>
    <s v="Yellow"/>
    <s v="Fall"/>
    <n v="3.2"/>
    <s v="Yes"/>
    <s v="Yes"/>
    <n v="18"/>
    <s v="Bank Transfer"/>
    <s v="Weekly"/>
    <m/>
  </r>
  <r>
    <n v="205"/>
    <x v="41"/>
    <x v="0"/>
    <s v="Sneakers"/>
    <s v="Footwear"/>
    <n v="100"/>
    <x v="28"/>
    <s v="M"/>
    <s v="Yellow"/>
    <s v="Fall"/>
    <n v="4"/>
    <s v="Yes"/>
    <s v="Yes"/>
    <n v="35"/>
    <s v="Cash"/>
    <s v="Bi-Weekly"/>
    <m/>
  </r>
  <r>
    <n v="206"/>
    <x v="29"/>
    <x v="0"/>
    <s v="Shirt"/>
    <s v="Clothing"/>
    <n v="64"/>
    <x v="11"/>
    <s v="M"/>
    <s v="Silver"/>
    <s v="Winter"/>
    <n v="3"/>
    <s v="Yes"/>
    <s v="Yes"/>
    <n v="25"/>
    <s v="PayPal"/>
    <s v="Weekly"/>
    <m/>
  </r>
  <r>
    <n v="207"/>
    <x v="41"/>
    <x v="0"/>
    <s v="T-shirt"/>
    <s v="Clothing"/>
    <n v="55"/>
    <x v="48"/>
    <s v="L"/>
    <s v="Silver"/>
    <s v="Summer"/>
    <n v="4.2"/>
    <s v="Yes"/>
    <s v="Yes"/>
    <n v="6"/>
    <s v="Venmo"/>
    <s v="Fortnightly"/>
    <m/>
  </r>
  <r>
    <n v="208"/>
    <x v="46"/>
    <x v="0"/>
    <s v="Gloves"/>
    <s v="Accessories"/>
    <n v="91"/>
    <x v="3"/>
    <s v="M"/>
    <s v="Silver"/>
    <s v="Summer"/>
    <n v="2.9"/>
    <s v="Yes"/>
    <s v="Yes"/>
    <n v="17"/>
    <s v="Bank Transfer"/>
    <s v="Bi-Weekly"/>
    <m/>
  </r>
  <r>
    <n v="209"/>
    <x v="9"/>
    <x v="0"/>
    <s v="Skirt"/>
    <s v="Clothing"/>
    <n v="38"/>
    <x v="48"/>
    <s v="M"/>
    <s v="Gold"/>
    <s v="Spring"/>
    <n v="4.0999999999999996"/>
    <s v="Yes"/>
    <s v="Yes"/>
    <n v="17"/>
    <s v="Credit Card"/>
    <s v="Monthly"/>
    <m/>
  </r>
  <r>
    <n v="210"/>
    <x v="0"/>
    <x v="0"/>
    <s v="Sandals"/>
    <s v="Footwear"/>
    <n v="97"/>
    <x v="46"/>
    <s v="S"/>
    <s v="Olive"/>
    <s v="Winter"/>
    <n v="3.2"/>
    <s v="Yes"/>
    <s v="Yes"/>
    <n v="44"/>
    <s v="Cash"/>
    <s v="Every 3 Months"/>
    <m/>
  </r>
  <r>
    <n v="211"/>
    <x v="4"/>
    <x v="0"/>
    <s v="Jacket"/>
    <s v="Outerwear"/>
    <n v="22"/>
    <x v="34"/>
    <s v="L"/>
    <s v="Teal"/>
    <s v="Fall"/>
    <n v="3"/>
    <s v="Yes"/>
    <s v="Yes"/>
    <n v="6"/>
    <s v="PayPal"/>
    <s v="Fortnightly"/>
    <m/>
  </r>
  <r>
    <n v="212"/>
    <x v="28"/>
    <x v="0"/>
    <s v="Skirt"/>
    <s v="Clothing"/>
    <n v="92"/>
    <x v="45"/>
    <s v="L"/>
    <s v="Maroon"/>
    <s v="Fall"/>
    <n v="4.2"/>
    <s v="Yes"/>
    <s v="Yes"/>
    <n v="45"/>
    <s v="Debit Card"/>
    <s v="Fortnightly"/>
    <m/>
  </r>
  <r>
    <n v="213"/>
    <x v="29"/>
    <x v="0"/>
    <s v="Handbag"/>
    <s v="Accessories"/>
    <n v="84"/>
    <x v="41"/>
    <s v="L"/>
    <s v="Blue"/>
    <s v="Fall"/>
    <n v="4.2"/>
    <s v="Yes"/>
    <s v="Yes"/>
    <n v="7"/>
    <s v="Debit Card"/>
    <s v="Annually"/>
    <m/>
  </r>
  <r>
    <n v="214"/>
    <x v="11"/>
    <x v="0"/>
    <s v="Handbag"/>
    <s v="Accessories"/>
    <n v="93"/>
    <x v="22"/>
    <s v="L"/>
    <s v="Peach"/>
    <s v="Fall"/>
    <n v="4.4000000000000004"/>
    <s v="Yes"/>
    <s v="Yes"/>
    <n v="11"/>
    <s v="Debit Card"/>
    <s v="Every 3 Months"/>
    <m/>
  </r>
  <r>
    <n v="215"/>
    <x v="41"/>
    <x v="0"/>
    <s v="Jacket"/>
    <s v="Outerwear"/>
    <n v="50"/>
    <x v="11"/>
    <s v="L"/>
    <s v="Blue"/>
    <s v="Summer"/>
    <n v="4.2"/>
    <s v="Yes"/>
    <s v="Yes"/>
    <n v="41"/>
    <s v="Cash"/>
    <s v="Every 3 Months"/>
    <m/>
  </r>
  <r>
    <n v="216"/>
    <x v="46"/>
    <x v="0"/>
    <s v="Scarf"/>
    <s v="Accessories"/>
    <n v="64"/>
    <x v="32"/>
    <s v="S"/>
    <s v="Orange"/>
    <s v="Spring"/>
    <n v="2.8"/>
    <s v="Yes"/>
    <s v="Yes"/>
    <n v="24"/>
    <s v="PayPal"/>
    <s v="Bi-Weekly"/>
    <m/>
  </r>
  <r>
    <n v="217"/>
    <x v="49"/>
    <x v="0"/>
    <s v="Shorts"/>
    <s v="Clothing"/>
    <n v="61"/>
    <x v="2"/>
    <s v="L"/>
    <s v="Yellow"/>
    <s v="Spring"/>
    <n v="3.7"/>
    <s v="Yes"/>
    <s v="Yes"/>
    <n v="21"/>
    <s v="Venmo"/>
    <s v="Weekly"/>
    <m/>
  </r>
  <r>
    <n v="218"/>
    <x v="25"/>
    <x v="0"/>
    <s v="Sunglasses"/>
    <s v="Accessories"/>
    <n v="48"/>
    <x v="19"/>
    <s v="M"/>
    <s v="Purple"/>
    <s v="Winter"/>
    <n v="3.5"/>
    <s v="Yes"/>
    <s v="Yes"/>
    <n v="24"/>
    <s v="Bank Transfer"/>
    <s v="Annually"/>
    <m/>
  </r>
  <r>
    <n v="219"/>
    <x v="48"/>
    <x v="0"/>
    <s v="T-shirt"/>
    <s v="Clothing"/>
    <n v="45"/>
    <x v="18"/>
    <s v="S"/>
    <s v="Magenta"/>
    <s v="Spring"/>
    <n v="2.9"/>
    <s v="Yes"/>
    <s v="Yes"/>
    <n v="8"/>
    <s v="Credit Card"/>
    <s v="Quarterly"/>
    <m/>
  </r>
  <r>
    <n v="220"/>
    <x v="45"/>
    <x v="0"/>
    <s v="Belt"/>
    <s v="Accessories"/>
    <n v="88"/>
    <x v="22"/>
    <s v="M"/>
    <s v="Cyan"/>
    <s v="Spring"/>
    <n v="3"/>
    <s v="Yes"/>
    <s v="Yes"/>
    <n v="12"/>
    <s v="Cash"/>
    <s v="Fortnightly"/>
    <m/>
  </r>
  <r>
    <n v="221"/>
    <x v="31"/>
    <x v="0"/>
    <s v="Sneakers"/>
    <s v="Footwear"/>
    <n v="57"/>
    <x v="28"/>
    <s v="S"/>
    <s v="Indigo"/>
    <s v="Spring"/>
    <n v="3.7"/>
    <s v="Yes"/>
    <s v="Yes"/>
    <n v="48"/>
    <s v="Debit Card"/>
    <s v="Fortnightly"/>
    <m/>
  </r>
  <r>
    <n v="222"/>
    <x v="48"/>
    <x v="0"/>
    <s v="Hat"/>
    <s v="Accessories"/>
    <n v="68"/>
    <x v="17"/>
    <s v="XL"/>
    <s v="Magenta"/>
    <s v="Summer"/>
    <n v="4.4000000000000004"/>
    <s v="Yes"/>
    <s v="Yes"/>
    <n v="6"/>
    <s v="Bank Transfer"/>
    <s v="Quarterly"/>
    <m/>
  </r>
  <r>
    <n v="223"/>
    <x v="36"/>
    <x v="0"/>
    <s v="Gloves"/>
    <s v="Accessories"/>
    <n v="94"/>
    <x v="14"/>
    <s v="XL"/>
    <s v="Gray"/>
    <s v="Spring"/>
    <n v="4.5"/>
    <s v="Yes"/>
    <s v="Yes"/>
    <n v="14"/>
    <s v="PayPal"/>
    <s v="Fortnightly"/>
    <m/>
  </r>
  <r>
    <n v="224"/>
    <x v="30"/>
    <x v="0"/>
    <s v="Pants"/>
    <s v="Clothing"/>
    <n v="41"/>
    <x v="5"/>
    <s v="M"/>
    <s v="Turquoise"/>
    <s v="Spring"/>
    <n v="4.8"/>
    <s v="Yes"/>
    <s v="Yes"/>
    <n v="34"/>
    <s v="PayPal"/>
    <s v="Annually"/>
    <m/>
  </r>
  <r>
    <n v="225"/>
    <x v="6"/>
    <x v="0"/>
    <s v="Socks"/>
    <s v="Clothing"/>
    <n v="83"/>
    <x v="45"/>
    <s v="S"/>
    <s v="Beige"/>
    <s v="Summer"/>
    <n v="2.9"/>
    <s v="Yes"/>
    <s v="Yes"/>
    <n v="12"/>
    <s v="Cash"/>
    <s v="Every 3 Months"/>
    <m/>
  </r>
  <r>
    <n v="226"/>
    <x v="15"/>
    <x v="0"/>
    <s v="Jacket"/>
    <s v="Outerwear"/>
    <n v="22"/>
    <x v="10"/>
    <s v="M"/>
    <s v="Olive"/>
    <s v="Spring"/>
    <n v="3.2"/>
    <s v="Yes"/>
    <s v="Yes"/>
    <n v="11"/>
    <s v="Bank Transfer"/>
    <s v="Annually"/>
    <m/>
  </r>
  <r>
    <n v="227"/>
    <x v="26"/>
    <x v="0"/>
    <s v="Shoes"/>
    <s v="Footwear"/>
    <n v="74"/>
    <x v="21"/>
    <s v="L"/>
    <s v="Violet"/>
    <s v="Spring"/>
    <n v="3.3"/>
    <s v="Yes"/>
    <s v="Yes"/>
    <n v="5"/>
    <s v="PayPal"/>
    <s v="Monthly"/>
    <m/>
  </r>
  <r>
    <n v="228"/>
    <x v="2"/>
    <x v="0"/>
    <s v="Jeans"/>
    <s v="Clothing"/>
    <n v="90"/>
    <x v="3"/>
    <s v="M"/>
    <s v="Turquoise"/>
    <s v="Winter"/>
    <n v="4.2"/>
    <s v="Yes"/>
    <s v="Yes"/>
    <n v="25"/>
    <s v="Venmo"/>
    <s v="Fortnightly"/>
    <m/>
  </r>
  <r>
    <n v="229"/>
    <x v="20"/>
    <x v="0"/>
    <s v="Socks"/>
    <s v="Clothing"/>
    <n v="79"/>
    <x v="13"/>
    <s v="M"/>
    <s v="White"/>
    <s v="Spring"/>
    <n v="2.9"/>
    <s v="Yes"/>
    <s v="Yes"/>
    <n v="11"/>
    <s v="Credit Card"/>
    <s v="Annually"/>
    <m/>
  </r>
  <r>
    <n v="230"/>
    <x v="27"/>
    <x v="0"/>
    <s v="Sandals"/>
    <s v="Footwear"/>
    <n v="28"/>
    <x v="31"/>
    <s v="S"/>
    <s v="Silver"/>
    <s v="Spring"/>
    <n v="4.5999999999999996"/>
    <s v="Yes"/>
    <s v="Yes"/>
    <n v="27"/>
    <s v="PayPal"/>
    <s v="Every 3 Months"/>
    <m/>
  </r>
  <r>
    <n v="231"/>
    <x v="17"/>
    <x v="0"/>
    <s v="Scarf"/>
    <s v="Accessories"/>
    <n v="88"/>
    <x v="40"/>
    <s v="L"/>
    <s v="Olive"/>
    <s v="Fall"/>
    <n v="4.0999999999999996"/>
    <s v="Yes"/>
    <s v="Yes"/>
    <n v="43"/>
    <s v="Credit Card"/>
    <s v="Annually"/>
    <m/>
  </r>
  <r>
    <n v="232"/>
    <x v="48"/>
    <x v="0"/>
    <s v="Blouse"/>
    <s v="Clothing"/>
    <n v="26"/>
    <x v="30"/>
    <s v="M"/>
    <s v="Blue"/>
    <s v="Spring"/>
    <n v="3.1"/>
    <s v="Yes"/>
    <s v="Yes"/>
    <n v="18"/>
    <s v="Debit Card"/>
    <s v="Every 3 Months"/>
    <m/>
  </r>
  <r>
    <n v="233"/>
    <x v="22"/>
    <x v="0"/>
    <s v="Jewelry"/>
    <s v="Accessories"/>
    <n v="27"/>
    <x v="11"/>
    <s v="L"/>
    <s v="Purple"/>
    <s v="Winter"/>
    <n v="4.2"/>
    <s v="Yes"/>
    <s v="Yes"/>
    <n v="32"/>
    <s v="Bank Transfer"/>
    <s v="Bi-Weekly"/>
    <m/>
  </r>
  <r>
    <n v="234"/>
    <x v="1"/>
    <x v="0"/>
    <s v="Sweater"/>
    <s v="Clothing"/>
    <n v="83"/>
    <x v="28"/>
    <s v="XL"/>
    <s v="Yellow"/>
    <s v="Fall"/>
    <n v="4.5"/>
    <s v="Yes"/>
    <s v="Yes"/>
    <n v="27"/>
    <s v="Bank Transfer"/>
    <s v="Every 3 Months"/>
    <m/>
  </r>
  <r>
    <n v="235"/>
    <x v="30"/>
    <x v="0"/>
    <s v="Gloves"/>
    <s v="Accessories"/>
    <n v="39"/>
    <x v="45"/>
    <s v="S"/>
    <s v="Silver"/>
    <s v="Summer"/>
    <n v="3.7"/>
    <s v="Yes"/>
    <s v="Yes"/>
    <n v="24"/>
    <s v="Credit Card"/>
    <s v="Weekly"/>
    <m/>
  </r>
  <r>
    <n v="236"/>
    <x v="49"/>
    <x v="0"/>
    <s v="Sunglasses"/>
    <s v="Accessories"/>
    <n v="89"/>
    <x v="32"/>
    <s v="M"/>
    <s v="Cyan"/>
    <s v="Winter"/>
    <n v="3.7"/>
    <s v="Yes"/>
    <s v="Yes"/>
    <n v="31"/>
    <s v="Debit Card"/>
    <s v="Quarterly"/>
    <m/>
  </r>
  <r>
    <n v="237"/>
    <x v="21"/>
    <x v="0"/>
    <s v="Coat"/>
    <s v="Outerwear"/>
    <n v="68"/>
    <x v="25"/>
    <s v="L"/>
    <s v="Green"/>
    <s v="Winter"/>
    <n v="3.4"/>
    <s v="Yes"/>
    <s v="Yes"/>
    <n v="39"/>
    <s v="PayPal"/>
    <s v="Fortnightly"/>
    <m/>
  </r>
  <r>
    <n v="238"/>
    <x v="2"/>
    <x v="0"/>
    <s v="Dress"/>
    <s v="Clothing"/>
    <n v="90"/>
    <x v="44"/>
    <s v="M"/>
    <s v="Beige"/>
    <s v="Summer"/>
    <n v="3"/>
    <s v="Yes"/>
    <s v="Yes"/>
    <n v="36"/>
    <s v="Debit Card"/>
    <s v="Fortnightly"/>
    <m/>
  </r>
  <r>
    <n v="239"/>
    <x v="14"/>
    <x v="0"/>
    <s v="Skirt"/>
    <s v="Clothing"/>
    <n v="34"/>
    <x v="31"/>
    <s v="M"/>
    <s v="Peach"/>
    <s v="Fall"/>
    <n v="4.2"/>
    <s v="Yes"/>
    <s v="Yes"/>
    <n v="5"/>
    <s v="Cash"/>
    <s v="Annually"/>
    <m/>
  </r>
  <r>
    <n v="240"/>
    <x v="34"/>
    <x v="0"/>
    <s v="Pants"/>
    <s v="Clothing"/>
    <n v="51"/>
    <x v="34"/>
    <s v="L"/>
    <s v="Yellow"/>
    <s v="Summer"/>
    <n v="2.9"/>
    <s v="Yes"/>
    <s v="Yes"/>
    <n v="47"/>
    <s v="Credit Card"/>
    <s v="Bi-Weekly"/>
    <m/>
  </r>
  <r>
    <n v="241"/>
    <x v="36"/>
    <x v="0"/>
    <s v="Sweater"/>
    <s v="Clothing"/>
    <n v="45"/>
    <x v="6"/>
    <s v="XL"/>
    <s v="Turquoise"/>
    <s v="Winter"/>
    <n v="3.5"/>
    <s v="Yes"/>
    <s v="Yes"/>
    <n v="29"/>
    <s v="Bank Transfer"/>
    <s v="Fortnightly"/>
    <m/>
  </r>
  <r>
    <n v="242"/>
    <x v="24"/>
    <x v="0"/>
    <s v="Hoodie"/>
    <s v="Clothing"/>
    <n v="88"/>
    <x v="12"/>
    <s v="M"/>
    <s v="Peach"/>
    <s v="Winter"/>
    <n v="4.0999999999999996"/>
    <s v="Yes"/>
    <s v="Yes"/>
    <n v="43"/>
    <s v="Venmo"/>
    <s v="Bi-Weekly"/>
    <m/>
  </r>
  <r>
    <n v="243"/>
    <x v="0"/>
    <x v="0"/>
    <s v="Coat"/>
    <s v="Outerwear"/>
    <n v="85"/>
    <x v="14"/>
    <s v="L"/>
    <s v="Gray"/>
    <s v="Summer"/>
    <n v="4.3"/>
    <s v="Yes"/>
    <s v="Yes"/>
    <n v="40"/>
    <s v="Debit Card"/>
    <s v="Every 3 Months"/>
    <m/>
  </r>
  <r>
    <n v="244"/>
    <x v="15"/>
    <x v="0"/>
    <s v="Jewelry"/>
    <s v="Accessories"/>
    <n v="100"/>
    <x v="0"/>
    <s v="M"/>
    <s v="Olive"/>
    <s v="Winter"/>
    <n v="2.8"/>
    <s v="Yes"/>
    <s v="Yes"/>
    <n v="4"/>
    <s v="Debit Card"/>
    <s v="Monthly"/>
    <m/>
  </r>
  <r>
    <n v="245"/>
    <x v="10"/>
    <x v="0"/>
    <s v="Belt"/>
    <s v="Accessories"/>
    <n v="42"/>
    <x v="4"/>
    <s v="S"/>
    <s v="Indigo"/>
    <s v="Spring"/>
    <n v="4.9000000000000004"/>
    <s v="Yes"/>
    <s v="Yes"/>
    <n v="39"/>
    <s v="PayPal"/>
    <s v="Weekly"/>
    <m/>
  </r>
  <r>
    <n v="246"/>
    <x v="34"/>
    <x v="0"/>
    <s v="Sandals"/>
    <s v="Footwear"/>
    <n v="53"/>
    <x v="3"/>
    <s v="L"/>
    <s v="Charcoal"/>
    <s v="Summer"/>
    <n v="3.3"/>
    <s v="Yes"/>
    <s v="Yes"/>
    <n v="45"/>
    <s v="Venmo"/>
    <s v="Fortnightly"/>
    <m/>
  </r>
  <r>
    <n v="247"/>
    <x v="25"/>
    <x v="0"/>
    <s v="Sunglasses"/>
    <s v="Accessories"/>
    <n v="86"/>
    <x v="22"/>
    <s v="XL"/>
    <s v="Beige"/>
    <s v="Spring"/>
    <n v="3.2"/>
    <s v="Yes"/>
    <s v="Yes"/>
    <n v="20"/>
    <s v="Venmo"/>
    <s v="Bi-Weekly"/>
    <m/>
  </r>
  <r>
    <n v="248"/>
    <x v="26"/>
    <x v="0"/>
    <s v="Sweater"/>
    <s v="Clothing"/>
    <n v="66"/>
    <x v="6"/>
    <s v="XL"/>
    <s v="Brown"/>
    <s v="Spring"/>
    <n v="4.4000000000000004"/>
    <s v="Yes"/>
    <s v="Yes"/>
    <n v="14"/>
    <s v="Debit Card"/>
    <s v="Weekly"/>
    <m/>
  </r>
  <r>
    <n v="249"/>
    <x v="36"/>
    <x v="0"/>
    <s v="Belt"/>
    <s v="Accessories"/>
    <n v="100"/>
    <x v="38"/>
    <s v="M"/>
    <s v="Blue"/>
    <s v="Winter"/>
    <n v="4.8"/>
    <s v="Yes"/>
    <s v="Yes"/>
    <n v="33"/>
    <s v="PayPal"/>
    <s v="Weekly"/>
    <m/>
  </r>
  <r>
    <n v="250"/>
    <x v="10"/>
    <x v="0"/>
    <s v="Handbag"/>
    <s v="Accessories"/>
    <n v="47"/>
    <x v="29"/>
    <s v="S"/>
    <s v="Teal"/>
    <s v="Fall"/>
    <n v="4.2"/>
    <s v="Yes"/>
    <s v="Yes"/>
    <n v="18"/>
    <s v="Credit Card"/>
    <s v="Annually"/>
    <m/>
  </r>
  <r>
    <n v="251"/>
    <x v="23"/>
    <x v="0"/>
    <s v="Skirt"/>
    <s v="Clothing"/>
    <n v="25"/>
    <x v="16"/>
    <s v="L"/>
    <s v="Black"/>
    <s v="Fall"/>
    <n v="4"/>
    <s v="Yes"/>
    <s v="Yes"/>
    <n v="9"/>
    <s v="Bank Transfer"/>
    <s v="Weekly"/>
    <m/>
  </r>
  <r>
    <n v="252"/>
    <x v="3"/>
    <x v="0"/>
    <s v="Handbag"/>
    <s v="Accessories"/>
    <n v="51"/>
    <x v="5"/>
    <s v="XL"/>
    <s v="Gold"/>
    <s v="Winter"/>
    <n v="2.5"/>
    <s v="Yes"/>
    <s v="Yes"/>
    <n v="34"/>
    <s v="PayPal"/>
    <s v="Annually"/>
    <m/>
  </r>
  <r>
    <n v="253"/>
    <x v="45"/>
    <x v="0"/>
    <s v="Shorts"/>
    <s v="Clothing"/>
    <n v="41"/>
    <x v="12"/>
    <s v="M"/>
    <s v="Violet"/>
    <s v="Summer"/>
    <n v="3.9"/>
    <s v="Yes"/>
    <s v="Yes"/>
    <n v="33"/>
    <s v="Venmo"/>
    <s v="Fortnightly"/>
    <m/>
  </r>
  <r>
    <n v="254"/>
    <x v="16"/>
    <x v="0"/>
    <s v="Boots"/>
    <s v="Footwear"/>
    <n v="73"/>
    <x v="19"/>
    <s v="L"/>
    <s v="Cyan"/>
    <s v="Winter"/>
    <n v="4.9000000000000004"/>
    <s v="Yes"/>
    <s v="Yes"/>
    <n v="15"/>
    <s v="Bank Transfer"/>
    <s v="Bi-Weekly"/>
    <m/>
  </r>
  <r>
    <n v="255"/>
    <x v="29"/>
    <x v="0"/>
    <s v="Sunglasses"/>
    <s v="Accessories"/>
    <n v="42"/>
    <x v="27"/>
    <s v="M"/>
    <s v="White"/>
    <s v="Winter"/>
    <n v="3.5"/>
    <s v="Yes"/>
    <s v="Yes"/>
    <n v="4"/>
    <s v="PayPal"/>
    <s v="Bi-Weekly"/>
    <m/>
  </r>
  <r>
    <n v="256"/>
    <x v="49"/>
    <x v="0"/>
    <s v="Scarf"/>
    <s v="Accessories"/>
    <n v="20"/>
    <x v="33"/>
    <s v="M"/>
    <s v="Charcoal"/>
    <s v="Spring"/>
    <n v="4.2"/>
    <s v="Yes"/>
    <s v="Yes"/>
    <n v="25"/>
    <s v="Debit Card"/>
    <s v="Annually"/>
    <m/>
  </r>
  <r>
    <n v="257"/>
    <x v="44"/>
    <x v="0"/>
    <s v="Jewelry"/>
    <s v="Accessories"/>
    <n v="30"/>
    <x v="45"/>
    <s v="XL"/>
    <s v="Violet"/>
    <s v="Spring"/>
    <n v="4.7"/>
    <s v="Yes"/>
    <s v="Yes"/>
    <n v="20"/>
    <s v="Credit Card"/>
    <s v="Every 3 Months"/>
    <m/>
  </r>
  <r>
    <n v="258"/>
    <x v="30"/>
    <x v="0"/>
    <s v="Handbag"/>
    <s v="Accessories"/>
    <n v="53"/>
    <x v="8"/>
    <s v="M"/>
    <s v="Red"/>
    <s v="Summer"/>
    <n v="4.5"/>
    <s v="Yes"/>
    <s v="Yes"/>
    <n v="5"/>
    <s v="Credit Card"/>
    <s v="Quarterly"/>
    <m/>
  </r>
  <r>
    <n v="259"/>
    <x v="12"/>
    <x v="0"/>
    <s v="Gloves"/>
    <s v="Accessories"/>
    <n v="74"/>
    <x v="15"/>
    <s v="S"/>
    <s v="Lavender"/>
    <s v="Spring"/>
    <n v="2.8"/>
    <s v="Yes"/>
    <s v="Yes"/>
    <n v="16"/>
    <s v="Cash"/>
    <s v="Quarterly"/>
    <m/>
  </r>
  <r>
    <n v="260"/>
    <x v="45"/>
    <x v="0"/>
    <s v="Jeans"/>
    <s v="Clothing"/>
    <n v="57"/>
    <x v="7"/>
    <s v="M"/>
    <s v="Gold"/>
    <s v="Fall"/>
    <n v="2.9"/>
    <s v="Yes"/>
    <s v="Yes"/>
    <n v="13"/>
    <s v="Debit Card"/>
    <s v="Annually"/>
    <m/>
  </r>
  <r>
    <n v="261"/>
    <x v="21"/>
    <x v="0"/>
    <s v="Hat"/>
    <s v="Accessories"/>
    <n v="57"/>
    <x v="6"/>
    <s v="S"/>
    <s v="Red"/>
    <s v="Winter"/>
    <n v="3.2"/>
    <s v="Yes"/>
    <s v="Yes"/>
    <n v="11"/>
    <s v="Credit Card"/>
    <s v="Every 3 Months"/>
    <m/>
  </r>
  <r>
    <n v="262"/>
    <x v="3"/>
    <x v="0"/>
    <s v="Jeans"/>
    <s v="Clothing"/>
    <n v="77"/>
    <x v="18"/>
    <s v="L"/>
    <s v="Magenta"/>
    <s v="Winter"/>
    <n v="4.9000000000000004"/>
    <s v="Yes"/>
    <s v="Yes"/>
    <n v="21"/>
    <s v="Credit Card"/>
    <s v="Annually"/>
    <m/>
  </r>
  <r>
    <n v="263"/>
    <x v="43"/>
    <x v="0"/>
    <s v="Pants"/>
    <s v="Clothing"/>
    <n v="40"/>
    <x v="11"/>
    <s v="M"/>
    <s v="Teal"/>
    <s v="Summer"/>
    <n v="3.7"/>
    <s v="Yes"/>
    <s v="Yes"/>
    <n v="6"/>
    <s v="Debit Card"/>
    <s v="Annually"/>
    <m/>
  </r>
  <r>
    <n v="264"/>
    <x v="7"/>
    <x v="0"/>
    <s v="Shorts"/>
    <s v="Clothing"/>
    <n v="46"/>
    <x v="44"/>
    <s v="M"/>
    <s v="Purple"/>
    <s v="Summer"/>
    <n v="4.3"/>
    <s v="Yes"/>
    <s v="Yes"/>
    <n v="29"/>
    <s v="Venmo"/>
    <s v="Monthly"/>
    <m/>
  </r>
  <r>
    <n v="265"/>
    <x v="24"/>
    <x v="0"/>
    <s v="Pants"/>
    <s v="Clothing"/>
    <n v="78"/>
    <x v="24"/>
    <s v="S"/>
    <s v="Charcoal"/>
    <s v="Fall"/>
    <n v="3.9"/>
    <s v="Yes"/>
    <s v="Yes"/>
    <n v="15"/>
    <s v="Cash"/>
    <s v="Annually"/>
    <m/>
  </r>
  <r>
    <n v="266"/>
    <x v="45"/>
    <x v="0"/>
    <s v="Backpack"/>
    <s v="Accessories"/>
    <n v="59"/>
    <x v="49"/>
    <s v="M"/>
    <s v="Gray"/>
    <s v="Spring"/>
    <n v="3.2"/>
    <s v="Yes"/>
    <s v="Yes"/>
    <n v="17"/>
    <s v="Bank Transfer"/>
    <s v="Bi-Weekly"/>
    <m/>
  </r>
  <r>
    <n v="267"/>
    <x v="47"/>
    <x v="0"/>
    <s v="Jewelry"/>
    <s v="Accessories"/>
    <n v="75"/>
    <x v="7"/>
    <s v="L"/>
    <s v="White"/>
    <s v="Summer"/>
    <n v="3.1"/>
    <s v="Yes"/>
    <s v="Yes"/>
    <n v="32"/>
    <s v="Credit Card"/>
    <s v="Weekly"/>
    <m/>
  </r>
  <r>
    <n v="268"/>
    <x v="14"/>
    <x v="0"/>
    <s v="Sweater"/>
    <s v="Clothing"/>
    <n v="54"/>
    <x v="33"/>
    <s v="M"/>
    <s v="Olive"/>
    <s v="Spring"/>
    <n v="3.9"/>
    <s v="Yes"/>
    <s v="Yes"/>
    <n v="42"/>
    <s v="Venmo"/>
    <s v="Annually"/>
    <m/>
  </r>
  <r>
    <n v="269"/>
    <x v="33"/>
    <x v="0"/>
    <s v="Shoes"/>
    <s v="Footwear"/>
    <n v="42"/>
    <x v="42"/>
    <s v="M"/>
    <s v="Charcoal"/>
    <s v="Spring"/>
    <n v="2.6"/>
    <s v="Yes"/>
    <s v="Yes"/>
    <n v="21"/>
    <s v="Cash"/>
    <s v="Monthly"/>
    <m/>
  </r>
  <r>
    <n v="270"/>
    <x v="33"/>
    <x v="0"/>
    <s v="Blouse"/>
    <s v="Clothing"/>
    <n v="44"/>
    <x v="42"/>
    <s v="M"/>
    <s v="Charcoal"/>
    <s v="Winter"/>
    <n v="3.3"/>
    <s v="Yes"/>
    <s v="Yes"/>
    <n v="9"/>
    <s v="Cash"/>
    <s v="Bi-Weekly"/>
    <m/>
  </r>
  <r>
    <n v="271"/>
    <x v="23"/>
    <x v="0"/>
    <s v="Jeans"/>
    <s v="Clothing"/>
    <n v="52"/>
    <x v="25"/>
    <s v="XL"/>
    <s v="Orange"/>
    <s v="Fall"/>
    <n v="4.5999999999999996"/>
    <s v="Yes"/>
    <s v="Yes"/>
    <n v="16"/>
    <s v="Bank Transfer"/>
    <s v="Annually"/>
    <m/>
  </r>
  <r>
    <n v="272"/>
    <x v="13"/>
    <x v="0"/>
    <s v="Sunglasses"/>
    <s v="Accessories"/>
    <n v="69"/>
    <x v="33"/>
    <s v="XL"/>
    <s v="Yellow"/>
    <s v="Summer"/>
    <n v="4.5999999999999996"/>
    <s v="Yes"/>
    <s v="Yes"/>
    <n v="42"/>
    <s v="Credit Card"/>
    <s v="Fortnightly"/>
    <m/>
  </r>
  <r>
    <n v="273"/>
    <x v="39"/>
    <x v="0"/>
    <s v="Jewelry"/>
    <s v="Accessories"/>
    <n v="26"/>
    <x v="4"/>
    <s v="M"/>
    <s v="Beige"/>
    <s v="Summer"/>
    <n v="4.4000000000000004"/>
    <s v="Yes"/>
    <s v="Yes"/>
    <n v="37"/>
    <s v="Debit Card"/>
    <s v="Bi-Weekly"/>
    <m/>
  </r>
  <r>
    <n v="274"/>
    <x v="28"/>
    <x v="0"/>
    <s v="Coat"/>
    <s v="Outerwear"/>
    <n v="33"/>
    <x v="25"/>
    <s v="S"/>
    <s v="Silver"/>
    <s v="Spring"/>
    <n v="4.2"/>
    <s v="Yes"/>
    <s v="Yes"/>
    <n v="32"/>
    <s v="Debit Card"/>
    <s v="Quarterly"/>
    <m/>
  </r>
  <r>
    <n v="275"/>
    <x v="35"/>
    <x v="0"/>
    <s v="Jewelry"/>
    <s v="Accessories"/>
    <n v="32"/>
    <x v="33"/>
    <s v="M"/>
    <s v="Indigo"/>
    <s v="Spring"/>
    <n v="3"/>
    <s v="Yes"/>
    <s v="Yes"/>
    <n v="28"/>
    <s v="Cash"/>
    <s v="Bi-Weekly"/>
    <m/>
  </r>
  <r>
    <n v="276"/>
    <x v="39"/>
    <x v="0"/>
    <s v="Backpack"/>
    <s v="Accessories"/>
    <n v="85"/>
    <x v="41"/>
    <s v="XL"/>
    <s v="Lavender"/>
    <s v="Winter"/>
    <n v="4"/>
    <s v="Yes"/>
    <s v="Yes"/>
    <n v="13"/>
    <s v="Credit Card"/>
    <s v="Weekly"/>
    <m/>
  </r>
  <r>
    <n v="277"/>
    <x v="15"/>
    <x v="0"/>
    <s v="Skirt"/>
    <s v="Clothing"/>
    <n v="30"/>
    <x v="45"/>
    <s v="XL"/>
    <s v="Turquoise"/>
    <s v="Fall"/>
    <n v="3.5"/>
    <s v="Yes"/>
    <s v="Yes"/>
    <n v="11"/>
    <s v="Bank Transfer"/>
    <s v="Fortnightly"/>
    <m/>
  </r>
  <r>
    <n v="278"/>
    <x v="26"/>
    <x v="0"/>
    <s v="Shirt"/>
    <s v="Clothing"/>
    <n v="29"/>
    <x v="42"/>
    <s v="M"/>
    <s v="Green"/>
    <s v="Winter"/>
    <n v="3"/>
    <s v="Yes"/>
    <s v="Yes"/>
    <n v="36"/>
    <s v="Bank Transfer"/>
    <s v="Bi-Weekly"/>
    <m/>
  </r>
  <r>
    <n v="279"/>
    <x v="9"/>
    <x v="0"/>
    <s v="Sweater"/>
    <s v="Clothing"/>
    <n v="95"/>
    <x v="11"/>
    <s v="M"/>
    <s v="Orange"/>
    <s v="Spring"/>
    <n v="3.7"/>
    <s v="Yes"/>
    <s v="Yes"/>
    <n v="23"/>
    <s v="Debit Card"/>
    <s v="Annually"/>
    <m/>
  </r>
  <r>
    <n v="280"/>
    <x v="51"/>
    <x v="0"/>
    <s v="Sneakers"/>
    <s v="Footwear"/>
    <n v="69"/>
    <x v="10"/>
    <s v="L"/>
    <s v="Turquoise"/>
    <s v="Summer"/>
    <n v="4"/>
    <s v="Yes"/>
    <s v="Yes"/>
    <n v="37"/>
    <s v="Bank Transfer"/>
    <s v="Monthly"/>
    <m/>
  </r>
  <r>
    <n v="281"/>
    <x v="4"/>
    <x v="0"/>
    <s v="Sandals"/>
    <s v="Footwear"/>
    <n v="69"/>
    <x v="6"/>
    <s v="S"/>
    <s v="Cyan"/>
    <s v="Fall"/>
    <n v="4.2"/>
    <s v="Yes"/>
    <s v="Yes"/>
    <n v="21"/>
    <s v="Cash"/>
    <s v="Bi-Weekly"/>
    <m/>
  </r>
  <r>
    <n v="282"/>
    <x v="21"/>
    <x v="0"/>
    <s v="Belt"/>
    <s v="Accessories"/>
    <n v="61"/>
    <x v="19"/>
    <s v="XL"/>
    <s v="Charcoal"/>
    <s v="Spring"/>
    <n v="2.5"/>
    <s v="Yes"/>
    <s v="Yes"/>
    <n v="22"/>
    <s v="Debit Card"/>
    <s v="Bi-Weekly"/>
    <m/>
  </r>
  <r>
    <n v="283"/>
    <x v="3"/>
    <x v="0"/>
    <s v="Skirt"/>
    <s v="Clothing"/>
    <n v="94"/>
    <x v="46"/>
    <s v="M"/>
    <s v="Teal"/>
    <s v="Summer"/>
    <n v="3"/>
    <s v="Yes"/>
    <s v="Yes"/>
    <n v="9"/>
    <s v="Cash"/>
    <s v="Monthly"/>
    <m/>
  </r>
  <r>
    <n v="284"/>
    <x v="45"/>
    <x v="0"/>
    <s v="Sweater"/>
    <s v="Clothing"/>
    <n v="30"/>
    <x v="6"/>
    <s v="S"/>
    <s v="Maroon"/>
    <s v="Fall"/>
    <n v="3.2"/>
    <s v="Yes"/>
    <s v="Yes"/>
    <n v="16"/>
    <s v="Venmo"/>
    <s v="Annually"/>
    <m/>
  </r>
  <r>
    <n v="285"/>
    <x v="6"/>
    <x v="0"/>
    <s v="Skirt"/>
    <s v="Clothing"/>
    <n v="45"/>
    <x v="31"/>
    <s v="M"/>
    <s v="Red"/>
    <s v="Summer"/>
    <n v="3.5"/>
    <s v="Yes"/>
    <s v="Yes"/>
    <n v="4"/>
    <s v="PayPal"/>
    <s v="Quarterly"/>
    <m/>
  </r>
  <r>
    <n v="286"/>
    <x v="26"/>
    <x v="0"/>
    <s v="Handbag"/>
    <s v="Accessories"/>
    <n v="39"/>
    <x v="0"/>
    <s v="XL"/>
    <s v="Yellow"/>
    <s v="Summer"/>
    <n v="4.8"/>
    <s v="Yes"/>
    <s v="Yes"/>
    <n v="3"/>
    <s v="Debit Card"/>
    <s v="Bi-Weekly"/>
    <m/>
  </r>
  <r>
    <n v="287"/>
    <x v="7"/>
    <x v="0"/>
    <s v="Jewelry"/>
    <s v="Accessories"/>
    <n v="51"/>
    <x v="43"/>
    <s v="L"/>
    <s v="Gray"/>
    <s v="Summer"/>
    <n v="2.6"/>
    <s v="Yes"/>
    <s v="Yes"/>
    <n v="6"/>
    <s v="Debit Card"/>
    <s v="Annually"/>
    <m/>
  </r>
  <r>
    <n v="288"/>
    <x v="19"/>
    <x v="0"/>
    <s v="Scarf"/>
    <s v="Accessories"/>
    <n v="37"/>
    <x v="12"/>
    <s v="L"/>
    <s v="Blue"/>
    <s v="Spring"/>
    <n v="3.4"/>
    <s v="Yes"/>
    <s v="Yes"/>
    <n v="18"/>
    <s v="Venmo"/>
    <s v="Fortnightly"/>
    <m/>
  </r>
  <r>
    <n v="289"/>
    <x v="11"/>
    <x v="0"/>
    <s v="T-shirt"/>
    <s v="Clothing"/>
    <n v="62"/>
    <x v="17"/>
    <s v="M"/>
    <s v="Lavender"/>
    <s v="Winter"/>
    <n v="3.7"/>
    <s v="Yes"/>
    <s v="Yes"/>
    <n v="34"/>
    <s v="Venmo"/>
    <s v="Bi-Weekly"/>
    <m/>
  </r>
  <r>
    <n v="290"/>
    <x v="34"/>
    <x v="0"/>
    <s v="Coat"/>
    <s v="Outerwear"/>
    <n v="85"/>
    <x v="14"/>
    <s v="M"/>
    <s v="Yellow"/>
    <s v="Fall"/>
    <n v="4.5"/>
    <s v="Yes"/>
    <s v="Yes"/>
    <n v="26"/>
    <s v="Credit Card"/>
    <s v="Monthly"/>
    <m/>
  </r>
  <r>
    <n v="291"/>
    <x v="44"/>
    <x v="0"/>
    <s v="T-shirt"/>
    <s v="Clothing"/>
    <n v="33"/>
    <x v="24"/>
    <s v="M"/>
    <s v="Indigo"/>
    <s v="Winter"/>
    <n v="3.7"/>
    <s v="Yes"/>
    <s v="Yes"/>
    <n v="50"/>
    <s v="PayPal"/>
    <s v="Weekly"/>
    <m/>
  </r>
  <r>
    <n v="292"/>
    <x v="9"/>
    <x v="0"/>
    <s v="Dress"/>
    <s v="Clothing"/>
    <n v="26"/>
    <x v="12"/>
    <s v="XL"/>
    <s v="Violet"/>
    <s v="Fall"/>
    <n v="3.3"/>
    <s v="Yes"/>
    <s v="Yes"/>
    <n v="40"/>
    <s v="Bank Transfer"/>
    <s v="Monthly"/>
    <m/>
  </r>
  <r>
    <n v="293"/>
    <x v="52"/>
    <x v="0"/>
    <s v="Shoes"/>
    <s v="Footwear"/>
    <n v="99"/>
    <x v="40"/>
    <s v="M"/>
    <s v="Green"/>
    <s v="Spring"/>
    <n v="4.7"/>
    <s v="Yes"/>
    <s v="Yes"/>
    <n v="24"/>
    <s v="Cash"/>
    <s v="Quarterly"/>
    <m/>
  </r>
  <r>
    <n v="294"/>
    <x v="28"/>
    <x v="0"/>
    <s v="Handbag"/>
    <s v="Accessories"/>
    <n v="39"/>
    <x v="39"/>
    <s v="M"/>
    <s v="White"/>
    <s v="Spring"/>
    <n v="2.7"/>
    <s v="Yes"/>
    <s v="Yes"/>
    <n v="33"/>
    <s v="PayPal"/>
    <s v="Annually"/>
    <m/>
  </r>
  <r>
    <n v="295"/>
    <x v="27"/>
    <x v="0"/>
    <s v="Skirt"/>
    <s v="Clothing"/>
    <n v="20"/>
    <x v="32"/>
    <s v="M"/>
    <s v="Gold"/>
    <s v="Spring"/>
    <n v="4.5999999999999996"/>
    <s v="Yes"/>
    <s v="Yes"/>
    <n v="19"/>
    <s v="Credit Card"/>
    <s v="Every 3 Months"/>
    <m/>
  </r>
  <r>
    <n v="296"/>
    <x v="10"/>
    <x v="0"/>
    <s v="Sunglasses"/>
    <s v="Accessories"/>
    <n v="42"/>
    <x v="8"/>
    <s v="M"/>
    <s v="Indigo"/>
    <s v="Winter"/>
    <n v="2.7"/>
    <s v="Yes"/>
    <s v="Yes"/>
    <n v="24"/>
    <s v="Credit Card"/>
    <s v="Quarterly"/>
    <m/>
  </r>
  <r>
    <n v="297"/>
    <x v="15"/>
    <x v="0"/>
    <s v="Sandals"/>
    <s v="Footwear"/>
    <n v="74"/>
    <x v="27"/>
    <s v="S"/>
    <s v="Lavender"/>
    <s v="Spring"/>
    <n v="4.8"/>
    <s v="Yes"/>
    <s v="Yes"/>
    <n v="19"/>
    <s v="Credit Card"/>
    <s v="Weekly"/>
    <m/>
  </r>
  <r>
    <n v="298"/>
    <x v="39"/>
    <x v="0"/>
    <s v="Shoes"/>
    <s v="Footwear"/>
    <n v="26"/>
    <x v="12"/>
    <s v="XL"/>
    <s v="Purple"/>
    <s v="Summer"/>
    <n v="4.4000000000000004"/>
    <s v="Yes"/>
    <s v="Yes"/>
    <n v="4"/>
    <s v="Credit Card"/>
    <s v="Bi-Weekly"/>
    <m/>
  </r>
  <r>
    <n v="299"/>
    <x v="28"/>
    <x v="0"/>
    <s v="T-shirt"/>
    <s v="Clothing"/>
    <n v="53"/>
    <x v="33"/>
    <s v="M"/>
    <s v="Lavender"/>
    <s v="Winter"/>
    <n v="4"/>
    <s v="Yes"/>
    <s v="Yes"/>
    <n v="11"/>
    <s v="Venmo"/>
    <s v="Every 3 Months"/>
    <m/>
  </r>
  <r>
    <n v="300"/>
    <x v="15"/>
    <x v="0"/>
    <s v="Sneakers"/>
    <s v="Footwear"/>
    <n v="80"/>
    <x v="38"/>
    <s v="M"/>
    <s v="Maroon"/>
    <s v="Summer"/>
    <n v="3.2"/>
    <s v="Yes"/>
    <s v="Yes"/>
    <n v="28"/>
    <s v="PayPal"/>
    <s v="Fortnightly"/>
    <m/>
  </r>
  <r>
    <n v="301"/>
    <x v="26"/>
    <x v="0"/>
    <s v="Hat"/>
    <s v="Accessories"/>
    <n v="98"/>
    <x v="44"/>
    <s v="M"/>
    <s v="Teal"/>
    <s v="Spring"/>
    <n v="4.4000000000000004"/>
    <s v="Yes"/>
    <s v="Yes"/>
    <n v="24"/>
    <s v="PayPal"/>
    <s v="Weekly"/>
    <m/>
  </r>
  <r>
    <n v="302"/>
    <x v="5"/>
    <x v="0"/>
    <s v="Skirt"/>
    <s v="Clothing"/>
    <n v="95"/>
    <x v="38"/>
    <s v="M"/>
    <s v="Green"/>
    <s v="Spring"/>
    <n v="3.8"/>
    <s v="Yes"/>
    <s v="Yes"/>
    <n v="25"/>
    <s v="Credit Card"/>
    <s v="Every 3 Months"/>
    <m/>
  </r>
  <r>
    <n v="303"/>
    <x v="43"/>
    <x v="0"/>
    <s v="Sweater"/>
    <s v="Clothing"/>
    <n v="44"/>
    <x v="12"/>
    <s v="L"/>
    <s v="Olive"/>
    <s v="Summer"/>
    <n v="3.6"/>
    <s v="Yes"/>
    <s v="Yes"/>
    <n v="27"/>
    <s v="Bank Transfer"/>
    <s v="Every 3 Months"/>
    <m/>
  </r>
  <r>
    <n v="304"/>
    <x v="30"/>
    <x v="0"/>
    <s v="Sandals"/>
    <s v="Footwear"/>
    <n v="60"/>
    <x v="4"/>
    <s v="M"/>
    <s v="Turquoise"/>
    <s v="Summer"/>
    <n v="3.3"/>
    <s v="Yes"/>
    <s v="Yes"/>
    <n v="49"/>
    <s v="Venmo"/>
    <s v="Weekly"/>
    <m/>
  </r>
  <r>
    <n v="305"/>
    <x v="37"/>
    <x v="0"/>
    <s v="Dress"/>
    <s v="Clothing"/>
    <n v="84"/>
    <x v="4"/>
    <s v="M"/>
    <s v="Green"/>
    <s v="Winter"/>
    <n v="3.4"/>
    <s v="Yes"/>
    <s v="Yes"/>
    <n v="45"/>
    <s v="Credit Card"/>
    <s v="Bi-Weekly"/>
    <m/>
  </r>
  <r>
    <n v="306"/>
    <x v="52"/>
    <x v="0"/>
    <s v="Sweater"/>
    <s v="Clothing"/>
    <n v="59"/>
    <x v="40"/>
    <s v="M"/>
    <s v="Teal"/>
    <s v="Fall"/>
    <n v="3.5"/>
    <s v="Yes"/>
    <s v="Yes"/>
    <n v="26"/>
    <s v="PayPal"/>
    <s v="Annually"/>
    <m/>
  </r>
  <r>
    <n v="307"/>
    <x v="8"/>
    <x v="0"/>
    <s v="Jacket"/>
    <s v="Outerwear"/>
    <n v="49"/>
    <x v="25"/>
    <s v="S"/>
    <s v="White"/>
    <s v="Summer"/>
    <n v="3.6"/>
    <s v="Yes"/>
    <s v="Yes"/>
    <n v="4"/>
    <s v="Cash"/>
    <s v="Annually"/>
    <m/>
  </r>
  <r>
    <n v="308"/>
    <x v="26"/>
    <x v="0"/>
    <s v="Gloves"/>
    <s v="Accessories"/>
    <n v="32"/>
    <x v="20"/>
    <s v="M"/>
    <s v="Orange"/>
    <s v="Winter"/>
    <n v="3.2"/>
    <s v="Yes"/>
    <s v="Yes"/>
    <n v="3"/>
    <s v="Credit Card"/>
    <s v="Every 3 Months"/>
    <m/>
  </r>
  <r>
    <n v="309"/>
    <x v="17"/>
    <x v="0"/>
    <s v="Handbag"/>
    <s v="Accessories"/>
    <n v="29"/>
    <x v="33"/>
    <s v="M"/>
    <s v="Beige"/>
    <s v="Fall"/>
    <n v="3.7"/>
    <s v="Yes"/>
    <s v="Yes"/>
    <n v="45"/>
    <s v="Venmo"/>
    <s v="Bi-Weekly"/>
    <m/>
  </r>
  <r>
    <n v="310"/>
    <x v="17"/>
    <x v="0"/>
    <s v="Dress"/>
    <s v="Clothing"/>
    <n v="22"/>
    <x v="46"/>
    <s v="M"/>
    <s v="Yellow"/>
    <s v="Spring"/>
    <n v="4.5"/>
    <s v="Yes"/>
    <s v="Yes"/>
    <n v="21"/>
    <s v="Cash"/>
    <s v="Fortnightly"/>
    <m/>
  </r>
  <r>
    <n v="311"/>
    <x v="19"/>
    <x v="0"/>
    <s v="Pants"/>
    <s v="Clothing"/>
    <n v="85"/>
    <x v="6"/>
    <s v="M"/>
    <s v="Charcoal"/>
    <s v="Winter"/>
    <n v="4.5999999999999996"/>
    <s v="Yes"/>
    <s v="Yes"/>
    <n v="50"/>
    <s v="Cash"/>
    <s v="Fortnightly"/>
    <m/>
  </r>
  <r>
    <n v="312"/>
    <x v="28"/>
    <x v="0"/>
    <s v="Jeans"/>
    <s v="Clothing"/>
    <n v="52"/>
    <x v="3"/>
    <s v="L"/>
    <s v="Silver"/>
    <s v="Winter"/>
    <n v="4.0999999999999996"/>
    <s v="Yes"/>
    <s v="Yes"/>
    <n v="19"/>
    <s v="Bank Transfer"/>
    <s v="Monthly"/>
    <m/>
  </r>
  <r>
    <n v="313"/>
    <x v="21"/>
    <x v="0"/>
    <s v="Pants"/>
    <s v="Clothing"/>
    <n v="89"/>
    <x v="2"/>
    <s v="L"/>
    <s v="Green"/>
    <s v="Spring"/>
    <n v="3.4"/>
    <s v="Yes"/>
    <s v="Yes"/>
    <n v="6"/>
    <s v="PayPal"/>
    <s v="Annually"/>
    <m/>
  </r>
  <r>
    <n v="314"/>
    <x v="32"/>
    <x v="0"/>
    <s v="Dress"/>
    <s v="Clothing"/>
    <n v="77"/>
    <x v="34"/>
    <s v="M"/>
    <s v="Pink"/>
    <s v="Spring"/>
    <n v="3.7"/>
    <s v="Yes"/>
    <s v="Yes"/>
    <n v="50"/>
    <s v="Credit Card"/>
    <s v="Every 3 Months"/>
    <m/>
  </r>
  <r>
    <n v="315"/>
    <x v="11"/>
    <x v="0"/>
    <s v="Pants"/>
    <s v="Clothing"/>
    <n v="24"/>
    <x v="32"/>
    <s v="M"/>
    <s v="Purple"/>
    <s v="Summer"/>
    <n v="3.3"/>
    <s v="Yes"/>
    <s v="Yes"/>
    <n v="17"/>
    <s v="Debit Card"/>
    <s v="Every 3 Months"/>
    <m/>
  </r>
  <r>
    <n v="316"/>
    <x v="17"/>
    <x v="0"/>
    <s v="Jewelry"/>
    <s v="Accessories"/>
    <n v="24"/>
    <x v="48"/>
    <s v="XL"/>
    <s v="Orange"/>
    <s v="Spring"/>
    <n v="4.5"/>
    <s v="Yes"/>
    <s v="Yes"/>
    <n v="24"/>
    <s v="Debit Card"/>
    <s v="Annually"/>
    <m/>
  </r>
  <r>
    <n v="317"/>
    <x v="24"/>
    <x v="0"/>
    <s v="Handbag"/>
    <s v="Accessories"/>
    <n v="22"/>
    <x v="18"/>
    <s v="M"/>
    <s v="Charcoal"/>
    <s v="Fall"/>
    <n v="3.3"/>
    <s v="Yes"/>
    <s v="Yes"/>
    <n v="46"/>
    <s v="Venmo"/>
    <s v="Monthly"/>
    <m/>
  </r>
  <r>
    <n v="318"/>
    <x v="44"/>
    <x v="0"/>
    <s v="Sweater"/>
    <s v="Clothing"/>
    <n v="82"/>
    <x v="8"/>
    <s v="L"/>
    <s v="Teal"/>
    <s v="Fall"/>
    <n v="4.3"/>
    <s v="Yes"/>
    <s v="Yes"/>
    <n v="42"/>
    <s v="Cash"/>
    <s v="Every 3 Months"/>
    <m/>
  </r>
  <r>
    <n v="319"/>
    <x v="4"/>
    <x v="0"/>
    <s v="Backpack"/>
    <s v="Accessories"/>
    <n v="67"/>
    <x v="45"/>
    <s v="M"/>
    <s v="Beige"/>
    <s v="Winter"/>
    <n v="2.5"/>
    <s v="Yes"/>
    <s v="Yes"/>
    <n v="10"/>
    <s v="Cash"/>
    <s v="Annually"/>
    <m/>
  </r>
  <r>
    <n v="320"/>
    <x v="36"/>
    <x v="0"/>
    <s v="Shorts"/>
    <s v="Clothing"/>
    <n v="74"/>
    <x v="1"/>
    <s v="XL"/>
    <s v="White"/>
    <s v="Spring"/>
    <n v="2.6"/>
    <s v="Yes"/>
    <s v="Yes"/>
    <n v="1"/>
    <s v="Cash"/>
    <s v="Every 3 Months"/>
    <m/>
  </r>
  <r>
    <n v="321"/>
    <x v="17"/>
    <x v="0"/>
    <s v="Jewelry"/>
    <s v="Accessories"/>
    <n v="72"/>
    <x v="23"/>
    <s v="L"/>
    <s v="White"/>
    <s v="Summer"/>
    <n v="4.9000000000000004"/>
    <s v="Yes"/>
    <s v="Yes"/>
    <n v="28"/>
    <s v="Debit Card"/>
    <s v="Quarterly"/>
    <m/>
  </r>
  <r>
    <n v="322"/>
    <x v="38"/>
    <x v="0"/>
    <s v="Sneakers"/>
    <s v="Footwear"/>
    <n v="36"/>
    <x v="34"/>
    <s v="L"/>
    <s v="Orange"/>
    <s v="Summer"/>
    <n v="4.7"/>
    <s v="Yes"/>
    <s v="Yes"/>
    <n v="48"/>
    <s v="Debit Card"/>
    <s v="Quarterly"/>
    <m/>
  </r>
  <r>
    <n v="323"/>
    <x v="38"/>
    <x v="0"/>
    <s v="Belt"/>
    <s v="Accessories"/>
    <n v="95"/>
    <x v="30"/>
    <s v="S"/>
    <s v="Cyan"/>
    <s v="Winter"/>
    <n v="3"/>
    <s v="Yes"/>
    <s v="Yes"/>
    <n v="47"/>
    <s v="Credit Card"/>
    <s v="Monthly"/>
    <m/>
  </r>
  <r>
    <n v="324"/>
    <x v="17"/>
    <x v="0"/>
    <s v="Hoodie"/>
    <s v="Clothing"/>
    <n v="78"/>
    <x v="30"/>
    <s v="M"/>
    <s v="Orange"/>
    <s v="Winter"/>
    <n v="3.5"/>
    <s v="Yes"/>
    <s v="Yes"/>
    <n v="29"/>
    <s v="PayPal"/>
    <s v="Bi-Weekly"/>
    <m/>
  </r>
  <r>
    <n v="325"/>
    <x v="43"/>
    <x v="0"/>
    <s v="Shirt"/>
    <s v="Clothing"/>
    <n v="82"/>
    <x v="5"/>
    <s v="M"/>
    <s v="Olive"/>
    <s v="Summer"/>
    <n v="4.8"/>
    <s v="Yes"/>
    <s v="Yes"/>
    <n v="37"/>
    <s v="Venmo"/>
    <s v="Quarterly"/>
    <m/>
  </r>
  <r>
    <n v="326"/>
    <x v="27"/>
    <x v="0"/>
    <s v="Pants"/>
    <s v="Clothing"/>
    <n v="70"/>
    <x v="34"/>
    <s v="M"/>
    <s v="Charcoal"/>
    <s v="Winter"/>
    <n v="4.3"/>
    <s v="Yes"/>
    <s v="Yes"/>
    <n v="38"/>
    <s v="Debit Card"/>
    <s v="Annually"/>
    <m/>
  </r>
  <r>
    <n v="327"/>
    <x v="46"/>
    <x v="0"/>
    <s v="Scarf"/>
    <s v="Accessories"/>
    <n v="41"/>
    <x v="32"/>
    <s v="M"/>
    <s v="White"/>
    <s v="Fall"/>
    <n v="3.2"/>
    <s v="Yes"/>
    <s v="Yes"/>
    <n v="48"/>
    <s v="Bank Transfer"/>
    <s v="Weekly"/>
    <m/>
  </r>
  <r>
    <n v="328"/>
    <x v="12"/>
    <x v="0"/>
    <s v="Coat"/>
    <s v="Outerwear"/>
    <n v="42"/>
    <x v="44"/>
    <s v="M"/>
    <s v="Teal"/>
    <s v="Summer"/>
    <n v="3.1"/>
    <s v="Yes"/>
    <s v="Yes"/>
    <n v="36"/>
    <s v="PayPal"/>
    <s v="Weekly"/>
    <m/>
  </r>
  <r>
    <n v="329"/>
    <x v="39"/>
    <x v="0"/>
    <s v="Coat"/>
    <s v="Outerwear"/>
    <n v="50"/>
    <x v="20"/>
    <s v="M"/>
    <s v="Yellow"/>
    <s v="Fall"/>
    <n v="2.8"/>
    <s v="Yes"/>
    <s v="Yes"/>
    <n v="9"/>
    <s v="Credit Card"/>
    <s v="Weekly"/>
    <m/>
  </r>
  <r>
    <n v="330"/>
    <x v="27"/>
    <x v="0"/>
    <s v="Socks"/>
    <s v="Clothing"/>
    <n v="31"/>
    <x v="22"/>
    <s v="S"/>
    <s v="White"/>
    <s v="Summer"/>
    <n v="2.9"/>
    <s v="Yes"/>
    <s v="Yes"/>
    <n v="34"/>
    <s v="Bank Transfer"/>
    <s v="Monthly"/>
    <m/>
  </r>
  <r>
    <n v="331"/>
    <x v="5"/>
    <x v="0"/>
    <s v="Sweater"/>
    <s v="Clothing"/>
    <n v="51"/>
    <x v="25"/>
    <s v="M"/>
    <s v="Beige"/>
    <s v="Winter"/>
    <n v="3.7"/>
    <s v="Yes"/>
    <s v="Yes"/>
    <n v="43"/>
    <s v="Venmo"/>
    <s v="Bi-Weekly"/>
    <m/>
  </r>
  <r>
    <n v="332"/>
    <x v="18"/>
    <x v="0"/>
    <s v="Shirt"/>
    <s v="Clothing"/>
    <n v="98"/>
    <x v="20"/>
    <s v="L"/>
    <s v="Beige"/>
    <s v="Fall"/>
    <n v="3.3"/>
    <s v="Yes"/>
    <s v="Yes"/>
    <n v="46"/>
    <s v="PayPal"/>
    <s v="Quarterly"/>
    <m/>
  </r>
  <r>
    <n v="333"/>
    <x v="1"/>
    <x v="0"/>
    <s v="Shirt"/>
    <s v="Clothing"/>
    <n v="86"/>
    <x v="14"/>
    <s v="M"/>
    <s v="Maroon"/>
    <s v="Winter"/>
    <n v="2.8"/>
    <s v="Yes"/>
    <s v="Yes"/>
    <n v="5"/>
    <s v="Credit Card"/>
    <s v="Monthly"/>
    <m/>
  </r>
  <r>
    <n v="334"/>
    <x v="31"/>
    <x v="0"/>
    <s v="Sweater"/>
    <s v="Clothing"/>
    <n v="64"/>
    <x v="29"/>
    <s v="M"/>
    <s v="Teal"/>
    <s v="Winter"/>
    <n v="4.5"/>
    <s v="Yes"/>
    <s v="Yes"/>
    <n v="15"/>
    <s v="Bank Transfer"/>
    <s v="Bi-Weekly"/>
    <m/>
  </r>
  <r>
    <n v="335"/>
    <x v="38"/>
    <x v="0"/>
    <s v="Blouse"/>
    <s v="Clothing"/>
    <n v="46"/>
    <x v="23"/>
    <s v="M"/>
    <s v="Lavender"/>
    <s v="Fall"/>
    <n v="2.6"/>
    <s v="Yes"/>
    <s v="Yes"/>
    <n v="30"/>
    <s v="Credit Card"/>
    <s v="Annually"/>
    <m/>
  </r>
  <r>
    <n v="336"/>
    <x v="30"/>
    <x v="0"/>
    <s v="Sweater"/>
    <s v="Clothing"/>
    <n v="85"/>
    <x v="4"/>
    <s v="L"/>
    <s v="Maroon"/>
    <s v="Spring"/>
    <n v="3.7"/>
    <s v="Yes"/>
    <s v="Yes"/>
    <n v="44"/>
    <s v="Venmo"/>
    <s v="Every 3 Months"/>
    <m/>
  </r>
  <r>
    <n v="337"/>
    <x v="24"/>
    <x v="0"/>
    <s v="Hat"/>
    <s v="Accessories"/>
    <n v="81"/>
    <x v="3"/>
    <s v="S"/>
    <s v="Orange"/>
    <s v="Fall"/>
    <n v="4.4000000000000004"/>
    <s v="Yes"/>
    <s v="Yes"/>
    <n v="16"/>
    <s v="PayPal"/>
    <s v="Annually"/>
    <m/>
  </r>
  <r>
    <n v="338"/>
    <x v="45"/>
    <x v="0"/>
    <s v="Sweater"/>
    <s v="Clothing"/>
    <n v="59"/>
    <x v="35"/>
    <s v="M"/>
    <s v="Cyan"/>
    <s v="Winter"/>
    <n v="4.3"/>
    <s v="Yes"/>
    <s v="Yes"/>
    <n v="16"/>
    <s v="Bank Transfer"/>
    <s v="Annually"/>
    <m/>
  </r>
  <r>
    <n v="339"/>
    <x v="28"/>
    <x v="0"/>
    <s v="Hoodie"/>
    <s v="Clothing"/>
    <n v="79"/>
    <x v="2"/>
    <s v="M"/>
    <s v="Silver"/>
    <s v="Winter"/>
    <n v="3.5"/>
    <s v="Yes"/>
    <s v="Yes"/>
    <n v="16"/>
    <s v="Cash"/>
    <s v="Weekly"/>
    <m/>
  </r>
  <r>
    <n v="340"/>
    <x v="37"/>
    <x v="0"/>
    <s v="Shorts"/>
    <s v="Clothing"/>
    <n v="33"/>
    <x v="38"/>
    <s v="M"/>
    <s v="Teal"/>
    <s v="Spring"/>
    <n v="3.8"/>
    <s v="Yes"/>
    <s v="Yes"/>
    <n v="21"/>
    <s v="Credit Card"/>
    <s v="Every 3 Months"/>
    <m/>
  </r>
  <r>
    <n v="341"/>
    <x v="37"/>
    <x v="0"/>
    <s v="Shorts"/>
    <s v="Clothing"/>
    <n v="47"/>
    <x v="32"/>
    <s v="L"/>
    <s v="Blue"/>
    <s v="Summer"/>
    <n v="3.5"/>
    <s v="Yes"/>
    <s v="Yes"/>
    <n v="39"/>
    <s v="Venmo"/>
    <s v="Every 3 Months"/>
    <m/>
  </r>
  <r>
    <n v="342"/>
    <x v="30"/>
    <x v="0"/>
    <s v="Hat"/>
    <s v="Accessories"/>
    <n v="20"/>
    <x v="40"/>
    <s v="S"/>
    <s v="Blue"/>
    <s v="Summer"/>
    <n v="4.5999999999999996"/>
    <s v="Yes"/>
    <s v="Yes"/>
    <n v="40"/>
    <s v="Debit Card"/>
    <s v="Bi-Weekly"/>
    <m/>
  </r>
  <r>
    <n v="343"/>
    <x v="14"/>
    <x v="0"/>
    <s v="Coat"/>
    <s v="Outerwear"/>
    <n v="36"/>
    <x v="0"/>
    <s v="M"/>
    <s v="Olive"/>
    <s v="Spring"/>
    <n v="2.6"/>
    <s v="Yes"/>
    <s v="Yes"/>
    <n v="48"/>
    <s v="Credit Card"/>
    <s v="Every 3 Months"/>
    <m/>
  </r>
  <r>
    <n v="344"/>
    <x v="7"/>
    <x v="0"/>
    <s v="Sandals"/>
    <s v="Footwear"/>
    <n v="39"/>
    <x v="43"/>
    <s v="M"/>
    <s v="Purple"/>
    <s v="Summer"/>
    <n v="4.4000000000000004"/>
    <s v="Yes"/>
    <s v="Yes"/>
    <n v="26"/>
    <s v="Venmo"/>
    <s v="Monthly"/>
    <m/>
  </r>
  <r>
    <n v="345"/>
    <x v="41"/>
    <x v="0"/>
    <s v="Skirt"/>
    <s v="Clothing"/>
    <n v="71"/>
    <x v="41"/>
    <s v="M"/>
    <s v="Charcoal"/>
    <s v="Winter"/>
    <n v="4"/>
    <s v="Yes"/>
    <s v="Yes"/>
    <n v="46"/>
    <s v="Debit Card"/>
    <s v="Monthly"/>
    <m/>
  </r>
  <r>
    <n v="346"/>
    <x v="39"/>
    <x v="0"/>
    <s v="Shoes"/>
    <s v="Footwear"/>
    <n v="59"/>
    <x v="5"/>
    <s v="S"/>
    <s v="Olive"/>
    <s v="Winter"/>
    <n v="4.4000000000000004"/>
    <s v="Yes"/>
    <s v="Yes"/>
    <n v="27"/>
    <s v="Bank Transfer"/>
    <s v="Annually"/>
    <m/>
  </r>
  <r>
    <n v="347"/>
    <x v="34"/>
    <x v="0"/>
    <s v="Jeans"/>
    <s v="Clothing"/>
    <n v="50"/>
    <x v="35"/>
    <s v="L"/>
    <s v="Violet"/>
    <s v="Spring"/>
    <n v="4.7"/>
    <s v="Yes"/>
    <s v="Yes"/>
    <n v="5"/>
    <s v="Cash"/>
    <s v="Weekly"/>
    <m/>
  </r>
  <r>
    <n v="348"/>
    <x v="24"/>
    <x v="0"/>
    <s v="Sandals"/>
    <s v="Footwear"/>
    <n v="41"/>
    <x v="4"/>
    <s v="L"/>
    <s v="Red"/>
    <s v="Fall"/>
    <n v="3.9"/>
    <s v="Yes"/>
    <s v="Yes"/>
    <n v="43"/>
    <s v="PayPal"/>
    <s v="Fortnightly"/>
    <m/>
  </r>
  <r>
    <n v="349"/>
    <x v="19"/>
    <x v="0"/>
    <s v="Blouse"/>
    <s v="Clothing"/>
    <n v="59"/>
    <x v="36"/>
    <s v="M"/>
    <s v="Beige"/>
    <s v="Fall"/>
    <n v="2.7"/>
    <s v="Yes"/>
    <s v="Yes"/>
    <n v="17"/>
    <s v="PayPal"/>
    <s v="Fortnightly"/>
    <m/>
  </r>
  <r>
    <n v="350"/>
    <x v="43"/>
    <x v="0"/>
    <s v="Hat"/>
    <s v="Accessories"/>
    <n v="87"/>
    <x v="28"/>
    <s v="M"/>
    <s v="Green"/>
    <s v="Winter"/>
    <n v="3.7"/>
    <s v="Yes"/>
    <s v="Yes"/>
    <n v="3"/>
    <s v="Bank Transfer"/>
    <s v="Bi-Weekly"/>
    <m/>
  </r>
  <r>
    <n v="351"/>
    <x v="32"/>
    <x v="0"/>
    <s v="Sweater"/>
    <s v="Clothing"/>
    <n v="68"/>
    <x v="0"/>
    <s v="M"/>
    <s v="Violet"/>
    <s v="Spring"/>
    <n v="2.6"/>
    <s v="Yes"/>
    <s v="Yes"/>
    <n v="47"/>
    <s v="Bank Transfer"/>
    <s v="Fortnightly"/>
    <m/>
  </r>
  <r>
    <n v="352"/>
    <x v="48"/>
    <x v="0"/>
    <s v="Skirt"/>
    <s v="Clothing"/>
    <n v="90"/>
    <x v="14"/>
    <s v="M"/>
    <s v="Teal"/>
    <s v="Winter"/>
    <n v="3.9"/>
    <s v="Yes"/>
    <s v="Yes"/>
    <n v="24"/>
    <s v="Debit Card"/>
    <s v="Bi-Weekly"/>
    <m/>
  </r>
  <r>
    <n v="353"/>
    <x v="7"/>
    <x v="0"/>
    <s v="Jeans"/>
    <s v="Clothing"/>
    <n v="71"/>
    <x v="21"/>
    <s v="XL"/>
    <s v="Yellow"/>
    <s v="Fall"/>
    <n v="4.9000000000000004"/>
    <s v="Yes"/>
    <s v="Yes"/>
    <n v="12"/>
    <s v="Cash"/>
    <s v="Every 3 Months"/>
    <m/>
  </r>
  <r>
    <n v="354"/>
    <x v="6"/>
    <x v="0"/>
    <s v="Sneakers"/>
    <s v="Footwear"/>
    <n v="64"/>
    <x v="9"/>
    <s v="L"/>
    <s v="Yellow"/>
    <s v="Fall"/>
    <n v="4.0999999999999996"/>
    <s v="Yes"/>
    <s v="Yes"/>
    <n v="35"/>
    <s v="Debit Card"/>
    <s v="Monthly"/>
    <m/>
  </r>
  <r>
    <n v="355"/>
    <x v="44"/>
    <x v="0"/>
    <s v="Jewelry"/>
    <s v="Accessories"/>
    <n v="76"/>
    <x v="38"/>
    <s v="S"/>
    <s v="Olive"/>
    <s v="Fall"/>
    <n v="3"/>
    <s v="Yes"/>
    <s v="Yes"/>
    <n v="42"/>
    <s v="Venmo"/>
    <s v="Weekly"/>
    <m/>
  </r>
  <r>
    <n v="356"/>
    <x v="43"/>
    <x v="0"/>
    <s v="Jewelry"/>
    <s v="Accessories"/>
    <n v="42"/>
    <x v="4"/>
    <s v="XL"/>
    <s v="Magenta"/>
    <s v="Fall"/>
    <n v="4.0999999999999996"/>
    <s v="Yes"/>
    <s v="Yes"/>
    <n v="1"/>
    <s v="PayPal"/>
    <s v="Every 3 Months"/>
    <m/>
  </r>
  <r>
    <n v="357"/>
    <x v="19"/>
    <x v="0"/>
    <s v="Pants"/>
    <s v="Clothing"/>
    <n v="80"/>
    <x v="22"/>
    <s v="L"/>
    <s v="Black"/>
    <s v="Spring"/>
    <n v="3.8"/>
    <s v="Yes"/>
    <s v="Yes"/>
    <n v="27"/>
    <s v="Cash"/>
    <s v="Weekly"/>
    <m/>
  </r>
  <r>
    <n v="358"/>
    <x v="20"/>
    <x v="0"/>
    <s v="Belt"/>
    <s v="Accessories"/>
    <n v="56"/>
    <x v="10"/>
    <s v="M"/>
    <s v="Olive"/>
    <s v="Spring"/>
    <n v="4"/>
    <s v="Yes"/>
    <s v="Yes"/>
    <n v="16"/>
    <s v="Credit Card"/>
    <s v="Bi-Weekly"/>
    <m/>
  </r>
  <r>
    <n v="359"/>
    <x v="39"/>
    <x v="0"/>
    <s v="Hat"/>
    <s v="Accessories"/>
    <n v="25"/>
    <x v="46"/>
    <s v="XL"/>
    <s v="Magenta"/>
    <s v="Summer"/>
    <n v="3.6"/>
    <s v="Yes"/>
    <s v="Yes"/>
    <n v="36"/>
    <s v="Credit Card"/>
    <s v="Every 3 Months"/>
    <m/>
  </r>
  <r>
    <n v="360"/>
    <x v="18"/>
    <x v="0"/>
    <s v="Sneakers"/>
    <s v="Footwear"/>
    <n v="74"/>
    <x v="42"/>
    <s v="M"/>
    <s v="Olive"/>
    <s v="Winter"/>
    <n v="3"/>
    <s v="Yes"/>
    <s v="Yes"/>
    <n v="30"/>
    <s v="Credit Card"/>
    <s v="Every 3 Months"/>
    <m/>
  </r>
  <r>
    <n v="361"/>
    <x v="47"/>
    <x v="0"/>
    <s v="Pants"/>
    <s v="Clothing"/>
    <n v="30"/>
    <x v="3"/>
    <s v="M"/>
    <s v="Teal"/>
    <s v="Summer"/>
    <n v="3"/>
    <s v="Yes"/>
    <s v="Yes"/>
    <n v="18"/>
    <s v="Debit Card"/>
    <s v="Fortnightly"/>
    <m/>
  </r>
  <r>
    <n v="362"/>
    <x v="13"/>
    <x v="0"/>
    <s v="T-shirt"/>
    <s v="Clothing"/>
    <n v="96"/>
    <x v="22"/>
    <s v="M"/>
    <s v="White"/>
    <s v="Spring"/>
    <n v="2.6"/>
    <s v="Yes"/>
    <s v="Yes"/>
    <n v="45"/>
    <s v="Cash"/>
    <s v="Annually"/>
    <m/>
  </r>
  <r>
    <n v="363"/>
    <x v="10"/>
    <x v="0"/>
    <s v="Sneakers"/>
    <s v="Footwear"/>
    <n v="64"/>
    <x v="21"/>
    <s v="M"/>
    <s v="Charcoal"/>
    <s v="Fall"/>
    <n v="3.4"/>
    <s v="Yes"/>
    <s v="Yes"/>
    <n v="1"/>
    <s v="Venmo"/>
    <s v="Fortnightly"/>
    <m/>
  </r>
  <r>
    <n v="364"/>
    <x v="0"/>
    <x v="0"/>
    <s v="Shorts"/>
    <s v="Clothing"/>
    <n v="88"/>
    <x v="20"/>
    <s v="L"/>
    <s v="Yellow"/>
    <s v="Winter"/>
    <n v="3.1"/>
    <s v="Yes"/>
    <s v="Yes"/>
    <n v="42"/>
    <s v="Bank Transfer"/>
    <s v="Fortnightly"/>
    <m/>
  </r>
  <r>
    <n v="365"/>
    <x v="46"/>
    <x v="0"/>
    <s v="Shoes"/>
    <s v="Footwear"/>
    <n v="88"/>
    <x v="25"/>
    <s v="L"/>
    <s v="Charcoal"/>
    <s v="Summer"/>
    <n v="3"/>
    <s v="Yes"/>
    <s v="Yes"/>
    <n v="7"/>
    <s v="Venmo"/>
    <s v="Every 3 Months"/>
    <m/>
  </r>
  <r>
    <n v="366"/>
    <x v="0"/>
    <x v="0"/>
    <s v="Gloves"/>
    <s v="Accessories"/>
    <n v="88"/>
    <x v="8"/>
    <s v="XL"/>
    <s v="Gray"/>
    <s v="Summer"/>
    <n v="3.7"/>
    <s v="Yes"/>
    <s v="Yes"/>
    <n v="50"/>
    <s v="PayPal"/>
    <s v="Quarterly"/>
    <m/>
  </r>
  <r>
    <n v="367"/>
    <x v="14"/>
    <x v="0"/>
    <s v="Socks"/>
    <s v="Clothing"/>
    <n v="36"/>
    <x v="43"/>
    <s v="M"/>
    <s v="Turquoise"/>
    <s v="Spring"/>
    <n v="3.5"/>
    <s v="Yes"/>
    <s v="Yes"/>
    <n v="37"/>
    <s v="Venmo"/>
    <s v="Fortnightly"/>
    <m/>
  </r>
  <r>
    <n v="368"/>
    <x v="16"/>
    <x v="0"/>
    <s v="Dress"/>
    <s v="Clothing"/>
    <n v="40"/>
    <x v="30"/>
    <s v="XL"/>
    <s v="Cyan"/>
    <s v="Spring"/>
    <n v="2.8"/>
    <s v="Yes"/>
    <s v="Yes"/>
    <n v="18"/>
    <s v="Bank Transfer"/>
    <s v="Monthly"/>
    <m/>
  </r>
  <r>
    <n v="369"/>
    <x v="41"/>
    <x v="0"/>
    <s v="Handbag"/>
    <s v="Accessories"/>
    <n v="39"/>
    <x v="19"/>
    <s v="M"/>
    <s v="Charcoal"/>
    <s v="Spring"/>
    <n v="4.5"/>
    <s v="Yes"/>
    <s v="Yes"/>
    <n v="29"/>
    <s v="Cash"/>
    <s v="Monthly"/>
    <m/>
  </r>
  <r>
    <n v="370"/>
    <x v="21"/>
    <x v="0"/>
    <s v="Belt"/>
    <s v="Accessories"/>
    <n v="40"/>
    <x v="48"/>
    <s v="M"/>
    <s v="Silver"/>
    <s v="Summer"/>
    <n v="3.3"/>
    <s v="Yes"/>
    <s v="Yes"/>
    <n v="45"/>
    <s v="PayPal"/>
    <s v="Quarterly"/>
    <m/>
  </r>
  <r>
    <n v="371"/>
    <x v="35"/>
    <x v="0"/>
    <s v="Scarf"/>
    <s v="Accessories"/>
    <n v="34"/>
    <x v="4"/>
    <s v="M"/>
    <s v="Olive"/>
    <s v="Winter"/>
    <n v="3.4"/>
    <s v="Yes"/>
    <s v="Yes"/>
    <n v="13"/>
    <s v="PayPal"/>
    <s v="Weekly"/>
    <m/>
  </r>
  <r>
    <n v="372"/>
    <x v="7"/>
    <x v="0"/>
    <s v="Sneakers"/>
    <s v="Footwear"/>
    <n v="83"/>
    <x v="17"/>
    <s v="S"/>
    <s v="Pink"/>
    <s v="Winter"/>
    <n v="3.2"/>
    <s v="Yes"/>
    <s v="Yes"/>
    <n v="47"/>
    <s v="PayPal"/>
    <s v="Monthly"/>
    <m/>
  </r>
  <r>
    <n v="373"/>
    <x v="41"/>
    <x v="0"/>
    <s v="Sweater"/>
    <s v="Clothing"/>
    <n v="85"/>
    <x v="38"/>
    <s v="L"/>
    <s v="Orange"/>
    <s v="Summer"/>
    <n v="3.7"/>
    <s v="Yes"/>
    <s v="Yes"/>
    <n v="7"/>
    <s v="Debit Card"/>
    <s v="Weekly"/>
    <m/>
  </r>
  <r>
    <n v="374"/>
    <x v="51"/>
    <x v="0"/>
    <s v="Coat"/>
    <s v="Outerwear"/>
    <n v="27"/>
    <x v="25"/>
    <s v="L"/>
    <s v="White"/>
    <s v="Summer"/>
    <n v="4.5999999999999996"/>
    <s v="Yes"/>
    <s v="Yes"/>
    <n v="11"/>
    <s v="Venmo"/>
    <s v="Bi-Weekly"/>
    <m/>
  </r>
  <r>
    <n v="375"/>
    <x v="28"/>
    <x v="0"/>
    <s v="Jewelry"/>
    <s v="Accessories"/>
    <n v="78"/>
    <x v="31"/>
    <s v="S"/>
    <s v="Purple"/>
    <s v="Spring"/>
    <n v="5"/>
    <s v="Yes"/>
    <s v="Yes"/>
    <n v="39"/>
    <s v="Bank Transfer"/>
    <s v="Monthly"/>
    <m/>
  </r>
  <r>
    <n v="376"/>
    <x v="35"/>
    <x v="0"/>
    <s v="Sunglasses"/>
    <s v="Accessories"/>
    <n v="32"/>
    <x v="19"/>
    <s v="M"/>
    <s v="Olive"/>
    <s v="Summer"/>
    <n v="4.4000000000000004"/>
    <s v="Yes"/>
    <s v="Yes"/>
    <n v="6"/>
    <s v="Debit Card"/>
    <s v="Quarterly"/>
    <m/>
  </r>
  <r>
    <n v="377"/>
    <x v="47"/>
    <x v="0"/>
    <s v="Shoes"/>
    <s v="Footwear"/>
    <n v="51"/>
    <x v="36"/>
    <s v="S"/>
    <s v="Gray"/>
    <s v="Fall"/>
    <n v="4.9000000000000004"/>
    <s v="Yes"/>
    <s v="Yes"/>
    <n v="2"/>
    <s v="Venmo"/>
    <s v="Bi-Weekly"/>
    <m/>
  </r>
  <r>
    <n v="378"/>
    <x v="6"/>
    <x v="0"/>
    <s v="Scarf"/>
    <s v="Accessories"/>
    <n v="32"/>
    <x v="1"/>
    <s v="M"/>
    <s v="Silver"/>
    <s v="Spring"/>
    <n v="4.0999999999999996"/>
    <s v="Yes"/>
    <s v="Yes"/>
    <n v="39"/>
    <s v="Credit Card"/>
    <s v="Every 3 Months"/>
    <m/>
  </r>
  <r>
    <n v="379"/>
    <x v="22"/>
    <x v="0"/>
    <s v="Dress"/>
    <s v="Clothing"/>
    <n v="62"/>
    <x v="22"/>
    <s v="L"/>
    <s v="Orange"/>
    <s v="Winter"/>
    <n v="4.9000000000000004"/>
    <s v="Yes"/>
    <s v="Yes"/>
    <n v="23"/>
    <s v="Credit Card"/>
    <s v="Monthly"/>
    <m/>
  </r>
  <r>
    <n v="380"/>
    <x v="45"/>
    <x v="0"/>
    <s v="T-shirt"/>
    <s v="Clothing"/>
    <n v="29"/>
    <x v="6"/>
    <s v="S"/>
    <s v="Magenta"/>
    <s v="Fall"/>
    <n v="4.7"/>
    <s v="Yes"/>
    <s v="Yes"/>
    <n v="46"/>
    <s v="Debit Card"/>
    <s v="Bi-Weekly"/>
    <m/>
  </r>
  <r>
    <n v="381"/>
    <x v="31"/>
    <x v="0"/>
    <s v="Backpack"/>
    <s v="Accessories"/>
    <n v="69"/>
    <x v="13"/>
    <s v="XL"/>
    <s v="Beige"/>
    <s v="Fall"/>
    <n v="3"/>
    <s v="Yes"/>
    <s v="Yes"/>
    <n v="19"/>
    <s v="Bank Transfer"/>
    <s v="Weekly"/>
    <m/>
  </r>
  <r>
    <n v="382"/>
    <x v="17"/>
    <x v="0"/>
    <s v="Jewelry"/>
    <s v="Accessories"/>
    <n v="25"/>
    <x v="1"/>
    <s v="L"/>
    <s v="Lavender"/>
    <s v="Winter"/>
    <n v="3.4"/>
    <s v="Yes"/>
    <s v="Yes"/>
    <n v="3"/>
    <s v="Credit Card"/>
    <s v="Every 3 Months"/>
    <m/>
  </r>
  <r>
    <n v="383"/>
    <x v="48"/>
    <x v="0"/>
    <s v="Jeans"/>
    <s v="Clothing"/>
    <n v="76"/>
    <x v="18"/>
    <s v="M"/>
    <s v="Peach"/>
    <s v="Winter"/>
    <n v="3.2"/>
    <s v="Yes"/>
    <s v="Yes"/>
    <n v="47"/>
    <s v="PayPal"/>
    <s v="Quarterly"/>
    <m/>
  </r>
  <r>
    <n v="384"/>
    <x v="2"/>
    <x v="0"/>
    <s v="Sunglasses"/>
    <s v="Accessories"/>
    <n v="77"/>
    <x v="8"/>
    <s v="S"/>
    <s v="Magenta"/>
    <s v="Fall"/>
    <n v="2.9"/>
    <s v="Yes"/>
    <s v="Yes"/>
    <n v="6"/>
    <s v="PayPal"/>
    <s v="Quarterly"/>
    <m/>
  </r>
  <r>
    <n v="385"/>
    <x v="27"/>
    <x v="0"/>
    <s v="Sweater"/>
    <s v="Clothing"/>
    <n v="33"/>
    <x v="18"/>
    <s v="M"/>
    <s v="Beige"/>
    <s v="Fall"/>
    <n v="4.5"/>
    <s v="Yes"/>
    <s v="Yes"/>
    <n v="6"/>
    <s v="Venmo"/>
    <s v="Annually"/>
    <m/>
  </r>
  <r>
    <n v="386"/>
    <x v="29"/>
    <x v="0"/>
    <s v="Shorts"/>
    <s v="Clothing"/>
    <n v="93"/>
    <x v="8"/>
    <s v="S"/>
    <s v="Yellow"/>
    <s v="Fall"/>
    <n v="2.7"/>
    <s v="Yes"/>
    <s v="Yes"/>
    <n v="12"/>
    <s v="Credit Card"/>
    <s v="Bi-Weekly"/>
    <m/>
  </r>
  <r>
    <n v="387"/>
    <x v="14"/>
    <x v="0"/>
    <s v="Jewelry"/>
    <s v="Accessories"/>
    <n v="39"/>
    <x v="7"/>
    <s v="L"/>
    <s v="Brown"/>
    <s v="Spring"/>
    <n v="3.4"/>
    <s v="Yes"/>
    <s v="Yes"/>
    <n v="40"/>
    <s v="PayPal"/>
    <s v="Quarterly"/>
    <m/>
  </r>
  <r>
    <n v="388"/>
    <x v="4"/>
    <x v="0"/>
    <s v="Coat"/>
    <s v="Outerwear"/>
    <n v="93"/>
    <x v="42"/>
    <s v="L"/>
    <s v="Silver"/>
    <s v="Summer"/>
    <n v="4.5999999999999996"/>
    <s v="Yes"/>
    <s v="Yes"/>
    <n v="38"/>
    <s v="PayPal"/>
    <s v="Fortnightly"/>
    <m/>
  </r>
  <r>
    <n v="389"/>
    <x v="40"/>
    <x v="0"/>
    <s v="Handbag"/>
    <s v="Accessories"/>
    <n v="82"/>
    <x v="47"/>
    <s v="M"/>
    <s v="Orange"/>
    <s v="Summer"/>
    <n v="2.7"/>
    <s v="Yes"/>
    <s v="Yes"/>
    <n v="10"/>
    <s v="PayPal"/>
    <s v="Quarterly"/>
    <m/>
  </r>
  <r>
    <n v="390"/>
    <x v="7"/>
    <x v="0"/>
    <s v="Boots"/>
    <s v="Footwear"/>
    <n v="42"/>
    <x v="41"/>
    <s v="L"/>
    <s v="Purple"/>
    <s v="Spring"/>
    <n v="4.2"/>
    <s v="Yes"/>
    <s v="Yes"/>
    <n v="28"/>
    <s v="Bank Transfer"/>
    <s v="Monthly"/>
    <m/>
  </r>
  <r>
    <n v="391"/>
    <x v="15"/>
    <x v="0"/>
    <s v="Gloves"/>
    <s v="Accessories"/>
    <n v="71"/>
    <x v="27"/>
    <s v="M"/>
    <s v="Indigo"/>
    <s v="Winter"/>
    <n v="3.2"/>
    <s v="Yes"/>
    <s v="Yes"/>
    <n v="19"/>
    <s v="PayPal"/>
    <s v="Annually"/>
    <m/>
  </r>
  <r>
    <n v="392"/>
    <x v="43"/>
    <x v="0"/>
    <s v="Sweater"/>
    <s v="Clothing"/>
    <n v="86"/>
    <x v="46"/>
    <s v="L"/>
    <s v="Gray"/>
    <s v="Spring"/>
    <n v="4.8"/>
    <s v="Yes"/>
    <s v="Yes"/>
    <n v="25"/>
    <s v="Cash"/>
    <s v="Fortnightly"/>
    <m/>
  </r>
  <r>
    <n v="393"/>
    <x v="8"/>
    <x v="0"/>
    <s v="T-shirt"/>
    <s v="Clothing"/>
    <n v="82"/>
    <x v="37"/>
    <s v="XL"/>
    <s v="Black"/>
    <s v="Spring"/>
    <n v="3.3"/>
    <s v="Yes"/>
    <s v="Yes"/>
    <n v="38"/>
    <s v="Credit Card"/>
    <s v="Annually"/>
    <m/>
  </r>
  <r>
    <n v="394"/>
    <x v="23"/>
    <x v="0"/>
    <s v="Shoes"/>
    <s v="Footwear"/>
    <n v="65"/>
    <x v="34"/>
    <s v="L"/>
    <s v="Maroon"/>
    <s v="Fall"/>
    <n v="4.2"/>
    <s v="Yes"/>
    <s v="Yes"/>
    <n v="6"/>
    <s v="PayPal"/>
    <s v="Fortnightly"/>
    <m/>
  </r>
  <r>
    <n v="395"/>
    <x v="49"/>
    <x v="0"/>
    <s v="Scarf"/>
    <s v="Accessories"/>
    <n v="29"/>
    <x v="25"/>
    <s v="M"/>
    <s v="Beige"/>
    <s v="Spring"/>
    <n v="4.8"/>
    <s v="Yes"/>
    <s v="Yes"/>
    <n v="7"/>
    <s v="Debit Card"/>
    <s v="Bi-Weekly"/>
    <m/>
  </r>
  <r>
    <n v="396"/>
    <x v="43"/>
    <x v="0"/>
    <s v="Sneakers"/>
    <s v="Footwear"/>
    <n v="65"/>
    <x v="3"/>
    <s v="L"/>
    <s v="Brown"/>
    <s v="Winter"/>
    <n v="4.9000000000000004"/>
    <s v="Yes"/>
    <s v="Yes"/>
    <n v="2"/>
    <s v="PayPal"/>
    <s v="Annually"/>
    <m/>
  </r>
  <r>
    <n v="397"/>
    <x v="5"/>
    <x v="0"/>
    <s v="Dress"/>
    <s v="Clothing"/>
    <n v="88"/>
    <x v="36"/>
    <s v="S"/>
    <s v="Black"/>
    <s v="Fall"/>
    <n v="3.9"/>
    <s v="Yes"/>
    <s v="Yes"/>
    <n v="24"/>
    <s v="Bank Transfer"/>
    <s v="Annually"/>
    <m/>
  </r>
  <r>
    <n v="398"/>
    <x v="40"/>
    <x v="0"/>
    <s v="Belt"/>
    <s v="Accessories"/>
    <n v="46"/>
    <x v="16"/>
    <s v="M"/>
    <s v="Indigo"/>
    <s v="Fall"/>
    <n v="3"/>
    <s v="Yes"/>
    <s v="Yes"/>
    <n v="26"/>
    <s v="Cash"/>
    <s v="Annually"/>
    <m/>
  </r>
  <r>
    <n v="399"/>
    <x v="30"/>
    <x v="0"/>
    <s v="Boots"/>
    <s v="Footwear"/>
    <n v="67"/>
    <x v="6"/>
    <s v="S"/>
    <s v="Silver"/>
    <s v="Winter"/>
    <n v="4.5999999999999996"/>
    <s v="Yes"/>
    <s v="Yes"/>
    <n v="25"/>
    <s v="Debit Card"/>
    <s v="Every 3 Months"/>
    <m/>
  </r>
  <r>
    <n v="400"/>
    <x v="52"/>
    <x v="0"/>
    <s v="Scarf"/>
    <s v="Accessories"/>
    <n v="35"/>
    <x v="37"/>
    <s v="L"/>
    <s v="Blue"/>
    <s v="Fall"/>
    <n v="3.5"/>
    <s v="Yes"/>
    <s v="Yes"/>
    <n v="10"/>
    <s v="Debit Card"/>
    <s v="Monthly"/>
    <m/>
  </r>
  <r>
    <n v="401"/>
    <x v="31"/>
    <x v="0"/>
    <s v="Boots"/>
    <s v="Footwear"/>
    <n v="66"/>
    <x v="40"/>
    <s v="M"/>
    <s v="Green"/>
    <s v="Winter"/>
    <n v="4.8"/>
    <s v="Yes"/>
    <s v="Yes"/>
    <n v="14"/>
    <s v="PayPal"/>
    <s v="Fortnightly"/>
    <m/>
  </r>
  <r>
    <n v="402"/>
    <x v="49"/>
    <x v="0"/>
    <s v="T-shirt"/>
    <s v="Clothing"/>
    <n v="91"/>
    <x v="19"/>
    <s v="L"/>
    <s v="Orange"/>
    <s v="Fall"/>
    <n v="4.8"/>
    <s v="Yes"/>
    <s v="Yes"/>
    <n v="21"/>
    <s v="Cash"/>
    <s v="Quarterly"/>
    <m/>
  </r>
  <r>
    <n v="403"/>
    <x v="18"/>
    <x v="0"/>
    <s v="Backpack"/>
    <s v="Accessories"/>
    <n v="78"/>
    <x v="18"/>
    <s v="L"/>
    <s v="Cyan"/>
    <s v="Fall"/>
    <n v="3"/>
    <s v="Yes"/>
    <s v="Yes"/>
    <n v="26"/>
    <s v="PayPal"/>
    <s v="Monthly"/>
    <m/>
  </r>
  <r>
    <n v="404"/>
    <x v="1"/>
    <x v="0"/>
    <s v="Sneakers"/>
    <s v="Footwear"/>
    <n v="45"/>
    <x v="22"/>
    <s v="M"/>
    <s v="Orange"/>
    <s v="Winter"/>
    <n v="4.5"/>
    <s v="Yes"/>
    <s v="Yes"/>
    <n v="12"/>
    <s v="Bank Transfer"/>
    <s v="Annually"/>
    <m/>
  </r>
  <r>
    <n v="405"/>
    <x v="25"/>
    <x v="0"/>
    <s v="T-shirt"/>
    <s v="Clothing"/>
    <n v="93"/>
    <x v="12"/>
    <s v="M"/>
    <s v="Indigo"/>
    <s v="Spring"/>
    <n v="4.8"/>
    <s v="Yes"/>
    <s v="Yes"/>
    <n v="11"/>
    <s v="Credit Card"/>
    <s v="Monthly"/>
    <m/>
  </r>
  <r>
    <n v="406"/>
    <x v="38"/>
    <x v="0"/>
    <s v="Jeans"/>
    <s v="Clothing"/>
    <n v="74"/>
    <x v="36"/>
    <s v="S"/>
    <s v="Silver"/>
    <s v="Summer"/>
    <n v="3.8"/>
    <s v="Yes"/>
    <s v="Yes"/>
    <n v="15"/>
    <s v="Cash"/>
    <s v="Annually"/>
    <m/>
  </r>
  <r>
    <n v="407"/>
    <x v="16"/>
    <x v="0"/>
    <s v="Gloves"/>
    <s v="Accessories"/>
    <n v="55"/>
    <x v="33"/>
    <s v="M"/>
    <s v="Peach"/>
    <s v="Spring"/>
    <n v="4.5999999999999996"/>
    <s v="Yes"/>
    <s v="Yes"/>
    <n v="13"/>
    <s v="Cash"/>
    <s v="Monthly"/>
    <m/>
  </r>
  <r>
    <n v="408"/>
    <x v="4"/>
    <x v="0"/>
    <s v="Hoodie"/>
    <s v="Clothing"/>
    <n v="76"/>
    <x v="17"/>
    <s v="XL"/>
    <s v="Teal"/>
    <s v="Spring"/>
    <n v="3.1"/>
    <s v="Yes"/>
    <s v="Yes"/>
    <n v="5"/>
    <s v="Credit Card"/>
    <s v="Bi-Weekly"/>
    <m/>
  </r>
  <r>
    <n v="409"/>
    <x v="50"/>
    <x v="0"/>
    <s v="Sneakers"/>
    <s v="Footwear"/>
    <n v="66"/>
    <x v="15"/>
    <s v="L"/>
    <s v="White"/>
    <s v="Spring"/>
    <n v="3.4"/>
    <s v="Yes"/>
    <s v="Yes"/>
    <n v="36"/>
    <s v="Cash"/>
    <s v="Fortnightly"/>
    <m/>
  </r>
  <r>
    <n v="410"/>
    <x v="25"/>
    <x v="0"/>
    <s v="Shorts"/>
    <s v="Clothing"/>
    <n v="51"/>
    <x v="46"/>
    <s v="M"/>
    <s v="Brown"/>
    <s v="Winter"/>
    <n v="3.3"/>
    <s v="Yes"/>
    <s v="Yes"/>
    <n v="32"/>
    <s v="Bank Transfer"/>
    <s v="Monthly"/>
    <m/>
  </r>
  <r>
    <n v="411"/>
    <x v="26"/>
    <x v="0"/>
    <s v="Sweater"/>
    <s v="Clothing"/>
    <n v="26"/>
    <x v="41"/>
    <s v="L"/>
    <s v="Lavender"/>
    <s v="Spring"/>
    <n v="4.8"/>
    <s v="Yes"/>
    <s v="Yes"/>
    <n v="1"/>
    <s v="Credit Card"/>
    <s v="Quarterly"/>
    <m/>
  </r>
  <r>
    <n v="412"/>
    <x v="35"/>
    <x v="0"/>
    <s v="Jeans"/>
    <s v="Clothing"/>
    <n v="29"/>
    <x v="49"/>
    <s v="M"/>
    <s v="Indigo"/>
    <s v="Summer"/>
    <n v="2.8"/>
    <s v="Yes"/>
    <s v="Yes"/>
    <n v="15"/>
    <s v="PayPal"/>
    <s v="Annually"/>
    <m/>
  </r>
  <r>
    <n v="413"/>
    <x v="41"/>
    <x v="0"/>
    <s v="Jacket"/>
    <s v="Outerwear"/>
    <n v="74"/>
    <x v="1"/>
    <s v="M"/>
    <s v="Yellow"/>
    <s v="Summer"/>
    <n v="3.1"/>
    <s v="Yes"/>
    <s v="Yes"/>
    <n v="3"/>
    <s v="Bank Transfer"/>
    <s v="Weekly"/>
    <m/>
  </r>
  <r>
    <n v="414"/>
    <x v="27"/>
    <x v="0"/>
    <s v="Jewelry"/>
    <s v="Accessories"/>
    <n v="99"/>
    <x v="22"/>
    <s v="S"/>
    <s v="White"/>
    <s v="Summer"/>
    <n v="4.5999999999999996"/>
    <s v="Yes"/>
    <s v="Yes"/>
    <n v="48"/>
    <s v="Cash"/>
    <s v="Monthly"/>
    <m/>
  </r>
  <r>
    <n v="415"/>
    <x v="26"/>
    <x v="0"/>
    <s v="Backpack"/>
    <s v="Accessories"/>
    <n v="88"/>
    <x v="5"/>
    <s v="L"/>
    <s v="Violet"/>
    <s v="Winter"/>
    <n v="2.6"/>
    <s v="Yes"/>
    <s v="Yes"/>
    <n v="30"/>
    <s v="Debit Card"/>
    <s v="Weekly"/>
    <m/>
  </r>
  <r>
    <n v="416"/>
    <x v="29"/>
    <x v="0"/>
    <s v="Coat"/>
    <s v="Outerwear"/>
    <n v="31"/>
    <x v="39"/>
    <s v="M"/>
    <s v="Lavender"/>
    <s v="Winter"/>
    <n v="2.6"/>
    <s v="Yes"/>
    <s v="Yes"/>
    <n v="40"/>
    <s v="Bank Transfer"/>
    <s v="Monthly"/>
    <m/>
  </r>
  <r>
    <n v="417"/>
    <x v="24"/>
    <x v="0"/>
    <s v="Belt"/>
    <s v="Accessories"/>
    <n v="55"/>
    <x v="4"/>
    <s v="L"/>
    <s v="Olive"/>
    <s v="Spring"/>
    <n v="3.8"/>
    <s v="Yes"/>
    <s v="Yes"/>
    <n v="24"/>
    <s v="Bank Transfer"/>
    <s v="Fortnightly"/>
    <m/>
  </r>
  <r>
    <n v="418"/>
    <x v="51"/>
    <x v="0"/>
    <s v="Sandals"/>
    <s v="Footwear"/>
    <n v="81"/>
    <x v="16"/>
    <s v="L"/>
    <s v="Beige"/>
    <s v="Fall"/>
    <n v="4.5"/>
    <s v="Yes"/>
    <s v="Yes"/>
    <n v="48"/>
    <s v="Debit Card"/>
    <s v="Quarterly"/>
    <m/>
  </r>
  <r>
    <n v="419"/>
    <x v="20"/>
    <x v="0"/>
    <s v="Sweater"/>
    <s v="Clothing"/>
    <n v="73"/>
    <x v="26"/>
    <s v="L"/>
    <s v="Purple"/>
    <s v="Spring"/>
    <n v="3"/>
    <s v="Yes"/>
    <s v="Yes"/>
    <n v="27"/>
    <s v="Venmo"/>
    <s v="Bi-Weekly"/>
    <m/>
  </r>
  <r>
    <n v="420"/>
    <x v="10"/>
    <x v="0"/>
    <s v="Shorts"/>
    <s v="Clothing"/>
    <n v="91"/>
    <x v="40"/>
    <s v="S"/>
    <s v="Teal"/>
    <s v="Winter"/>
    <n v="3.5"/>
    <s v="Yes"/>
    <s v="Yes"/>
    <n v="14"/>
    <s v="Credit Card"/>
    <s v="Every 3 Months"/>
    <m/>
  </r>
  <r>
    <n v="421"/>
    <x v="45"/>
    <x v="0"/>
    <s v="Socks"/>
    <s v="Clothing"/>
    <n v="54"/>
    <x v="17"/>
    <s v="S"/>
    <s v="Peach"/>
    <s v="Spring"/>
    <n v="3.8"/>
    <s v="Yes"/>
    <s v="Yes"/>
    <n v="18"/>
    <s v="Debit Card"/>
    <s v="Bi-Weekly"/>
    <m/>
  </r>
  <r>
    <n v="422"/>
    <x v="21"/>
    <x v="0"/>
    <s v="Shirt"/>
    <s v="Clothing"/>
    <n v="40"/>
    <x v="0"/>
    <s v="M"/>
    <s v="Violet"/>
    <s v="Winter"/>
    <n v="3.5"/>
    <s v="Yes"/>
    <s v="Yes"/>
    <n v="48"/>
    <s v="Cash"/>
    <s v="Bi-Weekly"/>
    <m/>
  </r>
  <r>
    <n v="423"/>
    <x v="36"/>
    <x v="0"/>
    <s v="Pants"/>
    <s v="Clothing"/>
    <n v="59"/>
    <x v="46"/>
    <s v="M"/>
    <s v="Purple"/>
    <s v="Fall"/>
    <n v="3.1"/>
    <s v="Yes"/>
    <s v="Yes"/>
    <n v="32"/>
    <s v="Debit Card"/>
    <s v="Annually"/>
    <m/>
  </r>
  <r>
    <n v="424"/>
    <x v="5"/>
    <x v="0"/>
    <s v="Scarf"/>
    <s v="Accessories"/>
    <n v="26"/>
    <x v="14"/>
    <s v="L"/>
    <s v="Teal"/>
    <s v="Spring"/>
    <n v="3"/>
    <s v="Yes"/>
    <s v="Yes"/>
    <n v="21"/>
    <s v="Credit Card"/>
    <s v="Bi-Weekly"/>
    <m/>
  </r>
  <r>
    <n v="425"/>
    <x v="17"/>
    <x v="0"/>
    <s v="Sweater"/>
    <s v="Clothing"/>
    <n v="23"/>
    <x v="26"/>
    <s v="M"/>
    <s v="Gold"/>
    <s v="Winter"/>
    <n v="4.3"/>
    <s v="Yes"/>
    <s v="Yes"/>
    <n v="42"/>
    <s v="PayPal"/>
    <s v="Fortnightly"/>
    <m/>
  </r>
  <r>
    <n v="426"/>
    <x v="37"/>
    <x v="0"/>
    <s v="Jeans"/>
    <s v="Clothing"/>
    <n v="87"/>
    <x v="25"/>
    <s v="S"/>
    <s v="Teal"/>
    <s v="Winter"/>
    <n v="3.3"/>
    <s v="Yes"/>
    <s v="Yes"/>
    <n v="4"/>
    <s v="Credit Card"/>
    <s v="Quarterly"/>
    <m/>
  </r>
  <r>
    <n v="427"/>
    <x v="49"/>
    <x v="0"/>
    <s v="Pants"/>
    <s v="Clothing"/>
    <n v="71"/>
    <x v="7"/>
    <s v="M"/>
    <s v="Violet"/>
    <s v="Winter"/>
    <n v="4.7"/>
    <s v="Yes"/>
    <s v="Yes"/>
    <n v="19"/>
    <s v="Credit Card"/>
    <s v="Quarterly"/>
    <m/>
  </r>
  <r>
    <n v="428"/>
    <x v="44"/>
    <x v="0"/>
    <s v="Backpack"/>
    <s v="Accessories"/>
    <n v="91"/>
    <x v="26"/>
    <s v="L"/>
    <s v="Black"/>
    <s v="Winter"/>
    <n v="4.5"/>
    <s v="Yes"/>
    <s v="Yes"/>
    <n v="6"/>
    <s v="Credit Card"/>
    <s v="Quarterly"/>
    <m/>
  </r>
  <r>
    <n v="429"/>
    <x v="3"/>
    <x v="0"/>
    <s v="Coat"/>
    <s v="Outerwear"/>
    <n v="64"/>
    <x v="5"/>
    <s v="XL"/>
    <s v="Gold"/>
    <s v="Winter"/>
    <n v="2.9"/>
    <s v="Yes"/>
    <s v="Yes"/>
    <n v="2"/>
    <s v="Debit Card"/>
    <s v="Fortnightly"/>
    <m/>
  </r>
  <r>
    <n v="430"/>
    <x v="32"/>
    <x v="0"/>
    <s v="Sandals"/>
    <s v="Footwear"/>
    <n v="94"/>
    <x v="47"/>
    <s v="M"/>
    <s v="Gold"/>
    <s v="Winter"/>
    <n v="4.0999999999999996"/>
    <s v="Yes"/>
    <s v="Yes"/>
    <n v="21"/>
    <s v="Cash"/>
    <s v="Fortnightly"/>
    <m/>
  </r>
  <r>
    <n v="431"/>
    <x v="41"/>
    <x v="0"/>
    <s v="Shirt"/>
    <s v="Clothing"/>
    <n v="40"/>
    <x v="21"/>
    <s v="M"/>
    <s v="Brown"/>
    <s v="Summer"/>
    <n v="3.5"/>
    <s v="Yes"/>
    <s v="Yes"/>
    <n v="40"/>
    <s v="Debit Card"/>
    <s v="Annually"/>
    <m/>
  </r>
  <r>
    <n v="432"/>
    <x v="49"/>
    <x v="0"/>
    <s v="Hat"/>
    <s v="Accessories"/>
    <n v="76"/>
    <x v="13"/>
    <s v="L"/>
    <s v="Cyan"/>
    <s v="Winter"/>
    <n v="3.4"/>
    <s v="Yes"/>
    <s v="Yes"/>
    <n v="33"/>
    <s v="Cash"/>
    <s v="Fortnightly"/>
    <m/>
  </r>
  <r>
    <n v="433"/>
    <x v="36"/>
    <x v="0"/>
    <s v="Shirt"/>
    <s v="Clothing"/>
    <n v="86"/>
    <x v="27"/>
    <s v="S"/>
    <s v="Indigo"/>
    <s v="Fall"/>
    <n v="3.3"/>
    <s v="Yes"/>
    <s v="Yes"/>
    <n v="26"/>
    <s v="Venmo"/>
    <s v="Weekly"/>
    <m/>
  </r>
  <r>
    <n v="434"/>
    <x v="34"/>
    <x v="0"/>
    <s v="Skirt"/>
    <s v="Clothing"/>
    <n v="92"/>
    <x v="15"/>
    <s v="M"/>
    <s v="Orange"/>
    <s v="Fall"/>
    <n v="3.2"/>
    <s v="Yes"/>
    <s v="Yes"/>
    <n v="23"/>
    <s v="Credit Card"/>
    <s v="Fortnightly"/>
    <m/>
  </r>
  <r>
    <n v="435"/>
    <x v="2"/>
    <x v="0"/>
    <s v="Shoes"/>
    <s v="Footwear"/>
    <n v="52"/>
    <x v="19"/>
    <s v="L"/>
    <s v="Pink"/>
    <s v="Spring"/>
    <n v="4"/>
    <s v="Yes"/>
    <s v="Yes"/>
    <n v="39"/>
    <s v="PayPal"/>
    <s v="Every 3 Months"/>
    <m/>
  </r>
  <r>
    <n v="436"/>
    <x v="47"/>
    <x v="0"/>
    <s v="Coat"/>
    <s v="Outerwear"/>
    <n v="28"/>
    <x v="6"/>
    <s v="XL"/>
    <s v="Olive"/>
    <s v="Winter"/>
    <n v="3.6"/>
    <s v="Yes"/>
    <s v="Yes"/>
    <n v="42"/>
    <s v="Bank Transfer"/>
    <s v="Monthly"/>
    <m/>
  </r>
  <r>
    <n v="437"/>
    <x v="37"/>
    <x v="0"/>
    <s v="Pants"/>
    <s v="Clothing"/>
    <n v="46"/>
    <x v="30"/>
    <s v="L"/>
    <s v="Cyan"/>
    <s v="Summer"/>
    <n v="4.5999999999999996"/>
    <s v="Yes"/>
    <s v="Yes"/>
    <n v="41"/>
    <s v="Bank Transfer"/>
    <s v="Weekly"/>
    <m/>
  </r>
  <r>
    <n v="438"/>
    <x v="4"/>
    <x v="0"/>
    <s v="Jewelry"/>
    <s v="Accessories"/>
    <n v="50"/>
    <x v="35"/>
    <s v="M"/>
    <s v="Peach"/>
    <s v="Summer"/>
    <n v="2.6"/>
    <s v="Yes"/>
    <s v="Yes"/>
    <n v="41"/>
    <s v="PayPal"/>
    <s v="Annually"/>
    <m/>
  </r>
  <r>
    <n v="439"/>
    <x v="16"/>
    <x v="0"/>
    <s v="Belt"/>
    <s v="Accessories"/>
    <n v="23"/>
    <x v="44"/>
    <s v="M"/>
    <s v="Turquoise"/>
    <s v="Winter"/>
    <n v="4.3"/>
    <s v="Yes"/>
    <s v="Yes"/>
    <n v="12"/>
    <s v="Credit Card"/>
    <s v="Fortnightly"/>
    <m/>
  </r>
  <r>
    <n v="440"/>
    <x v="46"/>
    <x v="0"/>
    <s v="Jacket"/>
    <s v="Outerwear"/>
    <n v="50"/>
    <x v="37"/>
    <s v="M"/>
    <s v="Turquoise"/>
    <s v="Summer"/>
    <n v="3.4"/>
    <s v="Yes"/>
    <s v="Yes"/>
    <n v="31"/>
    <s v="Cash"/>
    <s v="Monthly"/>
    <m/>
  </r>
  <r>
    <n v="441"/>
    <x v="30"/>
    <x v="0"/>
    <s v="Shirt"/>
    <s v="Clothing"/>
    <n v="89"/>
    <x v="19"/>
    <s v="XL"/>
    <s v="Maroon"/>
    <s v="Winter"/>
    <n v="3.5"/>
    <s v="Yes"/>
    <s v="Yes"/>
    <n v="34"/>
    <s v="Debit Card"/>
    <s v="Fortnightly"/>
    <m/>
  </r>
  <r>
    <n v="442"/>
    <x v="49"/>
    <x v="0"/>
    <s v="Hoodie"/>
    <s v="Clothing"/>
    <n v="81"/>
    <x v="20"/>
    <s v="M"/>
    <s v="Maroon"/>
    <s v="Winter"/>
    <n v="4.2"/>
    <s v="Yes"/>
    <s v="Yes"/>
    <n v="32"/>
    <s v="Credit Card"/>
    <s v="Annually"/>
    <m/>
  </r>
  <r>
    <n v="443"/>
    <x v="26"/>
    <x v="0"/>
    <s v="Sunglasses"/>
    <s v="Accessories"/>
    <n v="69"/>
    <x v="49"/>
    <s v="M"/>
    <s v="Olive"/>
    <s v="Fall"/>
    <n v="3.5"/>
    <s v="Yes"/>
    <s v="Yes"/>
    <n v="31"/>
    <s v="Credit Card"/>
    <s v="Quarterly"/>
    <m/>
  </r>
  <r>
    <n v="444"/>
    <x v="40"/>
    <x v="0"/>
    <s v="Sunglasses"/>
    <s v="Accessories"/>
    <n v="67"/>
    <x v="11"/>
    <s v="M"/>
    <s v="Magenta"/>
    <s v="Summer"/>
    <n v="3.6"/>
    <s v="Yes"/>
    <s v="Yes"/>
    <n v="24"/>
    <s v="PayPal"/>
    <s v="Annually"/>
    <m/>
  </r>
  <r>
    <n v="445"/>
    <x v="39"/>
    <x v="0"/>
    <s v="Dress"/>
    <s v="Clothing"/>
    <n v="20"/>
    <x v="18"/>
    <s v="M"/>
    <s v="Red"/>
    <s v="Summer"/>
    <n v="4.3"/>
    <s v="Yes"/>
    <s v="Yes"/>
    <n v="31"/>
    <s v="Debit Card"/>
    <s v="Annually"/>
    <m/>
  </r>
  <r>
    <n v="446"/>
    <x v="32"/>
    <x v="0"/>
    <s v="Boots"/>
    <s v="Footwear"/>
    <n v="29"/>
    <x v="44"/>
    <s v="M"/>
    <s v="Olive"/>
    <s v="Fall"/>
    <n v="4.9000000000000004"/>
    <s v="Yes"/>
    <s v="Yes"/>
    <n v="18"/>
    <s v="Venmo"/>
    <s v="Annually"/>
    <m/>
  </r>
  <r>
    <n v="447"/>
    <x v="1"/>
    <x v="0"/>
    <s v="Shirt"/>
    <s v="Clothing"/>
    <n v="74"/>
    <x v="8"/>
    <s v="M"/>
    <s v="Silver"/>
    <s v="Summer"/>
    <n v="4.0999999999999996"/>
    <s v="Yes"/>
    <s v="Yes"/>
    <n v="15"/>
    <s v="Venmo"/>
    <s v="Monthly"/>
    <m/>
  </r>
  <r>
    <n v="448"/>
    <x v="52"/>
    <x v="0"/>
    <s v="Shorts"/>
    <s v="Clothing"/>
    <n v="82"/>
    <x v="47"/>
    <s v="S"/>
    <s v="Turquoise"/>
    <s v="Spring"/>
    <n v="3.6"/>
    <s v="Yes"/>
    <s v="Yes"/>
    <n v="7"/>
    <s v="Bank Transfer"/>
    <s v="Every 3 Months"/>
    <m/>
  </r>
  <r>
    <n v="449"/>
    <x v="45"/>
    <x v="0"/>
    <s v="Gloves"/>
    <s v="Accessories"/>
    <n v="23"/>
    <x v="9"/>
    <s v="M"/>
    <s v="Yellow"/>
    <s v="Summer"/>
    <n v="3.4"/>
    <s v="Yes"/>
    <s v="Yes"/>
    <n v="35"/>
    <s v="Bank Transfer"/>
    <s v="Fortnightly"/>
    <m/>
  </r>
  <r>
    <n v="450"/>
    <x v="8"/>
    <x v="0"/>
    <s v="Jewelry"/>
    <s v="Accessories"/>
    <n v="45"/>
    <x v="14"/>
    <s v="L"/>
    <s v="Peach"/>
    <s v="Summer"/>
    <n v="2.9"/>
    <s v="Yes"/>
    <s v="Yes"/>
    <n v="35"/>
    <s v="Bank Transfer"/>
    <s v="Monthly"/>
    <m/>
  </r>
  <r>
    <n v="451"/>
    <x v="15"/>
    <x v="0"/>
    <s v="Boots"/>
    <s v="Footwear"/>
    <n v="21"/>
    <x v="39"/>
    <s v="L"/>
    <s v="Beige"/>
    <s v="Summer"/>
    <n v="2.7"/>
    <s v="Yes"/>
    <s v="Yes"/>
    <n v="19"/>
    <s v="Credit Card"/>
    <s v="Monthly"/>
    <m/>
  </r>
  <r>
    <n v="452"/>
    <x v="17"/>
    <x v="0"/>
    <s v="Jewelry"/>
    <s v="Accessories"/>
    <n v="31"/>
    <x v="41"/>
    <s v="M"/>
    <s v="Pink"/>
    <s v="Summer"/>
    <n v="4.3"/>
    <s v="Yes"/>
    <s v="Yes"/>
    <n v="26"/>
    <s v="Credit Card"/>
    <s v="Fortnightly"/>
    <m/>
  </r>
  <r>
    <n v="453"/>
    <x v="4"/>
    <x v="0"/>
    <s v="Pants"/>
    <s v="Clothing"/>
    <n v="45"/>
    <x v="9"/>
    <s v="M"/>
    <s v="Violet"/>
    <s v="Summer"/>
    <n v="3.3"/>
    <s v="Yes"/>
    <s v="Yes"/>
    <n v="39"/>
    <s v="PayPal"/>
    <s v="Fortnightly"/>
    <m/>
  </r>
  <r>
    <n v="454"/>
    <x v="22"/>
    <x v="0"/>
    <s v="Jewelry"/>
    <s v="Accessories"/>
    <n v="56"/>
    <x v="43"/>
    <s v="XL"/>
    <s v="Peach"/>
    <s v="Winter"/>
    <n v="2.8"/>
    <s v="Yes"/>
    <s v="Yes"/>
    <n v="22"/>
    <s v="Credit Card"/>
    <s v="Weekly"/>
    <m/>
  </r>
  <r>
    <n v="455"/>
    <x v="43"/>
    <x v="0"/>
    <s v="Jacket"/>
    <s v="Outerwear"/>
    <n v="97"/>
    <x v="32"/>
    <s v="S"/>
    <s v="Gold"/>
    <s v="Summer"/>
    <n v="3.2"/>
    <s v="Yes"/>
    <s v="Yes"/>
    <n v="14"/>
    <s v="Cash"/>
    <s v="Bi-Weekly"/>
    <m/>
  </r>
  <r>
    <n v="456"/>
    <x v="22"/>
    <x v="0"/>
    <s v="Blouse"/>
    <s v="Clothing"/>
    <n v="100"/>
    <x v="40"/>
    <s v="XL"/>
    <s v="Gold"/>
    <s v="Fall"/>
    <n v="3.6"/>
    <s v="Yes"/>
    <s v="Yes"/>
    <n v="50"/>
    <s v="Debit Card"/>
    <s v="Fortnightly"/>
    <m/>
  </r>
  <r>
    <n v="457"/>
    <x v="2"/>
    <x v="0"/>
    <s v="Blouse"/>
    <s v="Clothing"/>
    <n v="96"/>
    <x v="17"/>
    <s v="S"/>
    <s v="Indigo"/>
    <s v="Fall"/>
    <n v="4"/>
    <s v="Yes"/>
    <s v="Yes"/>
    <n v="33"/>
    <s v="Credit Card"/>
    <s v="Quarterly"/>
    <m/>
  </r>
  <r>
    <n v="458"/>
    <x v="15"/>
    <x v="0"/>
    <s v="Gloves"/>
    <s v="Accessories"/>
    <n v="99"/>
    <x v="3"/>
    <s v="M"/>
    <s v="Blue"/>
    <s v="Spring"/>
    <n v="4.9000000000000004"/>
    <s v="Yes"/>
    <s v="Yes"/>
    <n v="48"/>
    <s v="Debit Card"/>
    <s v="Every 3 Months"/>
    <m/>
  </r>
  <r>
    <n v="459"/>
    <x v="36"/>
    <x v="0"/>
    <s v="Shorts"/>
    <s v="Clothing"/>
    <n v="91"/>
    <x v="10"/>
    <s v="L"/>
    <s v="Black"/>
    <s v="Winter"/>
    <n v="4"/>
    <s v="Yes"/>
    <s v="Yes"/>
    <n v="48"/>
    <s v="PayPal"/>
    <s v="Monthly"/>
    <m/>
  </r>
  <r>
    <n v="460"/>
    <x v="6"/>
    <x v="0"/>
    <s v="Hat"/>
    <s v="Accessories"/>
    <n v="30"/>
    <x v="33"/>
    <s v="L"/>
    <s v="Black"/>
    <s v="Winter"/>
    <n v="3.8"/>
    <s v="Yes"/>
    <s v="Yes"/>
    <n v="27"/>
    <s v="PayPal"/>
    <s v="Fortnightly"/>
    <m/>
  </r>
  <r>
    <n v="461"/>
    <x v="14"/>
    <x v="0"/>
    <s v="Shoes"/>
    <s v="Footwear"/>
    <n v="65"/>
    <x v="36"/>
    <s v="L"/>
    <s v="Teal"/>
    <s v="Summer"/>
    <n v="3.7"/>
    <s v="Yes"/>
    <s v="Yes"/>
    <n v="27"/>
    <s v="Bank Transfer"/>
    <s v="Weekly"/>
    <m/>
  </r>
  <r>
    <n v="462"/>
    <x v="20"/>
    <x v="0"/>
    <s v="Boots"/>
    <s v="Footwear"/>
    <n v="93"/>
    <x v="31"/>
    <s v="M"/>
    <s v="Yellow"/>
    <s v="Winter"/>
    <n v="3.9"/>
    <s v="Yes"/>
    <s v="Yes"/>
    <n v="20"/>
    <s v="Venmo"/>
    <s v="Weekly"/>
    <m/>
  </r>
  <r>
    <n v="463"/>
    <x v="35"/>
    <x v="0"/>
    <s v="Jacket"/>
    <s v="Outerwear"/>
    <n v="81"/>
    <x v="26"/>
    <s v="M"/>
    <s v="White"/>
    <s v="Fall"/>
    <n v="3.3"/>
    <s v="Yes"/>
    <s v="Yes"/>
    <n v="48"/>
    <s v="Venmo"/>
    <s v="Every 3 Months"/>
    <m/>
  </r>
  <r>
    <n v="464"/>
    <x v="43"/>
    <x v="0"/>
    <s v="Jewelry"/>
    <s v="Accessories"/>
    <n v="81"/>
    <x v="42"/>
    <s v="S"/>
    <s v="Orange"/>
    <s v="Summer"/>
    <n v="2.7"/>
    <s v="Yes"/>
    <s v="Yes"/>
    <n v="29"/>
    <s v="Venmo"/>
    <s v="Weekly"/>
    <m/>
  </r>
  <r>
    <n v="465"/>
    <x v="51"/>
    <x v="0"/>
    <s v="Sunglasses"/>
    <s v="Accessories"/>
    <n v="52"/>
    <x v="15"/>
    <s v="M"/>
    <s v="Silver"/>
    <s v="Winter"/>
    <n v="4.7"/>
    <s v="Yes"/>
    <s v="Yes"/>
    <n v="45"/>
    <s v="PayPal"/>
    <s v="Monthly"/>
    <m/>
  </r>
  <r>
    <n v="466"/>
    <x v="22"/>
    <x v="0"/>
    <s v="Skirt"/>
    <s v="Clothing"/>
    <n v="88"/>
    <x v="19"/>
    <s v="M"/>
    <s v="Pink"/>
    <s v="Summer"/>
    <n v="2.8"/>
    <s v="Yes"/>
    <s v="Yes"/>
    <n v="25"/>
    <s v="Cash"/>
    <s v="Quarterly"/>
    <m/>
  </r>
  <r>
    <n v="467"/>
    <x v="21"/>
    <x v="0"/>
    <s v="Jeans"/>
    <s v="Clothing"/>
    <n v="24"/>
    <x v="34"/>
    <s v="L"/>
    <s v="Turquoise"/>
    <s v="Winter"/>
    <n v="4.5999999999999996"/>
    <s v="Yes"/>
    <s v="Yes"/>
    <n v="25"/>
    <s v="PayPal"/>
    <s v="Weekly"/>
    <m/>
  </r>
  <r>
    <n v="468"/>
    <x v="1"/>
    <x v="0"/>
    <s v="Backpack"/>
    <s v="Accessories"/>
    <n v="51"/>
    <x v="43"/>
    <s v="S"/>
    <s v="Orange"/>
    <s v="Spring"/>
    <n v="4.5"/>
    <s v="Yes"/>
    <s v="Yes"/>
    <n v="37"/>
    <s v="Debit Card"/>
    <s v="Every 3 Months"/>
    <m/>
  </r>
  <r>
    <n v="469"/>
    <x v="50"/>
    <x v="0"/>
    <s v="Backpack"/>
    <s v="Accessories"/>
    <n v="38"/>
    <x v="42"/>
    <s v="S"/>
    <s v="Peach"/>
    <s v="Fall"/>
    <n v="5"/>
    <s v="Yes"/>
    <s v="Yes"/>
    <n v="16"/>
    <s v="Cash"/>
    <s v="Quarterly"/>
    <m/>
  </r>
  <r>
    <n v="470"/>
    <x v="3"/>
    <x v="0"/>
    <s v="Shorts"/>
    <s v="Clothing"/>
    <n v="46"/>
    <x v="15"/>
    <s v="L"/>
    <s v="Pink"/>
    <s v="Fall"/>
    <n v="4.0999999999999996"/>
    <s v="Yes"/>
    <s v="Yes"/>
    <n v="30"/>
    <s v="Debit Card"/>
    <s v="Bi-Weekly"/>
    <m/>
  </r>
  <r>
    <n v="471"/>
    <x v="2"/>
    <x v="0"/>
    <s v="Dress"/>
    <s v="Clothing"/>
    <n v="63"/>
    <x v="46"/>
    <s v="L"/>
    <s v="Teal"/>
    <s v="Summer"/>
    <n v="4.5999999999999996"/>
    <s v="Yes"/>
    <s v="Yes"/>
    <n v="6"/>
    <s v="Cash"/>
    <s v="Every 3 Months"/>
    <m/>
  </r>
  <r>
    <n v="472"/>
    <x v="0"/>
    <x v="0"/>
    <s v="Scarf"/>
    <s v="Accessories"/>
    <n v="72"/>
    <x v="9"/>
    <s v="XL"/>
    <s v="White"/>
    <s v="Winter"/>
    <n v="4.9000000000000004"/>
    <s v="Yes"/>
    <s v="Yes"/>
    <n v="36"/>
    <s v="Bank Transfer"/>
    <s v="Quarterly"/>
    <m/>
  </r>
  <r>
    <n v="473"/>
    <x v="30"/>
    <x v="0"/>
    <s v="Jeans"/>
    <s v="Clothing"/>
    <n v="39"/>
    <x v="42"/>
    <s v="L"/>
    <s v="Gray"/>
    <s v="Winter"/>
    <n v="3.9"/>
    <s v="Yes"/>
    <s v="Yes"/>
    <n v="3"/>
    <s v="Bank Transfer"/>
    <s v="Quarterly"/>
    <m/>
  </r>
  <r>
    <n v="474"/>
    <x v="50"/>
    <x v="0"/>
    <s v="Coat"/>
    <s v="Outerwear"/>
    <n v="42"/>
    <x v="8"/>
    <s v="L"/>
    <s v="Olive"/>
    <s v="Spring"/>
    <n v="3.9"/>
    <s v="Yes"/>
    <s v="Yes"/>
    <n v="29"/>
    <s v="PayPal"/>
    <s v="Every 3 Months"/>
    <m/>
  </r>
  <r>
    <n v="475"/>
    <x v="46"/>
    <x v="0"/>
    <s v="Sweater"/>
    <s v="Clothing"/>
    <n v="76"/>
    <x v="10"/>
    <s v="XL"/>
    <s v="Maroon"/>
    <s v="Summer"/>
    <n v="2.6"/>
    <s v="Yes"/>
    <s v="Yes"/>
    <n v="15"/>
    <s v="Cash"/>
    <s v="Quarterly"/>
    <m/>
  </r>
  <r>
    <n v="476"/>
    <x v="3"/>
    <x v="0"/>
    <s v="Sneakers"/>
    <s v="Footwear"/>
    <n v="66"/>
    <x v="31"/>
    <s v="L"/>
    <s v="Magenta"/>
    <s v="Summer"/>
    <n v="2.7"/>
    <s v="Yes"/>
    <s v="Yes"/>
    <n v="18"/>
    <s v="Debit Card"/>
    <s v="Annually"/>
    <m/>
  </r>
  <r>
    <n v="477"/>
    <x v="3"/>
    <x v="0"/>
    <s v="Scarf"/>
    <s v="Accessories"/>
    <n v="90"/>
    <x v="39"/>
    <s v="M"/>
    <s v="Magenta"/>
    <s v="Spring"/>
    <n v="3.5"/>
    <s v="Yes"/>
    <s v="Yes"/>
    <n v="2"/>
    <s v="Debit Card"/>
    <s v="Fortnightly"/>
    <m/>
  </r>
  <r>
    <n v="478"/>
    <x v="32"/>
    <x v="0"/>
    <s v="Sweater"/>
    <s v="Clothing"/>
    <n v="56"/>
    <x v="25"/>
    <s v="M"/>
    <s v="Green"/>
    <s v="Summer"/>
    <n v="3.7"/>
    <s v="Yes"/>
    <s v="Yes"/>
    <n v="49"/>
    <s v="Debit Card"/>
    <s v="Weekly"/>
    <m/>
  </r>
  <r>
    <n v="479"/>
    <x v="25"/>
    <x v="0"/>
    <s v="Jewelry"/>
    <s v="Accessories"/>
    <n v="43"/>
    <x v="23"/>
    <s v="XL"/>
    <s v="Turquoise"/>
    <s v="Winter"/>
    <n v="3.2"/>
    <s v="Yes"/>
    <s v="Yes"/>
    <n v="48"/>
    <s v="Venmo"/>
    <s v="Annually"/>
    <m/>
  </r>
  <r>
    <n v="480"/>
    <x v="31"/>
    <x v="0"/>
    <s v="Handbag"/>
    <s v="Accessories"/>
    <n v="84"/>
    <x v="44"/>
    <s v="L"/>
    <s v="Yellow"/>
    <s v="Winter"/>
    <n v="3.3"/>
    <s v="Yes"/>
    <s v="Yes"/>
    <n v="43"/>
    <s v="Venmo"/>
    <s v="Monthly"/>
    <m/>
  </r>
  <r>
    <n v="481"/>
    <x v="33"/>
    <x v="0"/>
    <s v="Hoodie"/>
    <s v="Clothing"/>
    <n v="88"/>
    <x v="34"/>
    <s v="M"/>
    <s v="Gray"/>
    <s v="Summer"/>
    <n v="4.8"/>
    <s v="Yes"/>
    <s v="Yes"/>
    <n v="30"/>
    <s v="Debit Card"/>
    <s v="Bi-Weekly"/>
    <m/>
  </r>
  <r>
    <n v="482"/>
    <x v="5"/>
    <x v="0"/>
    <s v="Hat"/>
    <s v="Accessories"/>
    <n v="88"/>
    <x v="48"/>
    <s v="L"/>
    <s v="Peach"/>
    <s v="Fall"/>
    <n v="3.2"/>
    <s v="Yes"/>
    <s v="Yes"/>
    <n v="10"/>
    <s v="PayPal"/>
    <s v="Fortnightly"/>
    <m/>
  </r>
  <r>
    <n v="483"/>
    <x v="38"/>
    <x v="0"/>
    <s v="Belt"/>
    <s v="Accessories"/>
    <n v="42"/>
    <x v="39"/>
    <s v="M"/>
    <s v="Yellow"/>
    <s v="Winter"/>
    <n v="2.5"/>
    <s v="Yes"/>
    <s v="Yes"/>
    <n v="11"/>
    <s v="Venmo"/>
    <s v="Annually"/>
    <m/>
  </r>
  <r>
    <n v="484"/>
    <x v="51"/>
    <x v="0"/>
    <s v="Hoodie"/>
    <s v="Clothing"/>
    <n v="73"/>
    <x v="19"/>
    <s v="M"/>
    <s v="White"/>
    <s v="Fall"/>
    <n v="3.9"/>
    <s v="Yes"/>
    <s v="Yes"/>
    <n v="12"/>
    <s v="Debit Card"/>
    <s v="Weekly"/>
    <m/>
  </r>
  <r>
    <n v="485"/>
    <x v="33"/>
    <x v="0"/>
    <s v="Hat"/>
    <s v="Accessories"/>
    <n v="73"/>
    <x v="9"/>
    <s v="L"/>
    <s v="Lavender"/>
    <s v="Summer"/>
    <n v="4.7"/>
    <s v="Yes"/>
    <s v="Yes"/>
    <n v="28"/>
    <s v="Bank Transfer"/>
    <s v="Quarterly"/>
    <m/>
  </r>
  <r>
    <n v="486"/>
    <x v="39"/>
    <x v="0"/>
    <s v="Shoes"/>
    <s v="Footwear"/>
    <n v="44"/>
    <x v="30"/>
    <s v="S"/>
    <s v="Blue"/>
    <s v="Spring"/>
    <n v="2.6"/>
    <s v="Yes"/>
    <s v="Yes"/>
    <n v="36"/>
    <s v="Debit Card"/>
    <s v="Fortnightly"/>
    <m/>
  </r>
  <r>
    <n v="487"/>
    <x v="21"/>
    <x v="0"/>
    <s v="Sandals"/>
    <s v="Footwear"/>
    <n v="63"/>
    <x v="35"/>
    <s v="M"/>
    <s v="Charcoal"/>
    <s v="Fall"/>
    <n v="2.8"/>
    <s v="Yes"/>
    <s v="Yes"/>
    <n v="37"/>
    <s v="Venmo"/>
    <s v="Every 3 Months"/>
    <m/>
  </r>
  <r>
    <n v="488"/>
    <x v="38"/>
    <x v="0"/>
    <s v="Jacket"/>
    <s v="Outerwear"/>
    <n v="68"/>
    <x v="44"/>
    <s v="L"/>
    <s v="Red"/>
    <s v="Winter"/>
    <n v="4.4000000000000004"/>
    <s v="Yes"/>
    <s v="Yes"/>
    <n v="22"/>
    <s v="Credit Card"/>
    <s v="Quarterly"/>
    <m/>
  </r>
  <r>
    <n v="489"/>
    <x v="44"/>
    <x v="0"/>
    <s v="Sweater"/>
    <s v="Clothing"/>
    <n v="29"/>
    <x v="1"/>
    <s v="L"/>
    <s v="Olive"/>
    <s v="Spring"/>
    <n v="4.5999999999999996"/>
    <s v="Yes"/>
    <s v="Yes"/>
    <n v="32"/>
    <s v="Venmo"/>
    <s v="Weekly"/>
    <m/>
  </r>
  <r>
    <n v="490"/>
    <x v="34"/>
    <x v="0"/>
    <s v="Socks"/>
    <s v="Clothing"/>
    <n v="85"/>
    <x v="45"/>
    <s v="M"/>
    <s v="Green"/>
    <s v="Summer"/>
    <n v="3.2"/>
    <s v="Yes"/>
    <s v="Yes"/>
    <n v="40"/>
    <s v="PayPal"/>
    <s v="Annually"/>
    <m/>
  </r>
  <r>
    <n v="491"/>
    <x v="9"/>
    <x v="0"/>
    <s v="Sneakers"/>
    <s v="Footwear"/>
    <n v="42"/>
    <x v="24"/>
    <s v="M"/>
    <s v="Silver"/>
    <s v="Winter"/>
    <n v="4.2"/>
    <s v="Yes"/>
    <s v="Yes"/>
    <n v="47"/>
    <s v="Cash"/>
    <s v="Monthly"/>
    <m/>
  </r>
  <r>
    <n v="492"/>
    <x v="34"/>
    <x v="0"/>
    <s v="Coat"/>
    <s v="Outerwear"/>
    <n v="69"/>
    <x v="34"/>
    <s v="M"/>
    <s v="Silver"/>
    <s v="Summer"/>
    <n v="3.7"/>
    <s v="Yes"/>
    <s v="Yes"/>
    <n v="24"/>
    <s v="Credit Card"/>
    <s v="Bi-Weekly"/>
    <m/>
  </r>
  <r>
    <n v="493"/>
    <x v="2"/>
    <x v="0"/>
    <s v="Shirt"/>
    <s v="Clothing"/>
    <n v="62"/>
    <x v="49"/>
    <s v="M"/>
    <s v="Black"/>
    <s v="Fall"/>
    <n v="3.9"/>
    <s v="Yes"/>
    <s v="Yes"/>
    <n v="11"/>
    <s v="Debit Card"/>
    <s v="Weekly"/>
    <m/>
  </r>
  <r>
    <n v="494"/>
    <x v="48"/>
    <x v="0"/>
    <s v="Backpack"/>
    <s v="Accessories"/>
    <n v="48"/>
    <x v="22"/>
    <s v="XL"/>
    <s v="Red"/>
    <s v="Summer"/>
    <n v="4.7"/>
    <s v="Yes"/>
    <s v="Yes"/>
    <n v="19"/>
    <s v="Cash"/>
    <s v="Bi-Weekly"/>
    <m/>
  </r>
  <r>
    <n v="495"/>
    <x v="21"/>
    <x v="0"/>
    <s v="Boots"/>
    <s v="Footwear"/>
    <n v="68"/>
    <x v="27"/>
    <s v="M"/>
    <s v="Indigo"/>
    <s v="Winter"/>
    <n v="4.5"/>
    <s v="Yes"/>
    <s v="Yes"/>
    <n v="42"/>
    <s v="Debit Card"/>
    <s v="Weekly"/>
    <m/>
  </r>
  <r>
    <n v="496"/>
    <x v="23"/>
    <x v="0"/>
    <s v="Handbag"/>
    <s v="Accessories"/>
    <n v="36"/>
    <x v="49"/>
    <s v="XL"/>
    <s v="Cyan"/>
    <s v="Fall"/>
    <n v="3.3"/>
    <s v="Yes"/>
    <s v="Yes"/>
    <n v="6"/>
    <s v="Debit Card"/>
    <s v="Fortnightly"/>
    <m/>
  </r>
  <r>
    <n v="497"/>
    <x v="11"/>
    <x v="0"/>
    <s v="Dress"/>
    <s v="Clothing"/>
    <n v="63"/>
    <x v="18"/>
    <s v="S"/>
    <s v="Maroon"/>
    <s v="Fall"/>
    <n v="3.3"/>
    <s v="Yes"/>
    <s v="Yes"/>
    <n v="31"/>
    <s v="Venmo"/>
    <s v="Fortnightly"/>
    <m/>
  </r>
  <r>
    <n v="498"/>
    <x v="49"/>
    <x v="0"/>
    <s v="Sneakers"/>
    <s v="Footwear"/>
    <n v="39"/>
    <x v="19"/>
    <s v="S"/>
    <s v="Silver"/>
    <s v="Winter"/>
    <n v="4.5999999999999996"/>
    <s v="Yes"/>
    <s v="Yes"/>
    <n v="31"/>
    <s v="Cash"/>
    <s v="Weekly"/>
    <m/>
  </r>
  <r>
    <n v="499"/>
    <x v="49"/>
    <x v="0"/>
    <s v="Boots"/>
    <s v="Footwear"/>
    <n v="78"/>
    <x v="44"/>
    <s v="M"/>
    <s v="Lavender"/>
    <s v="Spring"/>
    <n v="3.6"/>
    <s v="Yes"/>
    <s v="Yes"/>
    <n v="27"/>
    <s v="Bank Transfer"/>
    <s v="Monthly"/>
    <m/>
  </r>
  <r>
    <n v="500"/>
    <x v="24"/>
    <x v="0"/>
    <s v="Shoes"/>
    <s v="Footwear"/>
    <n v="99"/>
    <x v="3"/>
    <s v="L"/>
    <s v="Silver"/>
    <s v="Winter"/>
    <n v="4.8"/>
    <s v="Yes"/>
    <s v="Yes"/>
    <n v="24"/>
    <s v="PayPal"/>
    <s v="Monthly"/>
    <m/>
  </r>
  <r>
    <n v="501"/>
    <x v="24"/>
    <x v="0"/>
    <s v="T-shirt"/>
    <s v="Clothing"/>
    <n v="31"/>
    <x v="47"/>
    <s v="L"/>
    <s v="Purple"/>
    <s v="Fall"/>
    <n v="4.8"/>
    <s v="Yes"/>
    <s v="Yes"/>
    <n v="35"/>
    <s v="Venmo"/>
    <s v="Every 3 Months"/>
    <m/>
  </r>
  <r>
    <n v="502"/>
    <x v="14"/>
    <x v="0"/>
    <s v="Boots"/>
    <s v="Footwear"/>
    <n v="45"/>
    <x v="20"/>
    <s v="M"/>
    <s v="Cyan"/>
    <s v="Spring"/>
    <n v="2.9"/>
    <s v="Yes"/>
    <s v="Yes"/>
    <n v="21"/>
    <s v="Venmo"/>
    <s v="Annually"/>
    <m/>
  </r>
  <r>
    <n v="503"/>
    <x v="35"/>
    <x v="0"/>
    <s v="Pants"/>
    <s v="Clothing"/>
    <n v="30"/>
    <x v="36"/>
    <s v="S"/>
    <s v="Cyan"/>
    <s v="Fall"/>
    <n v="2.8"/>
    <s v="Yes"/>
    <s v="Yes"/>
    <n v="8"/>
    <s v="PayPal"/>
    <s v="Fortnightly"/>
    <m/>
  </r>
  <r>
    <n v="504"/>
    <x v="0"/>
    <x v="0"/>
    <s v="Shoes"/>
    <s v="Footwear"/>
    <n v="24"/>
    <x v="8"/>
    <s v="M"/>
    <s v="Lavender"/>
    <s v="Summer"/>
    <n v="3.2"/>
    <s v="Yes"/>
    <s v="Yes"/>
    <n v="26"/>
    <s v="Bank Transfer"/>
    <s v="Quarterly"/>
    <m/>
  </r>
  <r>
    <n v="505"/>
    <x v="32"/>
    <x v="0"/>
    <s v="Shoes"/>
    <s v="Footwear"/>
    <n v="22"/>
    <x v="9"/>
    <s v="M"/>
    <s v="Maroon"/>
    <s v="Winter"/>
    <n v="3.9"/>
    <s v="Yes"/>
    <s v="Yes"/>
    <n v="26"/>
    <s v="PayPal"/>
    <s v="Annually"/>
    <m/>
  </r>
  <r>
    <n v="506"/>
    <x v="12"/>
    <x v="0"/>
    <s v="T-shirt"/>
    <s v="Clothing"/>
    <n v="63"/>
    <x v="1"/>
    <s v="L"/>
    <s v="Gray"/>
    <s v="Spring"/>
    <n v="4.3"/>
    <s v="Yes"/>
    <s v="Yes"/>
    <n v="9"/>
    <s v="Cash"/>
    <s v="Bi-Weekly"/>
    <m/>
  </r>
  <r>
    <n v="507"/>
    <x v="48"/>
    <x v="0"/>
    <s v="Scarf"/>
    <s v="Accessories"/>
    <n v="40"/>
    <x v="42"/>
    <s v="M"/>
    <s v="Olive"/>
    <s v="Fall"/>
    <n v="2.7"/>
    <s v="Yes"/>
    <s v="Yes"/>
    <n v="48"/>
    <s v="Debit Card"/>
    <s v="Annually"/>
    <m/>
  </r>
  <r>
    <n v="508"/>
    <x v="13"/>
    <x v="0"/>
    <s v="Shorts"/>
    <s v="Clothing"/>
    <n v="20"/>
    <x v="1"/>
    <s v="M"/>
    <s v="Magenta"/>
    <s v="Spring"/>
    <n v="5"/>
    <s v="Yes"/>
    <s v="Yes"/>
    <n v="33"/>
    <s v="Debit Card"/>
    <s v="Fortnightly"/>
    <m/>
  </r>
  <r>
    <n v="509"/>
    <x v="7"/>
    <x v="0"/>
    <s v="Jewelry"/>
    <s v="Accessories"/>
    <n v="20"/>
    <x v="26"/>
    <s v="S"/>
    <s v="Yellow"/>
    <s v="Winter"/>
    <n v="3.7"/>
    <s v="Yes"/>
    <s v="Yes"/>
    <n v="31"/>
    <s v="PayPal"/>
    <s v="Quarterly"/>
    <m/>
  </r>
  <r>
    <n v="510"/>
    <x v="38"/>
    <x v="0"/>
    <s v="T-shirt"/>
    <s v="Clothing"/>
    <n v="80"/>
    <x v="12"/>
    <s v="L"/>
    <s v="Cyan"/>
    <s v="Summer"/>
    <n v="3.9"/>
    <s v="Yes"/>
    <s v="Yes"/>
    <n v="17"/>
    <s v="Debit Card"/>
    <s v="Weekly"/>
    <m/>
  </r>
  <r>
    <n v="511"/>
    <x v="3"/>
    <x v="0"/>
    <s v="Shirt"/>
    <s v="Clothing"/>
    <n v="87"/>
    <x v="8"/>
    <s v="M"/>
    <s v="Teal"/>
    <s v="Fall"/>
    <n v="3.9"/>
    <s v="Yes"/>
    <s v="Yes"/>
    <n v="22"/>
    <s v="Venmo"/>
    <s v="Annually"/>
    <m/>
  </r>
  <r>
    <n v="512"/>
    <x v="12"/>
    <x v="0"/>
    <s v="Shirt"/>
    <s v="Clothing"/>
    <n v="46"/>
    <x v="11"/>
    <s v="L"/>
    <s v="Yellow"/>
    <s v="Fall"/>
    <n v="3.1"/>
    <s v="Yes"/>
    <s v="Yes"/>
    <n v="8"/>
    <s v="PayPal"/>
    <s v="Annually"/>
    <m/>
  </r>
  <r>
    <n v="513"/>
    <x v="1"/>
    <x v="0"/>
    <s v="Gloves"/>
    <s v="Accessories"/>
    <n v="49"/>
    <x v="14"/>
    <s v="L"/>
    <s v="Peach"/>
    <s v="Winter"/>
    <n v="3.3"/>
    <s v="Yes"/>
    <s v="Yes"/>
    <n v="2"/>
    <s v="Bank Transfer"/>
    <s v="Monthly"/>
    <m/>
  </r>
  <r>
    <n v="514"/>
    <x v="40"/>
    <x v="0"/>
    <s v="Scarf"/>
    <s v="Accessories"/>
    <n v="65"/>
    <x v="35"/>
    <s v="M"/>
    <s v="Peach"/>
    <s v="Fall"/>
    <n v="3.6"/>
    <s v="Yes"/>
    <s v="Yes"/>
    <n v="45"/>
    <s v="Venmo"/>
    <s v="Annually"/>
    <m/>
  </r>
  <r>
    <n v="515"/>
    <x v="14"/>
    <x v="0"/>
    <s v="Skirt"/>
    <s v="Clothing"/>
    <n v="62"/>
    <x v="27"/>
    <s v="S"/>
    <s v="Olive"/>
    <s v="Winter"/>
    <n v="4.3"/>
    <s v="Yes"/>
    <s v="Yes"/>
    <n v="47"/>
    <s v="PayPal"/>
    <s v="Quarterly"/>
    <m/>
  </r>
  <r>
    <n v="516"/>
    <x v="48"/>
    <x v="0"/>
    <s v="Hat"/>
    <s v="Accessories"/>
    <n v="67"/>
    <x v="0"/>
    <s v="L"/>
    <s v="Charcoal"/>
    <s v="Spring"/>
    <n v="4.5"/>
    <s v="Yes"/>
    <s v="Yes"/>
    <n v="7"/>
    <s v="Cash"/>
    <s v="Monthly"/>
    <m/>
  </r>
  <r>
    <n v="517"/>
    <x v="50"/>
    <x v="0"/>
    <s v="Hoodie"/>
    <s v="Clothing"/>
    <n v="41"/>
    <x v="8"/>
    <s v="L"/>
    <s v="Indigo"/>
    <s v="Fall"/>
    <n v="2.8"/>
    <s v="Yes"/>
    <s v="Yes"/>
    <n v="19"/>
    <s v="Debit Card"/>
    <s v="Bi-Weekly"/>
    <m/>
  </r>
  <r>
    <n v="518"/>
    <x v="12"/>
    <x v="0"/>
    <s v="Boots"/>
    <s v="Footwear"/>
    <n v="49"/>
    <x v="25"/>
    <s v="L"/>
    <s v="Silver"/>
    <s v="Fall"/>
    <n v="2.7"/>
    <s v="Yes"/>
    <s v="Yes"/>
    <n v="44"/>
    <s v="Cash"/>
    <s v="Every 3 Months"/>
    <m/>
  </r>
  <r>
    <n v="519"/>
    <x v="41"/>
    <x v="0"/>
    <s v="Blouse"/>
    <s v="Clothing"/>
    <n v="100"/>
    <x v="4"/>
    <s v="M"/>
    <s v="Beige"/>
    <s v="Fall"/>
    <n v="2.9"/>
    <s v="Yes"/>
    <s v="Yes"/>
    <n v="16"/>
    <s v="Venmo"/>
    <s v="Every 3 Months"/>
    <m/>
  </r>
  <r>
    <n v="520"/>
    <x v="1"/>
    <x v="0"/>
    <s v="Belt"/>
    <s v="Accessories"/>
    <n v="54"/>
    <x v="46"/>
    <s v="L"/>
    <s v="Blue"/>
    <s v="Summer"/>
    <n v="4.4000000000000004"/>
    <s v="Yes"/>
    <s v="Yes"/>
    <n v="17"/>
    <s v="Bank Transfer"/>
    <s v="Quarterly"/>
    <m/>
  </r>
  <r>
    <n v="521"/>
    <x v="47"/>
    <x v="0"/>
    <s v="Sunglasses"/>
    <s v="Accessories"/>
    <n v="84"/>
    <x v="36"/>
    <s v="M"/>
    <s v="White"/>
    <s v="Spring"/>
    <n v="3.9"/>
    <s v="Yes"/>
    <s v="Yes"/>
    <n v="20"/>
    <s v="Debit Card"/>
    <s v="Quarterly"/>
    <m/>
  </r>
  <r>
    <n v="522"/>
    <x v="24"/>
    <x v="0"/>
    <s v="Shorts"/>
    <s v="Clothing"/>
    <n v="41"/>
    <x v="34"/>
    <s v="L"/>
    <s v="Gold"/>
    <s v="Winter"/>
    <n v="3.5"/>
    <s v="Yes"/>
    <s v="Yes"/>
    <n v="50"/>
    <s v="Bank Transfer"/>
    <s v="Annually"/>
    <m/>
  </r>
  <r>
    <n v="523"/>
    <x v="13"/>
    <x v="0"/>
    <s v="Gloves"/>
    <s v="Accessories"/>
    <n v="88"/>
    <x v="46"/>
    <s v="M"/>
    <s v="Blue"/>
    <s v="Spring"/>
    <n v="2.5"/>
    <s v="Yes"/>
    <s v="Yes"/>
    <n v="37"/>
    <s v="Cash"/>
    <s v="Quarterly"/>
    <m/>
  </r>
  <r>
    <n v="524"/>
    <x v="5"/>
    <x v="0"/>
    <s v="Sandals"/>
    <s v="Footwear"/>
    <n v="40"/>
    <x v="12"/>
    <s v="M"/>
    <s v="Orange"/>
    <s v="Spring"/>
    <n v="4.9000000000000004"/>
    <s v="Yes"/>
    <s v="Yes"/>
    <n v="5"/>
    <s v="PayPal"/>
    <s v="Quarterly"/>
    <m/>
  </r>
  <r>
    <n v="525"/>
    <x v="35"/>
    <x v="0"/>
    <s v="Shirt"/>
    <s v="Clothing"/>
    <n v="39"/>
    <x v="38"/>
    <s v="M"/>
    <s v="Gold"/>
    <s v="Summer"/>
    <n v="4.8"/>
    <s v="Yes"/>
    <s v="Yes"/>
    <n v="44"/>
    <s v="PayPal"/>
    <s v="Annually"/>
    <m/>
  </r>
  <r>
    <n v="526"/>
    <x v="47"/>
    <x v="0"/>
    <s v="Coat"/>
    <s v="Outerwear"/>
    <n v="37"/>
    <x v="44"/>
    <s v="M"/>
    <s v="Cyan"/>
    <s v="Spring"/>
    <n v="3.2"/>
    <s v="Yes"/>
    <s v="Yes"/>
    <n v="41"/>
    <s v="Debit Card"/>
    <s v="Monthly"/>
    <m/>
  </r>
  <r>
    <n v="527"/>
    <x v="47"/>
    <x v="0"/>
    <s v="Pants"/>
    <s v="Clothing"/>
    <n v="52"/>
    <x v="32"/>
    <s v="S"/>
    <s v="Red"/>
    <s v="Winter"/>
    <n v="4.9000000000000004"/>
    <s v="Yes"/>
    <s v="Yes"/>
    <n v="19"/>
    <s v="Cash"/>
    <s v="Monthly"/>
    <m/>
  </r>
  <r>
    <n v="528"/>
    <x v="3"/>
    <x v="0"/>
    <s v="T-shirt"/>
    <s v="Clothing"/>
    <n v="23"/>
    <x v="36"/>
    <s v="L"/>
    <s v="Yellow"/>
    <s v="Winter"/>
    <n v="4.3"/>
    <s v="Yes"/>
    <s v="Yes"/>
    <n v="47"/>
    <s v="Bank Transfer"/>
    <s v="Every 3 Months"/>
    <m/>
  </r>
  <r>
    <n v="529"/>
    <x v="50"/>
    <x v="0"/>
    <s v="Sneakers"/>
    <s v="Footwear"/>
    <n v="88"/>
    <x v="33"/>
    <s v="S"/>
    <s v="Beige"/>
    <s v="Winter"/>
    <n v="3.2"/>
    <s v="Yes"/>
    <s v="Yes"/>
    <n v="40"/>
    <s v="Cash"/>
    <s v="Annually"/>
    <m/>
  </r>
  <r>
    <n v="530"/>
    <x v="45"/>
    <x v="0"/>
    <s v="Shorts"/>
    <s v="Clothing"/>
    <n v="84"/>
    <x v="18"/>
    <s v="M"/>
    <s v="Orange"/>
    <s v="Fall"/>
    <n v="3.7"/>
    <s v="Yes"/>
    <s v="Yes"/>
    <n v="6"/>
    <s v="Credit Card"/>
    <s v="Monthly"/>
    <m/>
  </r>
  <r>
    <n v="531"/>
    <x v="39"/>
    <x v="0"/>
    <s v="Coat"/>
    <s v="Outerwear"/>
    <n v="37"/>
    <x v="6"/>
    <s v="XL"/>
    <s v="Magenta"/>
    <s v="Winter"/>
    <n v="3.2"/>
    <s v="Yes"/>
    <s v="Yes"/>
    <n v="25"/>
    <s v="Credit Card"/>
    <s v="Bi-Weekly"/>
    <m/>
  </r>
  <r>
    <n v="532"/>
    <x v="2"/>
    <x v="0"/>
    <s v="Sandals"/>
    <s v="Footwear"/>
    <n v="51"/>
    <x v="34"/>
    <s v="L"/>
    <s v="Purple"/>
    <s v="Fall"/>
    <n v="3.4"/>
    <s v="Yes"/>
    <s v="Yes"/>
    <n v="42"/>
    <s v="Cash"/>
    <s v="Weekly"/>
    <m/>
  </r>
  <r>
    <n v="533"/>
    <x v="8"/>
    <x v="0"/>
    <s v="Pants"/>
    <s v="Clothing"/>
    <n v="76"/>
    <x v="21"/>
    <s v="L"/>
    <s v="Black"/>
    <s v="Winter"/>
    <n v="4.0999999999999996"/>
    <s v="Yes"/>
    <s v="Yes"/>
    <n v="35"/>
    <s v="Bank Transfer"/>
    <s v="Every 3 Months"/>
    <m/>
  </r>
  <r>
    <n v="534"/>
    <x v="9"/>
    <x v="0"/>
    <s v="Sandals"/>
    <s v="Footwear"/>
    <n v="60"/>
    <x v="17"/>
    <s v="L"/>
    <s v="Pink"/>
    <s v="Spring"/>
    <n v="4.5"/>
    <s v="Yes"/>
    <s v="Yes"/>
    <n v="17"/>
    <s v="Debit Card"/>
    <s v="Weekly"/>
    <m/>
  </r>
  <r>
    <n v="535"/>
    <x v="13"/>
    <x v="0"/>
    <s v="Gloves"/>
    <s v="Accessories"/>
    <n v="72"/>
    <x v="20"/>
    <s v="L"/>
    <s v="Pink"/>
    <s v="Fall"/>
    <n v="4.5"/>
    <s v="Yes"/>
    <s v="Yes"/>
    <n v="4"/>
    <s v="PayPal"/>
    <s v="Quarterly"/>
    <m/>
  </r>
  <r>
    <n v="536"/>
    <x v="19"/>
    <x v="0"/>
    <s v="T-shirt"/>
    <s v="Clothing"/>
    <n v="45"/>
    <x v="8"/>
    <s v="L"/>
    <s v="Maroon"/>
    <s v="Spring"/>
    <n v="3.2"/>
    <s v="Yes"/>
    <s v="Yes"/>
    <n v="24"/>
    <s v="Bank Transfer"/>
    <s v="Weekly"/>
    <m/>
  </r>
  <r>
    <n v="537"/>
    <x v="42"/>
    <x v="0"/>
    <s v="Jacket"/>
    <s v="Outerwear"/>
    <n v="84"/>
    <x v="26"/>
    <s v="S"/>
    <s v="Maroon"/>
    <s v="Fall"/>
    <n v="4.4000000000000004"/>
    <s v="Yes"/>
    <s v="Yes"/>
    <n v="16"/>
    <s v="Debit Card"/>
    <s v="Every 3 Months"/>
    <m/>
  </r>
  <r>
    <n v="538"/>
    <x v="2"/>
    <x v="0"/>
    <s v="Blouse"/>
    <s v="Clothing"/>
    <n v="49"/>
    <x v="41"/>
    <s v="S"/>
    <s v="Turquoise"/>
    <s v="Summer"/>
    <n v="3"/>
    <s v="Yes"/>
    <s v="Yes"/>
    <n v="14"/>
    <s v="Debit Card"/>
    <s v="Annually"/>
    <m/>
  </r>
  <r>
    <n v="539"/>
    <x v="7"/>
    <x v="0"/>
    <s v="Socks"/>
    <s v="Clothing"/>
    <n v="22"/>
    <x v="41"/>
    <s v="XL"/>
    <s v="Green"/>
    <s v="Spring"/>
    <n v="3.2"/>
    <s v="Yes"/>
    <s v="Yes"/>
    <n v="43"/>
    <s v="Cash"/>
    <s v="Weekly"/>
    <m/>
  </r>
  <r>
    <n v="540"/>
    <x v="34"/>
    <x v="0"/>
    <s v="Coat"/>
    <s v="Outerwear"/>
    <n v="48"/>
    <x v="5"/>
    <s v="M"/>
    <s v="Violet"/>
    <s v="Winter"/>
    <n v="4"/>
    <s v="Yes"/>
    <s v="Yes"/>
    <n v="49"/>
    <s v="Debit Card"/>
    <s v="Weekly"/>
    <m/>
  </r>
  <r>
    <n v="541"/>
    <x v="34"/>
    <x v="0"/>
    <s v="Dress"/>
    <s v="Clothing"/>
    <n v="37"/>
    <x v="36"/>
    <s v="M"/>
    <s v="Lavender"/>
    <s v="Spring"/>
    <n v="3.1"/>
    <s v="Yes"/>
    <s v="Yes"/>
    <n v="33"/>
    <s v="Cash"/>
    <s v="Every 3 Months"/>
    <m/>
  </r>
  <r>
    <n v="542"/>
    <x v="16"/>
    <x v="0"/>
    <s v="Jacket"/>
    <s v="Outerwear"/>
    <n v="27"/>
    <x v="39"/>
    <s v="L"/>
    <s v="Gray"/>
    <s v="Fall"/>
    <n v="2.8"/>
    <s v="Yes"/>
    <s v="Yes"/>
    <n v="45"/>
    <s v="Cash"/>
    <s v="Bi-Weekly"/>
    <m/>
  </r>
  <r>
    <n v="543"/>
    <x v="7"/>
    <x v="0"/>
    <s v="Boots"/>
    <s v="Footwear"/>
    <n v="79"/>
    <x v="26"/>
    <s v="XL"/>
    <s v="Teal"/>
    <s v="Spring"/>
    <n v="4.5999999999999996"/>
    <s v="Yes"/>
    <s v="Yes"/>
    <n v="35"/>
    <s v="Cash"/>
    <s v="Bi-Weekly"/>
    <m/>
  </r>
  <r>
    <n v="544"/>
    <x v="10"/>
    <x v="0"/>
    <s v="Skirt"/>
    <s v="Clothing"/>
    <n v="98"/>
    <x v="15"/>
    <s v="S"/>
    <s v="Red"/>
    <s v="Spring"/>
    <n v="4.3"/>
    <s v="Yes"/>
    <s v="Yes"/>
    <n v="11"/>
    <s v="Credit Card"/>
    <s v="Monthly"/>
    <m/>
  </r>
  <r>
    <n v="545"/>
    <x v="50"/>
    <x v="0"/>
    <s v="Sandals"/>
    <s v="Footwear"/>
    <n v="64"/>
    <x v="47"/>
    <s v="S"/>
    <s v="Yellow"/>
    <s v="Summer"/>
    <n v="3.3"/>
    <s v="Yes"/>
    <s v="Yes"/>
    <n v="30"/>
    <s v="Bank Transfer"/>
    <s v="Every 3 Months"/>
    <m/>
  </r>
  <r>
    <n v="546"/>
    <x v="23"/>
    <x v="0"/>
    <s v="Coat"/>
    <s v="Outerwear"/>
    <n v="32"/>
    <x v="15"/>
    <s v="L"/>
    <s v="Magenta"/>
    <s v="Summer"/>
    <n v="3.5"/>
    <s v="Yes"/>
    <s v="Yes"/>
    <n v="48"/>
    <s v="Debit Card"/>
    <s v="Annually"/>
    <m/>
  </r>
  <r>
    <n v="547"/>
    <x v="46"/>
    <x v="0"/>
    <s v="Hoodie"/>
    <s v="Clothing"/>
    <n v="74"/>
    <x v="35"/>
    <s v="M"/>
    <s v="Brown"/>
    <s v="Winter"/>
    <n v="3.4"/>
    <s v="Yes"/>
    <s v="Yes"/>
    <n v="45"/>
    <s v="Venmo"/>
    <s v="Bi-Weekly"/>
    <m/>
  </r>
  <r>
    <n v="548"/>
    <x v="21"/>
    <x v="0"/>
    <s v="Jacket"/>
    <s v="Outerwear"/>
    <n v="50"/>
    <x v="22"/>
    <s v="M"/>
    <s v="Blue"/>
    <s v="Winter"/>
    <n v="2.8"/>
    <s v="Yes"/>
    <s v="Yes"/>
    <n v="26"/>
    <s v="Venmo"/>
    <s v="Weekly"/>
    <m/>
  </r>
  <r>
    <n v="549"/>
    <x v="24"/>
    <x v="0"/>
    <s v="Backpack"/>
    <s v="Accessories"/>
    <n v="64"/>
    <x v="43"/>
    <s v="M"/>
    <s v="Black"/>
    <s v="Winter"/>
    <n v="4.5999999999999996"/>
    <s v="Yes"/>
    <s v="Yes"/>
    <n v="41"/>
    <s v="Debit Card"/>
    <s v="Every 3 Months"/>
    <m/>
  </r>
  <r>
    <n v="550"/>
    <x v="18"/>
    <x v="0"/>
    <s v="Backpack"/>
    <s v="Accessories"/>
    <n v="29"/>
    <x v="28"/>
    <s v="S"/>
    <s v="Olive"/>
    <s v="Fall"/>
    <n v="3.6"/>
    <s v="Yes"/>
    <s v="Yes"/>
    <n v="37"/>
    <s v="Venmo"/>
    <s v="Bi-Weekly"/>
    <m/>
  </r>
  <r>
    <n v="551"/>
    <x v="46"/>
    <x v="0"/>
    <s v="Belt"/>
    <s v="Accessories"/>
    <n v="62"/>
    <x v="42"/>
    <s v="M"/>
    <s v="Olive"/>
    <s v="Summer"/>
    <n v="3.3"/>
    <s v="Yes"/>
    <s v="Yes"/>
    <n v="12"/>
    <s v="PayPal"/>
    <s v="Weekly"/>
    <m/>
  </r>
  <r>
    <n v="552"/>
    <x v="26"/>
    <x v="0"/>
    <s v="Coat"/>
    <s v="Outerwear"/>
    <n v="78"/>
    <x v="37"/>
    <s v="XL"/>
    <s v="Green"/>
    <s v="Fall"/>
    <n v="3.1"/>
    <s v="Yes"/>
    <s v="Yes"/>
    <n v="27"/>
    <s v="Cash"/>
    <s v="Bi-Weekly"/>
    <m/>
  </r>
  <r>
    <n v="553"/>
    <x v="41"/>
    <x v="0"/>
    <s v="T-shirt"/>
    <s v="Clothing"/>
    <n v="94"/>
    <x v="9"/>
    <s v="M"/>
    <s v="Peach"/>
    <s v="Fall"/>
    <n v="3.5"/>
    <s v="Yes"/>
    <s v="Yes"/>
    <n v="18"/>
    <s v="Bank Transfer"/>
    <s v="Weekly"/>
    <m/>
  </r>
  <r>
    <n v="554"/>
    <x v="6"/>
    <x v="0"/>
    <s v="Sunglasses"/>
    <s v="Accessories"/>
    <n v="59"/>
    <x v="20"/>
    <s v="M"/>
    <s v="White"/>
    <s v="Winter"/>
    <n v="3.2"/>
    <s v="Yes"/>
    <s v="Yes"/>
    <n v="15"/>
    <s v="Credit Card"/>
    <s v="Quarterly"/>
    <m/>
  </r>
  <r>
    <n v="555"/>
    <x v="19"/>
    <x v="0"/>
    <s v="Sneakers"/>
    <s v="Footwear"/>
    <n v="47"/>
    <x v="46"/>
    <s v="M"/>
    <s v="Red"/>
    <s v="Summer"/>
    <n v="3"/>
    <s v="Yes"/>
    <s v="Yes"/>
    <n v="34"/>
    <s v="Bank Transfer"/>
    <s v="Weekly"/>
    <m/>
  </r>
  <r>
    <n v="556"/>
    <x v="6"/>
    <x v="0"/>
    <s v="Gloves"/>
    <s v="Accessories"/>
    <n v="57"/>
    <x v="1"/>
    <s v="M"/>
    <s v="White"/>
    <s v="Fall"/>
    <n v="4.8"/>
    <s v="Yes"/>
    <s v="Yes"/>
    <n v="37"/>
    <s v="Venmo"/>
    <s v="Annually"/>
    <m/>
  </r>
  <r>
    <n v="557"/>
    <x v="37"/>
    <x v="0"/>
    <s v="Coat"/>
    <s v="Outerwear"/>
    <n v="90"/>
    <x v="6"/>
    <s v="L"/>
    <s v="Indigo"/>
    <s v="Winter"/>
    <n v="5"/>
    <s v="Yes"/>
    <s v="Yes"/>
    <n v="21"/>
    <s v="Cash"/>
    <s v="Fortnightly"/>
    <m/>
  </r>
  <r>
    <n v="558"/>
    <x v="20"/>
    <x v="0"/>
    <s v="Shirt"/>
    <s v="Clothing"/>
    <n v="60"/>
    <x v="29"/>
    <s v="M"/>
    <s v="White"/>
    <s v="Spring"/>
    <n v="2.9"/>
    <s v="Yes"/>
    <s v="Yes"/>
    <n v="31"/>
    <s v="Debit Card"/>
    <s v="Weekly"/>
    <m/>
  </r>
  <r>
    <n v="559"/>
    <x v="2"/>
    <x v="0"/>
    <s v="Sneakers"/>
    <s v="Footwear"/>
    <n v="77"/>
    <x v="44"/>
    <s v="L"/>
    <s v="Teal"/>
    <s v="Fall"/>
    <n v="3.2"/>
    <s v="Yes"/>
    <s v="Yes"/>
    <n v="43"/>
    <s v="Debit Card"/>
    <s v="Every 3 Months"/>
    <m/>
  </r>
  <r>
    <n v="560"/>
    <x v="17"/>
    <x v="0"/>
    <s v="Scarf"/>
    <s v="Accessories"/>
    <n v="41"/>
    <x v="28"/>
    <s v="M"/>
    <s v="Indigo"/>
    <s v="Fall"/>
    <n v="2.9"/>
    <s v="Yes"/>
    <s v="Yes"/>
    <n v="22"/>
    <s v="Bank Transfer"/>
    <s v="Monthly"/>
    <m/>
  </r>
  <r>
    <n v="561"/>
    <x v="15"/>
    <x v="0"/>
    <s v="Jewelry"/>
    <s v="Accessories"/>
    <n v="48"/>
    <x v="7"/>
    <s v="L"/>
    <s v="Red"/>
    <s v="Fall"/>
    <n v="3.3"/>
    <s v="Yes"/>
    <s v="Yes"/>
    <n v="12"/>
    <s v="Debit Card"/>
    <s v="Annually"/>
    <m/>
  </r>
  <r>
    <n v="562"/>
    <x v="13"/>
    <x v="0"/>
    <s v="Jacket"/>
    <s v="Outerwear"/>
    <n v="65"/>
    <x v="15"/>
    <s v="M"/>
    <s v="Blue"/>
    <s v="Fall"/>
    <n v="2.6"/>
    <s v="Yes"/>
    <s v="Yes"/>
    <n v="25"/>
    <s v="PayPal"/>
    <s v="Fortnightly"/>
    <m/>
  </r>
  <r>
    <n v="563"/>
    <x v="10"/>
    <x v="0"/>
    <s v="Jeans"/>
    <s v="Clothing"/>
    <n v="62"/>
    <x v="9"/>
    <s v="M"/>
    <s v="Blue"/>
    <s v="Summer"/>
    <n v="3.5"/>
    <s v="Yes"/>
    <s v="Yes"/>
    <n v="40"/>
    <s v="Debit Card"/>
    <s v="Annually"/>
    <m/>
  </r>
  <r>
    <n v="564"/>
    <x v="12"/>
    <x v="0"/>
    <s v="Shoes"/>
    <s v="Footwear"/>
    <n v="99"/>
    <x v="37"/>
    <s v="M"/>
    <s v="Black"/>
    <s v="Fall"/>
    <n v="4.4000000000000004"/>
    <s v="Yes"/>
    <s v="Yes"/>
    <n v="16"/>
    <s v="Debit Card"/>
    <s v="Quarterly"/>
    <m/>
  </r>
  <r>
    <n v="565"/>
    <x v="29"/>
    <x v="0"/>
    <s v="Hoodie"/>
    <s v="Clothing"/>
    <n v="58"/>
    <x v="20"/>
    <s v="M"/>
    <s v="Olive"/>
    <s v="Winter"/>
    <n v="3.4"/>
    <s v="Yes"/>
    <s v="Yes"/>
    <n v="30"/>
    <s v="Bank Transfer"/>
    <s v="Weekly"/>
    <m/>
  </r>
  <r>
    <n v="566"/>
    <x v="35"/>
    <x v="0"/>
    <s v="Backpack"/>
    <s v="Accessories"/>
    <n v="43"/>
    <x v="37"/>
    <s v="L"/>
    <s v="Lavender"/>
    <s v="Fall"/>
    <n v="4.2"/>
    <s v="Yes"/>
    <s v="Yes"/>
    <n v="10"/>
    <s v="Venmo"/>
    <s v="Weekly"/>
    <m/>
  </r>
  <r>
    <n v="567"/>
    <x v="0"/>
    <x v="0"/>
    <s v="Sneakers"/>
    <s v="Footwear"/>
    <n v="93"/>
    <x v="15"/>
    <s v="M"/>
    <s v="Indigo"/>
    <s v="Spring"/>
    <n v="3.6"/>
    <s v="Yes"/>
    <s v="Yes"/>
    <n v="1"/>
    <s v="Debit Card"/>
    <s v="Fortnightly"/>
    <m/>
  </r>
  <r>
    <n v="568"/>
    <x v="3"/>
    <x v="0"/>
    <s v="Blouse"/>
    <s v="Clothing"/>
    <n v="50"/>
    <x v="13"/>
    <s v="S"/>
    <s v="Red"/>
    <s v="Winter"/>
    <n v="3"/>
    <s v="Yes"/>
    <s v="Yes"/>
    <n v="24"/>
    <s v="Venmo"/>
    <s v="Fortnightly"/>
    <m/>
  </r>
  <r>
    <n v="569"/>
    <x v="42"/>
    <x v="0"/>
    <s v="Pants"/>
    <s v="Clothing"/>
    <n v="88"/>
    <x v="40"/>
    <s v="L"/>
    <s v="Red"/>
    <s v="Summer"/>
    <n v="4"/>
    <s v="Yes"/>
    <s v="Yes"/>
    <n v="36"/>
    <s v="PayPal"/>
    <s v="Monthly"/>
    <m/>
  </r>
  <r>
    <n v="570"/>
    <x v="13"/>
    <x v="0"/>
    <s v="Skirt"/>
    <s v="Clothing"/>
    <n v="33"/>
    <x v="15"/>
    <s v="M"/>
    <s v="Pink"/>
    <s v="Fall"/>
    <n v="4.4000000000000004"/>
    <s v="Yes"/>
    <s v="Yes"/>
    <n v="46"/>
    <s v="Credit Card"/>
    <s v="Every 3 Months"/>
    <m/>
  </r>
  <r>
    <n v="571"/>
    <x v="13"/>
    <x v="0"/>
    <s v="T-shirt"/>
    <s v="Clothing"/>
    <n v="99"/>
    <x v="44"/>
    <s v="XL"/>
    <s v="Purple"/>
    <s v="Fall"/>
    <n v="4.0999999999999996"/>
    <s v="Yes"/>
    <s v="Yes"/>
    <n v="20"/>
    <s v="Cash"/>
    <s v="Annually"/>
    <m/>
  </r>
  <r>
    <n v="572"/>
    <x v="22"/>
    <x v="0"/>
    <s v="Jacket"/>
    <s v="Outerwear"/>
    <n v="76"/>
    <x v="0"/>
    <s v="XL"/>
    <s v="Cyan"/>
    <s v="Spring"/>
    <n v="3.6"/>
    <s v="Yes"/>
    <s v="Yes"/>
    <n v="37"/>
    <s v="Venmo"/>
    <s v="Weekly"/>
    <m/>
  </r>
  <r>
    <n v="573"/>
    <x v="19"/>
    <x v="0"/>
    <s v="Scarf"/>
    <s v="Accessories"/>
    <n v="97"/>
    <x v="36"/>
    <s v="XL"/>
    <s v="Cyan"/>
    <s v="Summer"/>
    <n v="4.5999999999999996"/>
    <s v="Yes"/>
    <s v="Yes"/>
    <n v="26"/>
    <s v="Bank Transfer"/>
    <s v="Annually"/>
    <m/>
  </r>
  <r>
    <n v="574"/>
    <x v="44"/>
    <x v="0"/>
    <s v="Pants"/>
    <s v="Clothing"/>
    <n v="68"/>
    <x v="18"/>
    <s v="M"/>
    <s v="Charcoal"/>
    <s v="Summer"/>
    <n v="3.2"/>
    <s v="Yes"/>
    <s v="Yes"/>
    <n v="23"/>
    <s v="Credit Card"/>
    <s v="Bi-Weekly"/>
    <m/>
  </r>
  <r>
    <n v="575"/>
    <x v="22"/>
    <x v="0"/>
    <s v="Sneakers"/>
    <s v="Footwear"/>
    <n v="79"/>
    <x v="1"/>
    <s v="L"/>
    <s v="Red"/>
    <s v="Fall"/>
    <n v="4.8"/>
    <s v="Yes"/>
    <s v="Yes"/>
    <n v="20"/>
    <s v="Bank Transfer"/>
    <s v="Bi-Weekly"/>
    <m/>
  </r>
  <r>
    <n v="576"/>
    <x v="44"/>
    <x v="0"/>
    <s v="Jeans"/>
    <s v="Clothing"/>
    <n v="86"/>
    <x v="43"/>
    <s v="M"/>
    <s v="Peach"/>
    <s v="Fall"/>
    <n v="4.8"/>
    <s v="Yes"/>
    <s v="Yes"/>
    <n v="38"/>
    <s v="PayPal"/>
    <s v="Monthly"/>
    <m/>
  </r>
  <r>
    <n v="577"/>
    <x v="39"/>
    <x v="0"/>
    <s v="Hat"/>
    <s v="Accessories"/>
    <n v="68"/>
    <x v="47"/>
    <s v="M"/>
    <s v="Black"/>
    <s v="Winter"/>
    <n v="5"/>
    <s v="Yes"/>
    <s v="Yes"/>
    <n v="5"/>
    <s v="Credit Card"/>
    <s v="Every 3 Months"/>
    <m/>
  </r>
  <r>
    <n v="578"/>
    <x v="1"/>
    <x v="0"/>
    <s v="Skirt"/>
    <s v="Clothing"/>
    <n v="52"/>
    <x v="15"/>
    <s v="M"/>
    <s v="Black"/>
    <s v="Fall"/>
    <n v="3.7"/>
    <s v="Yes"/>
    <s v="Yes"/>
    <n v="41"/>
    <s v="Venmo"/>
    <s v="Annually"/>
    <m/>
  </r>
  <r>
    <n v="579"/>
    <x v="28"/>
    <x v="0"/>
    <s v="Sandals"/>
    <s v="Footwear"/>
    <n v="90"/>
    <x v="1"/>
    <s v="M"/>
    <s v="Purple"/>
    <s v="Fall"/>
    <n v="4.5999999999999996"/>
    <s v="Yes"/>
    <s v="Yes"/>
    <n v="22"/>
    <s v="Credit Card"/>
    <s v="Fortnightly"/>
    <m/>
  </r>
  <r>
    <n v="580"/>
    <x v="44"/>
    <x v="0"/>
    <s v="Sandals"/>
    <s v="Footwear"/>
    <n v="41"/>
    <x v="18"/>
    <s v="M"/>
    <s v="Violet"/>
    <s v="Winter"/>
    <n v="3.7"/>
    <s v="Yes"/>
    <s v="Yes"/>
    <n v="48"/>
    <s v="Credit Card"/>
    <s v="Annually"/>
    <m/>
  </r>
  <r>
    <n v="581"/>
    <x v="34"/>
    <x v="0"/>
    <s v="Sweater"/>
    <s v="Clothing"/>
    <n v="80"/>
    <x v="44"/>
    <s v="M"/>
    <s v="Orange"/>
    <s v="Spring"/>
    <n v="4.0999999999999996"/>
    <s v="Yes"/>
    <s v="Yes"/>
    <n v="10"/>
    <s v="PayPal"/>
    <s v="Weekly"/>
    <m/>
  </r>
  <r>
    <n v="582"/>
    <x v="45"/>
    <x v="0"/>
    <s v="Sweater"/>
    <s v="Clothing"/>
    <n v="100"/>
    <x v="44"/>
    <s v="XL"/>
    <s v="Charcoal"/>
    <s v="Winter"/>
    <n v="2.7"/>
    <s v="Yes"/>
    <s v="Yes"/>
    <n v="12"/>
    <s v="Bank Transfer"/>
    <s v="Every 3 Months"/>
    <m/>
  </r>
  <r>
    <n v="583"/>
    <x v="37"/>
    <x v="0"/>
    <s v="Jacket"/>
    <s v="Outerwear"/>
    <n v="77"/>
    <x v="24"/>
    <s v="L"/>
    <s v="Turquoise"/>
    <s v="Spring"/>
    <n v="4.9000000000000004"/>
    <s v="Yes"/>
    <s v="Yes"/>
    <n v="2"/>
    <s v="Bank Transfer"/>
    <s v="Quarterly"/>
    <m/>
  </r>
  <r>
    <n v="584"/>
    <x v="15"/>
    <x v="0"/>
    <s v="Shorts"/>
    <s v="Clothing"/>
    <n v="78"/>
    <x v="18"/>
    <s v="L"/>
    <s v="Yellow"/>
    <s v="Spring"/>
    <n v="4"/>
    <s v="Yes"/>
    <s v="Yes"/>
    <n v="38"/>
    <s v="PayPal"/>
    <s v="Monthly"/>
    <m/>
  </r>
  <r>
    <n v="585"/>
    <x v="27"/>
    <x v="0"/>
    <s v="Socks"/>
    <s v="Clothing"/>
    <n v="94"/>
    <x v="27"/>
    <s v="M"/>
    <s v="White"/>
    <s v="Spring"/>
    <n v="4.7"/>
    <s v="Yes"/>
    <s v="Yes"/>
    <n v="20"/>
    <s v="Debit Card"/>
    <s v="Monthly"/>
    <m/>
  </r>
  <r>
    <n v="586"/>
    <x v="28"/>
    <x v="0"/>
    <s v="Socks"/>
    <s v="Clothing"/>
    <n v="23"/>
    <x v="36"/>
    <s v="M"/>
    <s v="Gray"/>
    <s v="Fall"/>
    <n v="2.8"/>
    <s v="Yes"/>
    <s v="Yes"/>
    <n v="5"/>
    <s v="Cash"/>
    <s v="Every 3 Months"/>
    <m/>
  </r>
  <r>
    <n v="587"/>
    <x v="4"/>
    <x v="0"/>
    <s v="Hoodie"/>
    <s v="Clothing"/>
    <n v="20"/>
    <x v="48"/>
    <s v="S"/>
    <s v="Blue"/>
    <s v="Winter"/>
    <n v="4.9000000000000004"/>
    <s v="Yes"/>
    <s v="Yes"/>
    <n v="9"/>
    <s v="Venmo"/>
    <s v="Annually"/>
    <m/>
  </r>
  <r>
    <n v="588"/>
    <x v="26"/>
    <x v="0"/>
    <s v="Socks"/>
    <s v="Clothing"/>
    <n v="86"/>
    <x v="47"/>
    <s v="S"/>
    <s v="Maroon"/>
    <s v="Fall"/>
    <n v="4.2"/>
    <s v="Yes"/>
    <s v="Yes"/>
    <n v="48"/>
    <s v="Debit Card"/>
    <s v="Every 3 Months"/>
    <m/>
  </r>
  <r>
    <n v="589"/>
    <x v="36"/>
    <x v="0"/>
    <s v="Boots"/>
    <s v="Footwear"/>
    <n v="60"/>
    <x v="45"/>
    <s v="M"/>
    <s v="Violet"/>
    <s v="Fall"/>
    <n v="3"/>
    <s v="Yes"/>
    <s v="Yes"/>
    <n v="9"/>
    <s v="Debit Card"/>
    <s v="Quarterly"/>
    <m/>
  </r>
  <r>
    <n v="590"/>
    <x v="48"/>
    <x v="0"/>
    <s v="Shirt"/>
    <s v="Clothing"/>
    <n v="70"/>
    <x v="46"/>
    <s v="M"/>
    <s v="Orange"/>
    <s v="Fall"/>
    <n v="3.4"/>
    <s v="Yes"/>
    <s v="Yes"/>
    <n v="40"/>
    <s v="PayPal"/>
    <s v="Annually"/>
    <m/>
  </r>
  <r>
    <n v="591"/>
    <x v="14"/>
    <x v="0"/>
    <s v="Belt"/>
    <s v="Accessories"/>
    <n v="39"/>
    <x v="29"/>
    <s v="S"/>
    <s v="Turquoise"/>
    <s v="Fall"/>
    <n v="4.5999999999999996"/>
    <s v="Yes"/>
    <s v="Yes"/>
    <n v="30"/>
    <s v="Venmo"/>
    <s v="Fortnightly"/>
    <m/>
  </r>
  <r>
    <n v="592"/>
    <x v="36"/>
    <x v="0"/>
    <s v="Backpack"/>
    <s v="Accessories"/>
    <n v="37"/>
    <x v="0"/>
    <s v="L"/>
    <s v="Olive"/>
    <s v="Fall"/>
    <n v="4.2"/>
    <s v="Yes"/>
    <s v="Yes"/>
    <n v="6"/>
    <s v="Debit Card"/>
    <s v="Bi-Weekly"/>
    <m/>
  </r>
  <r>
    <n v="593"/>
    <x v="52"/>
    <x v="0"/>
    <s v="Boots"/>
    <s v="Footwear"/>
    <n v="29"/>
    <x v="25"/>
    <s v="M"/>
    <s v="Brown"/>
    <s v="Fall"/>
    <n v="3.2"/>
    <s v="Yes"/>
    <s v="Yes"/>
    <n v="42"/>
    <s v="Venmo"/>
    <s v="Every 3 Months"/>
    <m/>
  </r>
  <r>
    <n v="594"/>
    <x v="29"/>
    <x v="0"/>
    <s v="Coat"/>
    <s v="Outerwear"/>
    <n v="35"/>
    <x v="29"/>
    <s v="S"/>
    <s v="Green"/>
    <s v="Winter"/>
    <n v="4.4000000000000004"/>
    <s v="Yes"/>
    <s v="Yes"/>
    <n v="9"/>
    <s v="PayPal"/>
    <s v="Every 3 Months"/>
    <m/>
  </r>
  <r>
    <n v="595"/>
    <x v="25"/>
    <x v="0"/>
    <s v="Hoodie"/>
    <s v="Clothing"/>
    <n v="83"/>
    <x v="19"/>
    <s v="S"/>
    <s v="Brown"/>
    <s v="Winter"/>
    <n v="2.5"/>
    <s v="Yes"/>
    <s v="Yes"/>
    <n v="6"/>
    <s v="Debit Card"/>
    <s v="Monthly"/>
    <m/>
  </r>
  <r>
    <n v="596"/>
    <x v="11"/>
    <x v="0"/>
    <s v="Shoes"/>
    <s v="Footwear"/>
    <n v="77"/>
    <x v="12"/>
    <s v="M"/>
    <s v="Silver"/>
    <s v="Summer"/>
    <n v="3.6"/>
    <s v="Yes"/>
    <s v="Yes"/>
    <n v="47"/>
    <s v="PayPal"/>
    <s v="Quarterly"/>
    <m/>
  </r>
  <r>
    <n v="597"/>
    <x v="51"/>
    <x v="0"/>
    <s v="Shoes"/>
    <s v="Footwear"/>
    <n v="37"/>
    <x v="6"/>
    <s v="XL"/>
    <s v="White"/>
    <s v="Summer"/>
    <n v="4.5"/>
    <s v="Yes"/>
    <s v="Yes"/>
    <n v="36"/>
    <s v="Venmo"/>
    <s v="Annually"/>
    <m/>
  </r>
  <r>
    <n v="598"/>
    <x v="27"/>
    <x v="0"/>
    <s v="Jewelry"/>
    <s v="Accessories"/>
    <n v="69"/>
    <x v="29"/>
    <s v="L"/>
    <s v="Gold"/>
    <s v="Summer"/>
    <n v="3.4"/>
    <s v="Yes"/>
    <s v="Yes"/>
    <n v="19"/>
    <s v="Bank Transfer"/>
    <s v="Fortnightly"/>
    <m/>
  </r>
  <r>
    <n v="599"/>
    <x v="3"/>
    <x v="0"/>
    <s v="Dress"/>
    <s v="Clothing"/>
    <n v="66"/>
    <x v="18"/>
    <s v="L"/>
    <s v="Green"/>
    <s v="Winter"/>
    <n v="3.2"/>
    <s v="Yes"/>
    <s v="Yes"/>
    <n v="30"/>
    <s v="Cash"/>
    <s v="Every 3 Months"/>
    <m/>
  </r>
  <r>
    <n v="600"/>
    <x v="47"/>
    <x v="0"/>
    <s v="Boots"/>
    <s v="Footwear"/>
    <n v="26"/>
    <x v="2"/>
    <s v="L"/>
    <s v="Teal"/>
    <s v="Spring"/>
    <n v="4.2"/>
    <s v="Yes"/>
    <s v="Yes"/>
    <n v="27"/>
    <s v="Debit Card"/>
    <s v="Every 3 Months"/>
    <m/>
  </r>
  <r>
    <n v="601"/>
    <x v="40"/>
    <x v="0"/>
    <s v="Hat"/>
    <s v="Accessories"/>
    <n v="63"/>
    <x v="36"/>
    <s v="M"/>
    <s v="Charcoal"/>
    <s v="Spring"/>
    <n v="5"/>
    <s v="Yes"/>
    <s v="Yes"/>
    <n v="25"/>
    <s v="Venmo"/>
    <s v="Monthly"/>
    <m/>
  </r>
  <r>
    <n v="602"/>
    <x v="45"/>
    <x v="0"/>
    <s v="Backpack"/>
    <s v="Accessories"/>
    <n v="38"/>
    <x v="8"/>
    <s v="M"/>
    <s v="Maroon"/>
    <s v="Summer"/>
    <n v="4.7"/>
    <s v="Yes"/>
    <s v="Yes"/>
    <n v="5"/>
    <s v="Cash"/>
    <s v="Fortnightly"/>
    <m/>
  </r>
  <r>
    <n v="603"/>
    <x v="43"/>
    <x v="0"/>
    <s v="Shoes"/>
    <s v="Footwear"/>
    <n v="58"/>
    <x v="4"/>
    <s v="L"/>
    <s v="Lavender"/>
    <s v="Summer"/>
    <n v="4.2"/>
    <s v="Yes"/>
    <s v="Yes"/>
    <n v="10"/>
    <s v="Cash"/>
    <s v="Every 3 Months"/>
    <m/>
  </r>
  <r>
    <n v="604"/>
    <x v="18"/>
    <x v="0"/>
    <s v="Handbag"/>
    <s v="Accessories"/>
    <n v="46"/>
    <x v="2"/>
    <s v="L"/>
    <s v="Green"/>
    <s v="Winter"/>
    <n v="3.4"/>
    <s v="Yes"/>
    <s v="Yes"/>
    <n v="26"/>
    <s v="PayPal"/>
    <s v="Every 3 Months"/>
    <m/>
  </r>
  <r>
    <n v="605"/>
    <x v="42"/>
    <x v="0"/>
    <s v="Sunglasses"/>
    <s v="Accessories"/>
    <n v="92"/>
    <x v="8"/>
    <s v="S"/>
    <s v="Pink"/>
    <s v="Fall"/>
    <n v="4.4000000000000004"/>
    <s v="Yes"/>
    <s v="Yes"/>
    <n v="11"/>
    <s v="Credit Card"/>
    <s v="Every 3 Months"/>
    <m/>
  </r>
  <r>
    <n v="606"/>
    <x v="37"/>
    <x v="0"/>
    <s v="Hat"/>
    <s v="Accessories"/>
    <n v="32"/>
    <x v="18"/>
    <s v="XL"/>
    <s v="Charcoal"/>
    <s v="Winter"/>
    <n v="4.2"/>
    <s v="Yes"/>
    <s v="Yes"/>
    <n v="17"/>
    <s v="Bank Transfer"/>
    <s v="Weekly"/>
    <m/>
  </r>
  <r>
    <n v="607"/>
    <x v="7"/>
    <x v="0"/>
    <s v="Scarf"/>
    <s v="Accessories"/>
    <n v="90"/>
    <x v="24"/>
    <s v="M"/>
    <s v="Blue"/>
    <s v="Spring"/>
    <n v="4.5"/>
    <s v="Yes"/>
    <s v="Yes"/>
    <n v="44"/>
    <s v="PayPal"/>
    <s v="Monthly"/>
    <m/>
  </r>
  <r>
    <n v="608"/>
    <x v="36"/>
    <x v="0"/>
    <s v="Hoodie"/>
    <s v="Clothing"/>
    <n v="23"/>
    <x v="27"/>
    <s v="L"/>
    <s v="Purple"/>
    <s v="Fall"/>
    <n v="2.8"/>
    <s v="Yes"/>
    <s v="Yes"/>
    <n v="44"/>
    <s v="Cash"/>
    <s v="Monthly"/>
    <m/>
  </r>
  <r>
    <n v="609"/>
    <x v="38"/>
    <x v="0"/>
    <s v="Backpack"/>
    <s v="Accessories"/>
    <n v="25"/>
    <x v="12"/>
    <s v="S"/>
    <s v="Gold"/>
    <s v="Fall"/>
    <n v="3.3"/>
    <s v="Yes"/>
    <s v="Yes"/>
    <n v="21"/>
    <s v="Venmo"/>
    <s v="Every 3 Months"/>
    <m/>
  </r>
  <r>
    <n v="610"/>
    <x v="47"/>
    <x v="0"/>
    <s v="Sweater"/>
    <s v="Clothing"/>
    <n v="54"/>
    <x v="31"/>
    <s v="L"/>
    <s v="Purple"/>
    <s v="Fall"/>
    <n v="4.5999999999999996"/>
    <s v="Yes"/>
    <s v="Yes"/>
    <n v="49"/>
    <s v="Credit Card"/>
    <s v="Fortnightly"/>
    <m/>
  </r>
  <r>
    <n v="611"/>
    <x v="10"/>
    <x v="0"/>
    <s v="Shorts"/>
    <s v="Clothing"/>
    <n v="72"/>
    <x v="19"/>
    <s v="M"/>
    <s v="Charcoal"/>
    <s v="Summer"/>
    <n v="2.5"/>
    <s v="Yes"/>
    <s v="Yes"/>
    <n v="27"/>
    <s v="Bank Transfer"/>
    <s v="Every 3 Months"/>
    <m/>
  </r>
  <r>
    <n v="612"/>
    <x v="49"/>
    <x v="0"/>
    <s v="Scarf"/>
    <s v="Accessories"/>
    <n v="33"/>
    <x v="18"/>
    <s v="M"/>
    <s v="Black"/>
    <s v="Winter"/>
    <n v="4.7"/>
    <s v="Yes"/>
    <s v="Yes"/>
    <n v="19"/>
    <s v="Cash"/>
    <s v="Monthly"/>
    <m/>
  </r>
  <r>
    <n v="613"/>
    <x v="29"/>
    <x v="0"/>
    <s v="Hat"/>
    <s v="Accessories"/>
    <n v="43"/>
    <x v="13"/>
    <s v="L"/>
    <s v="Lavender"/>
    <s v="Fall"/>
    <n v="4.5999999999999996"/>
    <s v="Yes"/>
    <s v="Yes"/>
    <n v="33"/>
    <s v="Credit Card"/>
    <s v="Quarterly"/>
    <m/>
  </r>
  <r>
    <n v="614"/>
    <x v="12"/>
    <x v="0"/>
    <s v="Coat"/>
    <s v="Outerwear"/>
    <n v="51"/>
    <x v="38"/>
    <s v="L"/>
    <s v="Lavender"/>
    <s v="Fall"/>
    <n v="2.6"/>
    <s v="Yes"/>
    <s v="Yes"/>
    <n v="46"/>
    <s v="Cash"/>
    <s v="Bi-Weekly"/>
    <m/>
  </r>
  <r>
    <n v="615"/>
    <x v="33"/>
    <x v="0"/>
    <s v="Jewelry"/>
    <s v="Accessories"/>
    <n v="85"/>
    <x v="37"/>
    <s v="M"/>
    <s v="Lavender"/>
    <s v="Winter"/>
    <n v="4"/>
    <s v="Yes"/>
    <s v="Yes"/>
    <n v="21"/>
    <s v="Credit Card"/>
    <s v="Bi-Weekly"/>
    <m/>
  </r>
  <r>
    <n v="616"/>
    <x v="29"/>
    <x v="0"/>
    <s v="Sandals"/>
    <s v="Footwear"/>
    <n v="100"/>
    <x v="33"/>
    <s v="L"/>
    <s v="Olive"/>
    <s v="Summer"/>
    <n v="2.6"/>
    <s v="Yes"/>
    <s v="Yes"/>
    <n v="23"/>
    <s v="Venmo"/>
    <s v="Annually"/>
    <m/>
  </r>
  <r>
    <n v="617"/>
    <x v="26"/>
    <x v="0"/>
    <s v="Gloves"/>
    <s v="Accessories"/>
    <n v="72"/>
    <x v="38"/>
    <s v="L"/>
    <s v="Teal"/>
    <s v="Spring"/>
    <n v="4.5999999999999996"/>
    <s v="Yes"/>
    <s v="Yes"/>
    <n v="38"/>
    <s v="Credit Card"/>
    <s v="Every 3 Months"/>
    <m/>
  </r>
  <r>
    <n v="618"/>
    <x v="2"/>
    <x v="0"/>
    <s v="Backpack"/>
    <s v="Accessories"/>
    <n v="57"/>
    <x v="24"/>
    <s v="M"/>
    <s v="Maroon"/>
    <s v="Fall"/>
    <n v="2.6"/>
    <s v="Yes"/>
    <s v="Yes"/>
    <n v="2"/>
    <s v="Bank Transfer"/>
    <s v="Quarterly"/>
    <m/>
  </r>
  <r>
    <n v="619"/>
    <x v="12"/>
    <x v="0"/>
    <s v="Jacket"/>
    <s v="Outerwear"/>
    <n v="94"/>
    <x v="27"/>
    <s v="L"/>
    <s v="Cyan"/>
    <s v="Spring"/>
    <n v="4"/>
    <s v="Yes"/>
    <s v="Yes"/>
    <n v="21"/>
    <s v="Debit Card"/>
    <s v="Bi-Weekly"/>
    <m/>
  </r>
  <r>
    <n v="620"/>
    <x v="1"/>
    <x v="0"/>
    <s v="Backpack"/>
    <s v="Accessories"/>
    <n v="34"/>
    <x v="43"/>
    <s v="M"/>
    <s v="Charcoal"/>
    <s v="Summer"/>
    <n v="4.5999999999999996"/>
    <s v="Yes"/>
    <s v="Yes"/>
    <n v="1"/>
    <s v="Debit Card"/>
    <s v="Every 3 Months"/>
    <m/>
  </r>
  <r>
    <n v="621"/>
    <x v="23"/>
    <x v="0"/>
    <s v="Backpack"/>
    <s v="Accessories"/>
    <n v="89"/>
    <x v="3"/>
    <s v="M"/>
    <s v="Black"/>
    <s v="Fall"/>
    <n v="3.7"/>
    <s v="Yes"/>
    <s v="Yes"/>
    <n v="10"/>
    <s v="Venmo"/>
    <s v="Every 3 Months"/>
    <m/>
  </r>
  <r>
    <n v="622"/>
    <x v="47"/>
    <x v="0"/>
    <s v="Sunglasses"/>
    <s v="Accessories"/>
    <n v="27"/>
    <x v="23"/>
    <s v="S"/>
    <s v="Red"/>
    <s v="Fall"/>
    <n v="4.4000000000000004"/>
    <s v="Yes"/>
    <s v="Yes"/>
    <n v="45"/>
    <s v="Credit Card"/>
    <s v="Weekly"/>
    <m/>
  </r>
  <r>
    <n v="623"/>
    <x v="28"/>
    <x v="0"/>
    <s v="Socks"/>
    <s v="Clothing"/>
    <n v="63"/>
    <x v="42"/>
    <s v="S"/>
    <s v="Peach"/>
    <s v="Spring"/>
    <n v="4"/>
    <s v="Yes"/>
    <s v="Yes"/>
    <n v="44"/>
    <s v="Bank Transfer"/>
    <s v="Fortnightly"/>
    <m/>
  </r>
  <r>
    <n v="624"/>
    <x v="1"/>
    <x v="0"/>
    <s v="Shoes"/>
    <s v="Footwear"/>
    <n v="70"/>
    <x v="22"/>
    <s v="M"/>
    <s v="White"/>
    <s v="Fall"/>
    <n v="4.7"/>
    <s v="Yes"/>
    <s v="Yes"/>
    <n v="48"/>
    <s v="PayPal"/>
    <s v="Bi-Weekly"/>
    <m/>
  </r>
  <r>
    <n v="625"/>
    <x v="0"/>
    <x v="0"/>
    <s v="Pants"/>
    <s v="Clothing"/>
    <n v="87"/>
    <x v="36"/>
    <s v="XL"/>
    <s v="Pink"/>
    <s v="Fall"/>
    <n v="3.4"/>
    <s v="Yes"/>
    <s v="Yes"/>
    <n v="21"/>
    <s v="PayPal"/>
    <s v="Annually"/>
    <m/>
  </r>
  <r>
    <n v="626"/>
    <x v="34"/>
    <x v="0"/>
    <s v="Jewelry"/>
    <s v="Accessories"/>
    <n v="79"/>
    <x v="12"/>
    <s v="M"/>
    <s v="Red"/>
    <s v="Fall"/>
    <n v="4"/>
    <s v="Yes"/>
    <s v="Yes"/>
    <n v="1"/>
    <s v="Venmo"/>
    <s v="Weekly"/>
    <m/>
  </r>
  <r>
    <n v="627"/>
    <x v="18"/>
    <x v="0"/>
    <s v="Sunglasses"/>
    <s v="Accessories"/>
    <n v="79"/>
    <x v="13"/>
    <s v="M"/>
    <s v="Indigo"/>
    <s v="Spring"/>
    <n v="3.9"/>
    <s v="Yes"/>
    <s v="Yes"/>
    <n v="10"/>
    <s v="Venmo"/>
    <s v="Annually"/>
    <m/>
  </r>
  <r>
    <n v="628"/>
    <x v="32"/>
    <x v="0"/>
    <s v="Sandals"/>
    <s v="Footwear"/>
    <n v="44"/>
    <x v="4"/>
    <s v="L"/>
    <s v="Black"/>
    <s v="Winter"/>
    <n v="4.0999999999999996"/>
    <s v="Yes"/>
    <s v="Yes"/>
    <n v="24"/>
    <s v="PayPal"/>
    <s v="Monthly"/>
    <m/>
  </r>
  <r>
    <n v="629"/>
    <x v="28"/>
    <x v="0"/>
    <s v="Sweater"/>
    <s v="Clothing"/>
    <n v="85"/>
    <x v="2"/>
    <s v="M"/>
    <s v="White"/>
    <s v="Fall"/>
    <n v="3.7"/>
    <s v="Yes"/>
    <s v="Yes"/>
    <n v="29"/>
    <s v="Credit Card"/>
    <s v="Monthly"/>
    <m/>
  </r>
  <r>
    <n v="630"/>
    <x v="8"/>
    <x v="0"/>
    <s v="Shoes"/>
    <s v="Footwear"/>
    <n v="90"/>
    <x v="34"/>
    <s v="L"/>
    <s v="Beige"/>
    <s v="Spring"/>
    <n v="4.7"/>
    <s v="Yes"/>
    <s v="Yes"/>
    <n v="11"/>
    <s v="Debit Card"/>
    <s v="Annually"/>
    <m/>
  </r>
  <r>
    <n v="631"/>
    <x v="38"/>
    <x v="0"/>
    <s v="Jewelry"/>
    <s v="Accessories"/>
    <n v="94"/>
    <x v="16"/>
    <s v="S"/>
    <s v="Silver"/>
    <s v="Fall"/>
    <n v="4.3"/>
    <s v="Yes"/>
    <s v="Yes"/>
    <n v="33"/>
    <s v="Debit Card"/>
    <s v="Annually"/>
    <m/>
  </r>
  <r>
    <n v="632"/>
    <x v="0"/>
    <x v="0"/>
    <s v="Boots"/>
    <s v="Footwear"/>
    <n v="68"/>
    <x v="47"/>
    <s v="S"/>
    <s v="Violet"/>
    <s v="Summer"/>
    <n v="4.0999999999999996"/>
    <s v="Yes"/>
    <s v="Yes"/>
    <n v="27"/>
    <s v="Cash"/>
    <s v="Fortnightly"/>
    <m/>
  </r>
  <r>
    <n v="633"/>
    <x v="25"/>
    <x v="0"/>
    <s v="Backpack"/>
    <s v="Accessories"/>
    <n v="51"/>
    <x v="5"/>
    <s v="M"/>
    <s v="Red"/>
    <s v="Winter"/>
    <n v="3.9"/>
    <s v="Yes"/>
    <s v="Yes"/>
    <n v="19"/>
    <s v="Venmo"/>
    <s v="Fortnightly"/>
    <m/>
  </r>
  <r>
    <n v="634"/>
    <x v="17"/>
    <x v="0"/>
    <s v="Sandals"/>
    <s v="Footwear"/>
    <n v="33"/>
    <x v="46"/>
    <s v="M"/>
    <s v="Orange"/>
    <s v="Spring"/>
    <n v="2.9"/>
    <s v="Yes"/>
    <s v="Yes"/>
    <n v="50"/>
    <s v="Debit Card"/>
    <s v="Quarterly"/>
    <m/>
  </r>
  <r>
    <n v="635"/>
    <x v="24"/>
    <x v="0"/>
    <s v="Sneakers"/>
    <s v="Footwear"/>
    <n v="60"/>
    <x v="31"/>
    <s v="M"/>
    <s v="Teal"/>
    <s v="Summer"/>
    <n v="3.9"/>
    <s v="Yes"/>
    <s v="Yes"/>
    <n v="46"/>
    <s v="PayPal"/>
    <s v="Weekly"/>
    <m/>
  </r>
  <r>
    <n v="636"/>
    <x v="7"/>
    <x v="0"/>
    <s v="Hoodie"/>
    <s v="Clothing"/>
    <n v="59"/>
    <x v="36"/>
    <s v="M"/>
    <s v="Brown"/>
    <s v="Fall"/>
    <n v="4.3"/>
    <s v="Yes"/>
    <s v="Yes"/>
    <n v="28"/>
    <s v="Cash"/>
    <s v="Quarterly"/>
    <m/>
  </r>
  <r>
    <n v="637"/>
    <x v="38"/>
    <x v="0"/>
    <s v="Handbag"/>
    <s v="Accessories"/>
    <n v="30"/>
    <x v="48"/>
    <s v="M"/>
    <s v="Indigo"/>
    <s v="Summer"/>
    <n v="2.8"/>
    <s v="Yes"/>
    <s v="Yes"/>
    <n v="14"/>
    <s v="Bank Transfer"/>
    <s v="Every 3 Months"/>
    <m/>
  </r>
  <r>
    <n v="638"/>
    <x v="3"/>
    <x v="0"/>
    <s v="Sweater"/>
    <s v="Clothing"/>
    <n v="20"/>
    <x v="30"/>
    <s v="M"/>
    <s v="Cyan"/>
    <s v="Winter"/>
    <n v="3.4"/>
    <s v="Yes"/>
    <s v="Yes"/>
    <n v="46"/>
    <s v="Cash"/>
    <s v="Fortnightly"/>
    <m/>
  </r>
  <r>
    <n v="639"/>
    <x v="10"/>
    <x v="0"/>
    <s v="Sandals"/>
    <s v="Footwear"/>
    <n v="20"/>
    <x v="33"/>
    <s v="S"/>
    <s v="Blue"/>
    <s v="Summer"/>
    <n v="2.7"/>
    <s v="Yes"/>
    <s v="Yes"/>
    <n v="41"/>
    <s v="PayPal"/>
    <s v="Monthly"/>
    <m/>
  </r>
  <r>
    <n v="640"/>
    <x v="22"/>
    <x v="0"/>
    <s v="Dress"/>
    <s v="Clothing"/>
    <n v="24"/>
    <x v="16"/>
    <s v="L"/>
    <s v="Olive"/>
    <s v="Spring"/>
    <n v="4"/>
    <s v="Yes"/>
    <s v="Yes"/>
    <n v="50"/>
    <s v="Credit Card"/>
    <s v="Annually"/>
    <m/>
  </r>
  <r>
    <n v="641"/>
    <x v="10"/>
    <x v="0"/>
    <s v="Skirt"/>
    <s v="Clothing"/>
    <n v="88"/>
    <x v="46"/>
    <s v="M"/>
    <s v="Gray"/>
    <s v="Summer"/>
    <n v="4.4000000000000004"/>
    <s v="Yes"/>
    <s v="Yes"/>
    <n v="28"/>
    <s v="Debit Card"/>
    <s v="Fortnightly"/>
    <m/>
  </r>
  <r>
    <n v="642"/>
    <x v="36"/>
    <x v="0"/>
    <s v="Blouse"/>
    <s v="Clothing"/>
    <n v="78"/>
    <x v="29"/>
    <s v="M"/>
    <s v="Red"/>
    <s v="Winter"/>
    <n v="3.9"/>
    <s v="Yes"/>
    <s v="Yes"/>
    <n v="23"/>
    <s v="Credit Card"/>
    <s v="Every 3 Months"/>
    <m/>
  </r>
  <r>
    <n v="643"/>
    <x v="14"/>
    <x v="0"/>
    <s v="Skirt"/>
    <s v="Clothing"/>
    <n v="25"/>
    <x v="10"/>
    <s v="L"/>
    <s v="Red"/>
    <s v="Spring"/>
    <n v="2.8"/>
    <s v="Yes"/>
    <s v="Yes"/>
    <n v="14"/>
    <s v="Debit Card"/>
    <s v="Bi-Weekly"/>
    <m/>
  </r>
  <r>
    <n v="644"/>
    <x v="20"/>
    <x v="0"/>
    <s v="Sweater"/>
    <s v="Clothing"/>
    <n v="57"/>
    <x v="4"/>
    <s v="XL"/>
    <s v="Green"/>
    <s v="Winter"/>
    <n v="3.2"/>
    <s v="Yes"/>
    <s v="Yes"/>
    <n v="10"/>
    <s v="Bank Transfer"/>
    <s v="Every 3 Months"/>
    <m/>
  </r>
  <r>
    <n v="645"/>
    <x v="33"/>
    <x v="0"/>
    <s v="Backpack"/>
    <s v="Accessories"/>
    <n v="93"/>
    <x v="7"/>
    <s v="S"/>
    <s v="Blue"/>
    <s v="Summer"/>
    <n v="4.3"/>
    <s v="Yes"/>
    <s v="Yes"/>
    <n v="37"/>
    <s v="Cash"/>
    <s v="Weekly"/>
    <m/>
  </r>
  <r>
    <n v="646"/>
    <x v="46"/>
    <x v="0"/>
    <s v="Hoodie"/>
    <s v="Clothing"/>
    <n v="42"/>
    <x v="19"/>
    <s v="S"/>
    <s v="Purple"/>
    <s v="Summer"/>
    <n v="4.2"/>
    <s v="Yes"/>
    <s v="Yes"/>
    <n v="15"/>
    <s v="Venmo"/>
    <s v="Bi-Weekly"/>
    <m/>
  </r>
  <r>
    <n v="647"/>
    <x v="47"/>
    <x v="0"/>
    <s v="Boots"/>
    <s v="Footwear"/>
    <n v="54"/>
    <x v="27"/>
    <s v="XL"/>
    <s v="Pink"/>
    <s v="Spring"/>
    <n v="4.9000000000000004"/>
    <s v="Yes"/>
    <s v="Yes"/>
    <n v="19"/>
    <s v="Venmo"/>
    <s v="Bi-Weekly"/>
    <m/>
  </r>
  <r>
    <n v="648"/>
    <x v="22"/>
    <x v="0"/>
    <s v="Blouse"/>
    <s v="Clothing"/>
    <n v="70"/>
    <x v="16"/>
    <s v="XL"/>
    <s v="Charcoal"/>
    <s v="Summer"/>
    <n v="3.7"/>
    <s v="Yes"/>
    <s v="Yes"/>
    <n v="23"/>
    <s v="Credit Card"/>
    <s v="Fortnightly"/>
    <m/>
  </r>
  <r>
    <n v="649"/>
    <x v="40"/>
    <x v="0"/>
    <s v="Hoodie"/>
    <s v="Clothing"/>
    <n v="31"/>
    <x v="49"/>
    <s v="M"/>
    <s v="Brown"/>
    <s v="Winter"/>
    <n v="4.0999999999999996"/>
    <s v="Yes"/>
    <s v="Yes"/>
    <n v="35"/>
    <s v="Credit Card"/>
    <s v="Weekly"/>
    <m/>
  </r>
  <r>
    <n v="650"/>
    <x v="10"/>
    <x v="0"/>
    <s v="Pants"/>
    <s v="Clothing"/>
    <n v="93"/>
    <x v="12"/>
    <s v="L"/>
    <s v="Orange"/>
    <s v="Spring"/>
    <n v="4.2"/>
    <s v="Yes"/>
    <s v="Yes"/>
    <n v="33"/>
    <s v="PayPal"/>
    <s v="Every 3 Months"/>
    <m/>
  </r>
  <r>
    <n v="651"/>
    <x v="50"/>
    <x v="0"/>
    <s v="Gloves"/>
    <s v="Accessories"/>
    <n v="40"/>
    <x v="20"/>
    <s v="M"/>
    <s v="Magenta"/>
    <s v="Spring"/>
    <n v="3.9"/>
    <s v="Yes"/>
    <s v="Yes"/>
    <n v="12"/>
    <s v="Bank Transfer"/>
    <s v="Annually"/>
    <m/>
  </r>
  <r>
    <n v="652"/>
    <x v="45"/>
    <x v="0"/>
    <s v="Hat"/>
    <s v="Accessories"/>
    <n v="32"/>
    <x v="10"/>
    <s v="L"/>
    <s v="Yellow"/>
    <s v="Summer"/>
    <n v="2.9"/>
    <s v="Yes"/>
    <s v="Yes"/>
    <n v="41"/>
    <s v="Venmo"/>
    <s v="Fortnightly"/>
    <m/>
  </r>
  <r>
    <n v="653"/>
    <x v="14"/>
    <x v="0"/>
    <s v="Sunglasses"/>
    <s v="Accessories"/>
    <n v="27"/>
    <x v="46"/>
    <s v="M"/>
    <s v="Beige"/>
    <s v="Winter"/>
    <n v="3.1"/>
    <s v="Yes"/>
    <s v="Yes"/>
    <n v="27"/>
    <s v="Venmo"/>
    <s v="Weekly"/>
    <m/>
  </r>
  <r>
    <n v="654"/>
    <x v="30"/>
    <x v="0"/>
    <s v="Scarf"/>
    <s v="Accessories"/>
    <n v="68"/>
    <x v="25"/>
    <s v="M"/>
    <s v="Olive"/>
    <s v="Winter"/>
    <n v="3.6"/>
    <s v="Yes"/>
    <s v="Yes"/>
    <n v="45"/>
    <s v="Cash"/>
    <s v="Fortnightly"/>
    <m/>
  </r>
  <r>
    <n v="655"/>
    <x v="41"/>
    <x v="0"/>
    <s v="Handbag"/>
    <s v="Accessories"/>
    <n v="59"/>
    <x v="18"/>
    <s v="L"/>
    <s v="Gray"/>
    <s v="Summer"/>
    <n v="4.4000000000000004"/>
    <s v="Yes"/>
    <s v="Yes"/>
    <n v="23"/>
    <s v="Venmo"/>
    <s v="Annually"/>
    <m/>
  </r>
  <r>
    <n v="656"/>
    <x v="30"/>
    <x v="0"/>
    <s v="Handbag"/>
    <s v="Accessories"/>
    <n v="36"/>
    <x v="16"/>
    <s v="S"/>
    <s v="Purple"/>
    <s v="Fall"/>
    <n v="3.1"/>
    <s v="Yes"/>
    <s v="Yes"/>
    <n v="19"/>
    <s v="Venmo"/>
    <s v="Monthly"/>
    <m/>
  </r>
  <r>
    <n v="657"/>
    <x v="32"/>
    <x v="0"/>
    <s v="Jeans"/>
    <s v="Clothing"/>
    <n v="23"/>
    <x v="38"/>
    <s v="M"/>
    <s v="Beige"/>
    <s v="Summer"/>
    <n v="3.9"/>
    <s v="Yes"/>
    <s v="Yes"/>
    <n v="6"/>
    <s v="PayPal"/>
    <s v="Quarterly"/>
    <m/>
  </r>
  <r>
    <n v="658"/>
    <x v="39"/>
    <x v="0"/>
    <s v="Jacket"/>
    <s v="Outerwear"/>
    <n v="80"/>
    <x v="28"/>
    <s v="M"/>
    <s v="White"/>
    <s v="Winter"/>
    <n v="4.3"/>
    <s v="Yes"/>
    <s v="Yes"/>
    <n v="6"/>
    <s v="PayPal"/>
    <s v="Quarterly"/>
    <m/>
  </r>
  <r>
    <n v="659"/>
    <x v="46"/>
    <x v="0"/>
    <s v="Backpack"/>
    <s v="Accessories"/>
    <n v="37"/>
    <x v="7"/>
    <s v="S"/>
    <s v="White"/>
    <s v="Fall"/>
    <n v="4.9000000000000004"/>
    <s v="Yes"/>
    <s v="Yes"/>
    <n v="20"/>
    <s v="Venmo"/>
    <s v="Weekly"/>
    <m/>
  </r>
  <r>
    <n v="660"/>
    <x v="46"/>
    <x v="0"/>
    <s v="Shorts"/>
    <s v="Clothing"/>
    <n v="52"/>
    <x v="41"/>
    <s v="S"/>
    <s v="Gold"/>
    <s v="Spring"/>
    <n v="3.6"/>
    <s v="Yes"/>
    <s v="Yes"/>
    <n v="8"/>
    <s v="Cash"/>
    <s v="Weekly"/>
    <m/>
  </r>
  <r>
    <n v="661"/>
    <x v="2"/>
    <x v="0"/>
    <s v="Coat"/>
    <s v="Outerwear"/>
    <n v="79"/>
    <x v="6"/>
    <s v="M"/>
    <s v="Olive"/>
    <s v="Fall"/>
    <n v="5"/>
    <s v="Yes"/>
    <s v="Yes"/>
    <n v="39"/>
    <s v="Credit Card"/>
    <s v="Quarterly"/>
    <m/>
  </r>
  <r>
    <n v="662"/>
    <x v="9"/>
    <x v="0"/>
    <s v="Shirt"/>
    <s v="Clothing"/>
    <n v="68"/>
    <x v="44"/>
    <s v="XL"/>
    <s v="Green"/>
    <s v="Fall"/>
    <n v="4.0999999999999996"/>
    <s v="Yes"/>
    <s v="Yes"/>
    <n v="39"/>
    <s v="Credit Card"/>
    <s v="Quarterly"/>
    <m/>
  </r>
  <r>
    <n v="663"/>
    <x v="41"/>
    <x v="0"/>
    <s v="Gloves"/>
    <s v="Accessories"/>
    <n v="98"/>
    <x v="26"/>
    <s v="L"/>
    <s v="Magenta"/>
    <s v="Fall"/>
    <n v="2.8"/>
    <s v="Yes"/>
    <s v="Yes"/>
    <n v="39"/>
    <s v="Venmo"/>
    <s v="Bi-Weekly"/>
    <m/>
  </r>
  <r>
    <n v="664"/>
    <x v="35"/>
    <x v="0"/>
    <s v="Dress"/>
    <s v="Clothing"/>
    <n v="83"/>
    <x v="29"/>
    <s v="M"/>
    <s v="Charcoal"/>
    <s v="Fall"/>
    <n v="4.7"/>
    <s v="Yes"/>
    <s v="Yes"/>
    <n v="23"/>
    <s v="Credit Card"/>
    <s v="Monthly"/>
    <m/>
  </r>
  <r>
    <n v="665"/>
    <x v="6"/>
    <x v="0"/>
    <s v="Pants"/>
    <s v="Clothing"/>
    <n v="83"/>
    <x v="24"/>
    <s v="M"/>
    <s v="Indigo"/>
    <s v="Winter"/>
    <n v="4.4000000000000004"/>
    <s v="Yes"/>
    <s v="Yes"/>
    <n v="41"/>
    <s v="PayPal"/>
    <s v="Bi-Weekly"/>
    <m/>
  </r>
  <r>
    <n v="666"/>
    <x v="38"/>
    <x v="0"/>
    <s v="Pants"/>
    <s v="Clothing"/>
    <n v="55"/>
    <x v="35"/>
    <s v="M"/>
    <s v="Peach"/>
    <s v="Spring"/>
    <n v="4.9000000000000004"/>
    <s v="Yes"/>
    <s v="Yes"/>
    <n v="50"/>
    <s v="Credit Card"/>
    <s v="Annually"/>
    <m/>
  </r>
  <r>
    <n v="667"/>
    <x v="25"/>
    <x v="0"/>
    <s v="Hoodie"/>
    <s v="Clothing"/>
    <n v="26"/>
    <x v="24"/>
    <s v="L"/>
    <s v="Turquoise"/>
    <s v="Winter"/>
    <n v="3.1"/>
    <s v="Yes"/>
    <s v="Yes"/>
    <n v="30"/>
    <s v="Debit Card"/>
    <s v="Quarterly"/>
    <m/>
  </r>
  <r>
    <n v="668"/>
    <x v="50"/>
    <x v="0"/>
    <s v="Sunglasses"/>
    <s v="Accessories"/>
    <n v="76"/>
    <x v="28"/>
    <s v="S"/>
    <s v="Blue"/>
    <s v="Winter"/>
    <n v="2.6"/>
    <s v="Yes"/>
    <s v="Yes"/>
    <n v="32"/>
    <s v="Bank Transfer"/>
    <s v="Quarterly"/>
    <m/>
  </r>
  <r>
    <n v="669"/>
    <x v="34"/>
    <x v="0"/>
    <s v="T-shirt"/>
    <s v="Clothing"/>
    <n v="85"/>
    <x v="11"/>
    <s v="S"/>
    <s v="Turquoise"/>
    <s v="Fall"/>
    <n v="2.9"/>
    <s v="Yes"/>
    <s v="Yes"/>
    <n v="35"/>
    <s v="Bank Transfer"/>
    <s v="Monthly"/>
    <m/>
  </r>
  <r>
    <n v="670"/>
    <x v="49"/>
    <x v="0"/>
    <s v="Jacket"/>
    <s v="Outerwear"/>
    <n v="89"/>
    <x v="26"/>
    <s v="M"/>
    <s v="Gray"/>
    <s v="Spring"/>
    <n v="3.3"/>
    <s v="Yes"/>
    <s v="Yes"/>
    <n v="45"/>
    <s v="Venmo"/>
    <s v="Bi-Weekly"/>
    <m/>
  </r>
  <r>
    <n v="671"/>
    <x v="6"/>
    <x v="0"/>
    <s v="Sweater"/>
    <s v="Clothing"/>
    <n v="41"/>
    <x v="7"/>
    <s v="XL"/>
    <s v="Purple"/>
    <s v="Spring"/>
    <n v="4.8"/>
    <s v="Yes"/>
    <s v="Yes"/>
    <n v="37"/>
    <s v="Cash"/>
    <s v="Bi-Weekly"/>
    <m/>
  </r>
  <r>
    <n v="672"/>
    <x v="21"/>
    <x v="0"/>
    <s v="Jacket"/>
    <s v="Outerwear"/>
    <n v="30"/>
    <x v="44"/>
    <s v="L"/>
    <s v="Black"/>
    <s v="Winter"/>
    <n v="4.7"/>
    <s v="Yes"/>
    <s v="Yes"/>
    <n v="45"/>
    <s v="Cash"/>
    <s v="Weekly"/>
    <m/>
  </r>
  <r>
    <n v="673"/>
    <x v="35"/>
    <x v="0"/>
    <s v="Socks"/>
    <s v="Clothing"/>
    <n v="53"/>
    <x v="47"/>
    <s v="M"/>
    <s v="Peach"/>
    <s v="Winter"/>
    <n v="3.3"/>
    <s v="Yes"/>
    <s v="Yes"/>
    <n v="29"/>
    <s v="Cash"/>
    <s v="Quarterly"/>
    <m/>
  </r>
  <r>
    <n v="674"/>
    <x v="25"/>
    <x v="0"/>
    <s v="Shirt"/>
    <s v="Clothing"/>
    <n v="66"/>
    <x v="19"/>
    <s v="M"/>
    <s v="Indigo"/>
    <s v="Spring"/>
    <n v="4.2"/>
    <s v="Yes"/>
    <s v="Yes"/>
    <n v="27"/>
    <s v="Venmo"/>
    <s v="Bi-Weekly"/>
    <m/>
  </r>
  <r>
    <n v="675"/>
    <x v="39"/>
    <x v="0"/>
    <s v="Jewelry"/>
    <s v="Accessories"/>
    <n v="33"/>
    <x v="47"/>
    <s v="XL"/>
    <s v="Beige"/>
    <s v="Winter"/>
    <n v="4.7"/>
    <s v="Yes"/>
    <s v="Yes"/>
    <n v="36"/>
    <s v="Bank Transfer"/>
    <s v="Annually"/>
    <m/>
  </r>
  <r>
    <n v="676"/>
    <x v="14"/>
    <x v="0"/>
    <s v="Sunglasses"/>
    <s v="Accessories"/>
    <n v="86"/>
    <x v="10"/>
    <s v="M"/>
    <s v="Yellow"/>
    <s v="Spring"/>
    <n v="2.6"/>
    <s v="Yes"/>
    <s v="Yes"/>
    <n v="9"/>
    <s v="Cash"/>
    <s v="Annually"/>
    <m/>
  </r>
  <r>
    <n v="677"/>
    <x v="48"/>
    <x v="0"/>
    <s v="Pants"/>
    <s v="Clothing"/>
    <n v="60"/>
    <x v="39"/>
    <s v="M"/>
    <s v="Peach"/>
    <s v="Winter"/>
    <n v="2.9"/>
    <s v="Yes"/>
    <s v="Yes"/>
    <n v="38"/>
    <s v="Venmo"/>
    <s v="Bi-Weekly"/>
    <m/>
  </r>
  <r>
    <n v="678"/>
    <x v="52"/>
    <x v="0"/>
    <s v="Socks"/>
    <s v="Clothing"/>
    <n v="62"/>
    <x v="47"/>
    <s v="S"/>
    <s v="Turquoise"/>
    <s v="Summer"/>
    <n v="2.7"/>
    <s v="Yes"/>
    <s v="Yes"/>
    <n v="41"/>
    <s v="PayPal"/>
    <s v="Annually"/>
    <m/>
  </r>
  <r>
    <n v="679"/>
    <x v="7"/>
    <x v="0"/>
    <s v="Blouse"/>
    <s v="Clothing"/>
    <n v="74"/>
    <x v="1"/>
    <s v="M"/>
    <s v="Teal"/>
    <s v="Fall"/>
    <n v="3.3"/>
    <s v="Yes"/>
    <s v="Yes"/>
    <n v="25"/>
    <s v="Debit Card"/>
    <s v="Every 3 Months"/>
    <m/>
  </r>
  <r>
    <n v="680"/>
    <x v="19"/>
    <x v="0"/>
    <s v="Sandals"/>
    <s v="Footwear"/>
    <n v="95"/>
    <x v="49"/>
    <s v="M"/>
    <s v="Turquoise"/>
    <s v="Fall"/>
    <n v="3.4"/>
    <s v="Yes"/>
    <s v="Yes"/>
    <n v="37"/>
    <s v="Venmo"/>
    <s v="Fortnightly"/>
    <m/>
  </r>
  <r>
    <n v="681"/>
    <x v="44"/>
    <x v="0"/>
    <s v="Sneakers"/>
    <s v="Footwear"/>
    <n v="25"/>
    <x v="30"/>
    <s v="M"/>
    <s v="Magenta"/>
    <s v="Spring"/>
    <n v="4.2"/>
    <s v="Yes"/>
    <s v="Yes"/>
    <n v="3"/>
    <s v="PayPal"/>
    <s v="Annually"/>
    <m/>
  </r>
  <r>
    <n v="682"/>
    <x v="11"/>
    <x v="0"/>
    <s v="Shirt"/>
    <s v="Clothing"/>
    <n v="59"/>
    <x v="7"/>
    <s v="XL"/>
    <s v="Purple"/>
    <s v="Winter"/>
    <n v="3.8"/>
    <s v="Yes"/>
    <s v="Yes"/>
    <n v="24"/>
    <s v="Credit Card"/>
    <s v="Every 3 Months"/>
    <m/>
  </r>
  <r>
    <n v="683"/>
    <x v="51"/>
    <x v="0"/>
    <s v="Jacket"/>
    <s v="Outerwear"/>
    <n v="29"/>
    <x v="9"/>
    <s v="M"/>
    <s v="Brown"/>
    <s v="Summer"/>
    <n v="4"/>
    <s v="Yes"/>
    <s v="Yes"/>
    <n v="49"/>
    <s v="Credit Card"/>
    <s v="Bi-Weekly"/>
    <m/>
  </r>
  <r>
    <n v="684"/>
    <x v="23"/>
    <x v="0"/>
    <s v="Sandals"/>
    <s v="Footwear"/>
    <n v="36"/>
    <x v="49"/>
    <s v="S"/>
    <s v="Violet"/>
    <s v="Winter"/>
    <n v="2.7"/>
    <s v="Yes"/>
    <s v="Yes"/>
    <n v="3"/>
    <s v="Bank Transfer"/>
    <s v="Monthly"/>
    <m/>
  </r>
  <r>
    <n v="685"/>
    <x v="6"/>
    <x v="0"/>
    <s v="Hat"/>
    <s v="Accessories"/>
    <n v="82"/>
    <x v="15"/>
    <s v="M"/>
    <s v="Yellow"/>
    <s v="Summer"/>
    <n v="4.7"/>
    <s v="Yes"/>
    <s v="Yes"/>
    <n v="42"/>
    <s v="Debit Card"/>
    <s v="Monthly"/>
    <m/>
  </r>
  <r>
    <n v="686"/>
    <x v="27"/>
    <x v="0"/>
    <s v="Blouse"/>
    <s v="Clothing"/>
    <n v="71"/>
    <x v="2"/>
    <s v="XL"/>
    <s v="Magenta"/>
    <s v="Winter"/>
    <n v="3.5"/>
    <s v="Yes"/>
    <s v="Yes"/>
    <n v="32"/>
    <s v="Cash"/>
    <s v="Fortnightly"/>
    <m/>
  </r>
  <r>
    <n v="687"/>
    <x v="27"/>
    <x v="0"/>
    <s v="Sweater"/>
    <s v="Clothing"/>
    <n v="35"/>
    <x v="27"/>
    <s v="L"/>
    <s v="Beige"/>
    <s v="Fall"/>
    <n v="3"/>
    <s v="Yes"/>
    <s v="Yes"/>
    <n v="33"/>
    <s v="Venmo"/>
    <s v="Fortnightly"/>
    <m/>
  </r>
  <r>
    <n v="688"/>
    <x v="1"/>
    <x v="0"/>
    <s v="Gloves"/>
    <s v="Accessories"/>
    <n v="38"/>
    <x v="8"/>
    <s v="XL"/>
    <s v="Turquoise"/>
    <s v="Winter"/>
    <n v="3.3"/>
    <s v="Yes"/>
    <s v="Yes"/>
    <n v="46"/>
    <s v="Bank Transfer"/>
    <s v="Quarterly"/>
    <m/>
  </r>
  <r>
    <n v="689"/>
    <x v="15"/>
    <x v="0"/>
    <s v="Scarf"/>
    <s v="Accessories"/>
    <n v="59"/>
    <x v="49"/>
    <s v="S"/>
    <s v="Peach"/>
    <s v="Summer"/>
    <n v="4.7"/>
    <s v="Yes"/>
    <s v="Yes"/>
    <n v="44"/>
    <s v="Venmo"/>
    <s v="Monthly"/>
    <m/>
  </r>
  <r>
    <n v="690"/>
    <x v="1"/>
    <x v="0"/>
    <s v="Hoodie"/>
    <s v="Clothing"/>
    <n v="91"/>
    <x v="38"/>
    <s v="M"/>
    <s v="Orange"/>
    <s v="Summer"/>
    <n v="4.7"/>
    <s v="Yes"/>
    <s v="Yes"/>
    <n v="35"/>
    <s v="Credit Card"/>
    <s v="Every 3 Months"/>
    <m/>
  </r>
  <r>
    <n v="691"/>
    <x v="15"/>
    <x v="0"/>
    <s v="Shorts"/>
    <s v="Clothing"/>
    <n v="68"/>
    <x v="29"/>
    <s v="XL"/>
    <s v="Red"/>
    <s v="Spring"/>
    <n v="4.8"/>
    <s v="Yes"/>
    <s v="Yes"/>
    <n v="45"/>
    <s v="Bank Transfer"/>
    <s v="Weekly"/>
    <m/>
  </r>
  <r>
    <n v="692"/>
    <x v="52"/>
    <x v="0"/>
    <s v="Backpack"/>
    <s v="Accessories"/>
    <n v="21"/>
    <x v="2"/>
    <s v="L"/>
    <s v="Silver"/>
    <s v="Summer"/>
    <n v="2.9"/>
    <s v="Yes"/>
    <s v="Yes"/>
    <n v="37"/>
    <s v="PayPal"/>
    <s v="Bi-Weekly"/>
    <m/>
  </r>
  <r>
    <n v="693"/>
    <x v="25"/>
    <x v="0"/>
    <s v="Sunglasses"/>
    <s v="Accessories"/>
    <n v="95"/>
    <x v="25"/>
    <s v="M"/>
    <s v="Cyan"/>
    <s v="Spring"/>
    <n v="4"/>
    <s v="Yes"/>
    <s v="Yes"/>
    <n v="40"/>
    <s v="Debit Card"/>
    <s v="Every 3 Months"/>
    <m/>
  </r>
  <r>
    <n v="694"/>
    <x v="5"/>
    <x v="0"/>
    <s v="Shorts"/>
    <s v="Clothing"/>
    <n v="52"/>
    <x v="34"/>
    <s v="L"/>
    <s v="Turquoise"/>
    <s v="Spring"/>
    <n v="3.1"/>
    <s v="Yes"/>
    <s v="Yes"/>
    <n v="30"/>
    <s v="Cash"/>
    <s v="Every 3 Months"/>
    <m/>
  </r>
  <r>
    <n v="695"/>
    <x v="38"/>
    <x v="0"/>
    <s v="Dress"/>
    <s v="Clothing"/>
    <n v="21"/>
    <x v="0"/>
    <s v="S"/>
    <s v="Charcoal"/>
    <s v="Fall"/>
    <n v="3.5"/>
    <s v="Yes"/>
    <s v="Yes"/>
    <n v="38"/>
    <s v="Venmo"/>
    <s v="Every 3 Months"/>
    <m/>
  </r>
  <r>
    <n v="696"/>
    <x v="11"/>
    <x v="0"/>
    <s v="Shorts"/>
    <s v="Clothing"/>
    <n v="67"/>
    <x v="22"/>
    <s v="XL"/>
    <s v="Peach"/>
    <s v="Summer"/>
    <n v="3.7"/>
    <s v="Yes"/>
    <s v="Yes"/>
    <n v="15"/>
    <s v="Debit Card"/>
    <s v="Every 3 Months"/>
    <m/>
  </r>
  <r>
    <n v="697"/>
    <x v="42"/>
    <x v="0"/>
    <s v="Belt"/>
    <s v="Accessories"/>
    <n v="42"/>
    <x v="40"/>
    <s v="L"/>
    <s v="Green"/>
    <s v="Fall"/>
    <n v="2.8"/>
    <s v="Yes"/>
    <s v="Yes"/>
    <n v="49"/>
    <s v="Cash"/>
    <s v="Monthly"/>
    <m/>
  </r>
  <r>
    <n v="698"/>
    <x v="12"/>
    <x v="0"/>
    <s v="Scarf"/>
    <s v="Accessories"/>
    <n v="63"/>
    <x v="25"/>
    <s v="XL"/>
    <s v="Brown"/>
    <s v="Summer"/>
    <n v="4.5999999999999996"/>
    <s v="Yes"/>
    <s v="Yes"/>
    <n v="40"/>
    <s v="Debit Card"/>
    <s v="Quarterly"/>
    <m/>
  </r>
  <r>
    <n v="699"/>
    <x v="0"/>
    <x v="0"/>
    <s v="Boots"/>
    <s v="Footwear"/>
    <n v="41"/>
    <x v="44"/>
    <s v="M"/>
    <s v="Yellow"/>
    <s v="Winter"/>
    <n v="3.8"/>
    <s v="Yes"/>
    <s v="Yes"/>
    <n v="40"/>
    <s v="Debit Card"/>
    <s v="Weekly"/>
    <m/>
  </r>
  <r>
    <n v="700"/>
    <x v="2"/>
    <x v="0"/>
    <s v="Handbag"/>
    <s v="Accessories"/>
    <n v="46"/>
    <x v="39"/>
    <s v="M"/>
    <s v="Charcoal"/>
    <s v="Fall"/>
    <n v="2.6"/>
    <s v="Yes"/>
    <s v="Yes"/>
    <n v="5"/>
    <s v="PayPal"/>
    <s v="Weekly"/>
    <m/>
  </r>
  <r>
    <n v="701"/>
    <x v="9"/>
    <x v="0"/>
    <s v="Pants"/>
    <s v="Clothing"/>
    <n v="79"/>
    <x v="48"/>
    <s v="L"/>
    <s v="Olive"/>
    <s v="Winter"/>
    <n v="4.0999999999999996"/>
    <s v="Yes"/>
    <s v="Yes"/>
    <n v="5"/>
    <s v="PayPal"/>
    <s v="Monthly"/>
    <m/>
  </r>
  <r>
    <n v="702"/>
    <x v="47"/>
    <x v="0"/>
    <s v="Boots"/>
    <s v="Footwear"/>
    <n v="90"/>
    <x v="37"/>
    <s v="L"/>
    <s v="Red"/>
    <s v="Fall"/>
    <n v="3.3"/>
    <s v="Yes"/>
    <s v="Yes"/>
    <n v="5"/>
    <s v="Debit Card"/>
    <s v="Every 3 Months"/>
    <m/>
  </r>
  <r>
    <n v="703"/>
    <x v="20"/>
    <x v="0"/>
    <s v="Shirt"/>
    <s v="Clothing"/>
    <n v="71"/>
    <x v="6"/>
    <s v="M"/>
    <s v="White"/>
    <s v="Winter"/>
    <n v="3.4"/>
    <s v="Yes"/>
    <s v="Yes"/>
    <n v="1"/>
    <s v="Cash"/>
    <s v="Weekly"/>
    <m/>
  </r>
  <r>
    <n v="704"/>
    <x v="6"/>
    <x v="0"/>
    <s v="Dress"/>
    <s v="Clothing"/>
    <n v="87"/>
    <x v="39"/>
    <s v="L"/>
    <s v="Pink"/>
    <s v="Summer"/>
    <n v="3"/>
    <s v="Yes"/>
    <s v="Yes"/>
    <n v="21"/>
    <s v="Venmo"/>
    <s v="Weekly"/>
    <m/>
  </r>
  <r>
    <n v="705"/>
    <x v="50"/>
    <x v="0"/>
    <s v="Hoodie"/>
    <s v="Clothing"/>
    <n v="66"/>
    <x v="37"/>
    <s v="S"/>
    <s v="Black"/>
    <s v="Spring"/>
    <n v="3.2"/>
    <s v="Yes"/>
    <s v="Yes"/>
    <n v="18"/>
    <s v="PayPal"/>
    <s v="Annually"/>
    <m/>
  </r>
  <r>
    <n v="706"/>
    <x v="15"/>
    <x v="0"/>
    <s v="Pants"/>
    <s v="Clothing"/>
    <n v="90"/>
    <x v="10"/>
    <s v="XL"/>
    <s v="Indigo"/>
    <s v="Summer"/>
    <n v="4.5"/>
    <s v="Yes"/>
    <s v="Yes"/>
    <n v="49"/>
    <s v="Cash"/>
    <s v="Quarterly"/>
    <m/>
  </r>
  <r>
    <n v="707"/>
    <x v="5"/>
    <x v="0"/>
    <s v="Jeans"/>
    <s v="Clothing"/>
    <n v="47"/>
    <x v="44"/>
    <s v="L"/>
    <s v="Turquoise"/>
    <s v="Summer"/>
    <n v="4.8"/>
    <s v="Yes"/>
    <s v="Yes"/>
    <n v="27"/>
    <s v="Debit Card"/>
    <s v="Weekly"/>
    <m/>
  </r>
  <r>
    <n v="708"/>
    <x v="35"/>
    <x v="0"/>
    <s v="Shirt"/>
    <s v="Clothing"/>
    <n v="38"/>
    <x v="7"/>
    <s v="L"/>
    <s v="Purple"/>
    <s v="Spring"/>
    <n v="3.7"/>
    <s v="Yes"/>
    <s v="Yes"/>
    <n v="21"/>
    <s v="Venmo"/>
    <s v="Annually"/>
    <m/>
  </r>
  <r>
    <n v="709"/>
    <x v="43"/>
    <x v="0"/>
    <s v="Backpack"/>
    <s v="Accessories"/>
    <n v="50"/>
    <x v="0"/>
    <s v="L"/>
    <s v="Beige"/>
    <s v="Summer"/>
    <n v="3.4"/>
    <s v="Yes"/>
    <s v="Yes"/>
    <n v="19"/>
    <s v="Cash"/>
    <s v="Fortnightly"/>
    <m/>
  </r>
  <r>
    <n v="710"/>
    <x v="34"/>
    <x v="0"/>
    <s v="Jacket"/>
    <s v="Outerwear"/>
    <n v="79"/>
    <x v="2"/>
    <s v="L"/>
    <s v="Charcoal"/>
    <s v="Summer"/>
    <n v="4.5999999999999996"/>
    <s v="Yes"/>
    <s v="Yes"/>
    <n v="23"/>
    <s v="Debit Card"/>
    <s v="Monthly"/>
    <m/>
  </r>
  <r>
    <n v="711"/>
    <x v="40"/>
    <x v="0"/>
    <s v="Scarf"/>
    <s v="Accessories"/>
    <n v="91"/>
    <x v="41"/>
    <s v="L"/>
    <s v="Turquoise"/>
    <s v="Spring"/>
    <n v="4.0999999999999996"/>
    <s v="Yes"/>
    <s v="Yes"/>
    <n v="26"/>
    <s v="PayPal"/>
    <s v="Fortnightly"/>
    <m/>
  </r>
  <r>
    <n v="712"/>
    <x v="14"/>
    <x v="0"/>
    <s v="Boots"/>
    <s v="Footwear"/>
    <n v="60"/>
    <x v="13"/>
    <s v="M"/>
    <s v="Maroon"/>
    <s v="Spring"/>
    <n v="3.5"/>
    <s v="Yes"/>
    <s v="Yes"/>
    <n v="13"/>
    <s v="Bank Transfer"/>
    <s v="Bi-Weekly"/>
    <m/>
  </r>
  <r>
    <n v="713"/>
    <x v="32"/>
    <x v="0"/>
    <s v="Blouse"/>
    <s v="Clothing"/>
    <n v="81"/>
    <x v="13"/>
    <s v="XL"/>
    <s v="Black"/>
    <s v="Summer"/>
    <n v="3.8"/>
    <s v="Yes"/>
    <s v="Yes"/>
    <n v="36"/>
    <s v="Bank Transfer"/>
    <s v="Quarterly"/>
    <m/>
  </r>
  <r>
    <n v="714"/>
    <x v="43"/>
    <x v="0"/>
    <s v="Hoodie"/>
    <s v="Clothing"/>
    <n v="90"/>
    <x v="4"/>
    <s v="M"/>
    <s v="Lavender"/>
    <s v="Summer"/>
    <n v="2.6"/>
    <s v="Yes"/>
    <s v="Yes"/>
    <n v="39"/>
    <s v="Bank Transfer"/>
    <s v="Bi-Weekly"/>
    <m/>
  </r>
  <r>
    <n v="715"/>
    <x v="8"/>
    <x v="0"/>
    <s v="Jacket"/>
    <s v="Outerwear"/>
    <n v="70"/>
    <x v="45"/>
    <s v="M"/>
    <s v="Magenta"/>
    <s v="Fall"/>
    <n v="4.4000000000000004"/>
    <s v="Yes"/>
    <s v="Yes"/>
    <n v="40"/>
    <s v="Debit Card"/>
    <s v="Fortnightly"/>
    <m/>
  </r>
  <r>
    <n v="716"/>
    <x v="23"/>
    <x v="0"/>
    <s v="Jeans"/>
    <s v="Clothing"/>
    <n v="63"/>
    <x v="12"/>
    <s v="L"/>
    <s v="Green"/>
    <s v="Spring"/>
    <n v="2.6"/>
    <s v="Yes"/>
    <s v="Yes"/>
    <n v="37"/>
    <s v="Debit Card"/>
    <s v="Quarterly"/>
    <m/>
  </r>
  <r>
    <n v="717"/>
    <x v="11"/>
    <x v="0"/>
    <s v="Jewelry"/>
    <s v="Accessories"/>
    <n v="29"/>
    <x v="9"/>
    <s v="M"/>
    <s v="Olive"/>
    <s v="Spring"/>
    <n v="3.6"/>
    <s v="Yes"/>
    <s v="Yes"/>
    <n v="9"/>
    <s v="Venmo"/>
    <s v="Bi-Weekly"/>
    <m/>
  </r>
  <r>
    <n v="718"/>
    <x v="3"/>
    <x v="0"/>
    <s v="Socks"/>
    <s v="Clothing"/>
    <n v="90"/>
    <x v="29"/>
    <s v="L"/>
    <s v="Green"/>
    <s v="Spring"/>
    <n v="4.2"/>
    <s v="Yes"/>
    <s v="Yes"/>
    <n v="7"/>
    <s v="Venmo"/>
    <s v="Every 3 Months"/>
    <m/>
  </r>
  <r>
    <n v="719"/>
    <x v="40"/>
    <x v="0"/>
    <s v="Shirt"/>
    <s v="Clothing"/>
    <n v="22"/>
    <x v="20"/>
    <s v="M"/>
    <s v="Peach"/>
    <s v="Summer"/>
    <n v="4.5999999999999996"/>
    <s v="Yes"/>
    <s v="Yes"/>
    <n v="25"/>
    <s v="Bank Transfer"/>
    <s v="Annually"/>
    <m/>
  </r>
  <r>
    <n v="720"/>
    <x v="6"/>
    <x v="0"/>
    <s v="Shorts"/>
    <s v="Clothing"/>
    <n v="22"/>
    <x v="16"/>
    <s v="L"/>
    <s v="Turquoise"/>
    <s v="Summer"/>
    <n v="3.3"/>
    <s v="Yes"/>
    <s v="Yes"/>
    <n v="42"/>
    <s v="Venmo"/>
    <s v="Bi-Weekly"/>
    <m/>
  </r>
  <r>
    <n v="721"/>
    <x v="23"/>
    <x v="0"/>
    <s v="Jewelry"/>
    <s v="Accessories"/>
    <n v="62"/>
    <x v="35"/>
    <s v="L"/>
    <s v="Orange"/>
    <s v="Fall"/>
    <n v="3.4"/>
    <s v="Yes"/>
    <s v="Yes"/>
    <n v="19"/>
    <s v="Debit Card"/>
    <s v="Weekly"/>
    <m/>
  </r>
  <r>
    <n v="722"/>
    <x v="49"/>
    <x v="0"/>
    <s v="Blouse"/>
    <s v="Clothing"/>
    <n v="57"/>
    <x v="18"/>
    <s v="L"/>
    <s v="Silver"/>
    <s v="Summer"/>
    <n v="4.4000000000000004"/>
    <s v="Yes"/>
    <s v="Yes"/>
    <n v="41"/>
    <s v="Debit Card"/>
    <s v="Every 3 Months"/>
    <m/>
  </r>
  <r>
    <n v="723"/>
    <x v="7"/>
    <x v="0"/>
    <s v="Sweater"/>
    <s v="Clothing"/>
    <n v="32"/>
    <x v="5"/>
    <s v="S"/>
    <s v="Blue"/>
    <s v="Summer"/>
    <n v="4.3"/>
    <s v="Yes"/>
    <s v="Yes"/>
    <n v="50"/>
    <s v="Cash"/>
    <s v="Bi-Weekly"/>
    <m/>
  </r>
  <r>
    <n v="724"/>
    <x v="25"/>
    <x v="0"/>
    <s v="Jewelry"/>
    <s v="Accessories"/>
    <n v="53"/>
    <x v="9"/>
    <s v="L"/>
    <s v="Cyan"/>
    <s v="Fall"/>
    <n v="3.5"/>
    <s v="Yes"/>
    <s v="Yes"/>
    <n v="43"/>
    <s v="PayPal"/>
    <s v="Monthly"/>
    <m/>
  </r>
  <r>
    <n v="725"/>
    <x v="43"/>
    <x v="0"/>
    <s v="T-shirt"/>
    <s v="Clothing"/>
    <n v="79"/>
    <x v="13"/>
    <s v="XL"/>
    <s v="Green"/>
    <s v="Fall"/>
    <n v="4.7"/>
    <s v="Yes"/>
    <s v="Yes"/>
    <n v="36"/>
    <s v="Venmo"/>
    <s v="Every 3 Months"/>
    <m/>
  </r>
  <r>
    <n v="726"/>
    <x v="12"/>
    <x v="0"/>
    <s v="Hat"/>
    <s v="Accessories"/>
    <n v="61"/>
    <x v="21"/>
    <s v="L"/>
    <s v="Silver"/>
    <s v="Winter"/>
    <n v="3.1"/>
    <s v="Yes"/>
    <s v="Yes"/>
    <n v="33"/>
    <s v="Debit Card"/>
    <s v="Fortnightly"/>
    <m/>
  </r>
  <r>
    <n v="727"/>
    <x v="45"/>
    <x v="0"/>
    <s v="Shorts"/>
    <s v="Clothing"/>
    <n v="78"/>
    <x v="25"/>
    <s v="L"/>
    <s v="Yellow"/>
    <s v="Summer"/>
    <n v="3.6"/>
    <s v="Yes"/>
    <s v="Yes"/>
    <n v="20"/>
    <s v="Bank Transfer"/>
    <s v="Every 3 Months"/>
    <m/>
  </r>
  <r>
    <n v="728"/>
    <x v="46"/>
    <x v="0"/>
    <s v="Sweater"/>
    <s v="Clothing"/>
    <n v="97"/>
    <x v="10"/>
    <s v="S"/>
    <s v="Gray"/>
    <s v="Winter"/>
    <n v="4.8"/>
    <s v="Yes"/>
    <s v="Yes"/>
    <n v="37"/>
    <s v="Venmo"/>
    <s v="Every 3 Months"/>
    <m/>
  </r>
  <r>
    <n v="729"/>
    <x v="26"/>
    <x v="0"/>
    <s v="Jeans"/>
    <s v="Clothing"/>
    <n v="78"/>
    <x v="43"/>
    <s v="M"/>
    <s v="Pink"/>
    <s v="Winter"/>
    <n v="3.7"/>
    <s v="Yes"/>
    <s v="Yes"/>
    <n v="12"/>
    <s v="PayPal"/>
    <s v="Every 3 Months"/>
    <m/>
  </r>
  <r>
    <n v="730"/>
    <x v="38"/>
    <x v="0"/>
    <s v="Sunglasses"/>
    <s v="Accessories"/>
    <n v="56"/>
    <x v="46"/>
    <s v="L"/>
    <s v="Beige"/>
    <s v="Summer"/>
    <n v="3.2"/>
    <s v="Yes"/>
    <s v="Yes"/>
    <n v="46"/>
    <s v="PayPal"/>
    <s v="Every 3 Months"/>
    <m/>
  </r>
  <r>
    <n v="731"/>
    <x v="39"/>
    <x v="0"/>
    <s v="Boots"/>
    <s v="Footwear"/>
    <n v="25"/>
    <x v="2"/>
    <s v="M"/>
    <s v="Indigo"/>
    <s v="Summer"/>
    <n v="3.9"/>
    <s v="Yes"/>
    <s v="Yes"/>
    <n v="28"/>
    <s v="Venmo"/>
    <s v="Fortnightly"/>
    <m/>
  </r>
  <r>
    <n v="732"/>
    <x v="49"/>
    <x v="0"/>
    <s v="Coat"/>
    <s v="Outerwear"/>
    <n v="28"/>
    <x v="10"/>
    <s v="M"/>
    <s v="Red"/>
    <s v="Spring"/>
    <n v="3.5"/>
    <s v="Yes"/>
    <s v="Yes"/>
    <n v="30"/>
    <s v="PayPal"/>
    <s v="Fortnightly"/>
    <m/>
  </r>
  <r>
    <n v="733"/>
    <x v="50"/>
    <x v="0"/>
    <s v="Shirt"/>
    <s v="Clothing"/>
    <n v="57"/>
    <x v="13"/>
    <s v="L"/>
    <s v="Blue"/>
    <s v="Spring"/>
    <n v="2.8"/>
    <s v="Yes"/>
    <s v="Yes"/>
    <n v="28"/>
    <s v="Cash"/>
    <s v="Bi-Weekly"/>
    <m/>
  </r>
  <r>
    <n v="734"/>
    <x v="4"/>
    <x v="0"/>
    <s v="Dress"/>
    <s v="Clothing"/>
    <n v="36"/>
    <x v="3"/>
    <s v="L"/>
    <s v="Cyan"/>
    <s v="Fall"/>
    <n v="2.7"/>
    <s v="Yes"/>
    <s v="Yes"/>
    <n v="20"/>
    <s v="Debit Card"/>
    <s v="Bi-Weekly"/>
    <m/>
  </r>
  <r>
    <n v="735"/>
    <x v="13"/>
    <x v="0"/>
    <s v="Shirt"/>
    <s v="Clothing"/>
    <n v="69"/>
    <x v="32"/>
    <s v="S"/>
    <s v="Violet"/>
    <s v="Winter"/>
    <n v="3.1"/>
    <s v="Yes"/>
    <s v="Yes"/>
    <n v="39"/>
    <s v="Bank Transfer"/>
    <s v="Every 3 Months"/>
    <m/>
  </r>
  <r>
    <n v="736"/>
    <x v="12"/>
    <x v="0"/>
    <s v="Sunglasses"/>
    <s v="Accessories"/>
    <n v="48"/>
    <x v="6"/>
    <s v="M"/>
    <s v="Orange"/>
    <s v="Fall"/>
    <n v="3.6"/>
    <s v="Yes"/>
    <s v="Yes"/>
    <n v="48"/>
    <s v="Cash"/>
    <s v="Bi-Weekly"/>
    <m/>
  </r>
  <r>
    <n v="737"/>
    <x v="20"/>
    <x v="0"/>
    <s v="Dress"/>
    <s v="Clothing"/>
    <n v="58"/>
    <x v="24"/>
    <s v="L"/>
    <s v="Maroon"/>
    <s v="Spring"/>
    <n v="2.9"/>
    <s v="Yes"/>
    <s v="Yes"/>
    <n v="32"/>
    <s v="Credit Card"/>
    <s v="Every 3 Months"/>
    <m/>
  </r>
  <r>
    <n v="738"/>
    <x v="36"/>
    <x v="0"/>
    <s v="Sunglasses"/>
    <s v="Accessories"/>
    <n v="24"/>
    <x v="43"/>
    <s v="M"/>
    <s v="Teal"/>
    <s v="Spring"/>
    <n v="3.6"/>
    <s v="Yes"/>
    <s v="Yes"/>
    <n v="28"/>
    <s v="PayPal"/>
    <s v="Annually"/>
    <m/>
  </r>
  <r>
    <n v="739"/>
    <x v="19"/>
    <x v="0"/>
    <s v="Sunglasses"/>
    <s v="Accessories"/>
    <n v="31"/>
    <x v="46"/>
    <s v="L"/>
    <s v="Orange"/>
    <s v="Winter"/>
    <n v="3.5"/>
    <s v="Yes"/>
    <s v="Yes"/>
    <n v="27"/>
    <s v="Venmo"/>
    <s v="Quarterly"/>
    <m/>
  </r>
  <r>
    <n v="740"/>
    <x v="14"/>
    <x v="0"/>
    <s v="Shorts"/>
    <s v="Clothing"/>
    <n v="29"/>
    <x v="46"/>
    <s v="S"/>
    <s v="Purple"/>
    <s v="Summer"/>
    <n v="3.5"/>
    <s v="Yes"/>
    <s v="Yes"/>
    <n v="26"/>
    <s v="Venmo"/>
    <s v="Bi-Weekly"/>
    <m/>
  </r>
  <r>
    <n v="741"/>
    <x v="8"/>
    <x v="0"/>
    <s v="Jeans"/>
    <s v="Clothing"/>
    <n v="69"/>
    <x v="45"/>
    <s v="M"/>
    <s v="Orange"/>
    <s v="Summer"/>
    <n v="2.8"/>
    <s v="Yes"/>
    <s v="Yes"/>
    <n v="22"/>
    <s v="Credit Card"/>
    <s v="Fortnightly"/>
    <m/>
  </r>
  <r>
    <n v="742"/>
    <x v="40"/>
    <x v="0"/>
    <s v="T-shirt"/>
    <s v="Clothing"/>
    <n v="79"/>
    <x v="8"/>
    <s v="XL"/>
    <s v="Yellow"/>
    <s v="Summer"/>
    <n v="4.7"/>
    <s v="Yes"/>
    <s v="Yes"/>
    <n v="23"/>
    <s v="Bank Transfer"/>
    <s v="Every 3 Months"/>
    <m/>
  </r>
  <r>
    <n v="743"/>
    <x v="14"/>
    <x v="0"/>
    <s v="Pants"/>
    <s v="Clothing"/>
    <n v="39"/>
    <x v="22"/>
    <s v="M"/>
    <s v="Charcoal"/>
    <s v="Summer"/>
    <n v="3.1"/>
    <s v="Yes"/>
    <s v="Yes"/>
    <n v="21"/>
    <s v="Debit Card"/>
    <s v="Quarterly"/>
    <m/>
  </r>
  <r>
    <n v="744"/>
    <x v="3"/>
    <x v="0"/>
    <s v="Sunglasses"/>
    <s v="Accessories"/>
    <n v="84"/>
    <x v="17"/>
    <s v="L"/>
    <s v="Gray"/>
    <s v="Fall"/>
    <n v="4.9000000000000004"/>
    <s v="Yes"/>
    <s v="Yes"/>
    <n v="36"/>
    <s v="Cash"/>
    <s v="Weekly"/>
    <m/>
  </r>
  <r>
    <n v="745"/>
    <x v="29"/>
    <x v="0"/>
    <s v="Boots"/>
    <s v="Footwear"/>
    <n v="66"/>
    <x v="26"/>
    <s v="S"/>
    <s v="Charcoal"/>
    <s v="Spring"/>
    <n v="4.0999999999999996"/>
    <s v="Yes"/>
    <s v="Yes"/>
    <n v="42"/>
    <s v="Debit Card"/>
    <s v="Bi-Weekly"/>
    <m/>
  </r>
  <r>
    <n v="746"/>
    <x v="5"/>
    <x v="0"/>
    <s v="T-shirt"/>
    <s v="Clothing"/>
    <n v="92"/>
    <x v="49"/>
    <s v="L"/>
    <s v="Orange"/>
    <s v="Fall"/>
    <n v="4.7"/>
    <s v="Yes"/>
    <s v="Yes"/>
    <n v="4"/>
    <s v="Venmo"/>
    <s v="Monthly"/>
    <m/>
  </r>
  <r>
    <n v="747"/>
    <x v="37"/>
    <x v="0"/>
    <s v="Sandals"/>
    <s v="Footwear"/>
    <n v="45"/>
    <x v="49"/>
    <s v="M"/>
    <s v="Red"/>
    <s v="Winter"/>
    <n v="2.5"/>
    <s v="Yes"/>
    <s v="Yes"/>
    <n v="47"/>
    <s v="Credit Card"/>
    <s v="Annually"/>
    <m/>
  </r>
  <r>
    <n v="748"/>
    <x v="47"/>
    <x v="0"/>
    <s v="Shorts"/>
    <s v="Clothing"/>
    <n v="74"/>
    <x v="19"/>
    <s v="L"/>
    <s v="Gold"/>
    <s v="Spring"/>
    <n v="4.4000000000000004"/>
    <s v="Yes"/>
    <s v="Yes"/>
    <n v="13"/>
    <s v="Bank Transfer"/>
    <s v="Weekly"/>
    <m/>
  </r>
  <r>
    <n v="749"/>
    <x v="25"/>
    <x v="0"/>
    <s v="Hat"/>
    <s v="Accessories"/>
    <n v="39"/>
    <x v="45"/>
    <s v="L"/>
    <s v="Brown"/>
    <s v="Fall"/>
    <n v="3.9"/>
    <s v="Yes"/>
    <s v="Yes"/>
    <n v="8"/>
    <s v="Bank Transfer"/>
    <s v="Quarterly"/>
    <m/>
  </r>
  <r>
    <n v="750"/>
    <x v="19"/>
    <x v="0"/>
    <s v="Scarf"/>
    <s v="Accessories"/>
    <n v="71"/>
    <x v="19"/>
    <s v="M"/>
    <s v="Olive"/>
    <s v="Winter"/>
    <n v="3.7"/>
    <s v="Yes"/>
    <s v="Yes"/>
    <n v="11"/>
    <s v="Debit Card"/>
    <s v="Quarterly"/>
    <m/>
  </r>
  <r>
    <n v="751"/>
    <x v="15"/>
    <x v="0"/>
    <s v="T-shirt"/>
    <s v="Clothing"/>
    <n v="95"/>
    <x v="33"/>
    <s v="L"/>
    <s v="Violet"/>
    <s v="Fall"/>
    <n v="3.4"/>
    <s v="Yes"/>
    <s v="Yes"/>
    <n v="5"/>
    <s v="Venmo"/>
    <s v="Annually"/>
    <m/>
  </r>
  <r>
    <n v="752"/>
    <x v="13"/>
    <x v="0"/>
    <s v="Gloves"/>
    <s v="Accessories"/>
    <n v="72"/>
    <x v="31"/>
    <s v="L"/>
    <s v="Indigo"/>
    <s v="Fall"/>
    <n v="4.8"/>
    <s v="Yes"/>
    <s v="Yes"/>
    <n v="1"/>
    <s v="Credit Card"/>
    <s v="Monthly"/>
    <m/>
  </r>
  <r>
    <n v="753"/>
    <x v="31"/>
    <x v="0"/>
    <s v="Scarf"/>
    <s v="Accessories"/>
    <n v="85"/>
    <x v="31"/>
    <s v="L"/>
    <s v="Yellow"/>
    <s v="Fall"/>
    <n v="4.2"/>
    <s v="Yes"/>
    <s v="Yes"/>
    <n v="17"/>
    <s v="PayPal"/>
    <s v="Every 3 Months"/>
    <m/>
  </r>
  <r>
    <n v="754"/>
    <x v="36"/>
    <x v="0"/>
    <s v="Boots"/>
    <s v="Footwear"/>
    <n v="54"/>
    <x v="2"/>
    <s v="M"/>
    <s v="Teal"/>
    <s v="Fall"/>
    <n v="3.4"/>
    <s v="Yes"/>
    <s v="Yes"/>
    <n v="27"/>
    <s v="Venmo"/>
    <s v="Quarterly"/>
    <m/>
  </r>
  <r>
    <n v="755"/>
    <x v="24"/>
    <x v="0"/>
    <s v="Gloves"/>
    <s v="Accessories"/>
    <n v="41"/>
    <x v="17"/>
    <s v="L"/>
    <s v="Pink"/>
    <s v="Spring"/>
    <n v="2.9"/>
    <s v="Yes"/>
    <s v="Yes"/>
    <n v="3"/>
    <s v="Debit Card"/>
    <s v="Quarterly"/>
    <m/>
  </r>
  <r>
    <n v="756"/>
    <x v="17"/>
    <x v="0"/>
    <s v="Coat"/>
    <s v="Outerwear"/>
    <n v="24"/>
    <x v="20"/>
    <s v="M"/>
    <s v="Violet"/>
    <s v="Spring"/>
    <n v="3.3"/>
    <s v="Yes"/>
    <s v="Yes"/>
    <n v="22"/>
    <s v="PayPal"/>
    <s v="Weekly"/>
    <m/>
  </r>
  <r>
    <n v="757"/>
    <x v="46"/>
    <x v="0"/>
    <s v="Belt"/>
    <s v="Accessories"/>
    <n v="99"/>
    <x v="6"/>
    <s v="S"/>
    <s v="Orange"/>
    <s v="Summer"/>
    <n v="4.8"/>
    <s v="Yes"/>
    <s v="Yes"/>
    <n v="24"/>
    <s v="Cash"/>
    <s v="Fortnightly"/>
    <m/>
  </r>
  <r>
    <n v="758"/>
    <x v="38"/>
    <x v="0"/>
    <s v="Hoodie"/>
    <s v="Clothing"/>
    <n v="32"/>
    <x v="46"/>
    <s v="M"/>
    <s v="Red"/>
    <s v="Fall"/>
    <n v="3.8"/>
    <s v="Yes"/>
    <s v="Yes"/>
    <n v="18"/>
    <s v="Debit Card"/>
    <s v="Quarterly"/>
    <m/>
  </r>
  <r>
    <n v="759"/>
    <x v="17"/>
    <x v="0"/>
    <s v="Shoes"/>
    <s v="Footwear"/>
    <n v="71"/>
    <x v="2"/>
    <s v="L"/>
    <s v="Peach"/>
    <s v="Summer"/>
    <n v="4.5999999999999996"/>
    <s v="Yes"/>
    <s v="Yes"/>
    <n v="39"/>
    <s v="Bank Transfer"/>
    <s v="Every 3 Months"/>
    <m/>
  </r>
  <r>
    <n v="760"/>
    <x v="47"/>
    <x v="0"/>
    <s v="Dress"/>
    <s v="Clothing"/>
    <n v="49"/>
    <x v="3"/>
    <s v="XL"/>
    <s v="Green"/>
    <s v="Winter"/>
    <n v="2.6"/>
    <s v="Yes"/>
    <s v="Yes"/>
    <n v="25"/>
    <s v="Credit Card"/>
    <s v="Fortnightly"/>
    <m/>
  </r>
  <r>
    <n v="761"/>
    <x v="23"/>
    <x v="0"/>
    <s v="Gloves"/>
    <s v="Accessories"/>
    <n v="50"/>
    <x v="46"/>
    <s v="XL"/>
    <s v="Violet"/>
    <s v="Fall"/>
    <n v="3.4"/>
    <s v="Yes"/>
    <s v="Yes"/>
    <n v="6"/>
    <s v="Cash"/>
    <s v="Annually"/>
    <m/>
  </r>
  <r>
    <n v="762"/>
    <x v="9"/>
    <x v="0"/>
    <s v="Jewelry"/>
    <s v="Accessories"/>
    <n v="91"/>
    <x v="22"/>
    <s v="L"/>
    <s v="Yellow"/>
    <s v="Fall"/>
    <n v="4.2"/>
    <s v="Yes"/>
    <s v="Yes"/>
    <n v="26"/>
    <s v="Bank Transfer"/>
    <s v="Weekly"/>
    <m/>
  </r>
  <r>
    <n v="763"/>
    <x v="4"/>
    <x v="0"/>
    <s v="Belt"/>
    <s v="Accessories"/>
    <n v="46"/>
    <x v="35"/>
    <s v="M"/>
    <s v="Pink"/>
    <s v="Fall"/>
    <n v="3.9"/>
    <s v="Yes"/>
    <s v="Yes"/>
    <n v="43"/>
    <s v="Debit Card"/>
    <s v="Fortnightly"/>
    <m/>
  </r>
  <r>
    <n v="764"/>
    <x v="12"/>
    <x v="0"/>
    <s v="Sweater"/>
    <s v="Clothing"/>
    <n v="50"/>
    <x v="17"/>
    <s v="M"/>
    <s v="Brown"/>
    <s v="Spring"/>
    <n v="2.9"/>
    <s v="Yes"/>
    <s v="Yes"/>
    <n v="6"/>
    <s v="Credit Card"/>
    <s v="Monthly"/>
    <m/>
  </r>
  <r>
    <n v="765"/>
    <x v="0"/>
    <x v="0"/>
    <s v="Skirt"/>
    <s v="Clothing"/>
    <n v="39"/>
    <x v="41"/>
    <s v="XL"/>
    <s v="Silver"/>
    <s v="Fall"/>
    <n v="4.2"/>
    <s v="Yes"/>
    <s v="Yes"/>
    <n v="6"/>
    <s v="Debit Card"/>
    <s v="Quarterly"/>
    <m/>
  </r>
  <r>
    <n v="766"/>
    <x v="22"/>
    <x v="0"/>
    <s v="Sneakers"/>
    <s v="Footwear"/>
    <n v="99"/>
    <x v="29"/>
    <s v="M"/>
    <s v="Pink"/>
    <s v="Summer"/>
    <n v="3"/>
    <s v="Yes"/>
    <s v="Yes"/>
    <n v="13"/>
    <s v="Cash"/>
    <s v="Quarterly"/>
    <m/>
  </r>
  <r>
    <n v="767"/>
    <x v="9"/>
    <x v="0"/>
    <s v="Gloves"/>
    <s v="Accessories"/>
    <n v="48"/>
    <x v="22"/>
    <s v="M"/>
    <s v="Cyan"/>
    <s v="Winter"/>
    <n v="3.6"/>
    <s v="Yes"/>
    <s v="Yes"/>
    <n v="13"/>
    <s v="PayPal"/>
    <s v="Monthly"/>
    <m/>
  </r>
  <r>
    <n v="768"/>
    <x v="7"/>
    <x v="0"/>
    <s v="Coat"/>
    <s v="Outerwear"/>
    <n v="77"/>
    <x v="38"/>
    <s v="M"/>
    <s v="Brown"/>
    <s v="Fall"/>
    <n v="2.5"/>
    <s v="Yes"/>
    <s v="Yes"/>
    <n v="11"/>
    <s v="Cash"/>
    <s v="Annually"/>
    <m/>
  </r>
  <r>
    <n v="769"/>
    <x v="14"/>
    <x v="0"/>
    <s v="Backpack"/>
    <s v="Accessories"/>
    <n v="95"/>
    <x v="26"/>
    <s v="XL"/>
    <s v="Red"/>
    <s v="Spring"/>
    <n v="2.6"/>
    <s v="Yes"/>
    <s v="Yes"/>
    <n v="45"/>
    <s v="Venmo"/>
    <s v="Weekly"/>
    <m/>
  </r>
  <r>
    <n v="770"/>
    <x v="16"/>
    <x v="0"/>
    <s v="Socks"/>
    <s v="Clothing"/>
    <n v="100"/>
    <x v="12"/>
    <s v="M"/>
    <s v="Silver"/>
    <s v="Spring"/>
    <n v="4.3"/>
    <s v="Yes"/>
    <s v="Yes"/>
    <n v="8"/>
    <s v="PayPal"/>
    <s v="Monthly"/>
    <m/>
  </r>
  <r>
    <n v="771"/>
    <x v="1"/>
    <x v="0"/>
    <s v="Sneakers"/>
    <s v="Footwear"/>
    <n v="54"/>
    <x v="34"/>
    <s v="M"/>
    <s v="Gray"/>
    <s v="Spring"/>
    <n v="3.3"/>
    <s v="Yes"/>
    <s v="Yes"/>
    <n v="8"/>
    <s v="Credit Card"/>
    <s v="Annually"/>
    <m/>
  </r>
  <r>
    <n v="772"/>
    <x v="40"/>
    <x v="0"/>
    <s v="Sweater"/>
    <s v="Clothing"/>
    <n v="68"/>
    <x v="11"/>
    <s v="L"/>
    <s v="Cyan"/>
    <s v="Fall"/>
    <n v="2.6"/>
    <s v="Yes"/>
    <s v="Yes"/>
    <n v="34"/>
    <s v="Bank Transfer"/>
    <s v="Fortnightly"/>
    <m/>
  </r>
  <r>
    <n v="773"/>
    <x v="20"/>
    <x v="0"/>
    <s v="Jeans"/>
    <s v="Clothing"/>
    <n v="22"/>
    <x v="26"/>
    <s v="L"/>
    <s v="Teal"/>
    <s v="Fall"/>
    <n v="3.6"/>
    <s v="Yes"/>
    <s v="Yes"/>
    <n v="40"/>
    <s v="Debit Card"/>
    <s v="Bi-Weekly"/>
    <m/>
  </r>
  <r>
    <n v="774"/>
    <x v="26"/>
    <x v="0"/>
    <s v="Hat"/>
    <s v="Accessories"/>
    <n v="84"/>
    <x v="18"/>
    <s v="L"/>
    <s v="Indigo"/>
    <s v="Winter"/>
    <n v="2.6"/>
    <s v="Yes"/>
    <s v="Yes"/>
    <n v="14"/>
    <s v="Debit Card"/>
    <s v="Bi-Weekly"/>
    <m/>
  </r>
  <r>
    <n v="775"/>
    <x v="32"/>
    <x v="0"/>
    <s v="Hat"/>
    <s v="Accessories"/>
    <n v="46"/>
    <x v="22"/>
    <s v="M"/>
    <s v="Yellow"/>
    <s v="Summer"/>
    <n v="3.5"/>
    <s v="Yes"/>
    <s v="Yes"/>
    <n v="11"/>
    <s v="Credit Card"/>
    <s v="Quarterly"/>
    <m/>
  </r>
  <r>
    <n v="776"/>
    <x v="34"/>
    <x v="0"/>
    <s v="Handbag"/>
    <s v="Accessories"/>
    <n v="53"/>
    <x v="0"/>
    <s v="S"/>
    <s v="Gold"/>
    <s v="Winter"/>
    <n v="3"/>
    <s v="Yes"/>
    <s v="Yes"/>
    <n v="8"/>
    <s v="PayPal"/>
    <s v="Monthly"/>
    <m/>
  </r>
  <r>
    <n v="777"/>
    <x v="34"/>
    <x v="0"/>
    <s v="Shirt"/>
    <s v="Clothing"/>
    <n v="60"/>
    <x v="15"/>
    <s v="M"/>
    <s v="Maroon"/>
    <s v="Spring"/>
    <n v="5"/>
    <s v="Yes"/>
    <s v="Yes"/>
    <n v="8"/>
    <s v="Venmo"/>
    <s v="Every 3 Months"/>
    <m/>
  </r>
  <r>
    <n v="778"/>
    <x v="0"/>
    <x v="0"/>
    <s v="Socks"/>
    <s v="Clothing"/>
    <n v="32"/>
    <x v="5"/>
    <s v="XL"/>
    <s v="Silver"/>
    <s v="Spring"/>
    <n v="2.5"/>
    <s v="Yes"/>
    <s v="Yes"/>
    <n v="37"/>
    <s v="Venmo"/>
    <s v="Weekly"/>
    <m/>
  </r>
  <r>
    <n v="779"/>
    <x v="26"/>
    <x v="0"/>
    <s v="Socks"/>
    <s v="Clothing"/>
    <n v="50"/>
    <x v="2"/>
    <s v="M"/>
    <s v="Yellow"/>
    <s v="Summer"/>
    <n v="2.9"/>
    <s v="Yes"/>
    <s v="Yes"/>
    <n v="23"/>
    <s v="Debit Card"/>
    <s v="Annually"/>
    <m/>
  </r>
  <r>
    <n v="780"/>
    <x v="52"/>
    <x v="0"/>
    <s v="Dress"/>
    <s v="Clothing"/>
    <n v="94"/>
    <x v="40"/>
    <s v="M"/>
    <s v="Blue"/>
    <s v="Spring"/>
    <n v="4.5999999999999996"/>
    <s v="Yes"/>
    <s v="Yes"/>
    <n v="38"/>
    <s v="Cash"/>
    <s v="Annually"/>
    <m/>
  </r>
  <r>
    <n v="781"/>
    <x v="50"/>
    <x v="0"/>
    <s v="Shoes"/>
    <s v="Footwear"/>
    <n v="26"/>
    <x v="14"/>
    <s v="M"/>
    <s v="Turquoise"/>
    <s v="Spring"/>
    <n v="3.6"/>
    <s v="Yes"/>
    <s v="Yes"/>
    <n v="38"/>
    <s v="Cash"/>
    <s v="Quarterly"/>
    <m/>
  </r>
  <r>
    <n v="782"/>
    <x v="11"/>
    <x v="0"/>
    <s v="Scarf"/>
    <s v="Accessories"/>
    <n v="44"/>
    <x v="34"/>
    <s v="L"/>
    <s v="Indigo"/>
    <s v="Winter"/>
    <n v="3"/>
    <s v="Yes"/>
    <s v="Yes"/>
    <n v="12"/>
    <s v="Credit Card"/>
    <s v="Fortnightly"/>
    <m/>
  </r>
  <r>
    <n v="783"/>
    <x v="48"/>
    <x v="0"/>
    <s v="Hoodie"/>
    <s v="Clothing"/>
    <n v="57"/>
    <x v="11"/>
    <s v="M"/>
    <s v="Green"/>
    <s v="Summer"/>
    <n v="4.5"/>
    <s v="Yes"/>
    <s v="Yes"/>
    <n v="15"/>
    <s v="Cash"/>
    <s v="Weekly"/>
    <m/>
  </r>
  <r>
    <n v="784"/>
    <x v="6"/>
    <x v="0"/>
    <s v="T-shirt"/>
    <s v="Clothing"/>
    <n v="65"/>
    <x v="7"/>
    <s v="L"/>
    <s v="Purple"/>
    <s v="Winter"/>
    <n v="4.5"/>
    <s v="Yes"/>
    <s v="Yes"/>
    <n v="38"/>
    <s v="PayPal"/>
    <s v="Fortnightly"/>
    <m/>
  </r>
  <r>
    <n v="785"/>
    <x v="18"/>
    <x v="0"/>
    <s v="Jeans"/>
    <s v="Clothing"/>
    <n v="72"/>
    <x v="15"/>
    <s v="M"/>
    <s v="Peach"/>
    <s v="Winter"/>
    <n v="3.2"/>
    <s v="Yes"/>
    <s v="Yes"/>
    <n v="41"/>
    <s v="Bank Transfer"/>
    <s v="Every 3 Months"/>
    <m/>
  </r>
  <r>
    <n v="786"/>
    <x v="5"/>
    <x v="0"/>
    <s v="Shorts"/>
    <s v="Clothing"/>
    <n v="62"/>
    <x v="7"/>
    <s v="S"/>
    <s v="Purple"/>
    <s v="Spring"/>
    <n v="4"/>
    <s v="Yes"/>
    <s v="Yes"/>
    <n v="37"/>
    <s v="PayPal"/>
    <s v="Fortnightly"/>
    <m/>
  </r>
  <r>
    <n v="787"/>
    <x v="27"/>
    <x v="0"/>
    <s v="Hat"/>
    <s v="Accessories"/>
    <n v="21"/>
    <x v="27"/>
    <s v="S"/>
    <s v="Teal"/>
    <s v="Winter"/>
    <n v="4.8"/>
    <s v="Yes"/>
    <s v="Yes"/>
    <n v="16"/>
    <s v="Bank Transfer"/>
    <s v="Every 3 Months"/>
    <m/>
  </r>
  <r>
    <n v="788"/>
    <x v="10"/>
    <x v="0"/>
    <s v="Handbag"/>
    <s v="Accessories"/>
    <n v="85"/>
    <x v="49"/>
    <s v="S"/>
    <s v="Green"/>
    <s v="Spring"/>
    <n v="3.7"/>
    <s v="Yes"/>
    <s v="Yes"/>
    <n v="25"/>
    <s v="Venmo"/>
    <s v="Weekly"/>
    <m/>
  </r>
  <r>
    <n v="789"/>
    <x v="2"/>
    <x v="0"/>
    <s v="Pants"/>
    <s v="Clothing"/>
    <n v="51"/>
    <x v="3"/>
    <s v="XL"/>
    <s v="Yellow"/>
    <s v="Summer"/>
    <n v="3.8"/>
    <s v="Yes"/>
    <s v="Yes"/>
    <n v="18"/>
    <s v="Bank Transfer"/>
    <s v="Quarterly"/>
    <m/>
  </r>
  <r>
    <n v="790"/>
    <x v="23"/>
    <x v="0"/>
    <s v="Handbag"/>
    <s v="Accessories"/>
    <n v="84"/>
    <x v="37"/>
    <s v="S"/>
    <s v="Purple"/>
    <s v="Fall"/>
    <n v="2.7"/>
    <s v="Yes"/>
    <s v="Yes"/>
    <n v="4"/>
    <s v="Credit Card"/>
    <s v="Bi-Weekly"/>
    <m/>
  </r>
  <r>
    <n v="791"/>
    <x v="40"/>
    <x v="0"/>
    <s v="Sweater"/>
    <s v="Clothing"/>
    <n v="37"/>
    <x v="7"/>
    <s v="M"/>
    <s v="Indigo"/>
    <s v="Summer"/>
    <n v="4.9000000000000004"/>
    <s v="Yes"/>
    <s v="Yes"/>
    <n v="12"/>
    <s v="Bank Transfer"/>
    <s v="Quarterly"/>
    <m/>
  </r>
  <r>
    <n v="792"/>
    <x v="2"/>
    <x v="0"/>
    <s v="Scarf"/>
    <s v="Accessories"/>
    <n v="44"/>
    <x v="17"/>
    <s v="S"/>
    <s v="Magenta"/>
    <s v="Summer"/>
    <n v="3.1"/>
    <s v="Yes"/>
    <s v="Yes"/>
    <n v="35"/>
    <s v="PayPal"/>
    <s v="Fortnightly"/>
    <m/>
  </r>
  <r>
    <n v="793"/>
    <x v="50"/>
    <x v="0"/>
    <s v="Sneakers"/>
    <s v="Footwear"/>
    <n v="45"/>
    <x v="32"/>
    <s v="M"/>
    <s v="Violet"/>
    <s v="Spring"/>
    <n v="4.2"/>
    <s v="Yes"/>
    <s v="Yes"/>
    <n v="45"/>
    <s v="Venmo"/>
    <s v="Weekly"/>
    <m/>
  </r>
  <r>
    <n v="794"/>
    <x v="41"/>
    <x v="0"/>
    <s v="Pants"/>
    <s v="Clothing"/>
    <n v="35"/>
    <x v="15"/>
    <s v="L"/>
    <s v="Maroon"/>
    <s v="Summer"/>
    <n v="3.8"/>
    <s v="Yes"/>
    <s v="Yes"/>
    <n v="16"/>
    <s v="Credit Card"/>
    <s v="Monthly"/>
    <m/>
  </r>
  <r>
    <n v="795"/>
    <x v="28"/>
    <x v="0"/>
    <s v="Backpack"/>
    <s v="Accessories"/>
    <n v="50"/>
    <x v="0"/>
    <s v="XL"/>
    <s v="Yellow"/>
    <s v="Winter"/>
    <n v="4.2"/>
    <s v="Yes"/>
    <s v="Yes"/>
    <n v="10"/>
    <s v="Debit Card"/>
    <s v="Fortnightly"/>
    <m/>
  </r>
  <r>
    <n v="796"/>
    <x v="31"/>
    <x v="0"/>
    <s v="Sandals"/>
    <s v="Footwear"/>
    <n v="26"/>
    <x v="14"/>
    <s v="M"/>
    <s v="Beige"/>
    <s v="Summer"/>
    <n v="4.5999999999999996"/>
    <s v="Yes"/>
    <s v="Yes"/>
    <n v="34"/>
    <s v="Venmo"/>
    <s v="Annually"/>
    <m/>
  </r>
  <r>
    <n v="797"/>
    <x v="32"/>
    <x v="0"/>
    <s v="Socks"/>
    <s v="Clothing"/>
    <n v="78"/>
    <x v="28"/>
    <s v="XL"/>
    <s v="Black"/>
    <s v="Fall"/>
    <n v="4"/>
    <s v="Yes"/>
    <s v="Yes"/>
    <n v="43"/>
    <s v="Credit Card"/>
    <s v="Annually"/>
    <m/>
  </r>
  <r>
    <n v="798"/>
    <x v="32"/>
    <x v="0"/>
    <s v="Coat"/>
    <s v="Outerwear"/>
    <n v="82"/>
    <x v="33"/>
    <s v="M"/>
    <s v="Violet"/>
    <s v="Fall"/>
    <n v="4"/>
    <s v="Yes"/>
    <s v="Yes"/>
    <n v="38"/>
    <s v="Debit Card"/>
    <s v="Weekly"/>
    <m/>
  </r>
  <r>
    <n v="799"/>
    <x v="26"/>
    <x v="0"/>
    <s v="Socks"/>
    <s v="Clothing"/>
    <n v="39"/>
    <x v="29"/>
    <s v="M"/>
    <s v="Violet"/>
    <s v="Spring"/>
    <n v="3.8"/>
    <s v="Yes"/>
    <s v="Yes"/>
    <n v="48"/>
    <s v="PayPal"/>
    <s v="Every 3 Months"/>
    <m/>
  </r>
  <r>
    <n v="800"/>
    <x v="0"/>
    <x v="0"/>
    <s v="Belt"/>
    <s v="Accessories"/>
    <n v="55"/>
    <x v="22"/>
    <s v="L"/>
    <s v="Brown"/>
    <s v="Summer"/>
    <n v="3.3"/>
    <s v="Yes"/>
    <s v="Yes"/>
    <n v="31"/>
    <s v="PayPal"/>
    <s v="Annually"/>
    <m/>
  </r>
  <r>
    <n v="801"/>
    <x v="45"/>
    <x v="0"/>
    <s v="Socks"/>
    <s v="Clothing"/>
    <n v="20"/>
    <x v="40"/>
    <s v="S"/>
    <s v="Gold"/>
    <s v="Summer"/>
    <n v="2.6"/>
    <s v="Yes"/>
    <s v="Yes"/>
    <n v="20"/>
    <s v="Cash"/>
    <s v="Every 3 Months"/>
    <m/>
  </r>
  <r>
    <n v="802"/>
    <x v="15"/>
    <x v="0"/>
    <s v="Belt"/>
    <s v="Accessories"/>
    <n v="29"/>
    <x v="35"/>
    <s v="L"/>
    <s v="Blue"/>
    <s v="Fall"/>
    <n v="4.9000000000000004"/>
    <s v="Yes"/>
    <s v="Yes"/>
    <n v="12"/>
    <s v="Credit Card"/>
    <s v="Fortnightly"/>
    <m/>
  </r>
  <r>
    <n v="803"/>
    <x v="21"/>
    <x v="0"/>
    <s v="Pants"/>
    <s v="Clothing"/>
    <n v="41"/>
    <x v="12"/>
    <s v="M"/>
    <s v="Teal"/>
    <s v="Winter"/>
    <n v="3.5"/>
    <s v="Yes"/>
    <s v="Yes"/>
    <n v="2"/>
    <s v="Bank Transfer"/>
    <s v="Weekly"/>
    <m/>
  </r>
  <r>
    <n v="804"/>
    <x v="45"/>
    <x v="0"/>
    <s v="Shorts"/>
    <s v="Clothing"/>
    <n v="38"/>
    <x v="39"/>
    <s v="L"/>
    <s v="Silver"/>
    <s v="Winter"/>
    <n v="2.8"/>
    <s v="Yes"/>
    <s v="Yes"/>
    <n v="30"/>
    <s v="Venmo"/>
    <s v="Every 3 Months"/>
    <m/>
  </r>
  <r>
    <n v="805"/>
    <x v="49"/>
    <x v="0"/>
    <s v="Boots"/>
    <s v="Footwear"/>
    <n v="47"/>
    <x v="16"/>
    <s v="M"/>
    <s v="Maroon"/>
    <s v="Summer"/>
    <n v="2.6"/>
    <s v="Yes"/>
    <s v="Yes"/>
    <n v="28"/>
    <s v="Venmo"/>
    <s v="Quarterly"/>
    <m/>
  </r>
  <r>
    <n v="806"/>
    <x v="38"/>
    <x v="0"/>
    <s v="Dress"/>
    <s v="Clothing"/>
    <n v="30"/>
    <x v="39"/>
    <s v="L"/>
    <s v="White"/>
    <s v="Summer"/>
    <n v="3.7"/>
    <s v="Yes"/>
    <s v="Yes"/>
    <n v="40"/>
    <s v="Debit Card"/>
    <s v="Monthly"/>
    <m/>
  </r>
  <r>
    <n v="807"/>
    <x v="19"/>
    <x v="0"/>
    <s v="Jeans"/>
    <s v="Clothing"/>
    <n v="56"/>
    <x v="20"/>
    <s v="L"/>
    <s v="Charcoal"/>
    <s v="Summer"/>
    <n v="2.7"/>
    <s v="Yes"/>
    <s v="Yes"/>
    <n v="46"/>
    <s v="PayPal"/>
    <s v="Quarterly"/>
    <m/>
  </r>
  <r>
    <n v="808"/>
    <x v="7"/>
    <x v="0"/>
    <s v="T-shirt"/>
    <s v="Clothing"/>
    <n v="89"/>
    <x v="14"/>
    <s v="S"/>
    <s v="Brown"/>
    <s v="Winter"/>
    <n v="3.3"/>
    <s v="Yes"/>
    <s v="Yes"/>
    <n v="15"/>
    <s v="Credit Card"/>
    <s v="Weekly"/>
    <m/>
  </r>
  <r>
    <n v="809"/>
    <x v="5"/>
    <x v="0"/>
    <s v="Shoes"/>
    <s v="Footwear"/>
    <n v="96"/>
    <x v="48"/>
    <s v="L"/>
    <s v="Lavender"/>
    <s v="Fall"/>
    <n v="4.5999999999999996"/>
    <s v="Yes"/>
    <s v="Yes"/>
    <n v="38"/>
    <s v="Cash"/>
    <s v="Every 3 Months"/>
    <m/>
  </r>
  <r>
    <n v="810"/>
    <x v="39"/>
    <x v="0"/>
    <s v="Boots"/>
    <s v="Footwear"/>
    <n v="81"/>
    <x v="36"/>
    <s v="M"/>
    <s v="Violet"/>
    <s v="Fall"/>
    <n v="4.9000000000000004"/>
    <s v="Yes"/>
    <s v="Yes"/>
    <n v="30"/>
    <s v="PayPal"/>
    <s v="Bi-Weekly"/>
    <m/>
  </r>
  <r>
    <n v="811"/>
    <x v="16"/>
    <x v="0"/>
    <s v="Scarf"/>
    <s v="Accessories"/>
    <n v="83"/>
    <x v="45"/>
    <s v="S"/>
    <s v="Lavender"/>
    <s v="Fall"/>
    <n v="4.9000000000000004"/>
    <s v="Yes"/>
    <s v="Yes"/>
    <n v="32"/>
    <s v="Debit Card"/>
    <s v="Bi-Weekly"/>
    <m/>
  </r>
  <r>
    <n v="812"/>
    <x v="20"/>
    <x v="0"/>
    <s v="Sneakers"/>
    <s v="Footwear"/>
    <n v="35"/>
    <x v="26"/>
    <s v="M"/>
    <s v="Green"/>
    <s v="Winter"/>
    <n v="2.7"/>
    <s v="Yes"/>
    <s v="Yes"/>
    <n v="36"/>
    <s v="Venmo"/>
    <s v="Quarterly"/>
    <m/>
  </r>
  <r>
    <n v="813"/>
    <x v="14"/>
    <x v="0"/>
    <s v="Boots"/>
    <s v="Footwear"/>
    <n v="56"/>
    <x v="29"/>
    <s v="M"/>
    <s v="Olive"/>
    <s v="Summer"/>
    <n v="3.2"/>
    <s v="Yes"/>
    <s v="Yes"/>
    <n v="32"/>
    <s v="Credit Card"/>
    <s v="Weekly"/>
    <m/>
  </r>
  <r>
    <n v="814"/>
    <x v="22"/>
    <x v="0"/>
    <s v="Handbag"/>
    <s v="Accessories"/>
    <n v="45"/>
    <x v="6"/>
    <s v="S"/>
    <s v="Olive"/>
    <s v="Summer"/>
    <n v="2.9"/>
    <s v="Yes"/>
    <s v="Yes"/>
    <n v="14"/>
    <s v="Debit Card"/>
    <s v="Annually"/>
    <m/>
  </r>
  <r>
    <n v="815"/>
    <x v="18"/>
    <x v="0"/>
    <s v="Shirt"/>
    <s v="Clothing"/>
    <n v="62"/>
    <x v="46"/>
    <s v="M"/>
    <s v="Pink"/>
    <s v="Winter"/>
    <n v="3.8"/>
    <s v="Yes"/>
    <s v="Yes"/>
    <n v="8"/>
    <s v="PayPal"/>
    <s v="Monthly"/>
    <m/>
  </r>
  <r>
    <n v="816"/>
    <x v="11"/>
    <x v="0"/>
    <s v="Hat"/>
    <s v="Accessories"/>
    <n v="84"/>
    <x v="8"/>
    <s v="L"/>
    <s v="Teal"/>
    <s v="Spring"/>
    <n v="3"/>
    <s v="Yes"/>
    <s v="Yes"/>
    <n v="27"/>
    <s v="Venmo"/>
    <s v="Bi-Weekly"/>
    <m/>
  </r>
  <r>
    <n v="817"/>
    <x v="8"/>
    <x v="0"/>
    <s v="Sweater"/>
    <s v="Clothing"/>
    <n v="24"/>
    <x v="26"/>
    <s v="L"/>
    <s v="Cyan"/>
    <s v="Summer"/>
    <n v="3.9"/>
    <s v="Yes"/>
    <s v="Yes"/>
    <n v="24"/>
    <s v="Debit Card"/>
    <s v="Monthly"/>
    <m/>
  </r>
  <r>
    <n v="818"/>
    <x v="15"/>
    <x v="0"/>
    <s v="Handbag"/>
    <s v="Accessories"/>
    <n v="21"/>
    <x v="22"/>
    <s v="S"/>
    <s v="Gray"/>
    <s v="Spring"/>
    <n v="4.7"/>
    <s v="Yes"/>
    <s v="Yes"/>
    <n v="30"/>
    <s v="PayPal"/>
    <s v="Fortnightly"/>
    <m/>
  </r>
  <r>
    <n v="819"/>
    <x v="35"/>
    <x v="0"/>
    <s v="Shirt"/>
    <s v="Clothing"/>
    <n v="91"/>
    <x v="37"/>
    <s v="M"/>
    <s v="Peach"/>
    <s v="Winter"/>
    <n v="4.9000000000000004"/>
    <s v="Yes"/>
    <s v="Yes"/>
    <n v="34"/>
    <s v="Debit Card"/>
    <s v="Monthly"/>
    <m/>
  </r>
  <r>
    <n v="820"/>
    <x v="0"/>
    <x v="0"/>
    <s v="Sunglasses"/>
    <s v="Accessories"/>
    <n v="36"/>
    <x v="24"/>
    <s v="S"/>
    <s v="Teal"/>
    <s v="Winter"/>
    <n v="4.8"/>
    <s v="Yes"/>
    <s v="Yes"/>
    <n v="28"/>
    <s v="Debit Card"/>
    <s v="Quarterly"/>
    <m/>
  </r>
  <r>
    <n v="821"/>
    <x v="19"/>
    <x v="0"/>
    <s v="Sneakers"/>
    <s v="Footwear"/>
    <n v="39"/>
    <x v="7"/>
    <s v="M"/>
    <s v="Turquoise"/>
    <s v="Spring"/>
    <n v="2.5"/>
    <s v="Yes"/>
    <s v="Yes"/>
    <n v="27"/>
    <s v="Debit Card"/>
    <s v="Monthly"/>
    <m/>
  </r>
  <r>
    <n v="822"/>
    <x v="46"/>
    <x v="0"/>
    <s v="Hoodie"/>
    <s v="Clothing"/>
    <n v="39"/>
    <x v="34"/>
    <s v="M"/>
    <s v="Green"/>
    <s v="Spring"/>
    <n v="3.9"/>
    <s v="Yes"/>
    <s v="Yes"/>
    <n v="31"/>
    <s v="Credit Card"/>
    <s v="Bi-Weekly"/>
    <m/>
  </r>
  <r>
    <n v="823"/>
    <x v="25"/>
    <x v="0"/>
    <s v="Shirt"/>
    <s v="Clothing"/>
    <n v="59"/>
    <x v="16"/>
    <s v="L"/>
    <s v="Magenta"/>
    <s v="Winter"/>
    <n v="3.4"/>
    <s v="Yes"/>
    <s v="Yes"/>
    <n v="23"/>
    <s v="Bank Transfer"/>
    <s v="Annually"/>
    <m/>
  </r>
  <r>
    <n v="824"/>
    <x v="47"/>
    <x v="0"/>
    <s v="Sunglasses"/>
    <s v="Accessories"/>
    <n v="27"/>
    <x v="42"/>
    <s v="M"/>
    <s v="Green"/>
    <s v="Winter"/>
    <n v="2.5"/>
    <s v="Yes"/>
    <s v="Yes"/>
    <n v="11"/>
    <s v="Credit Card"/>
    <s v="Quarterly"/>
    <m/>
  </r>
  <r>
    <n v="825"/>
    <x v="12"/>
    <x v="0"/>
    <s v="Blouse"/>
    <s v="Clothing"/>
    <n v="94"/>
    <x v="42"/>
    <s v="M"/>
    <s v="White"/>
    <s v="Spring"/>
    <n v="3"/>
    <s v="Yes"/>
    <s v="Yes"/>
    <n v="48"/>
    <s v="Cash"/>
    <s v="Quarterly"/>
    <m/>
  </r>
  <r>
    <n v="826"/>
    <x v="7"/>
    <x v="0"/>
    <s v="Belt"/>
    <s v="Accessories"/>
    <n v="94"/>
    <x v="43"/>
    <s v="XL"/>
    <s v="Brown"/>
    <s v="Fall"/>
    <n v="3.6"/>
    <s v="Yes"/>
    <s v="Yes"/>
    <n v="17"/>
    <s v="Cash"/>
    <s v="Monthly"/>
    <m/>
  </r>
  <r>
    <n v="827"/>
    <x v="22"/>
    <x v="0"/>
    <s v="Dress"/>
    <s v="Clothing"/>
    <n v="94"/>
    <x v="2"/>
    <s v="M"/>
    <s v="Purple"/>
    <s v="Winter"/>
    <n v="3.6"/>
    <s v="Yes"/>
    <s v="Yes"/>
    <n v="36"/>
    <s v="PayPal"/>
    <s v="Weekly"/>
    <m/>
  </r>
  <r>
    <n v="828"/>
    <x v="18"/>
    <x v="0"/>
    <s v="Shoes"/>
    <s v="Footwear"/>
    <n v="51"/>
    <x v="24"/>
    <s v="S"/>
    <s v="Green"/>
    <s v="Fall"/>
    <n v="4.0999999999999996"/>
    <s v="Yes"/>
    <s v="Yes"/>
    <n v="33"/>
    <s v="Bank Transfer"/>
    <s v="Fortnightly"/>
    <m/>
  </r>
  <r>
    <n v="829"/>
    <x v="41"/>
    <x v="0"/>
    <s v="Socks"/>
    <s v="Clothing"/>
    <n v="62"/>
    <x v="22"/>
    <s v="M"/>
    <s v="Peach"/>
    <s v="Fall"/>
    <n v="3.7"/>
    <s v="Yes"/>
    <s v="Yes"/>
    <n v="27"/>
    <s v="PayPal"/>
    <s v="Bi-Weekly"/>
    <m/>
  </r>
  <r>
    <n v="830"/>
    <x v="32"/>
    <x v="0"/>
    <s v="Socks"/>
    <s v="Clothing"/>
    <n v="57"/>
    <x v="37"/>
    <s v="S"/>
    <s v="Silver"/>
    <s v="Spring"/>
    <n v="3.1"/>
    <s v="Yes"/>
    <s v="Yes"/>
    <n v="14"/>
    <s v="Credit Card"/>
    <s v="Fortnightly"/>
    <m/>
  </r>
  <r>
    <n v="831"/>
    <x v="38"/>
    <x v="0"/>
    <s v="Shorts"/>
    <s v="Clothing"/>
    <n v="76"/>
    <x v="5"/>
    <s v="M"/>
    <s v="Maroon"/>
    <s v="Fall"/>
    <n v="4.2"/>
    <s v="Yes"/>
    <s v="Yes"/>
    <n v="5"/>
    <s v="Credit Card"/>
    <s v="Annually"/>
    <m/>
  </r>
  <r>
    <n v="832"/>
    <x v="17"/>
    <x v="0"/>
    <s v="Gloves"/>
    <s v="Accessories"/>
    <n v="63"/>
    <x v="47"/>
    <s v="M"/>
    <s v="Red"/>
    <s v="Summer"/>
    <n v="4.3"/>
    <s v="Yes"/>
    <s v="Yes"/>
    <n v="47"/>
    <s v="Cash"/>
    <s v="Every 3 Months"/>
    <m/>
  </r>
  <r>
    <n v="833"/>
    <x v="44"/>
    <x v="0"/>
    <s v="Jacket"/>
    <s v="Outerwear"/>
    <n v="80"/>
    <x v="18"/>
    <s v="L"/>
    <s v="Blue"/>
    <s v="Fall"/>
    <n v="2.5"/>
    <s v="Yes"/>
    <s v="Yes"/>
    <n v="28"/>
    <s v="Cash"/>
    <s v="Bi-Weekly"/>
    <m/>
  </r>
  <r>
    <n v="834"/>
    <x v="49"/>
    <x v="0"/>
    <s v="Handbag"/>
    <s v="Accessories"/>
    <n v="68"/>
    <x v="19"/>
    <s v="M"/>
    <s v="Purple"/>
    <s v="Fall"/>
    <n v="3.5"/>
    <s v="Yes"/>
    <s v="Yes"/>
    <n v="11"/>
    <s v="Credit Card"/>
    <s v="Annually"/>
    <m/>
  </r>
  <r>
    <n v="835"/>
    <x v="16"/>
    <x v="0"/>
    <s v="Backpack"/>
    <s v="Accessories"/>
    <n v="89"/>
    <x v="22"/>
    <s v="M"/>
    <s v="Indigo"/>
    <s v="Summer"/>
    <n v="3.1"/>
    <s v="Yes"/>
    <s v="Yes"/>
    <n v="18"/>
    <s v="Credit Card"/>
    <s v="Weekly"/>
    <m/>
  </r>
  <r>
    <n v="836"/>
    <x v="25"/>
    <x v="0"/>
    <s v="Boots"/>
    <s v="Footwear"/>
    <n v="26"/>
    <x v="33"/>
    <s v="L"/>
    <s v="Indigo"/>
    <s v="Summer"/>
    <n v="2.5"/>
    <s v="Yes"/>
    <s v="Yes"/>
    <n v="21"/>
    <s v="Debit Card"/>
    <s v="Weekly"/>
    <m/>
  </r>
  <r>
    <n v="837"/>
    <x v="51"/>
    <x v="0"/>
    <s v="Gloves"/>
    <s v="Accessories"/>
    <n v="90"/>
    <x v="8"/>
    <s v="L"/>
    <s v="Violet"/>
    <s v="Winter"/>
    <n v="3.9"/>
    <s v="Yes"/>
    <s v="Yes"/>
    <n v="22"/>
    <s v="Cash"/>
    <s v="Bi-Weekly"/>
    <m/>
  </r>
  <r>
    <n v="838"/>
    <x v="15"/>
    <x v="0"/>
    <s v="Hoodie"/>
    <s v="Clothing"/>
    <n v="28"/>
    <x v="26"/>
    <s v="L"/>
    <s v="Brown"/>
    <s v="Spring"/>
    <n v="4.9000000000000004"/>
    <s v="Yes"/>
    <s v="Yes"/>
    <n v="33"/>
    <s v="Cash"/>
    <s v="Every 3 Months"/>
    <m/>
  </r>
  <r>
    <n v="839"/>
    <x v="23"/>
    <x v="0"/>
    <s v="Coat"/>
    <s v="Outerwear"/>
    <n v="29"/>
    <x v="0"/>
    <s v="M"/>
    <s v="Gray"/>
    <s v="Spring"/>
    <n v="4.3"/>
    <s v="Yes"/>
    <s v="Yes"/>
    <n v="49"/>
    <s v="Credit Card"/>
    <s v="Annually"/>
    <m/>
  </r>
  <r>
    <n v="840"/>
    <x v="39"/>
    <x v="0"/>
    <s v="Shirt"/>
    <s v="Clothing"/>
    <n v="31"/>
    <x v="26"/>
    <s v="L"/>
    <s v="Teal"/>
    <s v="Spring"/>
    <n v="2.6"/>
    <s v="Yes"/>
    <s v="Yes"/>
    <n v="10"/>
    <s v="Debit Card"/>
    <s v="Every 3 Months"/>
    <m/>
  </r>
  <r>
    <n v="841"/>
    <x v="32"/>
    <x v="0"/>
    <s v="Shirt"/>
    <s v="Clothing"/>
    <n v="24"/>
    <x v="15"/>
    <s v="L"/>
    <s v="Teal"/>
    <s v="Summer"/>
    <n v="4.2"/>
    <s v="Yes"/>
    <s v="Yes"/>
    <n v="18"/>
    <s v="PayPal"/>
    <s v="Weekly"/>
    <m/>
  </r>
  <r>
    <n v="842"/>
    <x v="0"/>
    <x v="0"/>
    <s v="Sweater"/>
    <s v="Clothing"/>
    <n v="88"/>
    <x v="21"/>
    <s v="M"/>
    <s v="Beige"/>
    <s v="Summer"/>
    <n v="2.6"/>
    <s v="Yes"/>
    <s v="Yes"/>
    <n v="28"/>
    <s v="PayPal"/>
    <s v="Fortnightly"/>
    <m/>
  </r>
  <r>
    <n v="843"/>
    <x v="35"/>
    <x v="0"/>
    <s v="Shirt"/>
    <s v="Clothing"/>
    <n v="87"/>
    <x v="9"/>
    <s v="M"/>
    <s v="Violet"/>
    <s v="Spring"/>
    <n v="3.6"/>
    <s v="Yes"/>
    <s v="Yes"/>
    <n v="25"/>
    <s v="PayPal"/>
    <s v="Weekly"/>
    <m/>
  </r>
  <r>
    <n v="844"/>
    <x v="13"/>
    <x v="0"/>
    <s v="Hoodie"/>
    <s v="Clothing"/>
    <n v="80"/>
    <x v="38"/>
    <s v="S"/>
    <s v="Beige"/>
    <s v="Summer"/>
    <n v="3.2"/>
    <s v="Yes"/>
    <s v="Yes"/>
    <n v="6"/>
    <s v="PayPal"/>
    <s v="Weekly"/>
    <m/>
  </r>
  <r>
    <n v="845"/>
    <x v="35"/>
    <x v="0"/>
    <s v="Sandals"/>
    <s v="Footwear"/>
    <n v="48"/>
    <x v="9"/>
    <s v="L"/>
    <s v="Purple"/>
    <s v="Winter"/>
    <n v="4.4000000000000004"/>
    <s v="Yes"/>
    <s v="Yes"/>
    <n v="44"/>
    <s v="Venmo"/>
    <s v="Bi-Weekly"/>
    <m/>
  </r>
  <r>
    <n v="846"/>
    <x v="18"/>
    <x v="0"/>
    <s v="Belt"/>
    <s v="Accessories"/>
    <n v="21"/>
    <x v="49"/>
    <s v="XL"/>
    <s v="Charcoal"/>
    <s v="Winter"/>
    <n v="3.7"/>
    <s v="Yes"/>
    <s v="Yes"/>
    <n v="30"/>
    <s v="Venmo"/>
    <s v="Monthly"/>
    <m/>
  </r>
  <r>
    <n v="847"/>
    <x v="34"/>
    <x v="0"/>
    <s v="Boots"/>
    <s v="Footwear"/>
    <n v="72"/>
    <x v="0"/>
    <s v="M"/>
    <s v="Pink"/>
    <s v="Spring"/>
    <n v="3.7"/>
    <s v="Yes"/>
    <s v="Yes"/>
    <n v="42"/>
    <s v="Debit Card"/>
    <s v="Quarterly"/>
    <m/>
  </r>
  <r>
    <n v="848"/>
    <x v="10"/>
    <x v="0"/>
    <s v="Hoodie"/>
    <s v="Clothing"/>
    <n v="44"/>
    <x v="32"/>
    <s v="L"/>
    <s v="Blue"/>
    <s v="Fall"/>
    <n v="4.0999999999999996"/>
    <s v="Yes"/>
    <s v="Yes"/>
    <n v="30"/>
    <s v="PayPal"/>
    <s v="Monthly"/>
    <m/>
  </r>
  <r>
    <n v="849"/>
    <x v="39"/>
    <x v="0"/>
    <s v="Sandals"/>
    <s v="Footwear"/>
    <n v="73"/>
    <x v="12"/>
    <s v="M"/>
    <s v="Lavender"/>
    <s v="Fall"/>
    <n v="3.6"/>
    <s v="Yes"/>
    <s v="Yes"/>
    <n v="33"/>
    <s v="Credit Card"/>
    <s v="Bi-Weekly"/>
    <m/>
  </r>
  <r>
    <n v="850"/>
    <x v="51"/>
    <x v="0"/>
    <s v="Jeans"/>
    <s v="Clothing"/>
    <n v="61"/>
    <x v="9"/>
    <s v="S"/>
    <s v="Charcoal"/>
    <s v="Spring"/>
    <n v="4.3"/>
    <s v="Yes"/>
    <s v="Yes"/>
    <n v="24"/>
    <s v="PayPal"/>
    <s v="Quarterly"/>
    <m/>
  </r>
  <r>
    <n v="851"/>
    <x v="33"/>
    <x v="0"/>
    <s v="Shoes"/>
    <s v="Footwear"/>
    <n v="20"/>
    <x v="39"/>
    <s v="L"/>
    <s v="Turquoise"/>
    <s v="Winter"/>
    <n v="2.6"/>
    <s v="Yes"/>
    <s v="Yes"/>
    <n v="13"/>
    <s v="Venmo"/>
    <s v="Monthly"/>
    <m/>
  </r>
  <r>
    <n v="852"/>
    <x v="25"/>
    <x v="0"/>
    <s v="Sandals"/>
    <s v="Footwear"/>
    <n v="86"/>
    <x v="2"/>
    <s v="M"/>
    <s v="Red"/>
    <s v="Summer"/>
    <n v="2.9"/>
    <s v="Yes"/>
    <s v="Yes"/>
    <n v="19"/>
    <s v="Debit Card"/>
    <s v="Monthly"/>
    <m/>
  </r>
  <r>
    <n v="853"/>
    <x v="50"/>
    <x v="0"/>
    <s v="Dress"/>
    <s v="Clothing"/>
    <n v="60"/>
    <x v="20"/>
    <s v="L"/>
    <s v="Yellow"/>
    <s v="Spring"/>
    <n v="4.2"/>
    <s v="Yes"/>
    <s v="Yes"/>
    <n v="23"/>
    <s v="Debit Card"/>
    <s v="Every 3 Months"/>
    <m/>
  </r>
  <r>
    <n v="854"/>
    <x v="46"/>
    <x v="0"/>
    <s v="Hat"/>
    <s v="Accessories"/>
    <n v="43"/>
    <x v="12"/>
    <s v="L"/>
    <s v="Orange"/>
    <s v="Winter"/>
    <n v="4"/>
    <s v="Yes"/>
    <s v="Yes"/>
    <n v="35"/>
    <s v="Cash"/>
    <s v="Monthly"/>
    <m/>
  </r>
  <r>
    <n v="855"/>
    <x v="3"/>
    <x v="0"/>
    <s v="Pants"/>
    <s v="Clothing"/>
    <n v="44"/>
    <x v="18"/>
    <s v="L"/>
    <s v="Blue"/>
    <s v="Spring"/>
    <n v="4.3"/>
    <s v="Yes"/>
    <s v="Yes"/>
    <n v="22"/>
    <s v="Venmo"/>
    <s v="Monthly"/>
    <m/>
  </r>
  <r>
    <n v="856"/>
    <x v="27"/>
    <x v="0"/>
    <s v="Socks"/>
    <s v="Clothing"/>
    <n v="76"/>
    <x v="4"/>
    <s v="L"/>
    <s v="Gold"/>
    <s v="Spring"/>
    <n v="3"/>
    <s v="Yes"/>
    <s v="Yes"/>
    <n v="14"/>
    <s v="Credit Card"/>
    <s v="Quarterly"/>
    <m/>
  </r>
  <r>
    <n v="857"/>
    <x v="0"/>
    <x v="0"/>
    <s v="Shirt"/>
    <s v="Clothing"/>
    <n v="33"/>
    <x v="29"/>
    <s v="M"/>
    <s v="Gold"/>
    <s v="Summer"/>
    <n v="3.5"/>
    <s v="Yes"/>
    <s v="Yes"/>
    <n v="47"/>
    <s v="Debit Card"/>
    <s v="Fortnightly"/>
    <m/>
  </r>
  <r>
    <n v="858"/>
    <x v="49"/>
    <x v="0"/>
    <s v="Shorts"/>
    <s v="Clothing"/>
    <n v="60"/>
    <x v="9"/>
    <s v="L"/>
    <s v="Cyan"/>
    <s v="Fall"/>
    <n v="3"/>
    <s v="Yes"/>
    <s v="Yes"/>
    <n v="50"/>
    <s v="Debit Card"/>
    <s v="Every 3 Months"/>
    <m/>
  </r>
  <r>
    <n v="859"/>
    <x v="1"/>
    <x v="0"/>
    <s v="Jacket"/>
    <s v="Outerwear"/>
    <n v="26"/>
    <x v="19"/>
    <s v="L"/>
    <s v="Olive"/>
    <s v="Fall"/>
    <n v="3.1"/>
    <s v="Yes"/>
    <s v="Yes"/>
    <n v="33"/>
    <s v="PayPal"/>
    <s v="Weekly"/>
    <m/>
  </r>
  <r>
    <n v="860"/>
    <x v="36"/>
    <x v="0"/>
    <s v="Hoodie"/>
    <s v="Clothing"/>
    <n v="73"/>
    <x v="48"/>
    <s v="M"/>
    <s v="Teal"/>
    <s v="Winter"/>
    <n v="4"/>
    <s v="Yes"/>
    <s v="Yes"/>
    <n v="7"/>
    <s v="Debit Card"/>
    <s v="Monthly"/>
    <m/>
  </r>
  <r>
    <n v="861"/>
    <x v="8"/>
    <x v="0"/>
    <s v="Shoes"/>
    <s v="Footwear"/>
    <n v="87"/>
    <x v="36"/>
    <s v="M"/>
    <s v="Maroon"/>
    <s v="Spring"/>
    <n v="4.0999999999999996"/>
    <s v="Yes"/>
    <s v="Yes"/>
    <n v="3"/>
    <s v="Cash"/>
    <s v="Monthly"/>
    <m/>
  </r>
  <r>
    <n v="862"/>
    <x v="5"/>
    <x v="0"/>
    <s v="Skirt"/>
    <s v="Clothing"/>
    <n v="100"/>
    <x v="41"/>
    <s v="XL"/>
    <s v="Green"/>
    <s v="Spring"/>
    <n v="3.3"/>
    <s v="Yes"/>
    <s v="Yes"/>
    <n v="35"/>
    <s v="Credit Card"/>
    <s v="Every 3 Months"/>
    <m/>
  </r>
  <r>
    <n v="863"/>
    <x v="1"/>
    <x v="0"/>
    <s v="Coat"/>
    <s v="Outerwear"/>
    <n v="84"/>
    <x v="10"/>
    <s v="M"/>
    <s v="Charcoal"/>
    <s v="Winter"/>
    <n v="4.9000000000000004"/>
    <s v="Yes"/>
    <s v="Yes"/>
    <n v="13"/>
    <s v="PayPal"/>
    <s v="Fortnightly"/>
    <m/>
  </r>
  <r>
    <n v="864"/>
    <x v="34"/>
    <x v="0"/>
    <s v="Sneakers"/>
    <s v="Footwear"/>
    <n v="41"/>
    <x v="34"/>
    <s v="M"/>
    <s v="Cyan"/>
    <s v="Summer"/>
    <n v="3.9"/>
    <s v="Yes"/>
    <s v="Yes"/>
    <n v="42"/>
    <s v="PayPal"/>
    <s v="Fortnightly"/>
    <m/>
  </r>
  <r>
    <n v="865"/>
    <x v="47"/>
    <x v="0"/>
    <s v="Jeans"/>
    <s v="Clothing"/>
    <n v="59"/>
    <x v="0"/>
    <s v="S"/>
    <s v="Charcoal"/>
    <s v="Winter"/>
    <n v="3.9"/>
    <s v="Yes"/>
    <s v="Yes"/>
    <n v="5"/>
    <s v="PayPal"/>
    <s v="Annually"/>
    <m/>
  </r>
  <r>
    <n v="866"/>
    <x v="14"/>
    <x v="0"/>
    <s v="Blouse"/>
    <s v="Clothing"/>
    <n v="26"/>
    <x v="24"/>
    <s v="L"/>
    <s v="Charcoal"/>
    <s v="Winter"/>
    <n v="4.8"/>
    <s v="Yes"/>
    <s v="Yes"/>
    <n v="23"/>
    <s v="Venmo"/>
    <s v="Annually"/>
    <m/>
  </r>
  <r>
    <n v="867"/>
    <x v="29"/>
    <x v="0"/>
    <s v="Sunglasses"/>
    <s v="Accessories"/>
    <n v="69"/>
    <x v="35"/>
    <s v="M"/>
    <s v="Lavender"/>
    <s v="Summer"/>
    <n v="2.7"/>
    <s v="Yes"/>
    <s v="Yes"/>
    <n v="11"/>
    <s v="PayPal"/>
    <s v="Bi-Weekly"/>
    <m/>
  </r>
  <r>
    <n v="868"/>
    <x v="43"/>
    <x v="0"/>
    <s v="Jacket"/>
    <s v="Outerwear"/>
    <n v="20"/>
    <x v="24"/>
    <s v="M"/>
    <s v="Turquoise"/>
    <s v="Spring"/>
    <n v="3.1"/>
    <s v="Yes"/>
    <s v="Yes"/>
    <n v="23"/>
    <s v="Bank Transfer"/>
    <s v="Fortnightly"/>
    <m/>
  </r>
  <r>
    <n v="869"/>
    <x v="37"/>
    <x v="0"/>
    <s v="Dress"/>
    <s v="Clothing"/>
    <n v="83"/>
    <x v="17"/>
    <s v="M"/>
    <s v="Green"/>
    <s v="Summer"/>
    <n v="3.2"/>
    <s v="Yes"/>
    <s v="Yes"/>
    <n v="2"/>
    <s v="Credit Card"/>
    <s v="Every 3 Months"/>
    <m/>
  </r>
  <r>
    <n v="870"/>
    <x v="21"/>
    <x v="0"/>
    <s v="Hat"/>
    <s v="Accessories"/>
    <n v="54"/>
    <x v="13"/>
    <s v="M"/>
    <s v="Silver"/>
    <s v="Spring"/>
    <n v="2.7"/>
    <s v="Yes"/>
    <s v="Yes"/>
    <n v="33"/>
    <s v="PayPal"/>
    <s v="Weekly"/>
    <m/>
  </r>
  <r>
    <n v="871"/>
    <x v="17"/>
    <x v="0"/>
    <s v="Hoodie"/>
    <s v="Clothing"/>
    <n v="66"/>
    <x v="8"/>
    <s v="M"/>
    <s v="Blue"/>
    <s v="Fall"/>
    <n v="2.5"/>
    <s v="Yes"/>
    <s v="Yes"/>
    <n v="6"/>
    <s v="Bank Transfer"/>
    <s v="Bi-Weekly"/>
    <m/>
  </r>
  <r>
    <n v="872"/>
    <x v="36"/>
    <x v="0"/>
    <s v="Handbag"/>
    <s v="Accessories"/>
    <n v="42"/>
    <x v="11"/>
    <s v="M"/>
    <s v="Charcoal"/>
    <s v="Spring"/>
    <n v="2.6"/>
    <s v="Yes"/>
    <s v="Yes"/>
    <n v="45"/>
    <s v="Debit Card"/>
    <s v="Quarterly"/>
    <m/>
  </r>
  <r>
    <n v="873"/>
    <x v="19"/>
    <x v="0"/>
    <s v="Jeans"/>
    <s v="Clothing"/>
    <n v="33"/>
    <x v="25"/>
    <s v="M"/>
    <s v="Pink"/>
    <s v="Spring"/>
    <n v="2.9"/>
    <s v="Yes"/>
    <s v="Yes"/>
    <n v="25"/>
    <s v="Cash"/>
    <s v="Quarterly"/>
    <m/>
  </r>
  <r>
    <n v="874"/>
    <x v="47"/>
    <x v="0"/>
    <s v="Boots"/>
    <s v="Footwear"/>
    <n v="77"/>
    <x v="16"/>
    <s v="M"/>
    <s v="Pink"/>
    <s v="Summer"/>
    <n v="4.2"/>
    <s v="Yes"/>
    <s v="Yes"/>
    <n v="24"/>
    <s v="Venmo"/>
    <s v="Quarterly"/>
    <m/>
  </r>
  <r>
    <n v="875"/>
    <x v="15"/>
    <x v="0"/>
    <s v="Jacket"/>
    <s v="Outerwear"/>
    <n v="65"/>
    <x v="1"/>
    <s v="M"/>
    <s v="Magenta"/>
    <s v="Fall"/>
    <n v="4.4000000000000004"/>
    <s v="Yes"/>
    <s v="Yes"/>
    <n v="10"/>
    <s v="Venmo"/>
    <s v="Every 3 Months"/>
    <m/>
  </r>
  <r>
    <n v="876"/>
    <x v="43"/>
    <x v="0"/>
    <s v="Sandals"/>
    <s v="Footwear"/>
    <n v="39"/>
    <x v="25"/>
    <s v="L"/>
    <s v="Gray"/>
    <s v="Summer"/>
    <n v="4.0999999999999996"/>
    <s v="Yes"/>
    <s v="Yes"/>
    <n v="7"/>
    <s v="Bank Transfer"/>
    <s v="Every 3 Months"/>
    <m/>
  </r>
  <r>
    <n v="877"/>
    <x v="38"/>
    <x v="0"/>
    <s v="Belt"/>
    <s v="Accessories"/>
    <n v="51"/>
    <x v="43"/>
    <s v="L"/>
    <s v="Gray"/>
    <s v="Summer"/>
    <n v="3.8"/>
    <s v="Yes"/>
    <s v="Yes"/>
    <n v="1"/>
    <s v="Debit Card"/>
    <s v="Weekly"/>
    <m/>
  </r>
  <r>
    <n v="878"/>
    <x v="14"/>
    <x v="0"/>
    <s v="Handbag"/>
    <s v="Accessories"/>
    <n v="65"/>
    <x v="43"/>
    <s v="M"/>
    <s v="Orange"/>
    <s v="Winter"/>
    <n v="4.9000000000000004"/>
    <s v="Yes"/>
    <s v="Yes"/>
    <n v="45"/>
    <s v="Venmo"/>
    <s v="Every 3 Months"/>
    <m/>
  </r>
  <r>
    <n v="879"/>
    <x v="51"/>
    <x v="0"/>
    <s v="Sunglasses"/>
    <s v="Accessories"/>
    <n v="89"/>
    <x v="30"/>
    <s v="S"/>
    <s v="Black"/>
    <s v="Summer"/>
    <n v="4.9000000000000004"/>
    <s v="Yes"/>
    <s v="Yes"/>
    <n v="37"/>
    <s v="Debit Card"/>
    <s v="Weekly"/>
    <m/>
  </r>
  <r>
    <n v="880"/>
    <x v="46"/>
    <x v="0"/>
    <s v="Skirt"/>
    <s v="Clothing"/>
    <n v="76"/>
    <x v="5"/>
    <s v="S"/>
    <s v="Lavender"/>
    <s v="Spring"/>
    <n v="4.0999999999999996"/>
    <s v="Yes"/>
    <s v="Yes"/>
    <n v="14"/>
    <s v="PayPal"/>
    <s v="Quarterly"/>
    <m/>
  </r>
  <r>
    <n v="881"/>
    <x v="31"/>
    <x v="0"/>
    <s v="Backpack"/>
    <s v="Accessories"/>
    <n v="75"/>
    <x v="22"/>
    <s v="L"/>
    <s v="Red"/>
    <s v="Spring"/>
    <n v="3.1"/>
    <s v="Yes"/>
    <s v="Yes"/>
    <n v="25"/>
    <s v="Debit Card"/>
    <s v="Monthly"/>
    <m/>
  </r>
  <r>
    <n v="882"/>
    <x v="16"/>
    <x v="0"/>
    <s v="Sandals"/>
    <s v="Footwear"/>
    <n v="61"/>
    <x v="36"/>
    <s v="M"/>
    <s v="Silver"/>
    <s v="Summer"/>
    <n v="2.7"/>
    <s v="Yes"/>
    <s v="Yes"/>
    <n v="18"/>
    <s v="Venmo"/>
    <s v="Annually"/>
    <m/>
  </r>
  <r>
    <n v="883"/>
    <x v="2"/>
    <x v="0"/>
    <s v="Boots"/>
    <s v="Footwear"/>
    <n v="35"/>
    <x v="41"/>
    <s v="M"/>
    <s v="Cyan"/>
    <s v="Fall"/>
    <n v="3.8"/>
    <s v="Yes"/>
    <s v="Yes"/>
    <n v="37"/>
    <s v="Cash"/>
    <s v="Every 3 Months"/>
    <m/>
  </r>
  <r>
    <n v="884"/>
    <x v="48"/>
    <x v="0"/>
    <s v="Sneakers"/>
    <s v="Footwear"/>
    <n v="37"/>
    <x v="38"/>
    <s v="S"/>
    <s v="Gold"/>
    <s v="Fall"/>
    <n v="4.3"/>
    <s v="Yes"/>
    <s v="Yes"/>
    <n v="30"/>
    <s v="Bank Transfer"/>
    <s v="Monthly"/>
    <m/>
  </r>
  <r>
    <n v="885"/>
    <x v="29"/>
    <x v="0"/>
    <s v="Skirt"/>
    <s v="Clothing"/>
    <n v="91"/>
    <x v="11"/>
    <s v="L"/>
    <s v="Yellow"/>
    <s v="Winter"/>
    <n v="4.0999999999999996"/>
    <s v="Yes"/>
    <s v="Yes"/>
    <n v="34"/>
    <s v="Bank Transfer"/>
    <s v="Weekly"/>
    <m/>
  </r>
  <r>
    <n v="886"/>
    <x v="38"/>
    <x v="0"/>
    <s v="Dress"/>
    <s v="Clothing"/>
    <n v="99"/>
    <x v="31"/>
    <s v="L"/>
    <s v="Purple"/>
    <s v="Fall"/>
    <n v="4.4000000000000004"/>
    <s v="Yes"/>
    <s v="Yes"/>
    <n v="49"/>
    <s v="Debit Card"/>
    <s v="Every 3 Months"/>
    <m/>
  </r>
  <r>
    <n v="887"/>
    <x v="1"/>
    <x v="0"/>
    <s v="Shorts"/>
    <s v="Clothing"/>
    <n v="54"/>
    <x v="40"/>
    <s v="S"/>
    <s v="Brown"/>
    <s v="Summer"/>
    <n v="3.6"/>
    <s v="Yes"/>
    <s v="Yes"/>
    <n v="48"/>
    <s v="Bank Transfer"/>
    <s v="Monthly"/>
    <m/>
  </r>
  <r>
    <n v="888"/>
    <x v="27"/>
    <x v="0"/>
    <s v="Handbag"/>
    <s v="Accessories"/>
    <n v="47"/>
    <x v="46"/>
    <s v="L"/>
    <s v="Turquoise"/>
    <s v="Winter"/>
    <n v="3.3"/>
    <s v="Yes"/>
    <s v="Yes"/>
    <n v="33"/>
    <s v="PayPal"/>
    <s v="Fortnightly"/>
    <m/>
  </r>
  <r>
    <n v="889"/>
    <x v="34"/>
    <x v="0"/>
    <s v="Scarf"/>
    <s v="Accessories"/>
    <n v="77"/>
    <x v="13"/>
    <s v="S"/>
    <s v="Gold"/>
    <s v="Spring"/>
    <n v="3.6"/>
    <s v="Yes"/>
    <s v="Yes"/>
    <n v="44"/>
    <s v="Cash"/>
    <s v="Annually"/>
    <m/>
  </r>
  <r>
    <n v="890"/>
    <x v="35"/>
    <x v="0"/>
    <s v="Belt"/>
    <s v="Accessories"/>
    <n v="84"/>
    <x v="28"/>
    <s v="S"/>
    <s v="Olive"/>
    <s v="Fall"/>
    <n v="2.8"/>
    <s v="Yes"/>
    <s v="Yes"/>
    <n v="50"/>
    <s v="Venmo"/>
    <s v="Weekly"/>
    <m/>
  </r>
  <r>
    <n v="891"/>
    <x v="16"/>
    <x v="0"/>
    <s v="Gloves"/>
    <s v="Accessories"/>
    <n v="51"/>
    <x v="14"/>
    <s v="S"/>
    <s v="Purple"/>
    <s v="Spring"/>
    <n v="4.3"/>
    <s v="Yes"/>
    <s v="Yes"/>
    <n v="47"/>
    <s v="Credit Card"/>
    <s v="Monthly"/>
    <m/>
  </r>
  <r>
    <n v="892"/>
    <x v="30"/>
    <x v="0"/>
    <s v="Skirt"/>
    <s v="Clothing"/>
    <n v="26"/>
    <x v="38"/>
    <s v="S"/>
    <s v="Lavender"/>
    <s v="Summer"/>
    <n v="3.9"/>
    <s v="Yes"/>
    <s v="Yes"/>
    <n v="24"/>
    <s v="PayPal"/>
    <s v="Every 3 Months"/>
    <m/>
  </r>
  <r>
    <n v="893"/>
    <x v="18"/>
    <x v="0"/>
    <s v="Shorts"/>
    <s v="Clothing"/>
    <n v="64"/>
    <x v="35"/>
    <s v="L"/>
    <s v="Gray"/>
    <s v="Summer"/>
    <n v="2.7"/>
    <s v="Yes"/>
    <s v="Yes"/>
    <n v="43"/>
    <s v="Debit Card"/>
    <s v="Monthly"/>
    <m/>
  </r>
  <r>
    <n v="894"/>
    <x v="23"/>
    <x v="0"/>
    <s v="Backpack"/>
    <s v="Accessories"/>
    <n v="51"/>
    <x v="43"/>
    <s v="M"/>
    <s v="Red"/>
    <s v="Spring"/>
    <n v="4.7"/>
    <s v="Yes"/>
    <s v="Yes"/>
    <n v="14"/>
    <s v="Venmo"/>
    <s v="Monthly"/>
    <m/>
  </r>
  <r>
    <n v="895"/>
    <x v="42"/>
    <x v="0"/>
    <s v="Hoodie"/>
    <s v="Clothing"/>
    <n v="60"/>
    <x v="5"/>
    <s v="L"/>
    <s v="Purple"/>
    <s v="Spring"/>
    <n v="3.8"/>
    <s v="Yes"/>
    <s v="Yes"/>
    <n v="3"/>
    <s v="Debit Card"/>
    <s v="Quarterly"/>
    <m/>
  </r>
  <r>
    <n v="896"/>
    <x v="37"/>
    <x v="0"/>
    <s v="Hat"/>
    <s v="Accessories"/>
    <n v="69"/>
    <x v="16"/>
    <s v="XL"/>
    <s v="Olive"/>
    <s v="Spring"/>
    <n v="4.7"/>
    <s v="Yes"/>
    <s v="Yes"/>
    <n v="33"/>
    <s v="Debit Card"/>
    <s v="Quarterly"/>
    <m/>
  </r>
  <r>
    <n v="897"/>
    <x v="28"/>
    <x v="0"/>
    <s v="Jewelry"/>
    <s v="Accessories"/>
    <n v="29"/>
    <x v="10"/>
    <s v="M"/>
    <s v="Lavender"/>
    <s v="Spring"/>
    <n v="4.7"/>
    <s v="Yes"/>
    <s v="Yes"/>
    <n v="38"/>
    <s v="Cash"/>
    <s v="Fortnightly"/>
    <m/>
  </r>
  <r>
    <n v="898"/>
    <x v="26"/>
    <x v="0"/>
    <s v="Shirt"/>
    <s v="Clothing"/>
    <n v="91"/>
    <x v="26"/>
    <s v="M"/>
    <s v="Gray"/>
    <s v="Spring"/>
    <n v="3.4"/>
    <s v="Yes"/>
    <s v="Yes"/>
    <n v="46"/>
    <s v="Venmo"/>
    <s v="Weekly"/>
    <m/>
  </r>
  <r>
    <n v="899"/>
    <x v="22"/>
    <x v="0"/>
    <s v="Belt"/>
    <s v="Accessories"/>
    <n v="70"/>
    <x v="22"/>
    <s v="L"/>
    <s v="Red"/>
    <s v="Spring"/>
    <n v="3.5"/>
    <s v="Yes"/>
    <s v="Yes"/>
    <n v="19"/>
    <s v="Bank Transfer"/>
    <s v="Every 3 Months"/>
    <m/>
  </r>
  <r>
    <n v="900"/>
    <x v="13"/>
    <x v="0"/>
    <s v="Sweater"/>
    <s v="Clothing"/>
    <n v="58"/>
    <x v="3"/>
    <s v="M"/>
    <s v="Peach"/>
    <s v="Summer"/>
    <n v="4"/>
    <s v="Yes"/>
    <s v="Yes"/>
    <n v="20"/>
    <s v="PayPal"/>
    <s v="Annually"/>
    <m/>
  </r>
  <r>
    <n v="901"/>
    <x v="22"/>
    <x v="0"/>
    <s v="Hat"/>
    <s v="Accessories"/>
    <n v="98"/>
    <x v="8"/>
    <s v="L"/>
    <s v="Gray"/>
    <s v="Fall"/>
    <n v="3.3"/>
    <s v="Yes"/>
    <s v="Yes"/>
    <n v="42"/>
    <s v="Bank Transfer"/>
    <s v="Quarterly"/>
    <m/>
  </r>
  <r>
    <n v="902"/>
    <x v="52"/>
    <x v="0"/>
    <s v="Scarf"/>
    <s v="Accessories"/>
    <n v="68"/>
    <x v="9"/>
    <s v="L"/>
    <s v="Violet"/>
    <s v="Summer"/>
    <n v="4.7"/>
    <s v="Yes"/>
    <s v="Yes"/>
    <n v="34"/>
    <s v="Cash"/>
    <s v="Monthly"/>
    <m/>
  </r>
  <r>
    <n v="903"/>
    <x v="49"/>
    <x v="0"/>
    <s v="Hat"/>
    <s v="Accessories"/>
    <n v="44"/>
    <x v="0"/>
    <s v="M"/>
    <s v="Beige"/>
    <s v="Summer"/>
    <n v="2.8"/>
    <s v="Yes"/>
    <s v="Yes"/>
    <n v="5"/>
    <s v="Cash"/>
    <s v="Monthly"/>
    <m/>
  </r>
  <r>
    <n v="904"/>
    <x v="42"/>
    <x v="0"/>
    <s v="Jacket"/>
    <s v="Outerwear"/>
    <n v="45"/>
    <x v="47"/>
    <s v="M"/>
    <s v="Blue"/>
    <s v="Winter"/>
    <n v="3.3"/>
    <s v="Yes"/>
    <s v="Yes"/>
    <n v="3"/>
    <s v="PayPal"/>
    <s v="Quarterly"/>
    <m/>
  </r>
  <r>
    <n v="905"/>
    <x v="28"/>
    <x v="0"/>
    <s v="T-shirt"/>
    <s v="Clothing"/>
    <n v="99"/>
    <x v="29"/>
    <s v="L"/>
    <s v="Magenta"/>
    <s v="Spring"/>
    <n v="2.9"/>
    <s v="Yes"/>
    <s v="Yes"/>
    <n v="46"/>
    <s v="PayPal"/>
    <s v="Every 3 Months"/>
    <m/>
  </r>
  <r>
    <n v="906"/>
    <x v="5"/>
    <x v="0"/>
    <s v="Dress"/>
    <s v="Clothing"/>
    <n v="68"/>
    <x v="16"/>
    <s v="S"/>
    <s v="Cyan"/>
    <s v="Spring"/>
    <n v="2.8"/>
    <s v="Yes"/>
    <s v="Yes"/>
    <n v="16"/>
    <s v="Venmo"/>
    <s v="Annually"/>
    <m/>
  </r>
  <r>
    <n v="907"/>
    <x v="38"/>
    <x v="0"/>
    <s v="Pants"/>
    <s v="Clothing"/>
    <n v="56"/>
    <x v="36"/>
    <s v="M"/>
    <s v="Red"/>
    <s v="Spring"/>
    <n v="4.2"/>
    <s v="Yes"/>
    <s v="Yes"/>
    <n v="21"/>
    <s v="Debit Card"/>
    <s v="Bi-Weekly"/>
    <m/>
  </r>
  <r>
    <n v="908"/>
    <x v="45"/>
    <x v="0"/>
    <s v="Sweater"/>
    <s v="Clothing"/>
    <n v="43"/>
    <x v="9"/>
    <s v="L"/>
    <s v="Cyan"/>
    <s v="Winter"/>
    <n v="4.4000000000000004"/>
    <s v="Yes"/>
    <s v="Yes"/>
    <n v="34"/>
    <s v="Credit Card"/>
    <s v="Bi-Weekly"/>
    <m/>
  </r>
  <r>
    <n v="909"/>
    <x v="8"/>
    <x v="0"/>
    <s v="Sunglasses"/>
    <s v="Accessories"/>
    <n v="99"/>
    <x v="32"/>
    <s v="M"/>
    <s v="Turquoise"/>
    <s v="Winter"/>
    <n v="3.6"/>
    <s v="Yes"/>
    <s v="Yes"/>
    <n v="9"/>
    <s v="PayPal"/>
    <s v="Every 3 Months"/>
    <m/>
  </r>
  <r>
    <n v="910"/>
    <x v="12"/>
    <x v="0"/>
    <s v="Belt"/>
    <s v="Accessories"/>
    <n v="56"/>
    <x v="7"/>
    <s v="L"/>
    <s v="Silver"/>
    <s v="Fall"/>
    <n v="2.7"/>
    <s v="Yes"/>
    <s v="Yes"/>
    <n v="36"/>
    <s v="PayPal"/>
    <s v="Weekly"/>
    <m/>
  </r>
  <r>
    <n v="911"/>
    <x v="34"/>
    <x v="0"/>
    <s v="Hoodie"/>
    <s v="Clothing"/>
    <n v="25"/>
    <x v="36"/>
    <s v="S"/>
    <s v="Pink"/>
    <s v="Spring"/>
    <n v="3.4"/>
    <s v="Yes"/>
    <s v="Yes"/>
    <n v="22"/>
    <s v="Credit Card"/>
    <s v="Monthly"/>
    <m/>
  </r>
  <r>
    <n v="912"/>
    <x v="10"/>
    <x v="0"/>
    <s v="Pants"/>
    <s v="Clothing"/>
    <n v="74"/>
    <x v="34"/>
    <s v="M"/>
    <s v="Black"/>
    <s v="Winter"/>
    <n v="2.8"/>
    <s v="Yes"/>
    <s v="Yes"/>
    <n v="2"/>
    <s v="Bank Transfer"/>
    <s v="Quarterly"/>
    <m/>
  </r>
  <r>
    <n v="913"/>
    <x v="41"/>
    <x v="0"/>
    <s v="Hoodie"/>
    <s v="Clothing"/>
    <n v="56"/>
    <x v="10"/>
    <s v="M"/>
    <s v="Green"/>
    <s v="Winter"/>
    <n v="3.4"/>
    <s v="Yes"/>
    <s v="Yes"/>
    <n v="32"/>
    <s v="Bank Transfer"/>
    <s v="Monthly"/>
    <m/>
  </r>
  <r>
    <n v="914"/>
    <x v="43"/>
    <x v="0"/>
    <s v="Sneakers"/>
    <s v="Footwear"/>
    <n v="47"/>
    <x v="40"/>
    <s v="M"/>
    <s v="Yellow"/>
    <s v="Fall"/>
    <n v="2.6"/>
    <s v="Yes"/>
    <s v="Yes"/>
    <n v="29"/>
    <s v="Cash"/>
    <s v="Every 3 Months"/>
    <m/>
  </r>
  <r>
    <n v="915"/>
    <x v="49"/>
    <x v="0"/>
    <s v="Dress"/>
    <s v="Clothing"/>
    <n v="67"/>
    <x v="47"/>
    <s v="L"/>
    <s v="Purple"/>
    <s v="Summer"/>
    <n v="4.0999999999999996"/>
    <s v="Yes"/>
    <s v="Yes"/>
    <n v="27"/>
    <s v="Venmo"/>
    <s v="Every 3 Months"/>
    <m/>
  </r>
  <r>
    <n v="916"/>
    <x v="18"/>
    <x v="0"/>
    <s v="Dress"/>
    <s v="Clothing"/>
    <n v="22"/>
    <x v="3"/>
    <s v="L"/>
    <s v="Purple"/>
    <s v="Winter"/>
    <n v="2.9"/>
    <s v="Yes"/>
    <s v="Yes"/>
    <n v="33"/>
    <s v="Credit Card"/>
    <s v="Fortnightly"/>
    <m/>
  </r>
  <r>
    <n v="917"/>
    <x v="34"/>
    <x v="0"/>
    <s v="Jeans"/>
    <s v="Clothing"/>
    <n v="34"/>
    <x v="26"/>
    <s v="S"/>
    <s v="Blue"/>
    <s v="Spring"/>
    <n v="2.7"/>
    <s v="Yes"/>
    <s v="Yes"/>
    <n v="16"/>
    <s v="Venmo"/>
    <s v="Monthly"/>
    <m/>
  </r>
  <r>
    <n v="918"/>
    <x v="28"/>
    <x v="0"/>
    <s v="Sweater"/>
    <s v="Clothing"/>
    <n v="64"/>
    <x v="9"/>
    <s v="M"/>
    <s v="Maroon"/>
    <s v="Spring"/>
    <n v="3.7"/>
    <s v="Yes"/>
    <s v="Yes"/>
    <n v="11"/>
    <s v="Bank Transfer"/>
    <s v="Quarterly"/>
    <m/>
  </r>
  <r>
    <n v="919"/>
    <x v="13"/>
    <x v="0"/>
    <s v="Shorts"/>
    <s v="Clothing"/>
    <n v="42"/>
    <x v="17"/>
    <s v="M"/>
    <s v="Orange"/>
    <s v="Spring"/>
    <n v="4.3"/>
    <s v="Yes"/>
    <s v="Yes"/>
    <n v="11"/>
    <s v="Cash"/>
    <s v="Fortnightly"/>
    <m/>
  </r>
  <r>
    <n v="920"/>
    <x v="38"/>
    <x v="0"/>
    <s v="Shirt"/>
    <s v="Clothing"/>
    <n v="82"/>
    <x v="2"/>
    <s v="L"/>
    <s v="Green"/>
    <s v="Winter"/>
    <n v="2.6"/>
    <s v="Yes"/>
    <s v="Yes"/>
    <n v="17"/>
    <s v="Debit Card"/>
    <s v="Bi-Weekly"/>
    <m/>
  </r>
  <r>
    <n v="921"/>
    <x v="43"/>
    <x v="0"/>
    <s v="Belt"/>
    <s v="Accessories"/>
    <n v="81"/>
    <x v="10"/>
    <s v="XL"/>
    <s v="Gold"/>
    <s v="Summer"/>
    <n v="4.3"/>
    <s v="Yes"/>
    <s v="Yes"/>
    <n v="37"/>
    <s v="Cash"/>
    <s v="Weekly"/>
    <m/>
  </r>
  <r>
    <n v="922"/>
    <x v="27"/>
    <x v="0"/>
    <s v="Coat"/>
    <s v="Outerwear"/>
    <n v="24"/>
    <x v="45"/>
    <s v="L"/>
    <s v="Silver"/>
    <s v="Summer"/>
    <n v="4.0999999999999996"/>
    <s v="Yes"/>
    <s v="Yes"/>
    <n v="18"/>
    <s v="PayPal"/>
    <s v="Weekly"/>
    <m/>
  </r>
  <r>
    <n v="923"/>
    <x v="6"/>
    <x v="0"/>
    <s v="Sneakers"/>
    <s v="Footwear"/>
    <n v="60"/>
    <x v="42"/>
    <s v="M"/>
    <s v="Cyan"/>
    <s v="Fall"/>
    <n v="4.2"/>
    <s v="Yes"/>
    <s v="Yes"/>
    <n v="13"/>
    <s v="Credit Card"/>
    <s v="Monthly"/>
    <m/>
  </r>
  <r>
    <n v="924"/>
    <x v="0"/>
    <x v="0"/>
    <s v="Shirt"/>
    <s v="Clothing"/>
    <n v="24"/>
    <x v="10"/>
    <s v="M"/>
    <s v="Silver"/>
    <s v="Spring"/>
    <n v="4.2"/>
    <s v="Yes"/>
    <s v="Yes"/>
    <n v="7"/>
    <s v="PayPal"/>
    <s v="Weekly"/>
    <m/>
  </r>
  <r>
    <n v="925"/>
    <x v="16"/>
    <x v="0"/>
    <s v="Socks"/>
    <s v="Clothing"/>
    <n v="78"/>
    <x v="23"/>
    <s v="XL"/>
    <s v="Beige"/>
    <s v="Winter"/>
    <n v="3.1"/>
    <s v="Yes"/>
    <s v="Yes"/>
    <n v="37"/>
    <s v="Cash"/>
    <s v="Quarterly"/>
    <m/>
  </r>
  <r>
    <n v="926"/>
    <x v="40"/>
    <x v="0"/>
    <s v="Jeans"/>
    <s v="Clothing"/>
    <n v="88"/>
    <x v="28"/>
    <s v="L"/>
    <s v="Teal"/>
    <s v="Winter"/>
    <n v="4.9000000000000004"/>
    <s v="Yes"/>
    <s v="Yes"/>
    <n v="8"/>
    <s v="Cash"/>
    <s v="Monthly"/>
    <m/>
  </r>
  <r>
    <n v="927"/>
    <x v="22"/>
    <x v="0"/>
    <s v="Jeans"/>
    <s v="Clothing"/>
    <n v="63"/>
    <x v="2"/>
    <s v="XL"/>
    <s v="Green"/>
    <s v="Spring"/>
    <n v="4.4000000000000004"/>
    <s v="Yes"/>
    <s v="Yes"/>
    <n v="11"/>
    <s v="Cash"/>
    <s v="Bi-Weekly"/>
    <m/>
  </r>
  <r>
    <n v="928"/>
    <x v="48"/>
    <x v="0"/>
    <s v="Sneakers"/>
    <s v="Footwear"/>
    <n v="78"/>
    <x v="35"/>
    <s v="L"/>
    <s v="Black"/>
    <s v="Summer"/>
    <n v="4.4000000000000004"/>
    <s v="Yes"/>
    <s v="Yes"/>
    <n v="8"/>
    <s v="Venmo"/>
    <s v="Bi-Weekly"/>
    <m/>
  </r>
  <r>
    <n v="929"/>
    <x v="29"/>
    <x v="0"/>
    <s v="Dress"/>
    <s v="Clothing"/>
    <n v="37"/>
    <x v="10"/>
    <s v="XL"/>
    <s v="Yellow"/>
    <s v="Winter"/>
    <n v="3.4"/>
    <s v="Yes"/>
    <s v="Yes"/>
    <n v="31"/>
    <s v="Cash"/>
    <s v="Every 3 Months"/>
    <m/>
  </r>
  <r>
    <n v="930"/>
    <x v="35"/>
    <x v="0"/>
    <s v="Boots"/>
    <s v="Footwear"/>
    <n v="94"/>
    <x v="43"/>
    <s v="M"/>
    <s v="White"/>
    <s v="Fall"/>
    <n v="4.5"/>
    <s v="Yes"/>
    <s v="Yes"/>
    <n v="26"/>
    <s v="Debit Card"/>
    <s v="Fortnightly"/>
    <m/>
  </r>
  <r>
    <n v="931"/>
    <x v="8"/>
    <x v="0"/>
    <s v="T-shirt"/>
    <s v="Clothing"/>
    <n v="78"/>
    <x v="11"/>
    <s v="L"/>
    <s v="Green"/>
    <s v="Fall"/>
    <n v="4.5"/>
    <s v="Yes"/>
    <s v="Yes"/>
    <n v="20"/>
    <s v="Credit Card"/>
    <s v="Bi-Weekly"/>
    <m/>
  </r>
  <r>
    <n v="932"/>
    <x v="41"/>
    <x v="0"/>
    <s v="Coat"/>
    <s v="Outerwear"/>
    <n v="36"/>
    <x v="43"/>
    <s v="M"/>
    <s v="Silver"/>
    <s v="Winter"/>
    <n v="4.0999999999999996"/>
    <s v="Yes"/>
    <s v="Yes"/>
    <n v="24"/>
    <s v="Bank Transfer"/>
    <s v="Fortnightly"/>
    <m/>
  </r>
  <r>
    <n v="933"/>
    <x v="46"/>
    <x v="0"/>
    <s v="Skirt"/>
    <s v="Clothing"/>
    <n v="24"/>
    <x v="27"/>
    <s v="L"/>
    <s v="Blue"/>
    <s v="Winter"/>
    <n v="3.2"/>
    <s v="Yes"/>
    <s v="Yes"/>
    <n v="45"/>
    <s v="Debit Card"/>
    <s v="Bi-Weekly"/>
    <m/>
  </r>
  <r>
    <n v="934"/>
    <x v="27"/>
    <x v="0"/>
    <s v="Sneakers"/>
    <s v="Footwear"/>
    <n v="84"/>
    <x v="24"/>
    <s v="M"/>
    <s v="Magenta"/>
    <s v="Spring"/>
    <n v="2.7"/>
    <s v="Yes"/>
    <s v="Yes"/>
    <n v="33"/>
    <s v="Debit Card"/>
    <s v="Monthly"/>
    <m/>
  </r>
  <r>
    <n v="935"/>
    <x v="4"/>
    <x v="0"/>
    <s v="Jeans"/>
    <s v="Clothing"/>
    <n v="47"/>
    <x v="4"/>
    <s v="S"/>
    <s v="Yellow"/>
    <s v="Spring"/>
    <n v="3.7"/>
    <s v="Yes"/>
    <s v="Yes"/>
    <n v="21"/>
    <s v="Bank Transfer"/>
    <s v="Monthly"/>
    <m/>
  </r>
  <r>
    <n v="936"/>
    <x v="44"/>
    <x v="0"/>
    <s v="Hoodie"/>
    <s v="Clothing"/>
    <n v="51"/>
    <x v="31"/>
    <s v="L"/>
    <s v="White"/>
    <s v="Fall"/>
    <n v="2.6"/>
    <s v="Yes"/>
    <s v="Yes"/>
    <n v="2"/>
    <s v="Bank Transfer"/>
    <s v="Fortnightly"/>
    <m/>
  </r>
  <r>
    <n v="937"/>
    <x v="18"/>
    <x v="0"/>
    <s v="Shoes"/>
    <s v="Footwear"/>
    <n v="84"/>
    <x v="1"/>
    <s v="M"/>
    <s v="Pink"/>
    <s v="Summer"/>
    <n v="2.7"/>
    <s v="Yes"/>
    <s v="Yes"/>
    <n v="28"/>
    <s v="Cash"/>
    <s v="Weekly"/>
    <m/>
  </r>
  <r>
    <n v="938"/>
    <x v="45"/>
    <x v="0"/>
    <s v="Shorts"/>
    <s v="Clothing"/>
    <n v="24"/>
    <x v="44"/>
    <s v="M"/>
    <s v="Magenta"/>
    <s v="Summer"/>
    <n v="2.7"/>
    <s v="Yes"/>
    <s v="Yes"/>
    <n v="18"/>
    <s v="Venmo"/>
    <s v="Quarterly"/>
    <m/>
  </r>
  <r>
    <n v="939"/>
    <x v="24"/>
    <x v="0"/>
    <s v="Blouse"/>
    <s v="Clothing"/>
    <n v="97"/>
    <x v="48"/>
    <s v="S"/>
    <s v="Teal"/>
    <s v="Fall"/>
    <n v="4.8"/>
    <s v="Yes"/>
    <s v="Yes"/>
    <n v="21"/>
    <s v="Debit Card"/>
    <s v="Fortnightly"/>
    <m/>
  </r>
  <r>
    <n v="940"/>
    <x v="15"/>
    <x v="0"/>
    <s v="T-shirt"/>
    <s v="Clothing"/>
    <n v="89"/>
    <x v="14"/>
    <s v="L"/>
    <s v="Indigo"/>
    <s v="Winter"/>
    <n v="4.8"/>
    <s v="Yes"/>
    <s v="Yes"/>
    <n v="24"/>
    <s v="Credit Card"/>
    <s v="Monthly"/>
    <m/>
  </r>
  <r>
    <n v="941"/>
    <x v="39"/>
    <x v="0"/>
    <s v="Belt"/>
    <s v="Accessories"/>
    <n v="44"/>
    <x v="24"/>
    <s v="S"/>
    <s v="Maroon"/>
    <s v="Spring"/>
    <n v="2.6"/>
    <s v="Yes"/>
    <s v="Yes"/>
    <n v="15"/>
    <s v="PayPal"/>
    <s v="Every 3 Months"/>
    <m/>
  </r>
  <r>
    <n v="942"/>
    <x v="31"/>
    <x v="0"/>
    <s v="Handbag"/>
    <s v="Accessories"/>
    <n v="35"/>
    <x v="26"/>
    <s v="L"/>
    <s v="Black"/>
    <s v="Winter"/>
    <n v="4.5"/>
    <s v="Yes"/>
    <s v="Yes"/>
    <n v="38"/>
    <s v="PayPal"/>
    <s v="Every 3 Months"/>
    <m/>
  </r>
  <r>
    <n v="943"/>
    <x v="8"/>
    <x v="0"/>
    <s v="Dress"/>
    <s v="Clothing"/>
    <n v="91"/>
    <x v="28"/>
    <s v="M"/>
    <s v="Cyan"/>
    <s v="Winter"/>
    <n v="3.2"/>
    <s v="Yes"/>
    <s v="Yes"/>
    <n v="38"/>
    <s v="PayPal"/>
    <s v="Bi-Weekly"/>
    <m/>
  </r>
  <r>
    <n v="944"/>
    <x v="45"/>
    <x v="0"/>
    <s v="Hat"/>
    <s v="Accessories"/>
    <n v="63"/>
    <x v="19"/>
    <s v="L"/>
    <s v="Cyan"/>
    <s v="Winter"/>
    <n v="3.8"/>
    <s v="Yes"/>
    <s v="Yes"/>
    <n v="13"/>
    <s v="Venmo"/>
    <s v="Fortnightly"/>
    <m/>
  </r>
  <r>
    <n v="945"/>
    <x v="22"/>
    <x v="0"/>
    <s v="Belt"/>
    <s v="Accessories"/>
    <n v="97"/>
    <x v="27"/>
    <s v="S"/>
    <s v="Gray"/>
    <s v="Spring"/>
    <n v="4.8"/>
    <s v="Yes"/>
    <s v="Yes"/>
    <n v="39"/>
    <s v="Cash"/>
    <s v="Bi-Weekly"/>
    <m/>
  </r>
  <r>
    <n v="946"/>
    <x v="21"/>
    <x v="0"/>
    <s v="Boots"/>
    <s v="Footwear"/>
    <n v="38"/>
    <x v="46"/>
    <s v="M"/>
    <s v="Violet"/>
    <s v="Summer"/>
    <n v="4.0999999999999996"/>
    <s v="Yes"/>
    <s v="Yes"/>
    <n v="8"/>
    <s v="Venmo"/>
    <s v="Every 3 Months"/>
    <m/>
  </r>
  <r>
    <n v="947"/>
    <x v="5"/>
    <x v="0"/>
    <s v="Coat"/>
    <s v="Outerwear"/>
    <n v="24"/>
    <x v="38"/>
    <s v="XL"/>
    <s v="Blue"/>
    <s v="Spring"/>
    <n v="2.8"/>
    <s v="Yes"/>
    <s v="Yes"/>
    <n v="4"/>
    <s v="PayPal"/>
    <s v="Quarterly"/>
    <m/>
  </r>
  <r>
    <n v="948"/>
    <x v="9"/>
    <x v="0"/>
    <s v="Blouse"/>
    <s v="Clothing"/>
    <n v="32"/>
    <x v="27"/>
    <s v="M"/>
    <s v="Charcoal"/>
    <s v="Winter"/>
    <n v="3.9"/>
    <s v="Yes"/>
    <s v="Yes"/>
    <n v="6"/>
    <s v="Cash"/>
    <s v="Every 3 Months"/>
    <m/>
  </r>
  <r>
    <n v="949"/>
    <x v="34"/>
    <x v="0"/>
    <s v="Hat"/>
    <s v="Accessories"/>
    <n v="90"/>
    <x v="15"/>
    <s v="L"/>
    <s v="Olive"/>
    <s v="Summer"/>
    <n v="4.9000000000000004"/>
    <s v="Yes"/>
    <s v="Yes"/>
    <n v="11"/>
    <s v="Venmo"/>
    <s v="Every 3 Months"/>
    <m/>
  </r>
  <r>
    <n v="950"/>
    <x v="23"/>
    <x v="0"/>
    <s v="Jeans"/>
    <s v="Clothing"/>
    <n v="36"/>
    <x v="6"/>
    <s v="M"/>
    <s v="Olive"/>
    <s v="Summer"/>
    <n v="3.4"/>
    <s v="Yes"/>
    <s v="Yes"/>
    <n v="49"/>
    <s v="Venmo"/>
    <s v="Monthly"/>
    <m/>
  </r>
  <r>
    <n v="951"/>
    <x v="22"/>
    <x v="0"/>
    <s v="Backpack"/>
    <s v="Accessories"/>
    <n v="37"/>
    <x v="35"/>
    <s v="XL"/>
    <s v="Turquoise"/>
    <s v="Winter"/>
    <n v="4.0999999999999996"/>
    <s v="Yes"/>
    <s v="Yes"/>
    <n v="30"/>
    <s v="PayPal"/>
    <s v="Quarterly"/>
    <m/>
  </r>
  <r>
    <n v="952"/>
    <x v="36"/>
    <x v="0"/>
    <s v="Dress"/>
    <s v="Clothing"/>
    <n v="51"/>
    <x v="29"/>
    <s v="M"/>
    <s v="Cyan"/>
    <s v="Summer"/>
    <n v="2.9"/>
    <s v="Yes"/>
    <s v="Yes"/>
    <n v="34"/>
    <s v="Bank Transfer"/>
    <s v="Monthly"/>
    <m/>
  </r>
  <r>
    <n v="953"/>
    <x v="24"/>
    <x v="0"/>
    <s v="Hat"/>
    <s v="Accessories"/>
    <n v="71"/>
    <x v="37"/>
    <s v="S"/>
    <s v="Red"/>
    <s v="Fall"/>
    <n v="3.1"/>
    <s v="Yes"/>
    <s v="Yes"/>
    <n v="28"/>
    <s v="PayPal"/>
    <s v="Monthly"/>
    <m/>
  </r>
  <r>
    <n v="954"/>
    <x v="33"/>
    <x v="0"/>
    <s v="Sunglasses"/>
    <s v="Accessories"/>
    <n v="50"/>
    <x v="40"/>
    <s v="S"/>
    <s v="Cyan"/>
    <s v="Spring"/>
    <n v="3.6"/>
    <s v="Yes"/>
    <s v="Yes"/>
    <n v="36"/>
    <s v="Venmo"/>
    <s v="Quarterly"/>
    <m/>
  </r>
  <r>
    <n v="955"/>
    <x v="52"/>
    <x v="0"/>
    <s v="Hat"/>
    <s v="Accessories"/>
    <n v="74"/>
    <x v="7"/>
    <s v="S"/>
    <s v="Turquoise"/>
    <s v="Fall"/>
    <n v="3.5"/>
    <s v="Yes"/>
    <s v="Yes"/>
    <n v="18"/>
    <s v="Credit Card"/>
    <s v="Every 3 Months"/>
    <m/>
  </r>
  <r>
    <n v="956"/>
    <x v="0"/>
    <x v="0"/>
    <s v="Dress"/>
    <s v="Clothing"/>
    <n v="75"/>
    <x v="16"/>
    <s v="L"/>
    <s v="Lavender"/>
    <s v="Summer"/>
    <n v="3.4"/>
    <s v="Yes"/>
    <s v="Yes"/>
    <n v="4"/>
    <s v="PayPal"/>
    <s v="Monthly"/>
    <m/>
  </r>
  <r>
    <n v="957"/>
    <x v="26"/>
    <x v="0"/>
    <s v="Shirt"/>
    <s v="Clothing"/>
    <n v="99"/>
    <x v="16"/>
    <s v="XL"/>
    <s v="Cyan"/>
    <s v="Spring"/>
    <n v="2.9"/>
    <s v="Yes"/>
    <s v="Yes"/>
    <n v="42"/>
    <s v="Debit Card"/>
    <s v="Quarterly"/>
    <m/>
  </r>
  <r>
    <n v="958"/>
    <x v="21"/>
    <x v="0"/>
    <s v="Scarf"/>
    <s v="Accessories"/>
    <n v="23"/>
    <x v="27"/>
    <s v="XL"/>
    <s v="Violet"/>
    <s v="Spring"/>
    <n v="4.7"/>
    <s v="Yes"/>
    <s v="Yes"/>
    <n v="11"/>
    <s v="Cash"/>
    <s v="Quarterly"/>
    <m/>
  </r>
  <r>
    <n v="959"/>
    <x v="27"/>
    <x v="0"/>
    <s v="Sneakers"/>
    <s v="Footwear"/>
    <n v="53"/>
    <x v="47"/>
    <s v="XL"/>
    <s v="Beige"/>
    <s v="Winter"/>
    <n v="4.4000000000000004"/>
    <s v="Yes"/>
    <s v="Yes"/>
    <n v="31"/>
    <s v="Credit Card"/>
    <s v="Bi-Weekly"/>
    <m/>
  </r>
  <r>
    <n v="960"/>
    <x v="24"/>
    <x v="0"/>
    <s v="Skirt"/>
    <s v="Clothing"/>
    <n v="99"/>
    <x v="22"/>
    <s v="M"/>
    <s v="Cyan"/>
    <s v="Spring"/>
    <n v="2.6"/>
    <s v="Yes"/>
    <s v="Yes"/>
    <n v="12"/>
    <s v="Cash"/>
    <s v="Fortnightly"/>
    <m/>
  </r>
  <r>
    <n v="961"/>
    <x v="20"/>
    <x v="0"/>
    <s v="Jewelry"/>
    <s v="Accessories"/>
    <n v="48"/>
    <x v="7"/>
    <s v="XL"/>
    <s v="Indigo"/>
    <s v="Spring"/>
    <n v="4.4000000000000004"/>
    <s v="Yes"/>
    <s v="Yes"/>
    <n v="20"/>
    <s v="Venmo"/>
    <s v="Quarterly"/>
    <m/>
  </r>
  <r>
    <n v="962"/>
    <x v="46"/>
    <x v="0"/>
    <s v="Boots"/>
    <s v="Footwear"/>
    <n v="72"/>
    <x v="38"/>
    <s v="L"/>
    <s v="Olive"/>
    <s v="Fall"/>
    <n v="3.7"/>
    <s v="Yes"/>
    <s v="Yes"/>
    <n v="37"/>
    <s v="Debit Card"/>
    <s v="Quarterly"/>
    <m/>
  </r>
  <r>
    <n v="963"/>
    <x v="26"/>
    <x v="0"/>
    <s v="Sunglasses"/>
    <s v="Accessories"/>
    <n v="64"/>
    <x v="49"/>
    <s v="L"/>
    <s v="Green"/>
    <s v="Spring"/>
    <n v="4.4000000000000004"/>
    <s v="Yes"/>
    <s v="Yes"/>
    <n v="26"/>
    <s v="Debit Card"/>
    <s v="Fortnightly"/>
    <m/>
  </r>
  <r>
    <n v="964"/>
    <x v="3"/>
    <x v="0"/>
    <s v="Boots"/>
    <s v="Footwear"/>
    <n v="63"/>
    <x v="36"/>
    <s v="L"/>
    <s v="Green"/>
    <s v="Spring"/>
    <n v="2.5"/>
    <s v="Yes"/>
    <s v="Yes"/>
    <n v="14"/>
    <s v="Credit Card"/>
    <s v="Weekly"/>
    <m/>
  </r>
  <r>
    <n v="965"/>
    <x v="32"/>
    <x v="0"/>
    <s v="Sandals"/>
    <s v="Footwear"/>
    <n v="51"/>
    <x v="28"/>
    <s v="M"/>
    <s v="Beige"/>
    <s v="Spring"/>
    <n v="2.6"/>
    <s v="Yes"/>
    <s v="Yes"/>
    <n v="12"/>
    <s v="Venmo"/>
    <s v="Bi-Weekly"/>
    <m/>
  </r>
  <r>
    <n v="966"/>
    <x v="49"/>
    <x v="0"/>
    <s v="Boots"/>
    <s v="Footwear"/>
    <n v="55"/>
    <x v="12"/>
    <s v="L"/>
    <s v="Black"/>
    <s v="Spring"/>
    <n v="5"/>
    <s v="Yes"/>
    <s v="Yes"/>
    <n v="10"/>
    <s v="Credit Card"/>
    <s v="Annually"/>
    <m/>
  </r>
  <r>
    <n v="967"/>
    <x v="44"/>
    <x v="0"/>
    <s v="Dress"/>
    <s v="Clothing"/>
    <n v="55"/>
    <x v="0"/>
    <s v="M"/>
    <s v="Brown"/>
    <s v="Spring"/>
    <n v="4.9000000000000004"/>
    <s v="Yes"/>
    <s v="Yes"/>
    <n v="19"/>
    <s v="Cash"/>
    <s v="Annually"/>
    <m/>
  </r>
  <r>
    <n v="968"/>
    <x v="7"/>
    <x v="0"/>
    <s v="Hoodie"/>
    <s v="Clothing"/>
    <n v="26"/>
    <x v="42"/>
    <s v="S"/>
    <s v="Silver"/>
    <s v="Summer"/>
    <n v="3.7"/>
    <s v="Yes"/>
    <s v="Yes"/>
    <n v="4"/>
    <s v="Cash"/>
    <s v="Weekly"/>
    <m/>
  </r>
  <r>
    <n v="969"/>
    <x v="9"/>
    <x v="0"/>
    <s v="Shorts"/>
    <s v="Clothing"/>
    <n v="67"/>
    <x v="17"/>
    <s v="L"/>
    <s v="Gray"/>
    <s v="Summer"/>
    <n v="3.1"/>
    <s v="Yes"/>
    <s v="Yes"/>
    <n v="48"/>
    <s v="Bank Transfer"/>
    <s v="Quarterly"/>
    <m/>
  </r>
  <r>
    <n v="970"/>
    <x v="37"/>
    <x v="0"/>
    <s v="Coat"/>
    <s v="Outerwear"/>
    <n v="31"/>
    <x v="18"/>
    <s v="S"/>
    <s v="Pink"/>
    <s v="Fall"/>
    <n v="3.2"/>
    <s v="Yes"/>
    <s v="Yes"/>
    <n v="37"/>
    <s v="PayPal"/>
    <s v="Monthly"/>
    <m/>
  </r>
  <r>
    <n v="971"/>
    <x v="4"/>
    <x v="0"/>
    <s v="Jeans"/>
    <s v="Clothing"/>
    <n v="66"/>
    <x v="18"/>
    <s v="S"/>
    <s v="Maroon"/>
    <s v="Winter"/>
    <n v="4.4000000000000004"/>
    <s v="Yes"/>
    <s v="Yes"/>
    <n v="4"/>
    <s v="Cash"/>
    <s v="Monthly"/>
    <m/>
  </r>
  <r>
    <n v="972"/>
    <x v="36"/>
    <x v="0"/>
    <s v="Sunglasses"/>
    <s v="Accessories"/>
    <n v="67"/>
    <x v="27"/>
    <s v="M"/>
    <s v="Cyan"/>
    <s v="Summer"/>
    <n v="4.3"/>
    <s v="Yes"/>
    <s v="Yes"/>
    <n v="15"/>
    <s v="Credit Card"/>
    <s v="Weekly"/>
    <m/>
  </r>
  <r>
    <n v="973"/>
    <x v="12"/>
    <x v="0"/>
    <s v="Sneakers"/>
    <s v="Footwear"/>
    <n v="61"/>
    <x v="24"/>
    <s v="L"/>
    <s v="Gold"/>
    <s v="Winter"/>
    <n v="3"/>
    <s v="Yes"/>
    <s v="Yes"/>
    <n v="33"/>
    <s v="Credit Card"/>
    <s v="Weekly"/>
    <m/>
  </r>
  <r>
    <n v="974"/>
    <x v="52"/>
    <x v="0"/>
    <s v="Jacket"/>
    <s v="Outerwear"/>
    <n v="75"/>
    <x v="24"/>
    <s v="M"/>
    <s v="Teal"/>
    <s v="Fall"/>
    <n v="3.5"/>
    <s v="Yes"/>
    <s v="Yes"/>
    <n v="30"/>
    <s v="Bank Transfer"/>
    <s v="Quarterly"/>
    <m/>
  </r>
  <r>
    <n v="975"/>
    <x v="28"/>
    <x v="0"/>
    <s v="Skirt"/>
    <s v="Clothing"/>
    <n v="90"/>
    <x v="17"/>
    <s v="M"/>
    <s v="Beige"/>
    <s v="Spring"/>
    <n v="3.6"/>
    <s v="Yes"/>
    <s v="Yes"/>
    <n v="23"/>
    <s v="Bank Transfer"/>
    <s v="Monthly"/>
    <m/>
  </r>
  <r>
    <n v="976"/>
    <x v="44"/>
    <x v="0"/>
    <s v="Sweater"/>
    <s v="Clothing"/>
    <n v="40"/>
    <x v="47"/>
    <s v="M"/>
    <s v="Olive"/>
    <s v="Summer"/>
    <n v="3.8"/>
    <s v="Yes"/>
    <s v="Yes"/>
    <n v="2"/>
    <s v="Bank Transfer"/>
    <s v="Weekly"/>
    <m/>
  </r>
  <r>
    <n v="977"/>
    <x v="50"/>
    <x v="0"/>
    <s v="T-shirt"/>
    <s v="Clothing"/>
    <n v="90"/>
    <x v="20"/>
    <s v="M"/>
    <s v="Gray"/>
    <s v="Fall"/>
    <n v="3.6"/>
    <s v="Yes"/>
    <s v="Yes"/>
    <n v="50"/>
    <s v="Credit Card"/>
    <s v="Every 3 Months"/>
    <m/>
  </r>
  <r>
    <n v="978"/>
    <x v="30"/>
    <x v="0"/>
    <s v="Belt"/>
    <s v="Accessories"/>
    <n v="20"/>
    <x v="47"/>
    <s v="M"/>
    <s v="Black"/>
    <s v="Spring"/>
    <n v="4.5999999999999996"/>
    <s v="Yes"/>
    <s v="Yes"/>
    <n v="34"/>
    <s v="Cash"/>
    <s v="Bi-Weekly"/>
    <m/>
  </r>
  <r>
    <n v="979"/>
    <x v="19"/>
    <x v="0"/>
    <s v="Gloves"/>
    <s v="Accessories"/>
    <n v="40"/>
    <x v="24"/>
    <s v="M"/>
    <s v="Turquoise"/>
    <s v="Summer"/>
    <n v="2.5"/>
    <s v="Yes"/>
    <s v="Yes"/>
    <n v="33"/>
    <s v="Credit Card"/>
    <s v="Weekly"/>
    <m/>
  </r>
  <r>
    <n v="980"/>
    <x v="14"/>
    <x v="0"/>
    <s v="Hat"/>
    <s v="Accessories"/>
    <n v="33"/>
    <x v="13"/>
    <s v="S"/>
    <s v="Brown"/>
    <s v="Fall"/>
    <n v="3.5"/>
    <s v="Yes"/>
    <s v="Yes"/>
    <n v="34"/>
    <s v="Debit Card"/>
    <s v="Monthly"/>
    <m/>
  </r>
  <r>
    <n v="981"/>
    <x v="19"/>
    <x v="0"/>
    <s v="Boots"/>
    <s v="Footwear"/>
    <n v="98"/>
    <x v="33"/>
    <s v="S"/>
    <s v="Magenta"/>
    <s v="Spring"/>
    <n v="4"/>
    <s v="Yes"/>
    <s v="Yes"/>
    <n v="39"/>
    <s v="PayPal"/>
    <s v="Every 3 Months"/>
    <m/>
  </r>
  <r>
    <n v="982"/>
    <x v="7"/>
    <x v="0"/>
    <s v="Belt"/>
    <s v="Accessories"/>
    <n v="42"/>
    <x v="33"/>
    <s v="M"/>
    <s v="Silver"/>
    <s v="Spring"/>
    <n v="3.5"/>
    <s v="Yes"/>
    <s v="Yes"/>
    <n v="47"/>
    <s v="Credit Card"/>
    <s v="Quarterly"/>
    <m/>
  </r>
  <r>
    <n v="983"/>
    <x v="25"/>
    <x v="0"/>
    <s v="Coat"/>
    <s v="Outerwear"/>
    <n v="62"/>
    <x v="21"/>
    <s v="S"/>
    <s v="Red"/>
    <s v="Summer"/>
    <n v="3.2"/>
    <s v="Yes"/>
    <s v="Yes"/>
    <n v="37"/>
    <s v="PayPal"/>
    <s v="Monthly"/>
    <m/>
  </r>
  <r>
    <n v="984"/>
    <x v="41"/>
    <x v="0"/>
    <s v="Hat"/>
    <s v="Accessories"/>
    <n v="45"/>
    <x v="35"/>
    <s v="L"/>
    <s v="Indigo"/>
    <s v="Winter"/>
    <n v="3.5"/>
    <s v="Yes"/>
    <s v="Yes"/>
    <n v="40"/>
    <s v="Venmo"/>
    <s v="Bi-Weekly"/>
    <m/>
  </r>
  <r>
    <n v="985"/>
    <x v="8"/>
    <x v="0"/>
    <s v="Shoes"/>
    <s v="Footwear"/>
    <n v="78"/>
    <x v="40"/>
    <s v="M"/>
    <s v="Green"/>
    <s v="Summer"/>
    <n v="3.4"/>
    <s v="Yes"/>
    <s v="Yes"/>
    <n v="8"/>
    <s v="Credit Card"/>
    <s v="Bi-Weekly"/>
    <m/>
  </r>
  <r>
    <n v="986"/>
    <x v="45"/>
    <x v="0"/>
    <s v="Handbag"/>
    <s v="Accessories"/>
    <n v="80"/>
    <x v="8"/>
    <s v="M"/>
    <s v="Gray"/>
    <s v="Fall"/>
    <n v="5"/>
    <s v="Yes"/>
    <s v="Yes"/>
    <n v="12"/>
    <s v="Bank Transfer"/>
    <s v="Annually"/>
    <m/>
  </r>
  <r>
    <n v="987"/>
    <x v="22"/>
    <x v="0"/>
    <s v="Scarf"/>
    <s v="Accessories"/>
    <n v="96"/>
    <x v="39"/>
    <s v="S"/>
    <s v="Peach"/>
    <s v="Spring"/>
    <n v="4.5"/>
    <s v="Yes"/>
    <s v="Yes"/>
    <n v="36"/>
    <s v="Bank Transfer"/>
    <s v="Monthly"/>
    <m/>
  </r>
  <r>
    <n v="988"/>
    <x v="46"/>
    <x v="0"/>
    <s v="Handbag"/>
    <s v="Accessories"/>
    <n v="47"/>
    <x v="8"/>
    <s v="M"/>
    <s v="Charcoal"/>
    <s v="Summer"/>
    <n v="2.8"/>
    <s v="Yes"/>
    <s v="Yes"/>
    <n v="48"/>
    <s v="PayPal"/>
    <s v="Weekly"/>
    <m/>
  </r>
  <r>
    <n v="989"/>
    <x v="2"/>
    <x v="0"/>
    <s v="Pants"/>
    <s v="Clothing"/>
    <n v="84"/>
    <x v="31"/>
    <s v="M"/>
    <s v="Orange"/>
    <s v="Winter"/>
    <n v="4.9000000000000004"/>
    <s v="Yes"/>
    <s v="Yes"/>
    <n v="47"/>
    <s v="PayPal"/>
    <s v="Fortnightly"/>
    <m/>
  </r>
  <r>
    <n v="990"/>
    <x v="27"/>
    <x v="0"/>
    <s v="Shoes"/>
    <s v="Footwear"/>
    <n v="31"/>
    <x v="21"/>
    <s v="M"/>
    <s v="Beige"/>
    <s v="Spring"/>
    <n v="3.1"/>
    <s v="Yes"/>
    <s v="Yes"/>
    <n v="2"/>
    <s v="Bank Transfer"/>
    <s v="Monthly"/>
    <m/>
  </r>
  <r>
    <n v="991"/>
    <x v="39"/>
    <x v="0"/>
    <s v="Sunglasses"/>
    <s v="Accessories"/>
    <n v="63"/>
    <x v="47"/>
    <s v="S"/>
    <s v="Yellow"/>
    <s v="Spring"/>
    <n v="4.8"/>
    <s v="Yes"/>
    <s v="Yes"/>
    <n v="24"/>
    <s v="Cash"/>
    <s v="Weekly"/>
    <m/>
  </r>
  <r>
    <n v="992"/>
    <x v="30"/>
    <x v="0"/>
    <s v="Shorts"/>
    <s v="Clothing"/>
    <n v="97"/>
    <x v="48"/>
    <s v="XL"/>
    <s v="White"/>
    <s v="Spring"/>
    <n v="2.7"/>
    <s v="Yes"/>
    <s v="Yes"/>
    <n v="40"/>
    <s v="Bank Transfer"/>
    <s v="Bi-Weekly"/>
    <m/>
  </r>
  <r>
    <n v="993"/>
    <x v="5"/>
    <x v="0"/>
    <s v="Jacket"/>
    <s v="Outerwear"/>
    <n v="99"/>
    <x v="7"/>
    <s v="M"/>
    <s v="Gray"/>
    <s v="Winter"/>
    <n v="4.5999999999999996"/>
    <s v="Yes"/>
    <s v="Yes"/>
    <n v="50"/>
    <s v="Debit Card"/>
    <s v="Weekly"/>
    <m/>
  </r>
  <r>
    <n v="994"/>
    <x v="47"/>
    <x v="0"/>
    <s v="Sandals"/>
    <s v="Footwear"/>
    <n v="90"/>
    <x v="44"/>
    <s v="M"/>
    <s v="Peach"/>
    <s v="Winter"/>
    <n v="4.4000000000000004"/>
    <s v="Yes"/>
    <s v="Yes"/>
    <n v="25"/>
    <s v="Cash"/>
    <s v="Weekly"/>
    <m/>
  </r>
  <r>
    <n v="995"/>
    <x v="10"/>
    <x v="0"/>
    <s v="Shoes"/>
    <s v="Footwear"/>
    <n v="68"/>
    <x v="14"/>
    <s v="L"/>
    <s v="Violet"/>
    <s v="Fall"/>
    <n v="3.2"/>
    <s v="Yes"/>
    <s v="Yes"/>
    <n v="20"/>
    <s v="Debit Card"/>
    <s v="Monthly"/>
    <m/>
  </r>
  <r>
    <n v="996"/>
    <x v="42"/>
    <x v="0"/>
    <s v="Jewelry"/>
    <s v="Accessories"/>
    <n v="80"/>
    <x v="37"/>
    <s v="M"/>
    <s v="Magenta"/>
    <s v="Spring"/>
    <n v="3"/>
    <s v="Yes"/>
    <s v="Yes"/>
    <n v="10"/>
    <s v="Venmo"/>
    <s v="Weekly"/>
    <m/>
  </r>
  <r>
    <n v="997"/>
    <x v="26"/>
    <x v="0"/>
    <s v="Sandals"/>
    <s v="Footwear"/>
    <n v="91"/>
    <x v="12"/>
    <s v="L"/>
    <s v="Maroon"/>
    <s v="Summer"/>
    <n v="4.9000000000000004"/>
    <s v="Yes"/>
    <s v="Yes"/>
    <n v="32"/>
    <s v="Bank Transfer"/>
    <s v="Quarterly"/>
    <m/>
  </r>
  <r>
    <n v="998"/>
    <x v="14"/>
    <x v="0"/>
    <s v="Pants"/>
    <s v="Clothing"/>
    <n v="30"/>
    <x v="0"/>
    <s v="M"/>
    <s v="Cyan"/>
    <s v="Spring"/>
    <n v="3.6"/>
    <s v="Yes"/>
    <s v="Yes"/>
    <n v="31"/>
    <s v="Cash"/>
    <s v="Fortnightly"/>
    <m/>
  </r>
  <r>
    <n v="999"/>
    <x v="47"/>
    <x v="0"/>
    <s v="Shoes"/>
    <s v="Footwear"/>
    <n v="90"/>
    <x v="39"/>
    <s v="M"/>
    <s v="White"/>
    <s v="Spring"/>
    <n v="3.8"/>
    <s v="Yes"/>
    <s v="Yes"/>
    <n v="48"/>
    <s v="Bank Transfer"/>
    <s v="Bi-Weekly"/>
    <m/>
  </r>
  <r>
    <n v="1000"/>
    <x v="2"/>
    <x v="0"/>
    <s v="Socks"/>
    <s v="Clothing"/>
    <n v="28"/>
    <x v="35"/>
    <s v="L"/>
    <s v="Brown"/>
    <s v="Spring"/>
    <n v="2.9"/>
    <s v="Yes"/>
    <s v="Yes"/>
    <n v="23"/>
    <s v="Debit Card"/>
    <s v="Monthly"/>
    <m/>
  </r>
  <r>
    <n v="1001"/>
    <x v="49"/>
    <x v="0"/>
    <s v="Socks"/>
    <s v="Clothing"/>
    <n v="46"/>
    <x v="42"/>
    <s v="M"/>
    <s v="Red"/>
    <s v="Winter"/>
    <n v="3.9"/>
    <s v="Yes"/>
    <s v="Yes"/>
    <n v="1"/>
    <s v="Bank Transfer"/>
    <s v="Bi-Weekly"/>
    <m/>
  </r>
  <r>
    <n v="1002"/>
    <x v="12"/>
    <x v="0"/>
    <s v="Dress"/>
    <s v="Clothing"/>
    <n v="60"/>
    <x v="47"/>
    <s v="M"/>
    <s v="Orange"/>
    <s v="Fall"/>
    <n v="3.6"/>
    <s v="Yes"/>
    <s v="Yes"/>
    <n v="4"/>
    <s v="Debit Card"/>
    <s v="Fortnightly"/>
    <m/>
  </r>
  <r>
    <n v="1003"/>
    <x v="0"/>
    <x v="0"/>
    <s v="Shoes"/>
    <s v="Footwear"/>
    <n v="59"/>
    <x v="25"/>
    <s v="M"/>
    <s v="White"/>
    <s v="Spring"/>
    <n v="3.5"/>
    <s v="Yes"/>
    <s v="Yes"/>
    <n v="3"/>
    <s v="Bank Transfer"/>
    <s v="Bi-Weekly"/>
    <m/>
  </r>
  <r>
    <n v="1004"/>
    <x v="19"/>
    <x v="0"/>
    <s v="Hat"/>
    <s v="Accessories"/>
    <n v="68"/>
    <x v="31"/>
    <s v="M"/>
    <s v="Green"/>
    <s v="Fall"/>
    <n v="4"/>
    <s v="Yes"/>
    <s v="Yes"/>
    <n v="3"/>
    <s v="Cash"/>
    <s v="Bi-Weekly"/>
    <m/>
  </r>
  <r>
    <n v="1005"/>
    <x v="23"/>
    <x v="0"/>
    <s v="Backpack"/>
    <s v="Accessories"/>
    <n v="79"/>
    <x v="30"/>
    <s v="M"/>
    <s v="Black"/>
    <s v="Summer"/>
    <n v="4.8"/>
    <s v="Yes"/>
    <s v="Yes"/>
    <n v="44"/>
    <s v="Cash"/>
    <s v="Annually"/>
    <m/>
  </r>
  <r>
    <n v="1006"/>
    <x v="49"/>
    <x v="0"/>
    <s v="Backpack"/>
    <s v="Accessories"/>
    <n v="94"/>
    <x v="14"/>
    <s v="M"/>
    <s v="Gold"/>
    <s v="Winter"/>
    <n v="3.9"/>
    <s v="Yes"/>
    <s v="Yes"/>
    <n v="5"/>
    <s v="Debit Card"/>
    <s v="Bi-Weekly"/>
    <m/>
  </r>
  <r>
    <n v="1007"/>
    <x v="3"/>
    <x v="0"/>
    <s v="Pants"/>
    <s v="Clothing"/>
    <n v="83"/>
    <x v="49"/>
    <s v="S"/>
    <s v="Lavender"/>
    <s v="Summer"/>
    <n v="4.5"/>
    <s v="Yes"/>
    <s v="Yes"/>
    <n v="50"/>
    <s v="Venmo"/>
    <s v="Quarterly"/>
    <m/>
  </r>
  <r>
    <n v="1008"/>
    <x v="44"/>
    <x v="0"/>
    <s v="Gloves"/>
    <s v="Accessories"/>
    <n v="62"/>
    <x v="42"/>
    <s v="XL"/>
    <s v="Turquoise"/>
    <s v="Spring"/>
    <n v="4.8"/>
    <s v="Yes"/>
    <s v="Yes"/>
    <n v="2"/>
    <s v="Credit Card"/>
    <s v="Annually"/>
    <m/>
  </r>
  <r>
    <n v="1009"/>
    <x v="38"/>
    <x v="0"/>
    <s v="Scarf"/>
    <s v="Accessories"/>
    <n v="85"/>
    <x v="35"/>
    <s v="M"/>
    <s v="Pink"/>
    <s v="Spring"/>
    <n v="2.6"/>
    <s v="Yes"/>
    <s v="Yes"/>
    <n v="29"/>
    <s v="PayPal"/>
    <s v="Annually"/>
    <m/>
  </r>
  <r>
    <n v="1010"/>
    <x v="31"/>
    <x v="0"/>
    <s v="Hoodie"/>
    <s v="Clothing"/>
    <n v="30"/>
    <x v="7"/>
    <s v="M"/>
    <s v="Silver"/>
    <s v="Summer"/>
    <n v="3.1"/>
    <s v="Yes"/>
    <s v="Yes"/>
    <n v="11"/>
    <s v="Venmo"/>
    <s v="Annually"/>
    <m/>
  </r>
  <r>
    <n v="1011"/>
    <x v="22"/>
    <x v="0"/>
    <s v="Jeans"/>
    <s v="Clothing"/>
    <n v="24"/>
    <x v="45"/>
    <s v="XL"/>
    <s v="Gray"/>
    <s v="Spring"/>
    <n v="4.7"/>
    <s v="Yes"/>
    <s v="Yes"/>
    <n v="37"/>
    <s v="Credit Card"/>
    <s v="Fortnightly"/>
    <m/>
  </r>
  <r>
    <n v="1012"/>
    <x v="49"/>
    <x v="0"/>
    <s v="Backpack"/>
    <s v="Accessories"/>
    <n v="25"/>
    <x v="6"/>
    <s v="L"/>
    <s v="Indigo"/>
    <s v="Spring"/>
    <n v="2.9"/>
    <s v="Yes"/>
    <s v="Yes"/>
    <n v="32"/>
    <s v="Debit Card"/>
    <s v="Fortnightly"/>
    <m/>
  </r>
  <r>
    <n v="1013"/>
    <x v="48"/>
    <x v="0"/>
    <s v="Sandals"/>
    <s v="Footwear"/>
    <n v="37"/>
    <x v="35"/>
    <s v="L"/>
    <s v="Teal"/>
    <s v="Summer"/>
    <n v="3.8"/>
    <s v="Yes"/>
    <s v="Yes"/>
    <n v="27"/>
    <s v="Credit Card"/>
    <s v="Annually"/>
    <m/>
  </r>
  <r>
    <n v="1014"/>
    <x v="35"/>
    <x v="0"/>
    <s v="Belt"/>
    <s v="Accessories"/>
    <n v="69"/>
    <x v="36"/>
    <s v="XL"/>
    <s v="Green"/>
    <s v="Summer"/>
    <n v="3.8"/>
    <s v="Yes"/>
    <s v="Yes"/>
    <n v="31"/>
    <s v="Venmo"/>
    <s v="Bi-Weekly"/>
    <m/>
  </r>
  <r>
    <n v="1015"/>
    <x v="48"/>
    <x v="0"/>
    <s v="Shoes"/>
    <s v="Footwear"/>
    <n v="97"/>
    <x v="31"/>
    <s v="M"/>
    <s v="Violet"/>
    <s v="Summer"/>
    <n v="3"/>
    <s v="Yes"/>
    <s v="Yes"/>
    <n v="36"/>
    <s v="Debit Card"/>
    <s v="Fortnightly"/>
    <m/>
  </r>
  <r>
    <n v="1016"/>
    <x v="33"/>
    <x v="0"/>
    <s v="Gloves"/>
    <s v="Accessories"/>
    <n v="24"/>
    <x v="17"/>
    <s v="M"/>
    <s v="Cyan"/>
    <s v="Summer"/>
    <n v="4.0999999999999996"/>
    <s v="Yes"/>
    <s v="Yes"/>
    <n v="34"/>
    <s v="Cash"/>
    <s v="Weekly"/>
    <m/>
  </r>
  <r>
    <n v="1017"/>
    <x v="30"/>
    <x v="0"/>
    <s v="Belt"/>
    <s v="Accessories"/>
    <n v="30"/>
    <x v="37"/>
    <s v="XL"/>
    <s v="Blue"/>
    <s v="Summer"/>
    <n v="3.4"/>
    <s v="Yes"/>
    <s v="Yes"/>
    <n v="15"/>
    <s v="Bank Transfer"/>
    <s v="Every 3 Months"/>
    <m/>
  </r>
  <r>
    <n v="1018"/>
    <x v="3"/>
    <x v="0"/>
    <s v="Jacket"/>
    <s v="Outerwear"/>
    <n v="53"/>
    <x v="19"/>
    <s v="L"/>
    <s v="Orange"/>
    <s v="Fall"/>
    <n v="2.5"/>
    <s v="Yes"/>
    <s v="Yes"/>
    <n v="14"/>
    <s v="Credit Card"/>
    <s v="Annually"/>
    <m/>
  </r>
  <r>
    <n v="1019"/>
    <x v="2"/>
    <x v="0"/>
    <s v="Dress"/>
    <s v="Clothing"/>
    <n v="70"/>
    <x v="42"/>
    <s v="XL"/>
    <s v="Charcoal"/>
    <s v="Spring"/>
    <n v="4.9000000000000004"/>
    <s v="Yes"/>
    <s v="Yes"/>
    <n v="46"/>
    <s v="Cash"/>
    <s v="Weekly"/>
    <m/>
  </r>
  <r>
    <n v="1020"/>
    <x v="45"/>
    <x v="0"/>
    <s v="Shirt"/>
    <s v="Clothing"/>
    <n v="76"/>
    <x v="0"/>
    <s v="S"/>
    <s v="Beige"/>
    <s v="Winter"/>
    <n v="2.8"/>
    <s v="Yes"/>
    <s v="Yes"/>
    <n v="33"/>
    <s v="Venmo"/>
    <s v="Bi-Weekly"/>
    <m/>
  </r>
  <r>
    <n v="1021"/>
    <x v="41"/>
    <x v="0"/>
    <s v="Scarf"/>
    <s v="Accessories"/>
    <n v="95"/>
    <x v="12"/>
    <s v="M"/>
    <s v="Black"/>
    <s v="Fall"/>
    <n v="4.5"/>
    <s v="Yes"/>
    <s v="Yes"/>
    <n v="41"/>
    <s v="Debit Card"/>
    <s v="Annually"/>
    <m/>
  </r>
  <r>
    <n v="1022"/>
    <x v="0"/>
    <x v="0"/>
    <s v="Coat"/>
    <s v="Outerwear"/>
    <n v="51"/>
    <x v="2"/>
    <s v="S"/>
    <s v="Lavender"/>
    <s v="Winter"/>
    <n v="4.9000000000000004"/>
    <s v="Yes"/>
    <s v="Yes"/>
    <n v="39"/>
    <s v="PayPal"/>
    <s v="Weekly"/>
    <m/>
  </r>
  <r>
    <n v="1023"/>
    <x v="12"/>
    <x v="0"/>
    <s v="Handbag"/>
    <s v="Accessories"/>
    <n v="41"/>
    <x v="43"/>
    <s v="M"/>
    <s v="Lavender"/>
    <s v="Winter"/>
    <n v="4.9000000000000004"/>
    <s v="Yes"/>
    <s v="Yes"/>
    <n v="7"/>
    <s v="Cash"/>
    <s v="Annually"/>
    <m/>
  </r>
  <r>
    <n v="1024"/>
    <x v="12"/>
    <x v="0"/>
    <s v="Sunglasses"/>
    <s v="Accessories"/>
    <n v="71"/>
    <x v="1"/>
    <s v="S"/>
    <s v="Turquoise"/>
    <s v="Winter"/>
    <n v="3.5"/>
    <s v="Yes"/>
    <s v="Yes"/>
    <n v="29"/>
    <s v="Bank Transfer"/>
    <s v="Every 3 Months"/>
    <m/>
  </r>
  <r>
    <n v="1025"/>
    <x v="48"/>
    <x v="0"/>
    <s v="T-shirt"/>
    <s v="Clothing"/>
    <n v="66"/>
    <x v="38"/>
    <s v="M"/>
    <s v="Purple"/>
    <s v="Summer"/>
    <n v="3.5"/>
    <s v="Yes"/>
    <s v="Yes"/>
    <n v="18"/>
    <s v="Venmo"/>
    <s v="Quarterly"/>
    <m/>
  </r>
  <r>
    <n v="1026"/>
    <x v="52"/>
    <x v="0"/>
    <s v="Shirt"/>
    <s v="Clothing"/>
    <n v="84"/>
    <x v="43"/>
    <s v="M"/>
    <s v="Olive"/>
    <s v="Winter"/>
    <n v="4.9000000000000004"/>
    <s v="Yes"/>
    <s v="Yes"/>
    <n v="15"/>
    <s v="Credit Card"/>
    <s v="Annually"/>
    <m/>
  </r>
  <r>
    <n v="1027"/>
    <x v="34"/>
    <x v="0"/>
    <s v="Handbag"/>
    <s v="Accessories"/>
    <n v="95"/>
    <x v="41"/>
    <s v="L"/>
    <s v="Turquoise"/>
    <s v="Winter"/>
    <n v="3"/>
    <s v="Yes"/>
    <s v="Yes"/>
    <n v="39"/>
    <s v="PayPal"/>
    <s v="Bi-Weekly"/>
    <m/>
  </r>
  <r>
    <n v="1028"/>
    <x v="23"/>
    <x v="0"/>
    <s v="Jewelry"/>
    <s v="Accessories"/>
    <n v="90"/>
    <x v="31"/>
    <s v="L"/>
    <s v="Teal"/>
    <s v="Summer"/>
    <n v="2.8"/>
    <s v="Yes"/>
    <s v="Yes"/>
    <n v="11"/>
    <s v="Cash"/>
    <s v="Monthly"/>
    <m/>
  </r>
  <r>
    <n v="1029"/>
    <x v="4"/>
    <x v="0"/>
    <s v="Hoodie"/>
    <s v="Clothing"/>
    <n v="36"/>
    <x v="43"/>
    <s v="S"/>
    <s v="Lavender"/>
    <s v="Summer"/>
    <n v="3.7"/>
    <s v="Yes"/>
    <s v="Yes"/>
    <n v="4"/>
    <s v="Cash"/>
    <s v="Fortnightly"/>
    <m/>
  </r>
  <r>
    <n v="1030"/>
    <x v="26"/>
    <x v="0"/>
    <s v="Gloves"/>
    <s v="Accessories"/>
    <n v="22"/>
    <x v="31"/>
    <s v="M"/>
    <s v="Purple"/>
    <s v="Spring"/>
    <n v="3.6"/>
    <s v="Yes"/>
    <s v="Yes"/>
    <n v="33"/>
    <s v="Venmo"/>
    <s v="Bi-Weekly"/>
    <m/>
  </r>
  <r>
    <n v="1031"/>
    <x v="44"/>
    <x v="0"/>
    <s v="Coat"/>
    <s v="Outerwear"/>
    <n v="89"/>
    <x v="0"/>
    <s v="L"/>
    <s v="Blue"/>
    <s v="Winter"/>
    <n v="3.3"/>
    <s v="Yes"/>
    <s v="Yes"/>
    <n v="37"/>
    <s v="Debit Card"/>
    <s v="Quarterly"/>
    <m/>
  </r>
  <r>
    <n v="1032"/>
    <x v="40"/>
    <x v="0"/>
    <s v="Sandals"/>
    <s v="Footwear"/>
    <n v="50"/>
    <x v="30"/>
    <s v="M"/>
    <s v="Teal"/>
    <s v="Spring"/>
    <n v="3.4"/>
    <s v="Yes"/>
    <s v="Yes"/>
    <n v="32"/>
    <s v="Cash"/>
    <s v="Quarterly"/>
    <m/>
  </r>
  <r>
    <n v="1033"/>
    <x v="0"/>
    <x v="0"/>
    <s v="Boots"/>
    <s v="Footwear"/>
    <n v="36"/>
    <x v="1"/>
    <s v="M"/>
    <s v="Lavender"/>
    <s v="Fall"/>
    <n v="4"/>
    <s v="Yes"/>
    <s v="Yes"/>
    <n v="44"/>
    <s v="Credit Card"/>
    <s v="Quarterly"/>
    <m/>
  </r>
  <r>
    <n v="1034"/>
    <x v="1"/>
    <x v="0"/>
    <s v="Pants"/>
    <s v="Clothing"/>
    <n v="52"/>
    <x v="6"/>
    <s v="S"/>
    <s v="Silver"/>
    <s v="Spring"/>
    <n v="4.5999999999999996"/>
    <s v="Yes"/>
    <s v="Yes"/>
    <n v="41"/>
    <s v="Bank Transfer"/>
    <s v="Quarterly"/>
    <m/>
  </r>
  <r>
    <n v="1035"/>
    <x v="33"/>
    <x v="0"/>
    <s v="Socks"/>
    <s v="Clothing"/>
    <n v="29"/>
    <x v="33"/>
    <s v="M"/>
    <s v="Olive"/>
    <s v="Fall"/>
    <n v="4.2"/>
    <s v="Yes"/>
    <s v="Yes"/>
    <n v="44"/>
    <s v="Bank Transfer"/>
    <s v="Weekly"/>
    <m/>
  </r>
  <r>
    <n v="1036"/>
    <x v="12"/>
    <x v="0"/>
    <s v="Blouse"/>
    <s v="Clothing"/>
    <n v="89"/>
    <x v="42"/>
    <s v="M"/>
    <s v="Brown"/>
    <s v="Fall"/>
    <n v="2.8"/>
    <s v="Yes"/>
    <s v="Yes"/>
    <n v="32"/>
    <s v="Venmo"/>
    <s v="Annually"/>
    <m/>
  </r>
  <r>
    <n v="1037"/>
    <x v="33"/>
    <x v="0"/>
    <s v="Handbag"/>
    <s v="Accessories"/>
    <n v="47"/>
    <x v="11"/>
    <s v="M"/>
    <s v="Yellow"/>
    <s v="Fall"/>
    <n v="3.7"/>
    <s v="Yes"/>
    <s v="Yes"/>
    <n v="13"/>
    <s v="Bank Transfer"/>
    <s v="Monthly"/>
    <m/>
  </r>
  <r>
    <n v="1038"/>
    <x v="16"/>
    <x v="0"/>
    <s v="Jewelry"/>
    <s v="Accessories"/>
    <n v="25"/>
    <x v="3"/>
    <s v="XL"/>
    <s v="Brown"/>
    <s v="Spring"/>
    <n v="3.4"/>
    <s v="Yes"/>
    <s v="Yes"/>
    <n v="48"/>
    <s v="Debit Card"/>
    <s v="Quarterly"/>
    <m/>
  </r>
  <r>
    <n v="1039"/>
    <x v="38"/>
    <x v="0"/>
    <s v="Pants"/>
    <s v="Clothing"/>
    <n v="74"/>
    <x v="43"/>
    <s v="XL"/>
    <s v="Cyan"/>
    <s v="Fall"/>
    <n v="3"/>
    <s v="Yes"/>
    <s v="Yes"/>
    <n v="3"/>
    <s v="Bank Transfer"/>
    <s v="Weekly"/>
    <m/>
  </r>
  <r>
    <n v="1040"/>
    <x v="26"/>
    <x v="0"/>
    <s v="Belt"/>
    <s v="Accessories"/>
    <n v="46"/>
    <x v="49"/>
    <s v="M"/>
    <s v="Magenta"/>
    <s v="Fall"/>
    <n v="4.8"/>
    <s v="Yes"/>
    <s v="Yes"/>
    <n v="39"/>
    <s v="Venmo"/>
    <s v="Monthly"/>
    <m/>
  </r>
  <r>
    <n v="1041"/>
    <x v="33"/>
    <x v="0"/>
    <s v="Jeans"/>
    <s v="Clothing"/>
    <n v="22"/>
    <x v="17"/>
    <s v="S"/>
    <s v="Magenta"/>
    <s v="Fall"/>
    <n v="4"/>
    <s v="Yes"/>
    <s v="Yes"/>
    <n v="7"/>
    <s v="Cash"/>
    <s v="Fortnightly"/>
    <m/>
  </r>
  <r>
    <n v="1042"/>
    <x v="24"/>
    <x v="0"/>
    <s v="Shirt"/>
    <s v="Clothing"/>
    <n v="25"/>
    <x v="46"/>
    <s v="M"/>
    <s v="Orange"/>
    <s v="Summer"/>
    <n v="4.9000000000000004"/>
    <s v="Yes"/>
    <s v="Yes"/>
    <n v="11"/>
    <s v="Cash"/>
    <s v="Fortnightly"/>
    <m/>
  </r>
  <r>
    <n v="1043"/>
    <x v="0"/>
    <x v="0"/>
    <s v="Belt"/>
    <s v="Accessories"/>
    <n v="80"/>
    <x v="33"/>
    <s v="M"/>
    <s v="Maroon"/>
    <s v="Spring"/>
    <n v="4.9000000000000004"/>
    <s v="Yes"/>
    <s v="Yes"/>
    <n v="47"/>
    <s v="Credit Card"/>
    <s v="Weekly"/>
    <m/>
  </r>
  <r>
    <n v="1044"/>
    <x v="48"/>
    <x v="0"/>
    <s v="Jeans"/>
    <s v="Clothing"/>
    <n v="76"/>
    <x v="11"/>
    <s v="M"/>
    <s v="Green"/>
    <s v="Spring"/>
    <n v="3.3"/>
    <s v="Yes"/>
    <s v="Yes"/>
    <n v="28"/>
    <s v="Debit Card"/>
    <s v="Fortnightly"/>
    <m/>
  </r>
  <r>
    <n v="1045"/>
    <x v="31"/>
    <x v="0"/>
    <s v="Jeans"/>
    <s v="Clothing"/>
    <n v="30"/>
    <x v="4"/>
    <s v="L"/>
    <s v="Teal"/>
    <s v="Summer"/>
    <n v="4.4000000000000004"/>
    <s v="Yes"/>
    <s v="Yes"/>
    <n v="17"/>
    <s v="Bank Transfer"/>
    <s v="Every 3 Months"/>
    <m/>
  </r>
  <r>
    <n v="1046"/>
    <x v="22"/>
    <x v="0"/>
    <s v="Sweater"/>
    <s v="Clothing"/>
    <n v="79"/>
    <x v="35"/>
    <s v="L"/>
    <s v="Black"/>
    <s v="Fall"/>
    <n v="3.5"/>
    <s v="Yes"/>
    <s v="Yes"/>
    <n v="11"/>
    <s v="PayPal"/>
    <s v="Bi-Weekly"/>
    <m/>
  </r>
  <r>
    <n v="1047"/>
    <x v="37"/>
    <x v="0"/>
    <s v="Sneakers"/>
    <s v="Footwear"/>
    <n v="22"/>
    <x v="26"/>
    <s v="M"/>
    <s v="Magenta"/>
    <s v="Winter"/>
    <n v="4.2"/>
    <s v="Yes"/>
    <s v="Yes"/>
    <n v="12"/>
    <s v="Venmo"/>
    <s v="Annually"/>
    <m/>
  </r>
  <r>
    <n v="1048"/>
    <x v="18"/>
    <x v="0"/>
    <s v="Socks"/>
    <s v="Clothing"/>
    <n v="36"/>
    <x v="40"/>
    <s v="S"/>
    <s v="Olive"/>
    <s v="Fall"/>
    <n v="4.2"/>
    <s v="Yes"/>
    <s v="Yes"/>
    <n v="7"/>
    <s v="Credit Card"/>
    <s v="Fortnightly"/>
    <m/>
  </r>
  <r>
    <n v="1049"/>
    <x v="11"/>
    <x v="0"/>
    <s v="Socks"/>
    <s v="Clothing"/>
    <n v="77"/>
    <x v="1"/>
    <s v="L"/>
    <s v="Yellow"/>
    <s v="Fall"/>
    <n v="2.7"/>
    <s v="Yes"/>
    <s v="Yes"/>
    <n v="19"/>
    <s v="Venmo"/>
    <s v="Fortnightly"/>
    <m/>
  </r>
  <r>
    <n v="1050"/>
    <x v="4"/>
    <x v="0"/>
    <s v="Sunglasses"/>
    <s v="Accessories"/>
    <n v="33"/>
    <x v="41"/>
    <s v="S"/>
    <s v="Purple"/>
    <s v="Fall"/>
    <n v="2.8"/>
    <s v="Yes"/>
    <s v="Yes"/>
    <n v="24"/>
    <s v="Cash"/>
    <s v="Quarterly"/>
    <m/>
  </r>
  <r>
    <n v="1051"/>
    <x v="39"/>
    <x v="0"/>
    <s v="Sneakers"/>
    <s v="Footwear"/>
    <n v="64"/>
    <x v="20"/>
    <s v="M"/>
    <s v="Beige"/>
    <s v="Winter"/>
    <n v="3.8"/>
    <s v="Yes"/>
    <s v="Yes"/>
    <n v="19"/>
    <s v="Venmo"/>
    <s v="Monthly"/>
    <m/>
  </r>
  <r>
    <n v="1052"/>
    <x v="4"/>
    <x v="0"/>
    <s v="Socks"/>
    <s v="Clothing"/>
    <n v="53"/>
    <x v="31"/>
    <s v="M"/>
    <s v="Indigo"/>
    <s v="Fall"/>
    <n v="2.6"/>
    <s v="Yes"/>
    <s v="Yes"/>
    <n v="39"/>
    <s v="PayPal"/>
    <s v="Annually"/>
    <m/>
  </r>
  <r>
    <n v="1053"/>
    <x v="52"/>
    <x v="0"/>
    <s v="Shoes"/>
    <s v="Footwear"/>
    <n v="36"/>
    <x v="41"/>
    <s v="XL"/>
    <s v="Pink"/>
    <s v="Fall"/>
    <n v="3"/>
    <s v="Yes"/>
    <s v="Yes"/>
    <n v="1"/>
    <s v="Credit Card"/>
    <s v="Fortnightly"/>
    <m/>
  </r>
  <r>
    <n v="1054"/>
    <x v="35"/>
    <x v="0"/>
    <s v="Blouse"/>
    <s v="Clothing"/>
    <n v="70"/>
    <x v="23"/>
    <s v="M"/>
    <s v="Blue"/>
    <s v="Spring"/>
    <n v="3.3"/>
    <s v="No"/>
    <s v="Yes"/>
    <n v="10"/>
    <s v="Debit Card"/>
    <s v="Bi-Weekly"/>
    <m/>
  </r>
  <r>
    <n v="1055"/>
    <x v="20"/>
    <x v="0"/>
    <s v="Shorts"/>
    <s v="Clothing"/>
    <n v="96"/>
    <x v="10"/>
    <s v="L"/>
    <s v="Cyan"/>
    <s v="Winter"/>
    <n v="4.9000000000000004"/>
    <s v="No"/>
    <s v="Yes"/>
    <n v="48"/>
    <s v="PayPal"/>
    <s v="Quarterly"/>
    <m/>
  </r>
  <r>
    <n v="1056"/>
    <x v="27"/>
    <x v="0"/>
    <s v="Jacket"/>
    <s v="Outerwear"/>
    <n v="27"/>
    <x v="2"/>
    <s v="M"/>
    <s v="Orange"/>
    <s v="Spring"/>
    <n v="3.3"/>
    <s v="No"/>
    <s v="Yes"/>
    <n v="24"/>
    <s v="Debit Card"/>
    <s v="Annually"/>
    <m/>
  </r>
  <r>
    <n v="1057"/>
    <x v="30"/>
    <x v="0"/>
    <s v="Sweater"/>
    <s v="Clothing"/>
    <n v="64"/>
    <x v="37"/>
    <s v="L"/>
    <s v="Black"/>
    <s v="Winter"/>
    <n v="2.9"/>
    <s v="No"/>
    <s v="Yes"/>
    <n v="42"/>
    <s v="Venmo"/>
    <s v="Fortnightly"/>
    <m/>
  </r>
  <r>
    <n v="1058"/>
    <x v="13"/>
    <x v="0"/>
    <s v="Jacket"/>
    <s v="Outerwear"/>
    <n v="23"/>
    <x v="48"/>
    <s v="S"/>
    <s v="Maroon"/>
    <s v="Spring"/>
    <n v="4.4000000000000004"/>
    <s v="No"/>
    <s v="Yes"/>
    <n v="20"/>
    <s v="Credit Card"/>
    <s v="Weekly"/>
    <m/>
  </r>
  <r>
    <n v="1059"/>
    <x v="26"/>
    <x v="0"/>
    <s v="Scarf"/>
    <s v="Accessories"/>
    <n v="33"/>
    <x v="35"/>
    <s v="L"/>
    <s v="Violet"/>
    <s v="Summer"/>
    <n v="3.1"/>
    <s v="No"/>
    <s v="Yes"/>
    <n v="49"/>
    <s v="Bank Transfer"/>
    <s v="Every 3 Months"/>
    <m/>
  </r>
  <r>
    <n v="1060"/>
    <x v="40"/>
    <x v="0"/>
    <s v="Jacket"/>
    <s v="Outerwear"/>
    <n v="34"/>
    <x v="17"/>
    <s v="M"/>
    <s v="Beige"/>
    <s v="Winter"/>
    <n v="2.5"/>
    <s v="No"/>
    <s v="Yes"/>
    <n v="25"/>
    <s v="Debit Card"/>
    <s v="Monthly"/>
    <m/>
  </r>
  <r>
    <n v="1061"/>
    <x v="7"/>
    <x v="0"/>
    <s v="Sweater"/>
    <s v="Clothing"/>
    <n v="35"/>
    <x v="44"/>
    <s v="S"/>
    <s v="Gray"/>
    <s v="Summer"/>
    <n v="2.6"/>
    <s v="No"/>
    <s v="Yes"/>
    <n v="21"/>
    <s v="Debit Card"/>
    <s v="Every 3 Months"/>
    <m/>
  </r>
  <r>
    <n v="1062"/>
    <x v="24"/>
    <x v="0"/>
    <s v="Coat"/>
    <s v="Outerwear"/>
    <n v="62"/>
    <x v="37"/>
    <s v="M"/>
    <s v="Gray"/>
    <s v="Summer"/>
    <n v="4.4000000000000004"/>
    <s v="No"/>
    <s v="Yes"/>
    <n v="12"/>
    <s v="Venmo"/>
    <s v="Every 3 Months"/>
    <m/>
  </r>
  <r>
    <n v="1063"/>
    <x v="35"/>
    <x v="0"/>
    <s v="Boots"/>
    <s v="Footwear"/>
    <n v="75"/>
    <x v="31"/>
    <s v="M"/>
    <s v="Brown"/>
    <s v="Fall"/>
    <n v="2.6"/>
    <s v="No"/>
    <s v="Yes"/>
    <n v="21"/>
    <s v="Debit Card"/>
    <s v="Every 3 Months"/>
    <m/>
  </r>
  <r>
    <n v="1064"/>
    <x v="46"/>
    <x v="0"/>
    <s v="Hoodie"/>
    <s v="Clothing"/>
    <n v="29"/>
    <x v="15"/>
    <s v="S"/>
    <s v="Indigo"/>
    <s v="Summer"/>
    <n v="3.3"/>
    <s v="No"/>
    <s v="Yes"/>
    <n v="35"/>
    <s v="Cash"/>
    <s v="Monthly"/>
    <m/>
  </r>
  <r>
    <n v="1065"/>
    <x v="50"/>
    <x v="0"/>
    <s v="Hat"/>
    <s v="Accessories"/>
    <n v="28"/>
    <x v="5"/>
    <s v="M"/>
    <s v="Violet"/>
    <s v="Spring"/>
    <n v="3.5"/>
    <s v="No"/>
    <s v="Yes"/>
    <n v="42"/>
    <s v="Credit Card"/>
    <s v="Every 3 Months"/>
    <m/>
  </r>
  <r>
    <n v="1066"/>
    <x v="35"/>
    <x v="0"/>
    <s v="T-shirt"/>
    <s v="Clothing"/>
    <n v="20"/>
    <x v="15"/>
    <s v="XL"/>
    <s v="Blue"/>
    <s v="Spring"/>
    <n v="4.0999999999999996"/>
    <s v="No"/>
    <s v="Yes"/>
    <n v="3"/>
    <s v="PayPal"/>
    <s v="Every 3 Months"/>
    <m/>
  </r>
  <r>
    <n v="1067"/>
    <x v="34"/>
    <x v="0"/>
    <s v="Coat"/>
    <s v="Outerwear"/>
    <n v="96"/>
    <x v="16"/>
    <s v="M"/>
    <s v="Red"/>
    <s v="Winter"/>
    <n v="4"/>
    <s v="No"/>
    <s v="Yes"/>
    <n v="11"/>
    <s v="PayPal"/>
    <s v="Bi-Weekly"/>
    <m/>
  </r>
  <r>
    <n v="1068"/>
    <x v="20"/>
    <x v="0"/>
    <s v="Dress"/>
    <s v="Clothing"/>
    <n v="43"/>
    <x v="38"/>
    <s v="S"/>
    <s v="Peach"/>
    <s v="Summer"/>
    <n v="2.7"/>
    <s v="No"/>
    <s v="Yes"/>
    <n v="22"/>
    <s v="PayPal"/>
    <s v="Quarterly"/>
    <m/>
  </r>
  <r>
    <n v="1069"/>
    <x v="0"/>
    <x v="0"/>
    <s v="Shirt"/>
    <s v="Clothing"/>
    <n v="94"/>
    <x v="5"/>
    <s v="M"/>
    <s v="Olive"/>
    <s v="Fall"/>
    <n v="2.5"/>
    <s v="No"/>
    <s v="Yes"/>
    <n v="47"/>
    <s v="Credit Card"/>
    <s v="Weekly"/>
    <m/>
  </r>
  <r>
    <n v="1070"/>
    <x v="21"/>
    <x v="0"/>
    <s v="Skirt"/>
    <s v="Clothing"/>
    <n v="81"/>
    <x v="33"/>
    <s v="XL"/>
    <s v="White"/>
    <s v="Fall"/>
    <n v="4.3"/>
    <s v="No"/>
    <s v="Yes"/>
    <n v="33"/>
    <s v="Venmo"/>
    <s v="Every 3 Months"/>
    <m/>
  </r>
  <r>
    <n v="1071"/>
    <x v="2"/>
    <x v="0"/>
    <s v="Jewelry"/>
    <s v="Accessories"/>
    <n v="75"/>
    <x v="17"/>
    <s v="M"/>
    <s v="Magenta"/>
    <s v="Summer"/>
    <n v="3.3"/>
    <s v="No"/>
    <s v="Yes"/>
    <n v="50"/>
    <s v="Debit Card"/>
    <s v="Weekly"/>
    <m/>
  </r>
  <r>
    <n v="1072"/>
    <x v="12"/>
    <x v="0"/>
    <s v="Hat"/>
    <s v="Accessories"/>
    <n v="81"/>
    <x v="38"/>
    <s v="M"/>
    <s v="Beige"/>
    <s v="Summer"/>
    <n v="2.6"/>
    <s v="No"/>
    <s v="Yes"/>
    <n v="46"/>
    <s v="Credit Card"/>
    <s v="Monthly"/>
    <m/>
  </r>
  <r>
    <n v="1073"/>
    <x v="39"/>
    <x v="0"/>
    <s v="Shorts"/>
    <s v="Clothing"/>
    <n v="92"/>
    <x v="37"/>
    <s v="L"/>
    <s v="Gold"/>
    <s v="Fall"/>
    <n v="3.5"/>
    <s v="No"/>
    <s v="Yes"/>
    <n v="34"/>
    <s v="Debit Card"/>
    <s v="Fortnightly"/>
    <m/>
  </r>
  <r>
    <n v="1074"/>
    <x v="40"/>
    <x v="0"/>
    <s v="Scarf"/>
    <s v="Accessories"/>
    <n v="96"/>
    <x v="18"/>
    <s v="XL"/>
    <s v="Purple"/>
    <s v="Spring"/>
    <n v="4"/>
    <s v="No"/>
    <s v="Yes"/>
    <n v="33"/>
    <s v="Credit Card"/>
    <s v="Monthly"/>
    <m/>
  </r>
  <r>
    <n v="1075"/>
    <x v="39"/>
    <x v="0"/>
    <s v="Jewelry"/>
    <s v="Accessories"/>
    <n v="71"/>
    <x v="30"/>
    <s v="S"/>
    <s v="White"/>
    <s v="Fall"/>
    <n v="2.6"/>
    <s v="No"/>
    <s v="Yes"/>
    <n v="45"/>
    <s v="Bank Transfer"/>
    <s v="Fortnightly"/>
    <m/>
  </r>
  <r>
    <n v="1076"/>
    <x v="9"/>
    <x v="0"/>
    <s v="Sunglasses"/>
    <s v="Accessories"/>
    <n v="50"/>
    <x v="9"/>
    <s v="L"/>
    <s v="Indigo"/>
    <s v="Summer"/>
    <n v="4.9000000000000004"/>
    <s v="No"/>
    <s v="Yes"/>
    <n v="32"/>
    <s v="Debit Card"/>
    <s v="Bi-Weekly"/>
    <m/>
  </r>
  <r>
    <n v="1077"/>
    <x v="23"/>
    <x v="0"/>
    <s v="Coat"/>
    <s v="Outerwear"/>
    <n v="72"/>
    <x v="25"/>
    <s v="L"/>
    <s v="Charcoal"/>
    <s v="Spring"/>
    <n v="2.9"/>
    <s v="No"/>
    <s v="Yes"/>
    <n v="47"/>
    <s v="Venmo"/>
    <s v="Bi-Weekly"/>
    <m/>
  </r>
  <r>
    <n v="1078"/>
    <x v="44"/>
    <x v="0"/>
    <s v="Jacket"/>
    <s v="Outerwear"/>
    <n v="28"/>
    <x v="8"/>
    <s v="M"/>
    <s v="Pink"/>
    <s v="Winter"/>
    <n v="3.7"/>
    <s v="No"/>
    <s v="Yes"/>
    <n v="5"/>
    <s v="PayPal"/>
    <s v="Quarterly"/>
    <m/>
  </r>
  <r>
    <n v="1079"/>
    <x v="43"/>
    <x v="0"/>
    <s v="Sweater"/>
    <s v="Clothing"/>
    <n v="59"/>
    <x v="28"/>
    <s v="M"/>
    <s v="Silver"/>
    <s v="Fall"/>
    <n v="4.4000000000000004"/>
    <s v="No"/>
    <s v="Yes"/>
    <n v="49"/>
    <s v="Credit Card"/>
    <s v="Fortnightly"/>
    <m/>
  </r>
  <r>
    <n v="1080"/>
    <x v="20"/>
    <x v="0"/>
    <s v="Coat"/>
    <s v="Outerwear"/>
    <n v="33"/>
    <x v="19"/>
    <s v="S"/>
    <s v="Blue"/>
    <s v="Summer"/>
    <n v="4.4000000000000004"/>
    <s v="No"/>
    <s v="Yes"/>
    <n v="48"/>
    <s v="Bank Transfer"/>
    <s v="Monthly"/>
    <m/>
  </r>
  <r>
    <n v="1081"/>
    <x v="13"/>
    <x v="0"/>
    <s v="Scarf"/>
    <s v="Accessories"/>
    <n v="59"/>
    <x v="38"/>
    <s v="L"/>
    <s v="Blue"/>
    <s v="Fall"/>
    <n v="3.8"/>
    <s v="No"/>
    <s v="Yes"/>
    <n v="22"/>
    <s v="Cash"/>
    <s v="Every 3 Months"/>
    <m/>
  </r>
  <r>
    <n v="1082"/>
    <x v="46"/>
    <x v="0"/>
    <s v="Belt"/>
    <s v="Accessories"/>
    <n v="30"/>
    <x v="37"/>
    <s v="XL"/>
    <s v="Brown"/>
    <s v="Spring"/>
    <n v="4.5"/>
    <s v="No"/>
    <s v="Yes"/>
    <n v="45"/>
    <s v="Credit Card"/>
    <s v="Annually"/>
    <m/>
  </r>
  <r>
    <n v="1083"/>
    <x v="22"/>
    <x v="0"/>
    <s v="Hat"/>
    <s v="Accessories"/>
    <n v="85"/>
    <x v="36"/>
    <s v="XL"/>
    <s v="Cyan"/>
    <s v="Winter"/>
    <n v="2.6"/>
    <s v="No"/>
    <s v="Yes"/>
    <n v="30"/>
    <s v="Venmo"/>
    <s v="Quarterly"/>
    <m/>
  </r>
  <r>
    <n v="1084"/>
    <x v="25"/>
    <x v="0"/>
    <s v="Backpack"/>
    <s v="Accessories"/>
    <n v="97"/>
    <x v="47"/>
    <s v="L"/>
    <s v="Teal"/>
    <s v="Summer"/>
    <n v="3.3"/>
    <s v="No"/>
    <s v="Yes"/>
    <n v="43"/>
    <s v="Cash"/>
    <s v="Weekly"/>
    <m/>
  </r>
  <r>
    <n v="1085"/>
    <x v="50"/>
    <x v="0"/>
    <s v="T-shirt"/>
    <s v="Clothing"/>
    <n v="36"/>
    <x v="10"/>
    <s v="S"/>
    <s v="Purple"/>
    <s v="Fall"/>
    <n v="4.0999999999999996"/>
    <s v="No"/>
    <s v="Yes"/>
    <n v="48"/>
    <s v="Cash"/>
    <s v="Quarterly"/>
    <m/>
  </r>
  <r>
    <n v="1086"/>
    <x v="15"/>
    <x v="0"/>
    <s v="Jewelry"/>
    <s v="Accessories"/>
    <n v="85"/>
    <x v="40"/>
    <s v="M"/>
    <s v="Turquoise"/>
    <s v="Winter"/>
    <n v="3"/>
    <s v="No"/>
    <s v="Yes"/>
    <n v="23"/>
    <s v="Venmo"/>
    <s v="Fortnightly"/>
    <m/>
  </r>
  <r>
    <n v="1087"/>
    <x v="10"/>
    <x v="0"/>
    <s v="Sunglasses"/>
    <s v="Accessories"/>
    <n v="62"/>
    <x v="29"/>
    <s v="M"/>
    <s v="Olive"/>
    <s v="Winter"/>
    <n v="3"/>
    <s v="No"/>
    <s v="Yes"/>
    <n v="27"/>
    <s v="PayPal"/>
    <s v="Bi-Weekly"/>
    <m/>
  </r>
  <r>
    <n v="1088"/>
    <x v="4"/>
    <x v="0"/>
    <s v="Jeans"/>
    <s v="Clothing"/>
    <n v="71"/>
    <x v="8"/>
    <s v="S"/>
    <s v="White"/>
    <s v="Winter"/>
    <n v="3.4"/>
    <s v="No"/>
    <s v="Yes"/>
    <n v="7"/>
    <s v="Bank Transfer"/>
    <s v="Monthly"/>
    <m/>
  </r>
  <r>
    <n v="1089"/>
    <x v="34"/>
    <x v="0"/>
    <s v="Pants"/>
    <s v="Clothing"/>
    <n v="21"/>
    <x v="7"/>
    <s v="M"/>
    <s v="Turquoise"/>
    <s v="Winter"/>
    <n v="2.7"/>
    <s v="No"/>
    <s v="Yes"/>
    <n v="2"/>
    <s v="PayPal"/>
    <s v="Weekly"/>
    <m/>
  </r>
  <r>
    <n v="1090"/>
    <x v="37"/>
    <x v="0"/>
    <s v="Backpack"/>
    <s v="Accessories"/>
    <n v="61"/>
    <x v="28"/>
    <s v="M"/>
    <s v="Silver"/>
    <s v="Spring"/>
    <n v="3.8"/>
    <s v="No"/>
    <s v="Yes"/>
    <n v="33"/>
    <s v="PayPal"/>
    <s v="Bi-Weekly"/>
    <m/>
  </r>
  <r>
    <n v="1091"/>
    <x v="21"/>
    <x v="0"/>
    <s v="Scarf"/>
    <s v="Accessories"/>
    <n v="58"/>
    <x v="39"/>
    <s v="M"/>
    <s v="Violet"/>
    <s v="Spring"/>
    <n v="4.2"/>
    <s v="No"/>
    <s v="Yes"/>
    <n v="27"/>
    <s v="Cash"/>
    <s v="Fortnightly"/>
    <m/>
  </r>
  <r>
    <n v="1092"/>
    <x v="42"/>
    <x v="0"/>
    <s v="Sweater"/>
    <s v="Clothing"/>
    <n v="80"/>
    <x v="17"/>
    <s v="L"/>
    <s v="Lavender"/>
    <s v="Spring"/>
    <n v="4.7"/>
    <s v="No"/>
    <s v="Yes"/>
    <n v="6"/>
    <s v="Credit Card"/>
    <s v="Fortnightly"/>
    <m/>
  </r>
  <r>
    <n v="1093"/>
    <x v="33"/>
    <x v="0"/>
    <s v="Jewelry"/>
    <s v="Accessories"/>
    <n v="50"/>
    <x v="45"/>
    <s v="L"/>
    <s v="Magenta"/>
    <s v="Spring"/>
    <n v="4.0999999999999996"/>
    <s v="No"/>
    <s v="Yes"/>
    <n v="20"/>
    <s v="Venmo"/>
    <s v="Quarterly"/>
    <m/>
  </r>
  <r>
    <n v="1094"/>
    <x v="52"/>
    <x v="0"/>
    <s v="Sneakers"/>
    <s v="Footwear"/>
    <n v="48"/>
    <x v="12"/>
    <s v="S"/>
    <s v="Indigo"/>
    <s v="Winter"/>
    <n v="4.2"/>
    <s v="No"/>
    <s v="Yes"/>
    <n v="46"/>
    <s v="Venmo"/>
    <s v="Every 3 Months"/>
    <m/>
  </r>
  <r>
    <n v="1095"/>
    <x v="15"/>
    <x v="0"/>
    <s v="Jewelry"/>
    <s v="Accessories"/>
    <n v="40"/>
    <x v="39"/>
    <s v="M"/>
    <s v="Black"/>
    <s v="Winter"/>
    <n v="4.8"/>
    <s v="No"/>
    <s v="Yes"/>
    <n v="25"/>
    <s v="Cash"/>
    <s v="Quarterly"/>
    <m/>
  </r>
  <r>
    <n v="1096"/>
    <x v="1"/>
    <x v="0"/>
    <s v="Coat"/>
    <s v="Outerwear"/>
    <n v="34"/>
    <x v="30"/>
    <s v="S"/>
    <s v="Peach"/>
    <s v="Summer"/>
    <n v="3"/>
    <s v="No"/>
    <s v="Yes"/>
    <n v="30"/>
    <s v="Bank Transfer"/>
    <s v="Quarterly"/>
    <m/>
  </r>
  <r>
    <n v="1097"/>
    <x v="9"/>
    <x v="0"/>
    <s v="Coat"/>
    <s v="Outerwear"/>
    <n v="46"/>
    <x v="13"/>
    <s v="S"/>
    <s v="Beige"/>
    <s v="Fall"/>
    <n v="2.6"/>
    <s v="No"/>
    <s v="Yes"/>
    <n v="48"/>
    <s v="Credit Card"/>
    <s v="Annually"/>
    <m/>
  </r>
  <r>
    <n v="1098"/>
    <x v="44"/>
    <x v="0"/>
    <s v="Sunglasses"/>
    <s v="Accessories"/>
    <n v="27"/>
    <x v="34"/>
    <s v="M"/>
    <s v="Black"/>
    <s v="Summer"/>
    <n v="3.2"/>
    <s v="No"/>
    <s v="Yes"/>
    <n v="47"/>
    <s v="Bank Transfer"/>
    <s v="Weekly"/>
    <m/>
  </r>
  <r>
    <n v="1099"/>
    <x v="34"/>
    <x v="0"/>
    <s v="Handbag"/>
    <s v="Accessories"/>
    <n v="98"/>
    <x v="37"/>
    <s v="S"/>
    <s v="Turquoise"/>
    <s v="Spring"/>
    <n v="3.6"/>
    <s v="No"/>
    <s v="Yes"/>
    <n v="27"/>
    <s v="Credit Card"/>
    <s v="Weekly"/>
    <m/>
  </r>
  <r>
    <n v="1100"/>
    <x v="1"/>
    <x v="0"/>
    <s v="Sweater"/>
    <s v="Clothing"/>
    <n v="73"/>
    <x v="17"/>
    <s v="M"/>
    <s v="Peach"/>
    <s v="Fall"/>
    <n v="2.6"/>
    <s v="No"/>
    <s v="Yes"/>
    <n v="45"/>
    <s v="Bank Transfer"/>
    <s v="Fortnightly"/>
    <m/>
  </r>
  <r>
    <n v="1101"/>
    <x v="2"/>
    <x v="0"/>
    <s v="Pants"/>
    <s v="Clothing"/>
    <n v="28"/>
    <x v="22"/>
    <s v="L"/>
    <s v="Gold"/>
    <s v="Spring"/>
    <n v="4.4000000000000004"/>
    <s v="No"/>
    <s v="Yes"/>
    <n v="2"/>
    <s v="Credit Card"/>
    <s v="Weekly"/>
    <m/>
  </r>
  <r>
    <n v="1102"/>
    <x v="11"/>
    <x v="0"/>
    <s v="Gloves"/>
    <s v="Accessories"/>
    <n v="76"/>
    <x v="12"/>
    <s v="XL"/>
    <s v="Silver"/>
    <s v="Fall"/>
    <n v="3"/>
    <s v="No"/>
    <s v="Yes"/>
    <n v="39"/>
    <s v="Cash"/>
    <s v="Fortnightly"/>
    <m/>
  </r>
  <r>
    <n v="1103"/>
    <x v="16"/>
    <x v="0"/>
    <s v="Sweater"/>
    <s v="Clothing"/>
    <n v="83"/>
    <x v="21"/>
    <s v="M"/>
    <s v="Peach"/>
    <s v="Fall"/>
    <n v="2.9"/>
    <s v="No"/>
    <s v="Yes"/>
    <n v="24"/>
    <s v="Cash"/>
    <s v="Fortnightly"/>
    <m/>
  </r>
  <r>
    <n v="1104"/>
    <x v="25"/>
    <x v="0"/>
    <s v="Hoodie"/>
    <s v="Clothing"/>
    <n v="23"/>
    <x v="30"/>
    <s v="S"/>
    <s v="Charcoal"/>
    <s v="Spring"/>
    <n v="4.3"/>
    <s v="No"/>
    <s v="Yes"/>
    <n v="8"/>
    <s v="Debit Card"/>
    <s v="Bi-Weekly"/>
    <m/>
  </r>
  <r>
    <n v="1105"/>
    <x v="25"/>
    <x v="0"/>
    <s v="Hat"/>
    <s v="Accessories"/>
    <n v="28"/>
    <x v="12"/>
    <s v="M"/>
    <s v="Beige"/>
    <s v="Fall"/>
    <n v="3.1"/>
    <s v="No"/>
    <s v="Yes"/>
    <n v="8"/>
    <s v="Bank Transfer"/>
    <s v="Quarterly"/>
    <m/>
  </r>
  <r>
    <n v="1106"/>
    <x v="23"/>
    <x v="0"/>
    <s v="T-shirt"/>
    <s v="Clothing"/>
    <n v="83"/>
    <x v="2"/>
    <s v="S"/>
    <s v="Olive"/>
    <s v="Spring"/>
    <n v="3"/>
    <s v="No"/>
    <s v="Yes"/>
    <n v="6"/>
    <s v="Venmo"/>
    <s v="Every 3 Months"/>
    <m/>
  </r>
  <r>
    <n v="1107"/>
    <x v="16"/>
    <x v="0"/>
    <s v="Skirt"/>
    <s v="Clothing"/>
    <n v="96"/>
    <x v="46"/>
    <s v="L"/>
    <s v="Violet"/>
    <s v="Winter"/>
    <n v="3.6"/>
    <s v="No"/>
    <s v="Yes"/>
    <n v="12"/>
    <s v="Venmo"/>
    <s v="Fortnightly"/>
    <m/>
  </r>
  <r>
    <n v="1108"/>
    <x v="28"/>
    <x v="0"/>
    <s v="Sneakers"/>
    <s v="Footwear"/>
    <n v="62"/>
    <x v="21"/>
    <s v="M"/>
    <s v="Peach"/>
    <s v="Fall"/>
    <n v="2.8"/>
    <s v="No"/>
    <s v="Yes"/>
    <n v="26"/>
    <s v="Bank Transfer"/>
    <s v="Weekly"/>
    <m/>
  </r>
  <r>
    <n v="1109"/>
    <x v="7"/>
    <x v="0"/>
    <s v="Shorts"/>
    <s v="Clothing"/>
    <n v="25"/>
    <x v="43"/>
    <s v="M"/>
    <s v="Teal"/>
    <s v="Fall"/>
    <n v="2.8"/>
    <s v="No"/>
    <s v="Yes"/>
    <n v="50"/>
    <s v="Cash"/>
    <s v="Fortnightly"/>
    <m/>
  </r>
  <r>
    <n v="1110"/>
    <x v="17"/>
    <x v="0"/>
    <s v="Hoodie"/>
    <s v="Clothing"/>
    <n v="97"/>
    <x v="19"/>
    <s v="L"/>
    <s v="Violet"/>
    <s v="Winter"/>
    <n v="4.9000000000000004"/>
    <s v="No"/>
    <s v="Yes"/>
    <n v="2"/>
    <s v="Venmo"/>
    <s v="Weekly"/>
    <m/>
  </r>
  <r>
    <n v="1111"/>
    <x v="48"/>
    <x v="0"/>
    <s v="Hoodie"/>
    <s v="Clothing"/>
    <n v="61"/>
    <x v="21"/>
    <s v="L"/>
    <s v="Cyan"/>
    <s v="Fall"/>
    <n v="3"/>
    <s v="No"/>
    <s v="Yes"/>
    <n v="31"/>
    <s v="Cash"/>
    <s v="Bi-Weekly"/>
    <m/>
  </r>
  <r>
    <n v="1112"/>
    <x v="40"/>
    <x v="0"/>
    <s v="Shoes"/>
    <s v="Footwear"/>
    <n v="66"/>
    <x v="14"/>
    <s v="S"/>
    <s v="Olive"/>
    <s v="Summer"/>
    <n v="4.0999999999999996"/>
    <s v="No"/>
    <s v="Yes"/>
    <n v="4"/>
    <s v="Credit Card"/>
    <s v="Bi-Weekly"/>
    <m/>
  </r>
  <r>
    <n v="1113"/>
    <x v="28"/>
    <x v="0"/>
    <s v="Hoodie"/>
    <s v="Clothing"/>
    <n v="67"/>
    <x v="47"/>
    <s v="XL"/>
    <s v="Pink"/>
    <s v="Spring"/>
    <n v="4.5999999999999996"/>
    <s v="No"/>
    <s v="Yes"/>
    <n v="32"/>
    <s v="PayPal"/>
    <s v="Quarterly"/>
    <m/>
  </r>
  <r>
    <n v="1114"/>
    <x v="48"/>
    <x v="0"/>
    <s v="Sunglasses"/>
    <s v="Accessories"/>
    <n v="80"/>
    <x v="33"/>
    <s v="M"/>
    <s v="Purple"/>
    <s v="Summer"/>
    <n v="4.8"/>
    <s v="No"/>
    <s v="Yes"/>
    <n v="11"/>
    <s v="PayPal"/>
    <s v="Bi-Weekly"/>
    <m/>
  </r>
  <r>
    <n v="1115"/>
    <x v="0"/>
    <x v="0"/>
    <s v="Skirt"/>
    <s v="Clothing"/>
    <n v="25"/>
    <x v="13"/>
    <s v="L"/>
    <s v="Violet"/>
    <s v="Fall"/>
    <n v="2.6"/>
    <s v="No"/>
    <s v="Yes"/>
    <n v="47"/>
    <s v="Bank Transfer"/>
    <s v="Every 3 Months"/>
    <m/>
  </r>
  <r>
    <n v="1116"/>
    <x v="11"/>
    <x v="0"/>
    <s v="Hat"/>
    <s v="Accessories"/>
    <n v="58"/>
    <x v="14"/>
    <s v="S"/>
    <s v="Peach"/>
    <s v="Fall"/>
    <n v="4"/>
    <s v="No"/>
    <s v="Yes"/>
    <n v="37"/>
    <s v="Cash"/>
    <s v="Weekly"/>
    <m/>
  </r>
  <r>
    <n v="1117"/>
    <x v="29"/>
    <x v="0"/>
    <s v="Backpack"/>
    <s v="Accessories"/>
    <n v="96"/>
    <x v="11"/>
    <s v="M"/>
    <s v="Charcoal"/>
    <s v="Winter"/>
    <n v="4.2"/>
    <s v="No"/>
    <s v="Yes"/>
    <n v="39"/>
    <s v="PayPal"/>
    <s v="Fortnightly"/>
    <m/>
  </r>
  <r>
    <n v="1118"/>
    <x v="15"/>
    <x v="0"/>
    <s v="Sunglasses"/>
    <s v="Accessories"/>
    <n v="77"/>
    <x v="18"/>
    <s v="L"/>
    <s v="Lavender"/>
    <s v="Spring"/>
    <n v="4.5"/>
    <s v="No"/>
    <s v="Yes"/>
    <n v="24"/>
    <s v="Credit Card"/>
    <s v="Monthly"/>
    <m/>
  </r>
  <r>
    <n v="1119"/>
    <x v="34"/>
    <x v="0"/>
    <s v="Belt"/>
    <s v="Accessories"/>
    <n v="65"/>
    <x v="27"/>
    <s v="M"/>
    <s v="Purple"/>
    <s v="Summer"/>
    <n v="4.9000000000000004"/>
    <s v="No"/>
    <s v="Yes"/>
    <n v="11"/>
    <s v="PayPal"/>
    <s v="Every 3 Months"/>
    <m/>
  </r>
  <r>
    <n v="1120"/>
    <x v="50"/>
    <x v="0"/>
    <s v="Jewelry"/>
    <s v="Accessories"/>
    <n v="36"/>
    <x v="7"/>
    <s v="M"/>
    <s v="Indigo"/>
    <s v="Spring"/>
    <n v="3.1"/>
    <s v="No"/>
    <s v="Yes"/>
    <n v="36"/>
    <s v="Credit Card"/>
    <s v="Weekly"/>
    <m/>
  </r>
  <r>
    <n v="1121"/>
    <x v="40"/>
    <x v="0"/>
    <s v="Sneakers"/>
    <s v="Footwear"/>
    <n v="84"/>
    <x v="38"/>
    <s v="M"/>
    <s v="Magenta"/>
    <s v="Winter"/>
    <n v="4"/>
    <s v="No"/>
    <s v="Yes"/>
    <n v="40"/>
    <s v="Debit Card"/>
    <s v="Monthly"/>
    <m/>
  </r>
  <r>
    <n v="1122"/>
    <x v="6"/>
    <x v="0"/>
    <s v="T-shirt"/>
    <s v="Clothing"/>
    <n v="58"/>
    <x v="20"/>
    <s v="XL"/>
    <s v="Peach"/>
    <s v="Fall"/>
    <n v="3.2"/>
    <s v="No"/>
    <s v="Yes"/>
    <n v="25"/>
    <s v="Cash"/>
    <s v="Quarterly"/>
    <m/>
  </r>
  <r>
    <n v="1123"/>
    <x v="27"/>
    <x v="0"/>
    <s v="Handbag"/>
    <s v="Accessories"/>
    <n v="62"/>
    <x v="17"/>
    <s v="S"/>
    <s v="Charcoal"/>
    <s v="Spring"/>
    <n v="4.3"/>
    <s v="No"/>
    <s v="Yes"/>
    <n v="12"/>
    <s v="Credit Card"/>
    <s v="Annually"/>
    <m/>
  </r>
  <r>
    <n v="1124"/>
    <x v="24"/>
    <x v="0"/>
    <s v="Hat"/>
    <s v="Accessories"/>
    <n v="67"/>
    <x v="2"/>
    <s v="S"/>
    <s v="Purple"/>
    <s v="Fall"/>
    <n v="2.5"/>
    <s v="No"/>
    <s v="Yes"/>
    <n v="38"/>
    <s v="Cash"/>
    <s v="Monthly"/>
    <m/>
  </r>
  <r>
    <n v="1125"/>
    <x v="32"/>
    <x v="0"/>
    <s v="Sweater"/>
    <s v="Clothing"/>
    <n v="20"/>
    <x v="44"/>
    <s v="M"/>
    <s v="Orange"/>
    <s v="Spring"/>
    <n v="4.9000000000000004"/>
    <s v="No"/>
    <s v="Yes"/>
    <n v="40"/>
    <s v="Cash"/>
    <s v="Quarterly"/>
    <m/>
  </r>
  <r>
    <n v="1126"/>
    <x v="7"/>
    <x v="0"/>
    <s v="Sandals"/>
    <s v="Footwear"/>
    <n v="90"/>
    <x v="25"/>
    <s v="M"/>
    <s v="Lavender"/>
    <s v="Summer"/>
    <n v="2.7"/>
    <s v="No"/>
    <s v="Yes"/>
    <n v="10"/>
    <s v="Bank Transfer"/>
    <s v="Weekly"/>
    <m/>
  </r>
  <r>
    <n v="1127"/>
    <x v="51"/>
    <x v="0"/>
    <s v="Scarf"/>
    <s v="Accessories"/>
    <n v="58"/>
    <x v="44"/>
    <s v="L"/>
    <s v="Beige"/>
    <s v="Winter"/>
    <n v="3.4"/>
    <s v="No"/>
    <s v="Yes"/>
    <n v="47"/>
    <s v="Venmo"/>
    <s v="Fortnightly"/>
    <m/>
  </r>
  <r>
    <n v="1128"/>
    <x v="2"/>
    <x v="0"/>
    <s v="Shirt"/>
    <s v="Clothing"/>
    <n v="53"/>
    <x v="12"/>
    <s v="XL"/>
    <s v="Maroon"/>
    <s v="Spring"/>
    <n v="4.8"/>
    <s v="No"/>
    <s v="Yes"/>
    <n v="22"/>
    <s v="Debit Card"/>
    <s v="Monthly"/>
    <m/>
  </r>
  <r>
    <n v="1129"/>
    <x v="19"/>
    <x v="0"/>
    <s v="Gloves"/>
    <s v="Accessories"/>
    <n v="30"/>
    <x v="14"/>
    <s v="L"/>
    <s v="Charcoal"/>
    <s v="Winter"/>
    <n v="4.7"/>
    <s v="No"/>
    <s v="Yes"/>
    <n v="35"/>
    <s v="Debit Card"/>
    <s v="Monthly"/>
    <m/>
  </r>
  <r>
    <n v="1130"/>
    <x v="43"/>
    <x v="0"/>
    <s v="Hoodie"/>
    <s v="Clothing"/>
    <n v="65"/>
    <x v="13"/>
    <s v="XL"/>
    <s v="White"/>
    <s v="Winter"/>
    <n v="4.7"/>
    <s v="No"/>
    <s v="Yes"/>
    <n v="46"/>
    <s v="Venmo"/>
    <s v="Fortnightly"/>
    <m/>
  </r>
  <r>
    <n v="1131"/>
    <x v="29"/>
    <x v="0"/>
    <s v="Jewelry"/>
    <s v="Accessories"/>
    <n v="41"/>
    <x v="0"/>
    <s v="M"/>
    <s v="Lavender"/>
    <s v="Summer"/>
    <n v="3.9"/>
    <s v="No"/>
    <s v="Yes"/>
    <n v="30"/>
    <s v="PayPal"/>
    <s v="Bi-Weekly"/>
    <m/>
  </r>
  <r>
    <n v="1132"/>
    <x v="29"/>
    <x v="0"/>
    <s v="Shirt"/>
    <s v="Clothing"/>
    <n v="73"/>
    <x v="26"/>
    <s v="M"/>
    <s v="Black"/>
    <s v="Spring"/>
    <n v="3.7"/>
    <s v="No"/>
    <s v="Yes"/>
    <n v="20"/>
    <s v="Bank Transfer"/>
    <s v="Monthly"/>
    <m/>
  </r>
  <r>
    <n v="1133"/>
    <x v="2"/>
    <x v="0"/>
    <s v="Hoodie"/>
    <s v="Clothing"/>
    <n v="98"/>
    <x v="17"/>
    <s v="S"/>
    <s v="Teal"/>
    <s v="Spring"/>
    <n v="4.3"/>
    <s v="No"/>
    <s v="Yes"/>
    <n v="25"/>
    <s v="Cash"/>
    <s v="Fortnightly"/>
    <m/>
  </r>
  <r>
    <n v="1134"/>
    <x v="24"/>
    <x v="0"/>
    <s v="Shoes"/>
    <s v="Footwear"/>
    <n v="36"/>
    <x v="39"/>
    <s v="XL"/>
    <s v="Magenta"/>
    <s v="Winter"/>
    <n v="4.0999999999999996"/>
    <s v="No"/>
    <s v="Yes"/>
    <n v="29"/>
    <s v="Cash"/>
    <s v="Weekly"/>
    <m/>
  </r>
  <r>
    <n v="1135"/>
    <x v="46"/>
    <x v="0"/>
    <s v="T-shirt"/>
    <s v="Clothing"/>
    <n v="81"/>
    <x v="48"/>
    <s v="M"/>
    <s v="Brown"/>
    <s v="Summer"/>
    <n v="4.5999999999999996"/>
    <s v="No"/>
    <s v="Yes"/>
    <n v="2"/>
    <s v="Venmo"/>
    <s v="Every 3 Months"/>
    <m/>
  </r>
  <r>
    <n v="1136"/>
    <x v="13"/>
    <x v="0"/>
    <s v="Skirt"/>
    <s v="Clothing"/>
    <n v="90"/>
    <x v="2"/>
    <s v="L"/>
    <s v="Peach"/>
    <s v="Winter"/>
    <n v="3.6"/>
    <s v="No"/>
    <s v="Yes"/>
    <n v="32"/>
    <s v="Bank Transfer"/>
    <s v="Quarterly"/>
    <m/>
  </r>
  <r>
    <n v="1137"/>
    <x v="51"/>
    <x v="0"/>
    <s v="Handbag"/>
    <s v="Accessories"/>
    <n v="83"/>
    <x v="26"/>
    <s v="S"/>
    <s v="Cyan"/>
    <s v="Summer"/>
    <n v="4.8"/>
    <s v="No"/>
    <s v="Yes"/>
    <n v="37"/>
    <s v="Cash"/>
    <s v="Monthly"/>
    <m/>
  </r>
  <r>
    <n v="1138"/>
    <x v="5"/>
    <x v="0"/>
    <s v="Shirt"/>
    <s v="Clothing"/>
    <n v="91"/>
    <x v="35"/>
    <s v="XL"/>
    <s v="Pink"/>
    <s v="Winter"/>
    <n v="2.8"/>
    <s v="No"/>
    <s v="Yes"/>
    <n v="16"/>
    <s v="Bank Transfer"/>
    <s v="Every 3 Months"/>
    <m/>
  </r>
  <r>
    <n v="1139"/>
    <x v="20"/>
    <x v="0"/>
    <s v="Pants"/>
    <s v="Clothing"/>
    <n v="36"/>
    <x v="44"/>
    <s v="M"/>
    <s v="Purple"/>
    <s v="Summer"/>
    <n v="4.7"/>
    <s v="No"/>
    <s v="Yes"/>
    <n v="32"/>
    <s v="Venmo"/>
    <s v="Fortnightly"/>
    <m/>
  </r>
  <r>
    <n v="1140"/>
    <x v="44"/>
    <x v="0"/>
    <s v="Coat"/>
    <s v="Outerwear"/>
    <n v="53"/>
    <x v="15"/>
    <s v="L"/>
    <s v="Purple"/>
    <s v="Spring"/>
    <n v="3.9"/>
    <s v="No"/>
    <s v="Yes"/>
    <n v="42"/>
    <s v="Debit Card"/>
    <s v="Bi-Weekly"/>
    <m/>
  </r>
  <r>
    <n v="1141"/>
    <x v="18"/>
    <x v="0"/>
    <s v="Jeans"/>
    <s v="Clothing"/>
    <n v="39"/>
    <x v="33"/>
    <s v="M"/>
    <s v="White"/>
    <s v="Winter"/>
    <n v="2.6"/>
    <s v="No"/>
    <s v="Yes"/>
    <n v="6"/>
    <s v="Credit Card"/>
    <s v="Every 3 Months"/>
    <m/>
  </r>
  <r>
    <n v="1142"/>
    <x v="31"/>
    <x v="0"/>
    <s v="Gloves"/>
    <s v="Accessories"/>
    <n v="33"/>
    <x v="31"/>
    <s v="S"/>
    <s v="Silver"/>
    <s v="Winter"/>
    <n v="4.7"/>
    <s v="No"/>
    <s v="Yes"/>
    <n v="23"/>
    <s v="PayPal"/>
    <s v="Fortnightly"/>
    <m/>
  </r>
  <r>
    <n v="1143"/>
    <x v="28"/>
    <x v="0"/>
    <s v="T-shirt"/>
    <s v="Clothing"/>
    <n v="76"/>
    <x v="31"/>
    <s v="L"/>
    <s v="Green"/>
    <s v="Spring"/>
    <n v="3.5"/>
    <s v="No"/>
    <s v="Yes"/>
    <n v="27"/>
    <s v="Venmo"/>
    <s v="Bi-Weekly"/>
    <m/>
  </r>
  <r>
    <n v="1144"/>
    <x v="33"/>
    <x v="0"/>
    <s v="Boots"/>
    <s v="Footwear"/>
    <n v="23"/>
    <x v="22"/>
    <s v="L"/>
    <s v="Teal"/>
    <s v="Winter"/>
    <n v="4.4000000000000004"/>
    <s v="No"/>
    <s v="Yes"/>
    <n v="43"/>
    <s v="PayPal"/>
    <s v="Quarterly"/>
    <m/>
  </r>
  <r>
    <n v="1145"/>
    <x v="38"/>
    <x v="0"/>
    <s v="Jeans"/>
    <s v="Clothing"/>
    <n v="54"/>
    <x v="36"/>
    <s v="S"/>
    <s v="Indigo"/>
    <s v="Fall"/>
    <n v="4.4000000000000004"/>
    <s v="No"/>
    <s v="Yes"/>
    <n v="25"/>
    <s v="Bank Transfer"/>
    <s v="Fortnightly"/>
    <m/>
  </r>
  <r>
    <n v="1146"/>
    <x v="18"/>
    <x v="0"/>
    <s v="Sneakers"/>
    <s v="Footwear"/>
    <n v="89"/>
    <x v="22"/>
    <s v="L"/>
    <s v="Pink"/>
    <s v="Summer"/>
    <n v="3"/>
    <s v="No"/>
    <s v="Yes"/>
    <n v="30"/>
    <s v="Cash"/>
    <s v="Every 3 Months"/>
    <m/>
  </r>
  <r>
    <n v="1147"/>
    <x v="39"/>
    <x v="0"/>
    <s v="Sneakers"/>
    <s v="Footwear"/>
    <n v="38"/>
    <x v="48"/>
    <s v="M"/>
    <s v="Indigo"/>
    <s v="Summer"/>
    <n v="4.2"/>
    <s v="No"/>
    <s v="Yes"/>
    <n v="7"/>
    <s v="Bank Transfer"/>
    <s v="Every 3 Months"/>
    <m/>
  </r>
  <r>
    <n v="1148"/>
    <x v="35"/>
    <x v="0"/>
    <s v="Hat"/>
    <s v="Accessories"/>
    <n v="36"/>
    <x v="30"/>
    <s v="XL"/>
    <s v="Red"/>
    <s v="Winter"/>
    <n v="4.3"/>
    <s v="No"/>
    <s v="Yes"/>
    <n v="17"/>
    <s v="Debit Card"/>
    <s v="Annually"/>
    <m/>
  </r>
  <r>
    <n v="1149"/>
    <x v="50"/>
    <x v="0"/>
    <s v="Pants"/>
    <s v="Clothing"/>
    <n v="66"/>
    <x v="20"/>
    <s v="M"/>
    <s v="Violet"/>
    <s v="Spring"/>
    <n v="2.6"/>
    <s v="No"/>
    <s v="Yes"/>
    <n v="10"/>
    <s v="PayPal"/>
    <s v="Fortnightly"/>
    <m/>
  </r>
  <r>
    <n v="1150"/>
    <x v="3"/>
    <x v="0"/>
    <s v="Jewelry"/>
    <s v="Accessories"/>
    <n v="42"/>
    <x v="42"/>
    <s v="L"/>
    <s v="Cyan"/>
    <s v="Spring"/>
    <n v="3.3"/>
    <s v="No"/>
    <s v="Yes"/>
    <n v="40"/>
    <s v="Venmo"/>
    <s v="Annually"/>
    <m/>
  </r>
  <r>
    <n v="1151"/>
    <x v="26"/>
    <x v="0"/>
    <s v="Jewelry"/>
    <s v="Accessories"/>
    <n v="36"/>
    <x v="0"/>
    <s v="S"/>
    <s v="Red"/>
    <s v="Winter"/>
    <n v="2.7"/>
    <s v="No"/>
    <s v="Yes"/>
    <n v="50"/>
    <s v="Venmo"/>
    <s v="Bi-Weekly"/>
    <m/>
  </r>
  <r>
    <n v="1152"/>
    <x v="38"/>
    <x v="0"/>
    <s v="Blouse"/>
    <s v="Clothing"/>
    <n v="86"/>
    <x v="31"/>
    <s v="M"/>
    <s v="Gray"/>
    <s v="Spring"/>
    <n v="4.2"/>
    <s v="No"/>
    <s v="Yes"/>
    <n v="24"/>
    <s v="Credit Card"/>
    <s v="Weekly"/>
    <m/>
  </r>
  <r>
    <n v="1153"/>
    <x v="46"/>
    <x v="0"/>
    <s v="Handbag"/>
    <s v="Accessories"/>
    <n v="49"/>
    <x v="39"/>
    <s v="M"/>
    <s v="Gold"/>
    <s v="Fall"/>
    <n v="4"/>
    <s v="No"/>
    <s v="Yes"/>
    <n v="8"/>
    <s v="PayPal"/>
    <s v="Every 3 Months"/>
    <m/>
  </r>
  <r>
    <n v="1154"/>
    <x v="7"/>
    <x v="0"/>
    <s v="Shirt"/>
    <s v="Clothing"/>
    <n v="41"/>
    <x v="37"/>
    <s v="M"/>
    <s v="Pink"/>
    <s v="Summer"/>
    <n v="4"/>
    <s v="No"/>
    <s v="Yes"/>
    <n v="6"/>
    <s v="Bank Transfer"/>
    <s v="Quarterly"/>
    <m/>
  </r>
  <r>
    <n v="1155"/>
    <x v="34"/>
    <x v="0"/>
    <s v="Dress"/>
    <s v="Clothing"/>
    <n v="82"/>
    <x v="42"/>
    <s v="L"/>
    <s v="Cyan"/>
    <s v="Spring"/>
    <n v="2.9"/>
    <s v="No"/>
    <s v="Yes"/>
    <n v="44"/>
    <s v="Credit Card"/>
    <s v="Bi-Weekly"/>
    <m/>
  </r>
  <r>
    <n v="1156"/>
    <x v="29"/>
    <x v="0"/>
    <s v="T-shirt"/>
    <s v="Clothing"/>
    <n v="53"/>
    <x v="30"/>
    <s v="S"/>
    <s v="Red"/>
    <s v="Fall"/>
    <n v="2.6"/>
    <s v="No"/>
    <s v="Yes"/>
    <n v="47"/>
    <s v="PayPal"/>
    <s v="Quarterly"/>
    <m/>
  </r>
  <r>
    <n v="1157"/>
    <x v="30"/>
    <x v="0"/>
    <s v="Shoes"/>
    <s v="Footwear"/>
    <n v="21"/>
    <x v="11"/>
    <s v="M"/>
    <s v="Gold"/>
    <s v="Summer"/>
    <n v="4.8"/>
    <s v="No"/>
    <s v="Yes"/>
    <n v="6"/>
    <s v="Venmo"/>
    <s v="Every 3 Months"/>
    <m/>
  </r>
  <r>
    <n v="1158"/>
    <x v="43"/>
    <x v="0"/>
    <s v="Belt"/>
    <s v="Accessories"/>
    <n v="66"/>
    <x v="33"/>
    <s v="M"/>
    <s v="Charcoal"/>
    <s v="Fall"/>
    <n v="4.4000000000000004"/>
    <s v="No"/>
    <s v="Yes"/>
    <n v="11"/>
    <s v="Cash"/>
    <s v="Quarterly"/>
    <m/>
  </r>
  <r>
    <n v="1159"/>
    <x v="28"/>
    <x v="0"/>
    <s v="Belt"/>
    <s v="Accessories"/>
    <n v="89"/>
    <x v="22"/>
    <s v="L"/>
    <s v="Orange"/>
    <s v="Summer"/>
    <n v="4"/>
    <s v="No"/>
    <s v="Yes"/>
    <n v="41"/>
    <s v="Bank Transfer"/>
    <s v="Annually"/>
    <m/>
  </r>
  <r>
    <n v="1160"/>
    <x v="17"/>
    <x v="0"/>
    <s v="Handbag"/>
    <s v="Accessories"/>
    <n v="55"/>
    <x v="13"/>
    <s v="L"/>
    <s v="Blue"/>
    <s v="Fall"/>
    <n v="3.6"/>
    <s v="No"/>
    <s v="Yes"/>
    <n v="46"/>
    <s v="Venmo"/>
    <s v="Every 3 Months"/>
    <m/>
  </r>
  <r>
    <n v="1161"/>
    <x v="43"/>
    <x v="0"/>
    <s v="Scarf"/>
    <s v="Accessories"/>
    <n v="42"/>
    <x v="25"/>
    <s v="S"/>
    <s v="Blue"/>
    <s v="Summer"/>
    <n v="3.2"/>
    <s v="No"/>
    <s v="Yes"/>
    <n v="9"/>
    <s v="Venmo"/>
    <s v="Bi-Weekly"/>
    <m/>
  </r>
  <r>
    <n v="1162"/>
    <x v="6"/>
    <x v="0"/>
    <s v="Shorts"/>
    <s v="Clothing"/>
    <n v="52"/>
    <x v="19"/>
    <s v="S"/>
    <s v="Orange"/>
    <s v="Fall"/>
    <n v="3.1"/>
    <s v="No"/>
    <s v="Yes"/>
    <n v="37"/>
    <s v="PayPal"/>
    <s v="Monthly"/>
    <m/>
  </r>
  <r>
    <n v="1163"/>
    <x v="36"/>
    <x v="0"/>
    <s v="Sandals"/>
    <s v="Footwear"/>
    <n v="92"/>
    <x v="17"/>
    <s v="M"/>
    <s v="Blue"/>
    <s v="Winter"/>
    <n v="4.2"/>
    <s v="No"/>
    <s v="Yes"/>
    <n v="13"/>
    <s v="PayPal"/>
    <s v="Weekly"/>
    <m/>
  </r>
  <r>
    <n v="1164"/>
    <x v="8"/>
    <x v="0"/>
    <s v="Pants"/>
    <s v="Clothing"/>
    <n v="56"/>
    <x v="30"/>
    <s v="L"/>
    <s v="White"/>
    <s v="Summer"/>
    <n v="3"/>
    <s v="No"/>
    <s v="Yes"/>
    <n v="24"/>
    <s v="Debit Card"/>
    <s v="Monthly"/>
    <m/>
  </r>
  <r>
    <n v="1165"/>
    <x v="33"/>
    <x v="0"/>
    <s v="Dress"/>
    <s v="Clothing"/>
    <n v="96"/>
    <x v="6"/>
    <s v="M"/>
    <s v="Green"/>
    <s v="Winter"/>
    <n v="4.2"/>
    <s v="No"/>
    <s v="Yes"/>
    <n v="47"/>
    <s v="PayPal"/>
    <s v="Quarterly"/>
    <m/>
  </r>
  <r>
    <n v="1166"/>
    <x v="47"/>
    <x v="0"/>
    <s v="T-shirt"/>
    <s v="Clothing"/>
    <n v="64"/>
    <x v="48"/>
    <s v="M"/>
    <s v="Silver"/>
    <s v="Winter"/>
    <n v="2.9"/>
    <s v="No"/>
    <s v="Yes"/>
    <n v="21"/>
    <s v="Venmo"/>
    <s v="Every 3 Months"/>
    <m/>
  </r>
  <r>
    <n v="1167"/>
    <x v="39"/>
    <x v="0"/>
    <s v="Dress"/>
    <s v="Clothing"/>
    <n v="48"/>
    <x v="39"/>
    <s v="S"/>
    <s v="Lavender"/>
    <s v="Winter"/>
    <n v="3.7"/>
    <s v="No"/>
    <s v="Yes"/>
    <n v="22"/>
    <s v="Venmo"/>
    <s v="Fortnightly"/>
    <m/>
  </r>
  <r>
    <n v="1168"/>
    <x v="52"/>
    <x v="0"/>
    <s v="Socks"/>
    <s v="Clothing"/>
    <n v="83"/>
    <x v="32"/>
    <s v="XL"/>
    <s v="Beige"/>
    <s v="Summer"/>
    <n v="3.6"/>
    <s v="No"/>
    <s v="Yes"/>
    <n v="16"/>
    <s v="PayPal"/>
    <s v="Quarterly"/>
    <m/>
  </r>
  <r>
    <n v="1169"/>
    <x v="33"/>
    <x v="0"/>
    <s v="Scarf"/>
    <s v="Accessories"/>
    <n v="91"/>
    <x v="16"/>
    <s v="L"/>
    <s v="Violet"/>
    <s v="Summer"/>
    <n v="3.6"/>
    <s v="No"/>
    <s v="Yes"/>
    <n v="37"/>
    <s v="Debit Card"/>
    <s v="Fortnightly"/>
    <m/>
  </r>
  <r>
    <n v="1170"/>
    <x v="15"/>
    <x v="0"/>
    <s v="Backpack"/>
    <s v="Accessories"/>
    <n v="94"/>
    <x v="5"/>
    <s v="S"/>
    <s v="Gray"/>
    <s v="Fall"/>
    <n v="4.5"/>
    <s v="No"/>
    <s v="Yes"/>
    <n v="3"/>
    <s v="Cash"/>
    <s v="Annually"/>
    <m/>
  </r>
  <r>
    <n v="1171"/>
    <x v="9"/>
    <x v="0"/>
    <s v="Skirt"/>
    <s v="Clothing"/>
    <n v="62"/>
    <x v="26"/>
    <s v="S"/>
    <s v="Red"/>
    <s v="Spring"/>
    <n v="3.2"/>
    <s v="No"/>
    <s v="Yes"/>
    <n v="33"/>
    <s v="Cash"/>
    <s v="Bi-Weekly"/>
    <m/>
  </r>
  <r>
    <n v="1172"/>
    <x v="38"/>
    <x v="0"/>
    <s v="Socks"/>
    <s v="Clothing"/>
    <n v="55"/>
    <x v="7"/>
    <s v="M"/>
    <s v="Lavender"/>
    <s v="Spring"/>
    <n v="3.9"/>
    <s v="No"/>
    <s v="Yes"/>
    <n v="15"/>
    <s v="Debit Card"/>
    <s v="Annually"/>
    <m/>
  </r>
  <r>
    <n v="1173"/>
    <x v="35"/>
    <x v="0"/>
    <s v="Coat"/>
    <s v="Outerwear"/>
    <n v="68"/>
    <x v="4"/>
    <s v="L"/>
    <s v="Peach"/>
    <s v="Spring"/>
    <n v="4.5999999999999996"/>
    <s v="No"/>
    <s v="Yes"/>
    <n v="42"/>
    <s v="Bank Transfer"/>
    <s v="Bi-Weekly"/>
    <m/>
  </r>
  <r>
    <n v="1174"/>
    <x v="42"/>
    <x v="0"/>
    <s v="Jewelry"/>
    <s v="Accessories"/>
    <n v="76"/>
    <x v="45"/>
    <s v="M"/>
    <s v="Indigo"/>
    <s v="Winter"/>
    <n v="2.5"/>
    <s v="No"/>
    <s v="Yes"/>
    <n v="42"/>
    <s v="Cash"/>
    <s v="Bi-Weekly"/>
    <m/>
  </r>
  <r>
    <n v="1175"/>
    <x v="32"/>
    <x v="0"/>
    <s v="Backpack"/>
    <s v="Accessories"/>
    <n v="31"/>
    <x v="49"/>
    <s v="M"/>
    <s v="Black"/>
    <s v="Winter"/>
    <n v="4.3"/>
    <s v="No"/>
    <s v="Yes"/>
    <n v="19"/>
    <s v="Bank Transfer"/>
    <s v="Bi-Weekly"/>
    <m/>
  </r>
  <r>
    <n v="1176"/>
    <x v="25"/>
    <x v="0"/>
    <s v="Belt"/>
    <s v="Accessories"/>
    <n v="81"/>
    <x v="32"/>
    <s v="M"/>
    <s v="Beige"/>
    <s v="Spring"/>
    <n v="4.0999999999999996"/>
    <s v="No"/>
    <s v="Yes"/>
    <n v="26"/>
    <s v="PayPal"/>
    <s v="Quarterly"/>
    <m/>
  </r>
  <r>
    <n v="1177"/>
    <x v="24"/>
    <x v="0"/>
    <s v="Dress"/>
    <s v="Clothing"/>
    <n v="83"/>
    <x v="4"/>
    <s v="M"/>
    <s v="Red"/>
    <s v="Winter"/>
    <n v="4.5999999999999996"/>
    <s v="No"/>
    <s v="Yes"/>
    <n v="39"/>
    <s v="PayPal"/>
    <s v="Quarterly"/>
    <m/>
  </r>
  <r>
    <n v="1178"/>
    <x v="22"/>
    <x v="0"/>
    <s v="Skirt"/>
    <s v="Clothing"/>
    <n v="21"/>
    <x v="44"/>
    <s v="M"/>
    <s v="Black"/>
    <s v="Spring"/>
    <n v="4.8"/>
    <s v="No"/>
    <s v="Yes"/>
    <n v="24"/>
    <s v="Debit Card"/>
    <s v="Monthly"/>
    <m/>
  </r>
  <r>
    <n v="1179"/>
    <x v="43"/>
    <x v="0"/>
    <s v="Dress"/>
    <s v="Clothing"/>
    <n v="22"/>
    <x v="36"/>
    <s v="M"/>
    <s v="Teal"/>
    <s v="Spring"/>
    <n v="4.9000000000000004"/>
    <s v="No"/>
    <s v="Yes"/>
    <n v="23"/>
    <s v="Debit Card"/>
    <s v="Annually"/>
    <m/>
  </r>
  <r>
    <n v="1180"/>
    <x v="30"/>
    <x v="0"/>
    <s v="T-shirt"/>
    <s v="Clothing"/>
    <n v="33"/>
    <x v="27"/>
    <s v="M"/>
    <s v="Blue"/>
    <s v="Summer"/>
    <n v="2.8"/>
    <s v="No"/>
    <s v="Yes"/>
    <n v="44"/>
    <s v="Bank Transfer"/>
    <s v="Annually"/>
    <m/>
  </r>
  <r>
    <n v="1181"/>
    <x v="51"/>
    <x v="0"/>
    <s v="Skirt"/>
    <s v="Clothing"/>
    <n v="23"/>
    <x v="4"/>
    <s v="S"/>
    <s v="Beige"/>
    <s v="Spring"/>
    <n v="4.9000000000000004"/>
    <s v="No"/>
    <s v="Yes"/>
    <n v="34"/>
    <s v="Cash"/>
    <s v="Monthly"/>
    <m/>
  </r>
  <r>
    <n v="1182"/>
    <x v="12"/>
    <x v="0"/>
    <s v="Shorts"/>
    <s v="Clothing"/>
    <n v="96"/>
    <x v="14"/>
    <s v="L"/>
    <s v="Teal"/>
    <s v="Summer"/>
    <n v="3.5"/>
    <s v="No"/>
    <s v="Yes"/>
    <n v="43"/>
    <s v="Bank Transfer"/>
    <s v="Quarterly"/>
    <m/>
  </r>
  <r>
    <n v="1183"/>
    <x v="43"/>
    <x v="0"/>
    <s v="Jewelry"/>
    <s v="Accessories"/>
    <n v="21"/>
    <x v="35"/>
    <s v="M"/>
    <s v="Maroon"/>
    <s v="Spring"/>
    <n v="3.8"/>
    <s v="No"/>
    <s v="Yes"/>
    <n v="45"/>
    <s v="PayPal"/>
    <s v="Quarterly"/>
    <m/>
  </r>
  <r>
    <n v="1184"/>
    <x v="51"/>
    <x v="0"/>
    <s v="Pants"/>
    <s v="Clothing"/>
    <n v="39"/>
    <x v="7"/>
    <s v="M"/>
    <s v="Yellow"/>
    <s v="Spring"/>
    <n v="4.5"/>
    <s v="No"/>
    <s v="Yes"/>
    <n v="4"/>
    <s v="Credit Card"/>
    <s v="Weekly"/>
    <m/>
  </r>
  <r>
    <n v="1185"/>
    <x v="6"/>
    <x v="0"/>
    <s v="Belt"/>
    <s v="Accessories"/>
    <n v="73"/>
    <x v="36"/>
    <s v="S"/>
    <s v="Indigo"/>
    <s v="Fall"/>
    <n v="3.4"/>
    <s v="No"/>
    <s v="Yes"/>
    <n v="19"/>
    <s v="Credit Card"/>
    <s v="Annually"/>
    <m/>
  </r>
  <r>
    <n v="1186"/>
    <x v="36"/>
    <x v="0"/>
    <s v="Jeans"/>
    <s v="Clothing"/>
    <n v="64"/>
    <x v="1"/>
    <s v="M"/>
    <s v="Magenta"/>
    <s v="Spring"/>
    <n v="3.9"/>
    <s v="No"/>
    <s v="Yes"/>
    <n v="29"/>
    <s v="Credit Card"/>
    <s v="Monthly"/>
    <m/>
  </r>
  <r>
    <n v="1187"/>
    <x v="6"/>
    <x v="0"/>
    <s v="Jeans"/>
    <s v="Clothing"/>
    <n v="68"/>
    <x v="27"/>
    <s v="M"/>
    <s v="Beige"/>
    <s v="Summer"/>
    <n v="4.0999999999999996"/>
    <s v="No"/>
    <s v="Yes"/>
    <n v="27"/>
    <s v="Credit Card"/>
    <s v="Annually"/>
    <m/>
  </r>
  <r>
    <n v="1188"/>
    <x v="19"/>
    <x v="0"/>
    <s v="Hat"/>
    <s v="Accessories"/>
    <n v="89"/>
    <x v="44"/>
    <s v="L"/>
    <s v="Maroon"/>
    <s v="Fall"/>
    <n v="3"/>
    <s v="No"/>
    <s v="Yes"/>
    <n v="37"/>
    <s v="Credit Card"/>
    <s v="Every 3 Months"/>
    <m/>
  </r>
  <r>
    <n v="1189"/>
    <x v="33"/>
    <x v="0"/>
    <s v="Blouse"/>
    <s v="Clothing"/>
    <n v="29"/>
    <x v="16"/>
    <s v="M"/>
    <s v="Magenta"/>
    <s v="Summer"/>
    <n v="3.3"/>
    <s v="No"/>
    <s v="Yes"/>
    <n v="11"/>
    <s v="Credit Card"/>
    <s v="Weekly"/>
    <m/>
  </r>
  <r>
    <n v="1190"/>
    <x v="14"/>
    <x v="0"/>
    <s v="Shirt"/>
    <s v="Clothing"/>
    <n v="97"/>
    <x v="10"/>
    <s v="XL"/>
    <s v="Teal"/>
    <s v="Summer"/>
    <n v="4.9000000000000004"/>
    <s v="No"/>
    <s v="Yes"/>
    <n v="28"/>
    <s v="Debit Card"/>
    <s v="Annually"/>
    <m/>
  </r>
  <r>
    <n v="1191"/>
    <x v="46"/>
    <x v="0"/>
    <s v="Shirt"/>
    <s v="Clothing"/>
    <n v="45"/>
    <x v="36"/>
    <s v="M"/>
    <s v="Orange"/>
    <s v="Winter"/>
    <n v="4.3"/>
    <s v="No"/>
    <s v="Yes"/>
    <n v="31"/>
    <s v="Credit Card"/>
    <s v="Weekly"/>
    <m/>
  </r>
  <r>
    <n v="1192"/>
    <x v="50"/>
    <x v="0"/>
    <s v="T-shirt"/>
    <s v="Clothing"/>
    <n v="70"/>
    <x v="27"/>
    <s v="L"/>
    <s v="Charcoal"/>
    <s v="Winter"/>
    <n v="4.0999999999999996"/>
    <s v="No"/>
    <s v="Yes"/>
    <n v="50"/>
    <s v="Venmo"/>
    <s v="Quarterly"/>
    <m/>
  </r>
  <r>
    <n v="1193"/>
    <x v="34"/>
    <x v="0"/>
    <s v="Coat"/>
    <s v="Outerwear"/>
    <n v="56"/>
    <x v="20"/>
    <s v="M"/>
    <s v="Turquoise"/>
    <s v="Summer"/>
    <n v="4"/>
    <s v="No"/>
    <s v="Yes"/>
    <n v="42"/>
    <s v="Venmo"/>
    <s v="Quarterly"/>
    <m/>
  </r>
  <r>
    <n v="1194"/>
    <x v="37"/>
    <x v="0"/>
    <s v="Jacket"/>
    <s v="Outerwear"/>
    <n v="55"/>
    <x v="29"/>
    <s v="L"/>
    <s v="Pink"/>
    <s v="Fall"/>
    <n v="5"/>
    <s v="No"/>
    <s v="Yes"/>
    <n v="18"/>
    <s v="Credit Card"/>
    <s v="Fortnightly"/>
    <m/>
  </r>
  <r>
    <n v="1195"/>
    <x v="2"/>
    <x v="0"/>
    <s v="Hoodie"/>
    <s v="Clothing"/>
    <n v="46"/>
    <x v="14"/>
    <s v="S"/>
    <s v="Teal"/>
    <s v="Winter"/>
    <n v="3.1"/>
    <s v="No"/>
    <s v="Yes"/>
    <n v="6"/>
    <s v="Credit Card"/>
    <s v="Fortnightly"/>
    <m/>
  </r>
  <r>
    <n v="1196"/>
    <x v="15"/>
    <x v="0"/>
    <s v="Scarf"/>
    <s v="Accessories"/>
    <n v="95"/>
    <x v="21"/>
    <s v="M"/>
    <s v="White"/>
    <s v="Winter"/>
    <n v="4"/>
    <s v="No"/>
    <s v="Yes"/>
    <n v="33"/>
    <s v="Venmo"/>
    <s v="Monthly"/>
    <m/>
  </r>
  <r>
    <n v="1197"/>
    <x v="11"/>
    <x v="0"/>
    <s v="Belt"/>
    <s v="Accessories"/>
    <n v="88"/>
    <x v="25"/>
    <s v="M"/>
    <s v="Maroon"/>
    <s v="Winter"/>
    <n v="3.2"/>
    <s v="No"/>
    <s v="Yes"/>
    <n v="13"/>
    <s v="Bank Transfer"/>
    <s v="Bi-Weekly"/>
    <m/>
  </r>
  <r>
    <n v="1198"/>
    <x v="22"/>
    <x v="0"/>
    <s v="Sneakers"/>
    <s v="Footwear"/>
    <n v="92"/>
    <x v="34"/>
    <s v="L"/>
    <s v="Violet"/>
    <s v="Fall"/>
    <n v="3.9"/>
    <s v="No"/>
    <s v="Yes"/>
    <n v="26"/>
    <s v="PayPal"/>
    <s v="Annually"/>
    <m/>
  </r>
  <r>
    <n v="1199"/>
    <x v="37"/>
    <x v="0"/>
    <s v="Socks"/>
    <s v="Clothing"/>
    <n v="49"/>
    <x v="32"/>
    <s v="M"/>
    <s v="Brown"/>
    <s v="Summer"/>
    <n v="3.9"/>
    <s v="No"/>
    <s v="Yes"/>
    <n v="17"/>
    <s v="Cash"/>
    <s v="Annually"/>
    <m/>
  </r>
  <r>
    <n v="1200"/>
    <x v="34"/>
    <x v="0"/>
    <s v="Sandals"/>
    <s v="Footwear"/>
    <n v="89"/>
    <x v="33"/>
    <s v="M"/>
    <s v="Indigo"/>
    <s v="Fall"/>
    <n v="4.5"/>
    <s v="No"/>
    <s v="Yes"/>
    <n v="3"/>
    <s v="Debit Card"/>
    <s v="Weekly"/>
    <m/>
  </r>
  <r>
    <n v="1201"/>
    <x v="7"/>
    <x v="0"/>
    <s v="Coat"/>
    <s v="Outerwear"/>
    <n v="22"/>
    <x v="39"/>
    <s v="XL"/>
    <s v="Black"/>
    <s v="Winter"/>
    <n v="4.4000000000000004"/>
    <s v="No"/>
    <s v="Yes"/>
    <n v="7"/>
    <s v="PayPal"/>
    <s v="Weekly"/>
    <m/>
  </r>
  <r>
    <n v="1202"/>
    <x v="7"/>
    <x v="0"/>
    <s v="Shoes"/>
    <s v="Footwear"/>
    <n v="61"/>
    <x v="26"/>
    <s v="XL"/>
    <s v="Black"/>
    <s v="Summer"/>
    <n v="3.1"/>
    <s v="No"/>
    <s v="Yes"/>
    <n v="46"/>
    <s v="Venmo"/>
    <s v="Fortnightly"/>
    <m/>
  </r>
  <r>
    <n v="1203"/>
    <x v="39"/>
    <x v="0"/>
    <s v="Scarf"/>
    <s v="Accessories"/>
    <n v="29"/>
    <x v="33"/>
    <s v="S"/>
    <s v="Olive"/>
    <s v="Spring"/>
    <n v="2.9"/>
    <s v="No"/>
    <s v="Yes"/>
    <n v="14"/>
    <s v="Venmo"/>
    <s v="Every 3 Months"/>
    <m/>
  </r>
  <r>
    <n v="1204"/>
    <x v="37"/>
    <x v="0"/>
    <s v="Sneakers"/>
    <s v="Footwear"/>
    <n v="82"/>
    <x v="46"/>
    <s v="M"/>
    <s v="Orange"/>
    <s v="Winter"/>
    <n v="3.7"/>
    <s v="No"/>
    <s v="Yes"/>
    <n v="23"/>
    <s v="Bank Transfer"/>
    <s v="Annually"/>
    <m/>
  </r>
  <r>
    <n v="1205"/>
    <x v="29"/>
    <x v="0"/>
    <s v="Belt"/>
    <s v="Accessories"/>
    <n v="94"/>
    <x v="20"/>
    <s v="M"/>
    <s v="Pink"/>
    <s v="Spring"/>
    <n v="3.2"/>
    <s v="No"/>
    <s v="Yes"/>
    <n v="20"/>
    <s v="Credit Card"/>
    <s v="Every 3 Months"/>
    <m/>
  </r>
  <r>
    <n v="1206"/>
    <x v="16"/>
    <x v="0"/>
    <s v="Handbag"/>
    <s v="Accessories"/>
    <n v="99"/>
    <x v="18"/>
    <s v="M"/>
    <s v="Olive"/>
    <s v="Spring"/>
    <n v="3.5"/>
    <s v="No"/>
    <s v="Yes"/>
    <n v="38"/>
    <s v="Bank Transfer"/>
    <s v="Fortnightly"/>
    <m/>
  </r>
  <r>
    <n v="1207"/>
    <x v="40"/>
    <x v="0"/>
    <s v="Handbag"/>
    <s v="Accessories"/>
    <n v="59"/>
    <x v="16"/>
    <s v="S"/>
    <s v="Cyan"/>
    <s v="Fall"/>
    <n v="3"/>
    <s v="No"/>
    <s v="Yes"/>
    <n v="16"/>
    <s v="Venmo"/>
    <s v="Every 3 Months"/>
    <m/>
  </r>
  <r>
    <n v="1208"/>
    <x v="46"/>
    <x v="0"/>
    <s v="Boots"/>
    <s v="Footwear"/>
    <n v="90"/>
    <x v="47"/>
    <s v="M"/>
    <s v="White"/>
    <s v="Summer"/>
    <n v="4.0999999999999996"/>
    <s v="No"/>
    <s v="Yes"/>
    <n v="48"/>
    <s v="Credit Card"/>
    <s v="Every 3 Months"/>
    <m/>
  </r>
  <r>
    <n v="1209"/>
    <x v="30"/>
    <x v="0"/>
    <s v="Boots"/>
    <s v="Footwear"/>
    <n v="100"/>
    <x v="48"/>
    <s v="S"/>
    <s v="Red"/>
    <s v="Winter"/>
    <n v="2.9"/>
    <s v="No"/>
    <s v="Yes"/>
    <n v="8"/>
    <s v="Debit Card"/>
    <s v="Annually"/>
    <m/>
  </r>
  <r>
    <n v="1210"/>
    <x v="38"/>
    <x v="0"/>
    <s v="Pants"/>
    <s v="Clothing"/>
    <n v="62"/>
    <x v="38"/>
    <s v="M"/>
    <s v="Blue"/>
    <s v="Winter"/>
    <n v="3.8"/>
    <s v="No"/>
    <s v="Yes"/>
    <n v="16"/>
    <s v="Bank Transfer"/>
    <s v="Monthly"/>
    <m/>
  </r>
  <r>
    <n v="1211"/>
    <x v="50"/>
    <x v="0"/>
    <s v="Sunglasses"/>
    <s v="Accessories"/>
    <n v="78"/>
    <x v="9"/>
    <s v="M"/>
    <s v="Olive"/>
    <s v="Fall"/>
    <n v="4.0999999999999996"/>
    <s v="No"/>
    <s v="Yes"/>
    <n v="5"/>
    <s v="Cash"/>
    <s v="Quarterly"/>
    <m/>
  </r>
  <r>
    <n v="1212"/>
    <x v="51"/>
    <x v="0"/>
    <s v="Hoodie"/>
    <s v="Clothing"/>
    <n v="94"/>
    <x v="19"/>
    <s v="M"/>
    <s v="Green"/>
    <s v="Spring"/>
    <n v="4.5999999999999996"/>
    <s v="No"/>
    <s v="Yes"/>
    <n v="14"/>
    <s v="Venmo"/>
    <s v="Every 3 Months"/>
    <m/>
  </r>
  <r>
    <n v="1213"/>
    <x v="45"/>
    <x v="0"/>
    <s v="Shoes"/>
    <s v="Footwear"/>
    <n v="74"/>
    <x v="38"/>
    <s v="M"/>
    <s v="Yellow"/>
    <s v="Summer"/>
    <n v="2.5"/>
    <s v="No"/>
    <s v="Yes"/>
    <n v="18"/>
    <s v="Credit Card"/>
    <s v="Weekly"/>
    <m/>
  </r>
  <r>
    <n v="1214"/>
    <x v="33"/>
    <x v="0"/>
    <s v="Handbag"/>
    <s v="Accessories"/>
    <n v="52"/>
    <x v="0"/>
    <s v="XL"/>
    <s v="Black"/>
    <s v="Spring"/>
    <n v="3.7"/>
    <s v="No"/>
    <s v="Yes"/>
    <n v="14"/>
    <s v="Debit Card"/>
    <s v="Every 3 Months"/>
    <m/>
  </r>
  <r>
    <n v="1215"/>
    <x v="11"/>
    <x v="0"/>
    <s v="Jacket"/>
    <s v="Outerwear"/>
    <n v="81"/>
    <x v="34"/>
    <s v="M"/>
    <s v="Blue"/>
    <s v="Fall"/>
    <n v="3.8"/>
    <s v="No"/>
    <s v="Yes"/>
    <n v="5"/>
    <s v="Cash"/>
    <s v="Every 3 Months"/>
    <m/>
  </r>
  <r>
    <n v="1216"/>
    <x v="17"/>
    <x v="0"/>
    <s v="Blouse"/>
    <s v="Clothing"/>
    <n v="20"/>
    <x v="4"/>
    <s v="L"/>
    <s v="Pink"/>
    <s v="Winter"/>
    <n v="2.6"/>
    <s v="No"/>
    <s v="Yes"/>
    <n v="15"/>
    <s v="Credit Card"/>
    <s v="Every 3 Months"/>
    <m/>
  </r>
  <r>
    <n v="1217"/>
    <x v="46"/>
    <x v="0"/>
    <s v="Pants"/>
    <s v="Clothing"/>
    <n v="32"/>
    <x v="40"/>
    <s v="XL"/>
    <s v="Lavender"/>
    <s v="Summer"/>
    <n v="3.7"/>
    <s v="No"/>
    <s v="Yes"/>
    <n v="3"/>
    <s v="Venmo"/>
    <s v="Every 3 Months"/>
    <m/>
  </r>
  <r>
    <n v="1218"/>
    <x v="2"/>
    <x v="0"/>
    <s v="Boots"/>
    <s v="Footwear"/>
    <n v="63"/>
    <x v="43"/>
    <s v="XL"/>
    <s v="Cyan"/>
    <s v="Fall"/>
    <n v="2.6"/>
    <s v="No"/>
    <s v="Yes"/>
    <n v="12"/>
    <s v="Cash"/>
    <s v="Every 3 Months"/>
    <m/>
  </r>
  <r>
    <n v="1219"/>
    <x v="0"/>
    <x v="0"/>
    <s v="Boots"/>
    <s v="Footwear"/>
    <n v="79"/>
    <x v="38"/>
    <s v="M"/>
    <s v="Cyan"/>
    <s v="Spring"/>
    <n v="3.1"/>
    <s v="No"/>
    <s v="Yes"/>
    <n v="43"/>
    <s v="Cash"/>
    <s v="Every 3 Months"/>
    <m/>
  </r>
  <r>
    <n v="1220"/>
    <x v="1"/>
    <x v="0"/>
    <s v="Sweater"/>
    <s v="Clothing"/>
    <n v="23"/>
    <x v="34"/>
    <s v="M"/>
    <s v="Gold"/>
    <s v="Winter"/>
    <n v="2.5"/>
    <s v="No"/>
    <s v="Yes"/>
    <n v="35"/>
    <s v="Credit Card"/>
    <s v="Bi-Weekly"/>
    <m/>
  </r>
  <r>
    <n v="1221"/>
    <x v="29"/>
    <x v="0"/>
    <s v="Gloves"/>
    <s v="Accessories"/>
    <n v="64"/>
    <x v="0"/>
    <s v="M"/>
    <s v="Green"/>
    <s v="Winter"/>
    <n v="4.9000000000000004"/>
    <s v="No"/>
    <s v="Yes"/>
    <n v="36"/>
    <s v="Bank Transfer"/>
    <s v="Quarterly"/>
    <m/>
  </r>
  <r>
    <n v="1222"/>
    <x v="20"/>
    <x v="0"/>
    <s v="Socks"/>
    <s v="Clothing"/>
    <n v="69"/>
    <x v="44"/>
    <s v="M"/>
    <s v="Red"/>
    <s v="Winter"/>
    <n v="4.5"/>
    <s v="No"/>
    <s v="Yes"/>
    <n v="3"/>
    <s v="Cash"/>
    <s v="Quarterly"/>
    <m/>
  </r>
  <r>
    <n v="1223"/>
    <x v="44"/>
    <x v="0"/>
    <s v="Jeans"/>
    <s v="Clothing"/>
    <n v="69"/>
    <x v="27"/>
    <s v="L"/>
    <s v="Magenta"/>
    <s v="Fall"/>
    <n v="3.4"/>
    <s v="No"/>
    <s v="Yes"/>
    <n v="27"/>
    <s v="Bank Transfer"/>
    <s v="Annually"/>
    <m/>
  </r>
  <r>
    <n v="1224"/>
    <x v="28"/>
    <x v="0"/>
    <s v="Pants"/>
    <s v="Clothing"/>
    <n v="24"/>
    <x v="23"/>
    <s v="L"/>
    <s v="Red"/>
    <s v="Winter"/>
    <n v="3.9"/>
    <s v="No"/>
    <s v="Yes"/>
    <n v="21"/>
    <s v="Bank Transfer"/>
    <s v="Weekly"/>
    <m/>
  </r>
  <r>
    <n v="1225"/>
    <x v="46"/>
    <x v="0"/>
    <s v="Shorts"/>
    <s v="Clothing"/>
    <n v="50"/>
    <x v="26"/>
    <s v="M"/>
    <s v="Yellow"/>
    <s v="Summer"/>
    <n v="3.7"/>
    <s v="No"/>
    <s v="Yes"/>
    <n v="18"/>
    <s v="Venmo"/>
    <s v="Weekly"/>
    <m/>
  </r>
  <r>
    <n v="1226"/>
    <x v="48"/>
    <x v="0"/>
    <s v="Gloves"/>
    <s v="Accessories"/>
    <n v="97"/>
    <x v="17"/>
    <s v="S"/>
    <s v="Turquoise"/>
    <s v="Fall"/>
    <n v="2.6"/>
    <s v="No"/>
    <s v="Yes"/>
    <n v="16"/>
    <s v="Debit Card"/>
    <s v="Weekly"/>
    <m/>
  </r>
  <r>
    <n v="1227"/>
    <x v="10"/>
    <x v="0"/>
    <s v="Sandals"/>
    <s v="Footwear"/>
    <n v="91"/>
    <x v="31"/>
    <s v="S"/>
    <s v="Cyan"/>
    <s v="Fall"/>
    <n v="3.4"/>
    <s v="No"/>
    <s v="Yes"/>
    <n v="18"/>
    <s v="Venmo"/>
    <s v="Bi-Weekly"/>
    <m/>
  </r>
  <r>
    <n v="1228"/>
    <x v="7"/>
    <x v="0"/>
    <s v="Blouse"/>
    <s v="Clothing"/>
    <n v="37"/>
    <x v="26"/>
    <s v="L"/>
    <s v="Yellow"/>
    <s v="Spring"/>
    <n v="4.9000000000000004"/>
    <s v="No"/>
    <s v="Yes"/>
    <n v="19"/>
    <s v="Bank Transfer"/>
    <s v="Bi-Weekly"/>
    <m/>
  </r>
  <r>
    <n v="1229"/>
    <x v="0"/>
    <x v="0"/>
    <s v="Jacket"/>
    <s v="Outerwear"/>
    <n v="55"/>
    <x v="27"/>
    <s v="S"/>
    <s v="Yellow"/>
    <s v="Winter"/>
    <n v="3.9"/>
    <s v="No"/>
    <s v="Yes"/>
    <n v="1"/>
    <s v="Cash"/>
    <s v="Annually"/>
    <m/>
  </r>
  <r>
    <n v="1230"/>
    <x v="50"/>
    <x v="0"/>
    <s v="Jewelry"/>
    <s v="Accessories"/>
    <n v="52"/>
    <x v="23"/>
    <s v="XL"/>
    <s v="Maroon"/>
    <s v="Winter"/>
    <n v="3.6"/>
    <s v="No"/>
    <s v="Yes"/>
    <n v="39"/>
    <s v="Bank Transfer"/>
    <s v="Annually"/>
    <m/>
  </r>
  <r>
    <n v="1231"/>
    <x v="15"/>
    <x v="0"/>
    <s v="Hat"/>
    <s v="Accessories"/>
    <n v="80"/>
    <x v="26"/>
    <s v="L"/>
    <s v="Brown"/>
    <s v="Spring"/>
    <n v="4.5999999999999996"/>
    <s v="No"/>
    <s v="Yes"/>
    <n v="49"/>
    <s v="Venmo"/>
    <s v="Monthly"/>
    <m/>
  </r>
  <r>
    <n v="1232"/>
    <x v="17"/>
    <x v="0"/>
    <s v="Socks"/>
    <s v="Clothing"/>
    <n v="79"/>
    <x v="38"/>
    <s v="M"/>
    <s v="Gold"/>
    <s v="Spring"/>
    <n v="4"/>
    <s v="No"/>
    <s v="Yes"/>
    <n v="43"/>
    <s v="Credit Card"/>
    <s v="Fortnightly"/>
    <m/>
  </r>
  <r>
    <n v="1233"/>
    <x v="9"/>
    <x v="0"/>
    <s v="Handbag"/>
    <s v="Accessories"/>
    <n v="23"/>
    <x v="14"/>
    <s v="M"/>
    <s v="Charcoal"/>
    <s v="Summer"/>
    <n v="3.6"/>
    <s v="No"/>
    <s v="Yes"/>
    <n v="31"/>
    <s v="Debit Card"/>
    <s v="Every 3 Months"/>
    <m/>
  </r>
  <r>
    <n v="1234"/>
    <x v="5"/>
    <x v="0"/>
    <s v="Pants"/>
    <s v="Clothing"/>
    <n v="73"/>
    <x v="40"/>
    <s v="L"/>
    <s v="Beige"/>
    <s v="Winter"/>
    <n v="3.5"/>
    <s v="No"/>
    <s v="Yes"/>
    <n v="40"/>
    <s v="Venmo"/>
    <s v="Every 3 Months"/>
    <m/>
  </r>
  <r>
    <n v="1235"/>
    <x v="21"/>
    <x v="0"/>
    <s v="Gloves"/>
    <s v="Accessories"/>
    <n v="99"/>
    <x v="32"/>
    <s v="M"/>
    <s v="Indigo"/>
    <s v="Fall"/>
    <n v="4.0999999999999996"/>
    <s v="No"/>
    <s v="Yes"/>
    <n v="2"/>
    <s v="Bank Transfer"/>
    <s v="Bi-Weekly"/>
    <m/>
  </r>
  <r>
    <n v="1236"/>
    <x v="51"/>
    <x v="0"/>
    <s v="Sweater"/>
    <s v="Clothing"/>
    <n v="22"/>
    <x v="37"/>
    <s v="M"/>
    <s v="Red"/>
    <s v="Spring"/>
    <n v="3"/>
    <s v="No"/>
    <s v="Yes"/>
    <n v="46"/>
    <s v="PayPal"/>
    <s v="Every 3 Months"/>
    <m/>
  </r>
  <r>
    <n v="1237"/>
    <x v="32"/>
    <x v="0"/>
    <s v="Hat"/>
    <s v="Accessories"/>
    <n v="68"/>
    <x v="35"/>
    <s v="M"/>
    <s v="White"/>
    <s v="Summer"/>
    <n v="4.4000000000000004"/>
    <s v="No"/>
    <s v="Yes"/>
    <n v="35"/>
    <s v="Debit Card"/>
    <s v="Every 3 Months"/>
    <m/>
  </r>
  <r>
    <n v="1238"/>
    <x v="15"/>
    <x v="0"/>
    <s v="Dress"/>
    <s v="Clothing"/>
    <n v="92"/>
    <x v="49"/>
    <s v="S"/>
    <s v="Charcoal"/>
    <s v="Spring"/>
    <n v="4.4000000000000004"/>
    <s v="No"/>
    <s v="Yes"/>
    <n v="42"/>
    <s v="Credit Card"/>
    <s v="Quarterly"/>
    <m/>
  </r>
  <r>
    <n v="1239"/>
    <x v="0"/>
    <x v="0"/>
    <s v="Pants"/>
    <s v="Clothing"/>
    <n v="77"/>
    <x v="5"/>
    <s v="M"/>
    <s v="Violet"/>
    <s v="Winter"/>
    <n v="3.7"/>
    <s v="No"/>
    <s v="Yes"/>
    <n v="3"/>
    <s v="Venmo"/>
    <s v="Fortnightly"/>
    <m/>
  </r>
  <r>
    <n v="1240"/>
    <x v="46"/>
    <x v="0"/>
    <s v="Coat"/>
    <s v="Outerwear"/>
    <n v="37"/>
    <x v="32"/>
    <s v="XL"/>
    <s v="Magenta"/>
    <s v="Spring"/>
    <n v="4.8"/>
    <s v="No"/>
    <s v="Yes"/>
    <n v="32"/>
    <s v="Debit Card"/>
    <s v="Every 3 Months"/>
    <m/>
  </r>
  <r>
    <n v="1241"/>
    <x v="38"/>
    <x v="0"/>
    <s v="Scarf"/>
    <s v="Accessories"/>
    <n v="79"/>
    <x v="32"/>
    <s v="L"/>
    <s v="White"/>
    <s v="Winter"/>
    <n v="2.9"/>
    <s v="No"/>
    <s v="Yes"/>
    <n v="48"/>
    <s v="Debit Card"/>
    <s v="Annually"/>
    <m/>
  </r>
  <r>
    <n v="1242"/>
    <x v="44"/>
    <x v="0"/>
    <s v="Hoodie"/>
    <s v="Clothing"/>
    <n v="51"/>
    <x v="11"/>
    <s v="XL"/>
    <s v="Pink"/>
    <s v="Winter"/>
    <n v="3.1"/>
    <s v="No"/>
    <s v="Yes"/>
    <n v="34"/>
    <s v="Credit Card"/>
    <s v="Weekly"/>
    <m/>
  </r>
  <r>
    <n v="1243"/>
    <x v="19"/>
    <x v="0"/>
    <s v="Socks"/>
    <s v="Clothing"/>
    <n v="27"/>
    <x v="22"/>
    <s v="M"/>
    <s v="Lavender"/>
    <s v="Summer"/>
    <n v="4"/>
    <s v="No"/>
    <s v="Yes"/>
    <n v="15"/>
    <s v="Bank Transfer"/>
    <s v="Quarterly"/>
    <m/>
  </r>
  <r>
    <n v="1244"/>
    <x v="15"/>
    <x v="0"/>
    <s v="Blouse"/>
    <s v="Clothing"/>
    <n v="23"/>
    <x v="13"/>
    <s v="S"/>
    <s v="Pink"/>
    <s v="Spring"/>
    <n v="3"/>
    <s v="No"/>
    <s v="Yes"/>
    <n v="22"/>
    <s v="Debit Card"/>
    <s v="Annually"/>
    <m/>
  </r>
  <r>
    <n v="1245"/>
    <x v="27"/>
    <x v="0"/>
    <s v="Socks"/>
    <s v="Clothing"/>
    <n v="76"/>
    <x v="27"/>
    <s v="S"/>
    <s v="Silver"/>
    <s v="Summer"/>
    <n v="3.9"/>
    <s v="No"/>
    <s v="Yes"/>
    <n v="2"/>
    <s v="Cash"/>
    <s v="Monthly"/>
    <m/>
  </r>
  <r>
    <n v="1246"/>
    <x v="32"/>
    <x v="0"/>
    <s v="Dress"/>
    <s v="Clothing"/>
    <n v="31"/>
    <x v="14"/>
    <s v="M"/>
    <s v="Violet"/>
    <s v="Fall"/>
    <n v="3.4"/>
    <s v="No"/>
    <s v="Yes"/>
    <n v="30"/>
    <s v="Bank Transfer"/>
    <s v="Weekly"/>
    <m/>
  </r>
  <r>
    <n v="1247"/>
    <x v="7"/>
    <x v="0"/>
    <s v="Hoodie"/>
    <s v="Clothing"/>
    <n v="60"/>
    <x v="7"/>
    <s v="M"/>
    <s v="Charcoal"/>
    <s v="Winter"/>
    <n v="2.7"/>
    <s v="No"/>
    <s v="Yes"/>
    <n v="27"/>
    <s v="Cash"/>
    <s v="Monthly"/>
    <m/>
  </r>
  <r>
    <n v="1248"/>
    <x v="13"/>
    <x v="0"/>
    <s v="T-shirt"/>
    <s v="Clothing"/>
    <n v="99"/>
    <x v="41"/>
    <s v="M"/>
    <s v="Charcoal"/>
    <s v="Spring"/>
    <n v="3.5"/>
    <s v="No"/>
    <s v="Yes"/>
    <n v="18"/>
    <s v="Venmo"/>
    <s v="Bi-Weekly"/>
    <m/>
  </r>
  <r>
    <n v="1249"/>
    <x v="46"/>
    <x v="0"/>
    <s v="Hat"/>
    <s v="Accessories"/>
    <n v="37"/>
    <x v="48"/>
    <s v="XL"/>
    <s v="Red"/>
    <s v="Winter"/>
    <n v="3"/>
    <s v="No"/>
    <s v="Yes"/>
    <n v="8"/>
    <s v="Credit Card"/>
    <s v="Annually"/>
    <m/>
  </r>
  <r>
    <n v="1250"/>
    <x v="46"/>
    <x v="0"/>
    <s v="Boots"/>
    <s v="Footwear"/>
    <n v="50"/>
    <x v="4"/>
    <s v="M"/>
    <s v="Peach"/>
    <s v="Winter"/>
    <n v="4.5"/>
    <s v="No"/>
    <s v="Yes"/>
    <n v="48"/>
    <s v="Venmo"/>
    <s v="Fortnightly"/>
    <m/>
  </r>
  <r>
    <n v="1251"/>
    <x v="16"/>
    <x v="0"/>
    <s v="Jeans"/>
    <s v="Clothing"/>
    <n v="26"/>
    <x v="13"/>
    <s v="XL"/>
    <s v="Purple"/>
    <s v="Winter"/>
    <n v="4.0999999999999996"/>
    <s v="No"/>
    <s v="Yes"/>
    <n v="24"/>
    <s v="Cash"/>
    <s v="Monthly"/>
    <m/>
  </r>
  <r>
    <n v="1252"/>
    <x v="19"/>
    <x v="0"/>
    <s v="Shorts"/>
    <s v="Clothing"/>
    <n v="86"/>
    <x v="27"/>
    <s v="XL"/>
    <s v="Orange"/>
    <s v="Spring"/>
    <n v="5"/>
    <s v="No"/>
    <s v="Yes"/>
    <n v="43"/>
    <s v="Credit Card"/>
    <s v="Monthly"/>
    <m/>
  </r>
  <r>
    <n v="1253"/>
    <x v="48"/>
    <x v="0"/>
    <s v="Sandals"/>
    <s v="Footwear"/>
    <n v="41"/>
    <x v="2"/>
    <s v="L"/>
    <s v="Magenta"/>
    <s v="Fall"/>
    <n v="4"/>
    <s v="No"/>
    <s v="Yes"/>
    <n v="8"/>
    <s v="Cash"/>
    <s v="Quarterly"/>
    <m/>
  </r>
  <r>
    <n v="1254"/>
    <x v="31"/>
    <x v="0"/>
    <s v="Sandals"/>
    <s v="Footwear"/>
    <n v="23"/>
    <x v="6"/>
    <s v="XL"/>
    <s v="Red"/>
    <s v="Winter"/>
    <n v="4.9000000000000004"/>
    <s v="No"/>
    <s v="Yes"/>
    <n v="49"/>
    <s v="PayPal"/>
    <s v="Annually"/>
    <m/>
  </r>
  <r>
    <n v="1255"/>
    <x v="22"/>
    <x v="0"/>
    <s v="Sneakers"/>
    <s v="Footwear"/>
    <n v="56"/>
    <x v="18"/>
    <s v="XL"/>
    <s v="Black"/>
    <s v="Spring"/>
    <n v="3.3"/>
    <s v="No"/>
    <s v="Yes"/>
    <n v="2"/>
    <s v="Credit Card"/>
    <s v="Bi-Weekly"/>
    <m/>
  </r>
  <r>
    <n v="1256"/>
    <x v="11"/>
    <x v="0"/>
    <s v="Hat"/>
    <s v="Accessories"/>
    <n v="68"/>
    <x v="27"/>
    <s v="M"/>
    <s v="Peach"/>
    <s v="Fall"/>
    <n v="4.0999999999999996"/>
    <s v="No"/>
    <s v="Yes"/>
    <n v="38"/>
    <s v="Cash"/>
    <s v="Fortnightly"/>
    <m/>
  </r>
  <r>
    <n v="1257"/>
    <x v="4"/>
    <x v="0"/>
    <s v="Coat"/>
    <s v="Outerwear"/>
    <n v="48"/>
    <x v="8"/>
    <s v="S"/>
    <s v="Olive"/>
    <s v="Winter"/>
    <n v="3.6"/>
    <s v="No"/>
    <s v="Yes"/>
    <n v="4"/>
    <s v="Cash"/>
    <s v="Fortnightly"/>
    <m/>
  </r>
  <r>
    <n v="1258"/>
    <x v="33"/>
    <x v="0"/>
    <s v="Dress"/>
    <s v="Clothing"/>
    <n v="67"/>
    <x v="46"/>
    <s v="L"/>
    <s v="Gold"/>
    <s v="Spring"/>
    <n v="3"/>
    <s v="No"/>
    <s v="Yes"/>
    <n v="31"/>
    <s v="Cash"/>
    <s v="Every 3 Months"/>
    <m/>
  </r>
  <r>
    <n v="1259"/>
    <x v="36"/>
    <x v="0"/>
    <s v="Boots"/>
    <s v="Footwear"/>
    <n v="87"/>
    <x v="31"/>
    <s v="XL"/>
    <s v="Gold"/>
    <s v="Spring"/>
    <n v="4.0999999999999996"/>
    <s v="No"/>
    <s v="Yes"/>
    <n v="34"/>
    <s v="Debit Card"/>
    <s v="Every 3 Months"/>
    <m/>
  </r>
  <r>
    <n v="1260"/>
    <x v="33"/>
    <x v="0"/>
    <s v="Skirt"/>
    <s v="Clothing"/>
    <n v="64"/>
    <x v="46"/>
    <s v="M"/>
    <s v="Turquoise"/>
    <s v="Fall"/>
    <n v="3.9"/>
    <s v="No"/>
    <s v="Yes"/>
    <n v="45"/>
    <s v="Credit Card"/>
    <s v="Monthly"/>
    <m/>
  </r>
  <r>
    <n v="1261"/>
    <x v="6"/>
    <x v="0"/>
    <s v="Shirt"/>
    <s v="Clothing"/>
    <n v="93"/>
    <x v="41"/>
    <s v="XL"/>
    <s v="Green"/>
    <s v="Spring"/>
    <n v="4.0999999999999996"/>
    <s v="No"/>
    <s v="Yes"/>
    <n v="30"/>
    <s v="Debit Card"/>
    <s v="Quarterly"/>
    <m/>
  </r>
  <r>
    <n v="1262"/>
    <x v="30"/>
    <x v="0"/>
    <s v="Shirt"/>
    <s v="Clothing"/>
    <n v="29"/>
    <x v="39"/>
    <s v="L"/>
    <s v="Maroon"/>
    <s v="Summer"/>
    <n v="2.8"/>
    <s v="No"/>
    <s v="Yes"/>
    <n v="2"/>
    <s v="Credit Card"/>
    <s v="Fortnightly"/>
    <m/>
  </r>
  <r>
    <n v="1263"/>
    <x v="26"/>
    <x v="0"/>
    <s v="Boots"/>
    <s v="Footwear"/>
    <n v="62"/>
    <x v="30"/>
    <s v="L"/>
    <s v="Brown"/>
    <s v="Winter"/>
    <n v="4.8"/>
    <s v="No"/>
    <s v="Yes"/>
    <n v="44"/>
    <s v="Venmo"/>
    <s v="Monthly"/>
    <m/>
  </r>
  <r>
    <n v="1264"/>
    <x v="38"/>
    <x v="0"/>
    <s v="Hoodie"/>
    <s v="Clothing"/>
    <n v="70"/>
    <x v="12"/>
    <s v="L"/>
    <s v="Brown"/>
    <s v="Winter"/>
    <n v="4.5999999999999996"/>
    <s v="No"/>
    <s v="Yes"/>
    <n v="1"/>
    <s v="Credit Card"/>
    <s v="Bi-Weekly"/>
    <m/>
  </r>
  <r>
    <n v="1265"/>
    <x v="16"/>
    <x v="0"/>
    <s v="Sweater"/>
    <s v="Clothing"/>
    <n v="92"/>
    <x v="34"/>
    <s v="S"/>
    <s v="Blue"/>
    <s v="Winter"/>
    <n v="2.5"/>
    <s v="No"/>
    <s v="Yes"/>
    <n v="1"/>
    <s v="Venmo"/>
    <s v="Bi-Weekly"/>
    <m/>
  </r>
  <r>
    <n v="1266"/>
    <x v="45"/>
    <x v="0"/>
    <s v="Shirt"/>
    <s v="Clothing"/>
    <n v="79"/>
    <x v="7"/>
    <s v="M"/>
    <s v="Lavender"/>
    <s v="Spring"/>
    <n v="2.7"/>
    <s v="No"/>
    <s v="Yes"/>
    <n v="27"/>
    <s v="Bank Transfer"/>
    <s v="Weekly"/>
    <m/>
  </r>
  <r>
    <n v="1267"/>
    <x v="30"/>
    <x v="0"/>
    <s v="Blouse"/>
    <s v="Clothing"/>
    <n v="31"/>
    <x v="25"/>
    <s v="M"/>
    <s v="Peach"/>
    <s v="Fall"/>
    <n v="4"/>
    <s v="No"/>
    <s v="Yes"/>
    <n v="14"/>
    <s v="Debit Card"/>
    <s v="Every 3 Months"/>
    <m/>
  </r>
  <r>
    <n v="1268"/>
    <x v="36"/>
    <x v="0"/>
    <s v="T-shirt"/>
    <s v="Clothing"/>
    <n v="83"/>
    <x v="4"/>
    <s v="S"/>
    <s v="Gray"/>
    <s v="Spring"/>
    <n v="2.7"/>
    <s v="No"/>
    <s v="Yes"/>
    <n v="41"/>
    <s v="Cash"/>
    <s v="Weekly"/>
    <m/>
  </r>
  <r>
    <n v="1269"/>
    <x v="51"/>
    <x v="0"/>
    <s v="Jacket"/>
    <s v="Outerwear"/>
    <n v="88"/>
    <x v="37"/>
    <s v="XL"/>
    <s v="Charcoal"/>
    <s v="Winter"/>
    <n v="2.9"/>
    <s v="No"/>
    <s v="Yes"/>
    <n v="25"/>
    <s v="Debit Card"/>
    <s v="Bi-Weekly"/>
    <m/>
  </r>
  <r>
    <n v="1270"/>
    <x v="49"/>
    <x v="0"/>
    <s v="Jewelry"/>
    <s v="Accessories"/>
    <n v="53"/>
    <x v="34"/>
    <s v="M"/>
    <s v="Lavender"/>
    <s v="Spring"/>
    <n v="3"/>
    <s v="No"/>
    <s v="Yes"/>
    <n v="47"/>
    <s v="PayPal"/>
    <s v="Quarterly"/>
    <m/>
  </r>
  <r>
    <n v="1271"/>
    <x v="29"/>
    <x v="0"/>
    <s v="Hoodie"/>
    <s v="Clothing"/>
    <n v="98"/>
    <x v="8"/>
    <s v="M"/>
    <s v="Green"/>
    <s v="Fall"/>
    <n v="3.3"/>
    <s v="No"/>
    <s v="Yes"/>
    <n v="20"/>
    <s v="Cash"/>
    <s v="Annually"/>
    <m/>
  </r>
  <r>
    <n v="1272"/>
    <x v="27"/>
    <x v="0"/>
    <s v="Jewelry"/>
    <s v="Accessories"/>
    <n v="57"/>
    <x v="0"/>
    <s v="S"/>
    <s v="Gray"/>
    <s v="Spring"/>
    <n v="4.3"/>
    <s v="No"/>
    <s v="Yes"/>
    <n v="42"/>
    <s v="PayPal"/>
    <s v="Annually"/>
    <m/>
  </r>
  <r>
    <n v="1273"/>
    <x v="25"/>
    <x v="0"/>
    <s v="Sandals"/>
    <s v="Footwear"/>
    <n v="80"/>
    <x v="48"/>
    <s v="M"/>
    <s v="Orange"/>
    <s v="Winter"/>
    <n v="4.4000000000000004"/>
    <s v="No"/>
    <s v="Yes"/>
    <n v="16"/>
    <s v="Bank Transfer"/>
    <s v="Monthly"/>
    <m/>
  </r>
  <r>
    <n v="1274"/>
    <x v="38"/>
    <x v="0"/>
    <s v="Jeans"/>
    <s v="Clothing"/>
    <n v="29"/>
    <x v="16"/>
    <s v="L"/>
    <s v="Silver"/>
    <s v="Spring"/>
    <n v="4.0999999999999996"/>
    <s v="No"/>
    <s v="Yes"/>
    <n v="32"/>
    <s v="Credit Card"/>
    <s v="Every 3 Months"/>
    <m/>
  </r>
  <r>
    <n v="1275"/>
    <x v="22"/>
    <x v="0"/>
    <s v="Hat"/>
    <s v="Accessories"/>
    <n v="73"/>
    <x v="9"/>
    <s v="M"/>
    <s v="Olive"/>
    <s v="Spring"/>
    <n v="3.1"/>
    <s v="No"/>
    <s v="Yes"/>
    <n v="37"/>
    <s v="PayPal"/>
    <s v="Quarterly"/>
    <m/>
  </r>
  <r>
    <n v="1276"/>
    <x v="0"/>
    <x v="0"/>
    <s v="Sweater"/>
    <s v="Clothing"/>
    <n v="32"/>
    <x v="10"/>
    <s v="S"/>
    <s v="Turquoise"/>
    <s v="Fall"/>
    <n v="4.5"/>
    <s v="No"/>
    <s v="Yes"/>
    <n v="1"/>
    <s v="PayPal"/>
    <s v="Monthly"/>
    <m/>
  </r>
  <r>
    <n v="1277"/>
    <x v="47"/>
    <x v="0"/>
    <s v="Boots"/>
    <s v="Footwear"/>
    <n v="68"/>
    <x v="5"/>
    <s v="L"/>
    <s v="Turquoise"/>
    <s v="Spring"/>
    <n v="4.8"/>
    <s v="No"/>
    <s v="Yes"/>
    <n v="37"/>
    <s v="Bank Transfer"/>
    <s v="Weekly"/>
    <m/>
  </r>
  <r>
    <n v="1278"/>
    <x v="1"/>
    <x v="0"/>
    <s v="Blouse"/>
    <s v="Clothing"/>
    <n v="97"/>
    <x v="3"/>
    <s v="L"/>
    <s v="Green"/>
    <s v="Spring"/>
    <n v="5"/>
    <s v="No"/>
    <s v="Yes"/>
    <n v="5"/>
    <s v="Venmo"/>
    <s v="Quarterly"/>
    <m/>
  </r>
  <r>
    <n v="1279"/>
    <x v="48"/>
    <x v="0"/>
    <s v="Shorts"/>
    <s v="Clothing"/>
    <n v="98"/>
    <x v="40"/>
    <s v="M"/>
    <s v="Violet"/>
    <s v="Fall"/>
    <n v="2.8"/>
    <s v="No"/>
    <s v="Yes"/>
    <n v="31"/>
    <s v="Venmo"/>
    <s v="Fortnightly"/>
    <m/>
  </r>
  <r>
    <n v="1280"/>
    <x v="6"/>
    <x v="0"/>
    <s v="Hoodie"/>
    <s v="Clothing"/>
    <n v="56"/>
    <x v="33"/>
    <s v="L"/>
    <s v="Charcoal"/>
    <s v="Fall"/>
    <n v="3.7"/>
    <s v="No"/>
    <s v="Yes"/>
    <n v="18"/>
    <s v="Debit Card"/>
    <s v="Annually"/>
    <m/>
  </r>
  <r>
    <n v="1281"/>
    <x v="11"/>
    <x v="0"/>
    <s v="Pants"/>
    <s v="Clothing"/>
    <n v="78"/>
    <x v="42"/>
    <s v="L"/>
    <s v="White"/>
    <s v="Winter"/>
    <n v="4.4000000000000004"/>
    <s v="No"/>
    <s v="Yes"/>
    <n v="39"/>
    <s v="Venmo"/>
    <s v="Every 3 Months"/>
    <m/>
  </r>
  <r>
    <n v="1282"/>
    <x v="26"/>
    <x v="0"/>
    <s v="Belt"/>
    <s v="Accessories"/>
    <n v="81"/>
    <x v="32"/>
    <s v="M"/>
    <s v="Olive"/>
    <s v="Spring"/>
    <n v="4.5"/>
    <s v="No"/>
    <s v="Yes"/>
    <n v="8"/>
    <s v="Venmo"/>
    <s v="Bi-Weekly"/>
    <m/>
  </r>
  <r>
    <n v="1283"/>
    <x v="41"/>
    <x v="0"/>
    <s v="Shirt"/>
    <s v="Clothing"/>
    <n v="68"/>
    <x v="13"/>
    <s v="L"/>
    <s v="Violet"/>
    <s v="Winter"/>
    <n v="3"/>
    <s v="No"/>
    <s v="Yes"/>
    <n v="20"/>
    <s v="Venmo"/>
    <s v="Monthly"/>
    <m/>
  </r>
  <r>
    <n v="1284"/>
    <x v="28"/>
    <x v="0"/>
    <s v="Shirt"/>
    <s v="Clothing"/>
    <n v="94"/>
    <x v="4"/>
    <s v="M"/>
    <s v="Violet"/>
    <s v="Winter"/>
    <n v="3.9"/>
    <s v="No"/>
    <s v="Yes"/>
    <n v="23"/>
    <s v="Debit Card"/>
    <s v="Every 3 Months"/>
    <m/>
  </r>
  <r>
    <n v="1285"/>
    <x v="13"/>
    <x v="0"/>
    <s v="Dress"/>
    <s v="Clothing"/>
    <n v="93"/>
    <x v="10"/>
    <s v="M"/>
    <s v="Black"/>
    <s v="Spring"/>
    <n v="3.9"/>
    <s v="No"/>
    <s v="Yes"/>
    <n v="38"/>
    <s v="PayPal"/>
    <s v="Fortnightly"/>
    <m/>
  </r>
  <r>
    <n v="1286"/>
    <x v="14"/>
    <x v="0"/>
    <s v="Gloves"/>
    <s v="Accessories"/>
    <n v="99"/>
    <x v="17"/>
    <s v="M"/>
    <s v="Charcoal"/>
    <s v="Fall"/>
    <n v="3.5"/>
    <s v="No"/>
    <s v="Yes"/>
    <n v="45"/>
    <s v="Bank Transfer"/>
    <s v="Fortnightly"/>
    <m/>
  </r>
  <r>
    <n v="1287"/>
    <x v="37"/>
    <x v="0"/>
    <s v="Gloves"/>
    <s v="Accessories"/>
    <n v="49"/>
    <x v="8"/>
    <s v="L"/>
    <s v="Yellow"/>
    <s v="Winter"/>
    <n v="4.9000000000000004"/>
    <s v="No"/>
    <s v="Yes"/>
    <n v="44"/>
    <s v="Debit Card"/>
    <s v="Fortnightly"/>
    <m/>
  </r>
  <r>
    <n v="1288"/>
    <x v="41"/>
    <x v="0"/>
    <s v="Jeans"/>
    <s v="Clothing"/>
    <n v="28"/>
    <x v="40"/>
    <s v="XL"/>
    <s v="Blue"/>
    <s v="Winter"/>
    <n v="3.4"/>
    <s v="No"/>
    <s v="Yes"/>
    <n v="20"/>
    <s v="PayPal"/>
    <s v="Monthly"/>
    <m/>
  </r>
  <r>
    <n v="1289"/>
    <x v="17"/>
    <x v="0"/>
    <s v="Belt"/>
    <s v="Accessories"/>
    <n v="93"/>
    <x v="45"/>
    <s v="XL"/>
    <s v="Charcoal"/>
    <s v="Winter"/>
    <n v="4.0999999999999996"/>
    <s v="No"/>
    <s v="Yes"/>
    <n v="34"/>
    <s v="PayPal"/>
    <s v="Bi-Weekly"/>
    <m/>
  </r>
  <r>
    <n v="1290"/>
    <x v="25"/>
    <x v="0"/>
    <s v="Jacket"/>
    <s v="Outerwear"/>
    <n v="24"/>
    <x v="13"/>
    <s v="M"/>
    <s v="Red"/>
    <s v="Fall"/>
    <n v="2.9"/>
    <s v="No"/>
    <s v="Yes"/>
    <n v="10"/>
    <s v="PayPal"/>
    <s v="Weekly"/>
    <m/>
  </r>
  <r>
    <n v="1291"/>
    <x v="29"/>
    <x v="0"/>
    <s v="Skirt"/>
    <s v="Clothing"/>
    <n v="35"/>
    <x v="33"/>
    <s v="M"/>
    <s v="Indigo"/>
    <s v="Spring"/>
    <n v="3.4"/>
    <s v="No"/>
    <s v="Yes"/>
    <n v="3"/>
    <s v="PayPal"/>
    <s v="Annually"/>
    <m/>
  </r>
  <r>
    <n v="1292"/>
    <x v="28"/>
    <x v="0"/>
    <s v="Sandals"/>
    <s v="Footwear"/>
    <n v="68"/>
    <x v="45"/>
    <s v="S"/>
    <s v="Beige"/>
    <s v="Spring"/>
    <n v="3.2"/>
    <s v="No"/>
    <s v="Yes"/>
    <n v="23"/>
    <s v="Debit Card"/>
    <s v="Fortnightly"/>
    <m/>
  </r>
  <r>
    <n v="1293"/>
    <x v="8"/>
    <x v="0"/>
    <s v="Belt"/>
    <s v="Accessories"/>
    <n v="61"/>
    <x v="0"/>
    <s v="M"/>
    <s v="Maroon"/>
    <s v="Summer"/>
    <n v="3.9"/>
    <s v="No"/>
    <s v="Yes"/>
    <n v="42"/>
    <s v="Bank Transfer"/>
    <s v="Annually"/>
    <m/>
  </r>
  <r>
    <n v="1294"/>
    <x v="51"/>
    <x v="0"/>
    <s v="Sweater"/>
    <s v="Clothing"/>
    <n v="74"/>
    <x v="20"/>
    <s v="XL"/>
    <s v="Yellow"/>
    <s v="Fall"/>
    <n v="4.0999999999999996"/>
    <s v="No"/>
    <s v="Yes"/>
    <n v="30"/>
    <s v="Debit Card"/>
    <s v="Annually"/>
    <m/>
  </r>
  <r>
    <n v="1295"/>
    <x v="7"/>
    <x v="0"/>
    <s v="Shirt"/>
    <s v="Clothing"/>
    <n v="64"/>
    <x v="21"/>
    <s v="M"/>
    <s v="Silver"/>
    <s v="Summer"/>
    <n v="4.5"/>
    <s v="No"/>
    <s v="Yes"/>
    <n v="21"/>
    <s v="Cash"/>
    <s v="Every 3 Months"/>
    <m/>
  </r>
  <r>
    <n v="1296"/>
    <x v="11"/>
    <x v="0"/>
    <s v="Sneakers"/>
    <s v="Footwear"/>
    <n v="60"/>
    <x v="35"/>
    <s v="M"/>
    <s v="Olive"/>
    <s v="Fall"/>
    <n v="2.8"/>
    <s v="No"/>
    <s v="Yes"/>
    <n v="50"/>
    <s v="PayPal"/>
    <s v="Weekly"/>
    <m/>
  </r>
  <r>
    <n v="1297"/>
    <x v="39"/>
    <x v="0"/>
    <s v="Jeans"/>
    <s v="Clothing"/>
    <n v="29"/>
    <x v="45"/>
    <s v="S"/>
    <s v="Teal"/>
    <s v="Spring"/>
    <n v="2.8"/>
    <s v="No"/>
    <s v="Yes"/>
    <n v="16"/>
    <s v="Cash"/>
    <s v="Bi-Weekly"/>
    <m/>
  </r>
  <r>
    <n v="1298"/>
    <x v="42"/>
    <x v="0"/>
    <s v="Sandals"/>
    <s v="Footwear"/>
    <n v="85"/>
    <x v="32"/>
    <s v="M"/>
    <s v="Silver"/>
    <s v="Summer"/>
    <n v="4.5999999999999996"/>
    <s v="No"/>
    <s v="Yes"/>
    <n v="32"/>
    <s v="Venmo"/>
    <s v="Annually"/>
    <m/>
  </r>
  <r>
    <n v="1299"/>
    <x v="26"/>
    <x v="0"/>
    <s v="Pants"/>
    <s v="Clothing"/>
    <n v="81"/>
    <x v="27"/>
    <s v="S"/>
    <s v="Indigo"/>
    <s v="Summer"/>
    <n v="3"/>
    <s v="No"/>
    <s v="Yes"/>
    <n v="14"/>
    <s v="Bank Transfer"/>
    <s v="Fortnightly"/>
    <m/>
  </r>
  <r>
    <n v="1300"/>
    <x v="26"/>
    <x v="0"/>
    <s v="Belt"/>
    <s v="Accessories"/>
    <n v="23"/>
    <x v="7"/>
    <s v="L"/>
    <s v="Teal"/>
    <s v="Fall"/>
    <n v="3.6"/>
    <s v="No"/>
    <s v="Yes"/>
    <n v="42"/>
    <s v="Venmo"/>
    <s v="Bi-Weekly"/>
    <m/>
  </r>
  <r>
    <n v="1301"/>
    <x v="29"/>
    <x v="0"/>
    <s v="T-shirt"/>
    <s v="Clothing"/>
    <n v="100"/>
    <x v="8"/>
    <s v="M"/>
    <s v="Charcoal"/>
    <s v="Spring"/>
    <n v="4.5"/>
    <s v="No"/>
    <s v="Yes"/>
    <n v="47"/>
    <s v="Credit Card"/>
    <s v="Every 3 Months"/>
    <m/>
  </r>
  <r>
    <n v="1302"/>
    <x v="32"/>
    <x v="0"/>
    <s v="Shirt"/>
    <s v="Clothing"/>
    <n v="54"/>
    <x v="1"/>
    <s v="M"/>
    <s v="Orange"/>
    <s v="Fall"/>
    <n v="5"/>
    <s v="No"/>
    <s v="Yes"/>
    <n v="21"/>
    <s v="Debit Card"/>
    <s v="Weekly"/>
    <m/>
  </r>
  <r>
    <n v="1303"/>
    <x v="51"/>
    <x v="0"/>
    <s v="Sneakers"/>
    <s v="Footwear"/>
    <n v="25"/>
    <x v="37"/>
    <s v="M"/>
    <s v="Gold"/>
    <s v="Fall"/>
    <n v="2.9"/>
    <s v="No"/>
    <s v="Yes"/>
    <n v="37"/>
    <s v="Credit Card"/>
    <s v="Monthly"/>
    <m/>
  </r>
  <r>
    <n v="1304"/>
    <x v="50"/>
    <x v="0"/>
    <s v="Blouse"/>
    <s v="Clothing"/>
    <n v="32"/>
    <x v="14"/>
    <s v="L"/>
    <s v="Silver"/>
    <s v="Summer"/>
    <n v="3.1"/>
    <s v="No"/>
    <s v="Yes"/>
    <n v="10"/>
    <s v="Credit Card"/>
    <s v="Annually"/>
    <m/>
  </r>
  <r>
    <n v="1305"/>
    <x v="14"/>
    <x v="0"/>
    <s v="Backpack"/>
    <s v="Accessories"/>
    <n v="63"/>
    <x v="6"/>
    <s v="S"/>
    <s v="Orange"/>
    <s v="Spring"/>
    <n v="4"/>
    <s v="No"/>
    <s v="Yes"/>
    <n v="18"/>
    <s v="PayPal"/>
    <s v="Every 3 Months"/>
    <m/>
  </r>
  <r>
    <n v="1306"/>
    <x v="18"/>
    <x v="0"/>
    <s v="Pants"/>
    <s v="Clothing"/>
    <n v="56"/>
    <x v="16"/>
    <s v="XL"/>
    <s v="Peach"/>
    <s v="Spring"/>
    <n v="4.5"/>
    <s v="No"/>
    <s v="Yes"/>
    <n v="2"/>
    <s v="PayPal"/>
    <s v="Every 3 Months"/>
    <m/>
  </r>
  <r>
    <n v="1307"/>
    <x v="22"/>
    <x v="0"/>
    <s v="Sweater"/>
    <s v="Clothing"/>
    <n v="33"/>
    <x v="29"/>
    <s v="L"/>
    <s v="Brown"/>
    <s v="Winter"/>
    <n v="4.5"/>
    <s v="No"/>
    <s v="Yes"/>
    <n v="40"/>
    <s v="PayPal"/>
    <s v="Annually"/>
    <m/>
  </r>
  <r>
    <n v="1308"/>
    <x v="51"/>
    <x v="0"/>
    <s v="Coat"/>
    <s v="Outerwear"/>
    <n v="32"/>
    <x v="9"/>
    <s v="L"/>
    <s v="Black"/>
    <s v="Summer"/>
    <n v="3.1"/>
    <s v="No"/>
    <s v="Yes"/>
    <n v="43"/>
    <s v="PayPal"/>
    <s v="Annually"/>
    <m/>
  </r>
  <r>
    <n v="1309"/>
    <x v="35"/>
    <x v="0"/>
    <s v="Dress"/>
    <s v="Clothing"/>
    <n v="38"/>
    <x v="3"/>
    <s v="L"/>
    <s v="Red"/>
    <s v="Summer"/>
    <n v="4.4000000000000004"/>
    <s v="No"/>
    <s v="Yes"/>
    <n v="14"/>
    <s v="Credit Card"/>
    <s v="Every 3 Months"/>
    <m/>
  </r>
  <r>
    <n v="1310"/>
    <x v="45"/>
    <x v="0"/>
    <s v="Blouse"/>
    <s v="Clothing"/>
    <n v="21"/>
    <x v="11"/>
    <s v="L"/>
    <s v="Lavender"/>
    <s v="Summer"/>
    <n v="4.7"/>
    <s v="No"/>
    <s v="Yes"/>
    <n v="41"/>
    <s v="Cash"/>
    <s v="Quarterly"/>
    <m/>
  </r>
  <r>
    <n v="1311"/>
    <x v="49"/>
    <x v="0"/>
    <s v="Hoodie"/>
    <s v="Clothing"/>
    <n v="59"/>
    <x v="36"/>
    <s v="L"/>
    <s v="Brown"/>
    <s v="Winter"/>
    <n v="3.1"/>
    <s v="No"/>
    <s v="Yes"/>
    <n v="38"/>
    <s v="Credit Card"/>
    <s v="Every 3 Months"/>
    <m/>
  </r>
  <r>
    <n v="1312"/>
    <x v="45"/>
    <x v="0"/>
    <s v="Shoes"/>
    <s v="Footwear"/>
    <n v="87"/>
    <x v="30"/>
    <s v="M"/>
    <s v="Maroon"/>
    <s v="Fall"/>
    <n v="4.2"/>
    <s v="No"/>
    <s v="Yes"/>
    <n v="12"/>
    <s v="Venmo"/>
    <s v="Annually"/>
    <m/>
  </r>
  <r>
    <n v="1313"/>
    <x v="17"/>
    <x v="0"/>
    <s v="T-shirt"/>
    <s v="Clothing"/>
    <n v="79"/>
    <x v="9"/>
    <s v="M"/>
    <s v="Violet"/>
    <s v="Winter"/>
    <n v="3"/>
    <s v="No"/>
    <s v="Yes"/>
    <n v="19"/>
    <s v="Bank Transfer"/>
    <s v="Monthly"/>
    <m/>
  </r>
  <r>
    <n v="1314"/>
    <x v="27"/>
    <x v="0"/>
    <s v="Shoes"/>
    <s v="Footwear"/>
    <n v="28"/>
    <x v="9"/>
    <s v="M"/>
    <s v="Lavender"/>
    <s v="Summer"/>
    <n v="2.6"/>
    <s v="No"/>
    <s v="Yes"/>
    <n v="23"/>
    <s v="Credit Card"/>
    <s v="Bi-Weekly"/>
    <m/>
  </r>
  <r>
    <n v="1315"/>
    <x v="32"/>
    <x v="0"/>
    <s v="Boots"/>
    <s v="Footwear"/>
    <n v="67"/>
    <x v="9"/>
    <s v="S"/>
    <s v="Magenta"/>
    <s v="Summer"/>
    <n v="3.4"/>
    <s v="No"/>
    <s v="Yes"/>
    <n v="49"/>
    <s v="Debit Card"/>
    <s v="Annually"/>
    <m/>
  </r>
  <r>
    <n v="1316"/>
    <x v="19"/>
    <x v="0"/>
    <s v="Shorts"/>
    <s v="Clothing"/>
    <n v="75"/>
    <x v="16"/>
    <s v="L"/>
    <s v="Green"/>
    <s v="Spring"/>
    <n v="4.2"/>
    <s v="No"/>
    <s v="Yes"/>
    <n v="29"/>
    <s v="Debit Card"/>
    <s v="Quarterly"/>
    <m/>
  </r>
  <r>
    <n v="1317"/>
    <x v="48"/>
    <x v="0"/>
    <s v="Belt"/>
    <s v="Accessories"/>
    <n v="32"/>
    <x v="10"/>
    <s v="S"/>
    <s v="Lavender"/>
    <s v="Spring"/>
    <n v="4.5999999999999996"/>
    <s v="No"/>
    <s v="Yes"/>
    <n v="14"/>
    <s v="Debit Card"/>
    <s v="Bi-Weekly"/>
    <m/>
  </r>
  <r>
    <n v="1318"/>
    <x v="48"/>
    <x v="0"/>
    <s v="Pants"/>
    <s v="Clothing"/>
    <n v="43"/>
    <x v="0"/>
    <s v="M"/>
    <s v="Green"/>
    <s v="Spring"/>
    <n v="2.8"/>
    <s v="No"/>
    <s v="Yes"/>
    <n v="19"/>
    <s v="Cash"/>
    <s v="Monthly"/>
    <m/>
  </r>
  <r>
    <n v="1319"/>
    <x v="16"/>
    <x v="0"/>
    <s v="Shorts"/>
    <s v="Clothing"/>
    <n v="93"/>
    <x v="39"/>
    <s v="M"/>
    <s v="Maroon"/>
    <s v="Spring"/>
    <n v="2.7"/>
    <s v="No"/>
    <s v="Yes"/>
    <n v="19"/>
    <s v="Credit Card"/>
    <s v="Bi-Weekly"/>
    <m/>
  </r>
  <r>
    <n v="1320"/>
    <x v="13"/>
    <x v="0"/>
    <s v="Sunglasses"/>
    <s v="Accessories"/>
    <n v="24"/>
    <x v="19"/>
    <s v="M"/>
    <s v="Magenta"/>
    <s v="Spring"/>
    <n v="4"/>
    <s v="No"/>
    <s v="Yes"/>
    <n v="48"/>
    <s v="Bank Transfer"/>
    <s v="Weekly"/>
    <m/>
  </r>
  <r>
    <n v="1321"/>
    <x v="19"/>
    <x v="0"/>
    <s v="Hat"/>
    <s v="Accessories"/>
    <n v="31"/>
    <x v="18"/>
    <s v="XL"/>
    <s v="Teal"/>
    <s v="Fall"/>
    <n v="3.1"/>
    <s v="No"/>
    <s v="Yes"/>
    <n v="19"/>
    <s v="Debit Card"/>
    <s v="Annually"/>
    <m/>
  </r>
  <r>
    <n v="1322"/>
    <x v="35"/>
    <x v="0"/>
    <s v="T-shirt"/>
    <s v="Clothing"/>
    <n v="84"/>
    <x v="9"/>
    <s v="L"/>
    <s v="Orange"/>
    <s v="Winter"/>
    <n v="3.7"/>
    <s v="No"/>
    <s v="Yes"/>
    <n v="45"/>
    <s v="Bank Transfer"/>
    <s v="Every 3 Months"/>
    <m/>
  </r>
  <r>
    <n v="1323"/>
    <x v="51"/>
    <x v="0"/>
    <s v="Pants"/>
    <s v="Clothing"/>
    <n v="74"/>
    <x v="47"/>
    <s v="M"/>
    <s v="Violet"/>
    <s v="Winter"/>
    <n v="4"/>
    <s v="No"/>
    <s v="Yes"/>
    <n v="17"/>
    <s v="Bank Transfer"/>
    <s v="Quarterly"/>
    <m/>
  </r>
  <r>
    <n v="1324"/>
    <x v="44"/>
    <x v="0"/>
    <s v="Shorts"/>
    <s v="Clothing"/>
    <n v="62"/>
    <x v="14"/>
    <s v="M"/>
    <s v="Yellow"/>
    <s v="Spring"/>
    <n v="4.5999999999999996"/>
    <s v="No"/>
    <s v="Yes"/>
    <n v="15"/>
    <s v="Debit Card"/>
    <s v="Every 3 Months"/>
    <m/>
  </r>
  <r>
    <n v="1325"/>
    <x v="31"/>
    <x v="0"/>
    <s v="Jewelry"/>
    <s v="Accessories"/>
    <n v="77"/>
    <x v="27"/>
    <s v="S"/>
    <s v="Orange"/>
    <s v="Summer"/>
    <n v="3.8"/>
    <s v="No"/>
    <s v="Yes"/>
    <n v="11"/>
    <s v="Credit Card"/>
    <s v="Fortnightly"/>
    <m/>
  </r>
  <r>
    <n v="1326"/>
    <x v="48"/>
    <x v="0"/>
    <s v="Backpack"/>
    <s v="Accessories"/>
    <n v="73"/>
    <x v="4"/>
    <s v="L"/>
    <s v="Gold"/>
    <s v="Summer"/>
    <n v="3.5"/>
    <s v="No"/>
    <s v="Yes"/>
    <n v="1"/>
    <s v="Cash"/>
    <s v="Monthly"/>
    <m/>
  </r>
  <r>
    <n v="1327"/>
    <x v="37"/>
    <x v="0"/>
    <s v="Shoes"/>
    <s v="Footwear"/>
    <n v="50"/>
    <x v="21"/>
    <s v="M"/>
    <s v="Indigo"/>
    <s v="Spring"/>
    <n v="4.5999999999999996"/>
    <s v="No"/>
    <s v="Yes"/>
    <n v="17"/>
    <s v="Cash"/>
    <s v="Monthly"/>
    <m/>
  </r>
  <r>
    <n v="1328"/>
    <x v="16"/>
    <x v="0"/>
    <s v="Coat"/>
    <s v="Outerwear"/>
    <n v="40"/>
    <x v="20"/>
    <s v="M"/>
    <s v="Turquoise"/>
    <s v="Winter"/>
    <n v="2.8"/>
    <s v="No"/>
    <s v="Yes"/>
    <n v="37"/>
    <s v="Cash"/>
    <s v="Weekly"/>
    <m/>
  </r>
  <r>
    <n v="1329"/>
    <x v="43"/>
    <x v="0"/>
    <s v="Sweater"/>
    <s v="Clothing"/>
    <n v="97"/>
    <x v="3"/>
    <s v="M"/>
    <s v="Orange"/>
    <s v="Winter"/>
    <n v="3.7"/>
    <s v="No"/>
    <s v="Yes"/>
    <n v="40"/>
    <s v="Bank Transfer"/>
    <s v="Weekly"/>
    <m/>
  </r>
  <r>
    <n v="1330"/>
    <x v="27"/>
    <x v="0"/>
    <s v="Gloves"/>
    <s v="Accessories"/>
    <n v="63"/>
    <x v="21"/>
    <s v="M"/>
    <s v="Indigo"/>
    <s v="Fall"/>
    <n v="3.3"/>
    <s v="No"/>
    <s v="Yes"/>
    <n v="50"/>
    <s v="PayPal"/>
    <s v="Every 3 Months"/>
    <m/>
  </r>
  <r>
    <n v="1331"/>
    <x v="11"/>
    <x v="0"/>
    <s v="Handbag"/>
    <s v="Accessories"/>
    <n v="65"/>
    <x v="34"/>
    <s v="M"/>
    <s v="Charcoal"/>
    <s v="Fall"/>
    <n v="2.9"/>
    <s v="No"/>
    <s v="Yes"/>
    <n v="20"/>
    <s v="PayPal"/>
    <s v="Bi-Weekly"/>
    <m/>
  </r>
  <r>
    <n v="1332"/>
    <x v="21"/>
    <x v="0"/>
    <s v="Socks"/>
    <s v="Clothing"/>
    <n v="91"/>
    <x v="33"/>
    <s v="M"/>
    <s v="Lavender"/>
    <s v="Spring"/>
    <n v="3.2"/>
    <s v="No"/>
    <s v="Yes"/>
    <n v="8"/>
    <s v="PayPal"/>
    <s v="Bi-Weekly"/>
    <m/>
  </r>
  <r>
    <n v="1333"/>
    <x v="17"/>
    <x v="0"/>
    <s v="Hoodie"/>
    <s v="Clothing"/>
    <n v="60"/>
    <x v="29"/>
    <s v="S"/>
    <s v="Gold"/>
    <s v="Spring"/>
    <n v="4.3"/>
    <s v="No"/>
    <s v="Yes"/>
    <n v="16"/>
    <s v="Bank Transfer"/>
    <s v="Quarterly"/>
    <m/>
  </r>
  <r>
    <n v="1334"/>
    <x v="26"/>
    <x v="0"/>
    <s v="Pants"/>
    <s v="Clothing"/>
    <n v="69"/>
    <x v="37"/>
    <s v="M"/>
    <s v="Lavender"/>
    <s v="Winter"/>
    <n v="2.7"/>
    <s v="No"/>
    <s v="Yes"/>
    <n v="9"/>
    <s v="Bank Transfer"/>
    <s v="Quarterly"/>
    <m/>
  </r>
  <r>
    <n v="1335"/>
    <x v="5"/>
    <x v="0"/>
    <s v="Coat"/>
    <s v="Outerwear"/>
    <n v="52"/>
    <x v="8"/>
    <s v="S"/>
    <s v="White"/>
    <s v="Spring"/>
    <n v="4.2"/>
    <s v="No"/>
    <s v="Yes"/>
    <n v="12"/>
    <s v="Venmo"/>
    <s v="Monthly"/>
    <m/>
  </r>
  <r>
    <n v="1336"/>
    <x v="19"/>
    <x v="0"/>
    <s v="Boots"/>
    <s v="Footwear"/>
    <n v="49"/>
    <x v="22"/>
    <s v="M"/>
    <s v="Lavender"/>
    <s v="Fall"/>
    <n v="4.8"/>
    <s v="No"/>
    <s v="Yes"/>
    <n v="26"/>
    <s v="Credit Card"/>
    <s v="Weekly"/>
    <m/>
  </r>
  <r>
    <n v="1337"/>
    <x v="51"/>
    <x v="0"/>
    <s v="Sneakers"/>
    <s v="Footwear"/>
    <n v="85"/>
    <x v="4"/>
    <s v="M"/>
    <s v="Charcoal"/>
    <s v="Spring"/>
    <n v="4.8"/>
    <s v="No"/>
    <s v="Yes"/>
    <n v="44"/>
    <s v="Debit Card"/>
    <s v="Fortnightly"/>
    <m/>
  </r>
  <r>
    <n v="1338"/>
    <x v="43"/>
    <x v="0"/>
    <s v="Sweater"/>
    <s v="Clothing"/>
    <n v="86"/>
    <x v="30"/>
    <s v="L"/>
    <s v="Silver"/>
    <s v="Spring"/>
    <n v="3.4"/>
    <s v="No"/>
    <s v="Yes"/>
    <n v="19"/>
    <s v="Credit Card"/>
    <s v="Bi-Weekly"/>
    <m/>
  </r>
  <r>
    <n v="1339"/>
    <x v="19"/>
    <x v="0"/>
    <s v="Handbag"/>
    <s v="Accessories"/>
    <n v="51"/>
    <x v="15"/>
    <s v="S"/>
    <s v="Yellow"/>
    <s v="Winter"/>
    <n v="2.6"/>
    <s v="No"/>
    <s v="Yes"/>
    <n v="43"/>
    <s v="PayPal"/>
    <s v="Fortnightly"/>
    <m/>
  </r>
  <r>
    <n v="1340"/>
    <x v="24"/>
    <x v="0"/>
    <s v="Belt"/>
    <s v="Accessories"/>
    <n v="56"/>
    <x v="27"/>
    <s v="L"/>
    <s v="Olive"/>
    <s v="Winter"/>
    <n v="5"/>
    <s v="No"/>
    <s v="Yes"/>
    <n v="5"/>
    <s v="Bank Transfer"/>
    <s v="Every 3 Months"/>
    <m/>
  </r>
  <r>
    <n v="1341"/>
    <x v="37"/>
    <x v="0"/>
    <s v="Belt"/>
    <s v="Accessories"/>
    <n v="72"/>
    <x v="37"/>
    <s v="M"/>
    <s v="Peach"/>
    <s v="Fall"/>
    <n v="4.4000000000000004"/>
    <s v="No"/>
    <s v="Yes"/>
    <n v="5"/>
    <s v="Debit Card"/>
    <s v="Every 3 Months"/>
    <m/>
  </r>
  <r>
    <n v="1342"/>
    <x v="8"/>
    <x v="0"/>
    <s v="Hoodie"/>
    <s v="Clothing"/>
    <n v="27"/>
    <x v="3"/>
    <s v="XL"/>
    <s v="Yellow"/>
    <s v="Fall"/>
    <n v="2.9"/>
    <s v="No"/>
    <s v="Yes"/>
    <n v="31"/>
    <s v="Bank Transfer"/>
    <s v="Quarterly"/>
    <m/>
  </r>
  <r>
    <n v="1343"/>
    <x v="9"/>
    <x v="0"/>
    <s v="Sunglasses"/>
    <s v="Accessories"/>
    <n v="43"/>
    <x v="28"/>
    <s v="XL"/>
    <s v="Yellow"/>
    <s v="Summer"/>
    <n v="3.4"/>
    <s v="No"/>
    <s v="Yes"/>
    <n v="11"/>
    <s v="Bank Transfer"/>
    <s v="Monthly"/>
    <m/>
  </r>
  <r>
    <n v="1344"/>
    <x v="33"/>
    <x v="0"/>
    <s v="Sneakers"/>
    <s v="Footwear"/>
    <n v="56"/>
    <x v="20"/>
    <s v="M"/>
    <s v="Indigo"/>
    <s v="Spring"/>
    <n v="3.4"/>
    <s v="No"/>
    <s v="Yes"/>
    <n v="34"/>
    <s v="Bank Transfer"/>
    <s v="Monthly"/>
    <m/>
  </r>
  <r>
    <n v="1345"/>
    <x v="19"/>
    <x v="0"/>
    <s v="T-shirt"/>
    <s v="Clothing"/>
    <n v="37"/>
    <x v="14"/>
    <s v="S"/>
    <s v="Violet"/>
    <s v="Fall"/>
    <n v="4.9000000000000004"/>
    <s v="No"/>
    <s v="Yes"/>
    <n v="14"/>
    <s v="Cash"/>
    <s v="Annually"/>
    <m/>
  </r>
  <r>
    <n v="1346"/>
    <x v="37"/>
    <x v="0"/>
    <s v="Dress"/>
    <s v="Clothing"/>
    <n v="21"/>
    <x v="43"/>
    <s v="M"/>
    <s v="White"/>
    <s v="Fall"/>
    <n v="3.6"/>
    <s v="No"/>
    <s v="Yes"/>
    <n v="42"/>
    <s v="Venmo"/>
    <s v="Weekly"/>
    <m/>
  </r>
  <r>
    <n v="1347"/>
    <x v="42"/>
    <x v="0"/>
    <s v="Hoodie"/>
    <s v="Clothing"/>
    <n v="91"/>
    <x v="16"/>
    <s v="L"/>
    <s v="White"/>
    <s v="Winter"/>
    <n v="3"/>
    <s v="No"/>
    <s v="Yes"/>
    <n v="15"/>
    <s v="Venmo"/>
    <s v="Bi-Weekly"/>
    <m/>
  </r>
  <r>
    <n v="1348"/>
    <x v="42"/>
    <x v="0"/>
    <s v="Sweater"/>
    <s v="Clothing"/>
    <n v="95"/>
    <x v="34"/>
    <s v="M"/>
    <s v="Cyan"/>
    <s v="Summer"/>
    <n v="3.9"/>
    <s v="No"/>
    <s v="Yes"/>
    <n v="47"/>
    <s v="Bank Transfer"/>
    <s v="Monthly"/>
    <m/>
  </r>
  <r>
    <n v="1349"/>
    <x v="1"/>
    <x v="0"/>
    <s v="Belt"/>
    <s v="Accessories"/>
    <n v="54"/>
    <x v="43"/>
    <s v="XL"/>
    <s v="Purple"/>
    <s v="Spring"/>
    <n v="3.2"/>
    <s v="No"/>
    <s v="Yes"/>
    <n v="23"/>
    <s v="Credit Card"/>
    <s v="Fortnightly"/>
    <m/>
  </r>
  <r>
    <n v="1350"/>
    <x v="3"/>
    <x v="0"/>
    <s v="Socks"/>
    <s v="Clothing"/>
    <n v="36"/>
    <x v="36"/>
    <s v="XL"/>
    <s v="Black"/>
    <s v="Spring"/>
    <n v="3.2"/>
    <s v="No"/>
    <s v="Yes"/>
    <n v="23"/>
    <s v="Cash"/>
    <s v="Bi-Weekly"/>
    <m/>
  </r>
  <r>
    <n v="1351"/>
    <x v="18"/>
    <x v="0"/>
    <s v="Sunglasses"/>
    <s v="Accessories"/>
    <n v="71"/>
    <x v="12"/>
    <s v="M"/>
    <s v="Orange"/>
    <s v="Fall"/>
    <n v="4.3"/>
    <s v="No"/>
    <s v="Yes"/>
    <n v="1"/>
    <s v="Cash"/>
    <s v="Every 3 Months"/>
    <m/>
  </r>
  <r>
    <n v="1352"/>
    <x v="11"/>
    <x v="0"/>
    <s v="Coat"/>
    <s v="Outerwear"/>
    <n v="31"/>
    <x v="34"/>
    <s v="L"/>
    <s v="Maroon"/>
    <s v="Summer"/>
    <n v="2.8"/>
    <s v="No"/>
    <s v="Yes"/>
    <n v="28"/>
    <s v="Bank Transfer"/>
    <s v="Quarterly"/>
    <m/>
  </r>
  <r>
    <n v="1353"/>
    <x v="13"/>
    <x v="0"/>
    <s v="Hat"/>
    <s v="Accessories"/>
    <n v="89"/>
    <x v="27"/>
    <s v="XL"/>
    <s v="Orange"/>
    <s v="Spring"/>
    <n v="4.5"/>
    <s v="No"/>
    <s v="Yes"/>
    <n v="37"/>
    <s v="Credit Card"/>
    <s v="Bi-Weekly"/>
    <m/>
  </r>
  <r>
    <n v="1354"/>
    <x v="31"/>
    <x v="0"/>
    <s v="Pants"/>
    <s v="Clothing"/>
    <n v="83"/>
    <x v="4"/>
    <s v="M"/>
    <s v="Teal"/>
    <s v="Winter"/>
    <n v="4.0999999999999996"/>
    <s v="No"/>
    <s v="Yes"/>
    <n v="4"/>
    <s v="Cash"/>
    <s v="Every 3 Months"/>
    <m/>
  </r>
  <r>
    <n v="1355"/>
    <x v="14"/>
    <x v="0"/>
    <s v="Backpack"/>
    <s v="Accessories"/>
    <n v="42"/>
    <x v="33"/>
    <s v="M"/>
    <s v="Gray"/>
    <s v="Spring"/>
    <n v="3.6"/>
    <s v="No"/>
    <s v="Yes"/>
    <n v="21"/>
    <s v="Bank Transfer"/>
    <s v="Quarterly"/>
    <m/>
  </r>
  <r>
    <n v="1356"/>
    <x v="35"/>
    <x v="0"/>
    <s v="Shorts"/>
    <s v="Clothing"/>
    <n v="91"/>
    <x v="20"/>
    <s v="M"/>
    <s v="Blue"/>
    <s v="Summer"/>
    <n v="3"/>
    <s v="No"/>
    <s v="Yes"/>
    <n v="50"/>
    <s v="PayPal"/>
    <s v="Bi-Weekly"/>
    <m/>
  </r>
  <r>
    <n v="1357"/>
    <x v="34"/>
    <x v="0"/>
    <s v="Jacket"/>
    <s v="Outerwear"/>
    <n v="61"/>
    <x v="27"/>
    <s v="M"/>
    <s v="Cyan"/>
    <s v="Spring"/>
    <n v="4"/>
    <s v="No"/>
    <s v="Yes"/>
    <n v="34"/>
    <s v="Bank Transfer"/>
    <s v="Annually"/>
    <m/>
  </r>
  <r>
    <n v="1358"/>
    <x v="41"/>
    <x v="0"/>
    <s v="Backpack"/>
    <s v="Accessories"/>
    <n v="66"/>
    <x v="21"/>
    <s v="S"/>
    <s v="Red"/>
    <s v="Summer"/>
    <n v="3.5"/>
    <s v="No"/>
    <s v="Yes"/>
    <n v="20"/>
    <s v="Cash"/>
    <s v="Quarterly"/>
    <m/>
  </r>
  <r>
    <n v="1359"/>
    <x v="1"/>
    <x v="0"/>
    <s v="Scarf"/>
    <s v="Accessories"/>
    <n v="22"/>
    <x v="43"/>
    <s v="XL"/>
    <s v="Pink"/>
    <s v="Spring"/>
    <n v="2.5"/>
    <s v="No"/>
    <s v="Yes"/>
    <n v="25"/>
    <s v="Venmo"/>
    <s v="Every 3 Months"/>
    <m/>
  </r>
  <r>
    <n v="1360"/>
    <x v="7"/>
    <x v="0"/>
    <s v="Hoodie"/>
    <s v="Clothing"/>
    <n v="68"/>
    <x v="17"/>
    <s v="S"/>
    <s v="Cyan"/>
    <s v="Winter"/>
    <n v="4.3"/>
    <s v="No"/>
    <s v="Yes"/>
    <n v="26"/>
    <s v="Bank Transfer"/>
    <s v="Fortnightly"/>
    <m/>
  </r>
  <r>
    <n v="1361"/>
    <x v="19"/>
    <x v="0"/>
    <s v="Skirt"/>
    <s v="Clothing"/>
    <n v="43"/>
    <x v="15"/>
    <s v="L"/>
    <s v="Black"/>
    <s v="Fall"/>
    <n v="2.8"/>
    <s v="No"/>
    <s v="Yes"/>
    <n v="4"/>
    <s v="Bank Transfer"/>
    <s v="Annually"/>
    <m/>
  </r>
  <r>
    <n v="1362"/>
    <x v="34"/>
    <x v="0"/>
    <s v="Dress"/>
    <s v="Clothing"/>
    <n v="32"/>
    <x v="15"/>
    <s v="M"/>
    <s v="Beige"/>
    <s v="Fall"/>
    <n v="3.7"/>
    <s v="No"/>
    <s v="Yes"/>
    <n v="39"/>
    <s v="Debit Card"/>
    <s v="Monthly"/>
    <m/>
  </r>
  <r>
    <n v="1363"/>
    <x v="38"/>
    <x v="0"/>
    <s v="Coat"/>
    <s v="Outerwear"/>
    <n v="46"/>
    <x v="24"/>
    <s v="M"/>
    <s v="Gray"/>
    <s v="Fall"/>
    <n v="4.3"/>
    <s v="No"/>
    <s v="Yes"/>
    <n v="29"/>
    <s v="Cash"/>
    <s v="Weekly"/>
    <m/>
  </r>
  <r>
    <n v="1364"/>
    <x v="24"/>
    <x v="0"/>
    <s v="Blouse"/>
    <s v="Clothing"/>
    <n v="90"/>
    <x v="48"/>
    <s v="L"/>
    <s v="Red"/>
    <s v="Summer"/>
    <n v="4"/>
    <s v="No"/>
    <s v="Yes"/>
    <n v="47"/>
    <s v="PayPal"/>
    <s v="Quarterly"/>
    <m/>
  </r>
  <r>
    <n v="1365"/>
    <x v="33"/>
    <x v="0"/>
    <s v="Hat"/>
    <s v="Accessories"/>
    <n v="75"/>
    <x v="12"/>
    <s v="L"/>
    <s v="Yellow"/>
    <s v="Fall"/>
    <n v="4.7"/>
    <s v="No"/>
    <s v="Yes"/>
    <n v="5"/>
    <s v="Cash"/>
    <s v="Every 3 Months"/>
    <m/>
  </r>
  <r>
    <n v="1366"/>
    <x v="48"/>
    <x v="0"/>
    <s v="Handbag"/>
    <s v="Accessories"/>
    <n v="69"/>
    <x v="27"/>
    <s v="M"/>
    <s v="Magenta"/>
    <s v="Winter"/>
    <n v="4.5"/>
    <s v="No"/>
    <s v="Yes"/>
    <n v="18"/>
    <s v="Bank Transfer"/>
    <s v="Fortnightly"/>
    <m/>
  </r>
  <r>
    <n v="1367"/>
    <x v="4"/>
    <x v="0"/>
    <s v="Belt"/>
    <s v="Accessories"/>
    <n v="40"/>
    <x v="44"/>
    <s v="M"/>
    <s v="Magenta"/>
    <s v="Fall"/>
    <n v="3.1"/>
    <s v="No"/>
    <s v="Yes"/>
    <n v="10"/>
    <s v="Credit Card"/>
    <s v="Fortnightly"/>
    <m/>
  </r>
  <r>
    <n v="1368"/>
    <x v="52"/>
    <x v="0"/>
    <s v="Belt"/>
    <s v="Accessories"/>
    <n v="63"/>
    <x v="44"/>
    <s v="S"/>
    <s v="Black"/>
    <s v="Fall"/>
    <n v="3.8"/>
    <s v="No"/>
    <s v="Yes"/>
    <n v="25"/>
    <s v="Cash"/>
    <s v="Quarterly"/>
    <m/>
  </r>
  <r>
    <n v="1369"/>
    <x v="3"/>
    <x v="0"/>
    <s v="Shirt"/>
    <s v="Clothing"/>
    <n v="36"/>
    <x v="48"/>
    <s v="L"/>
    <s v="Orange"/>
    <s v="Summer"/>
    <n v="4.9000000000000004"/>
    <s v="No"/>
    <s v="Yes"/>
    <n v="2"/>
    <s v="Cash"/>
    <s v="Weekly"/>
    <m/>
  </r>
  <r>
    <n v="1370"/>
    <x v="45"/>
    <x v="0"/>
    <s v="Shoes"/>
    <s v="Footwear"/>
    <n v="75"/>
    <x v="44"/>
    <s v="M"/>
    <s v="Green"/>
    <s v="Winter"/>
    <n v="3.2"/>
    <s v="No"/>
    <s v="Yes"/>
    <n v="48"/>
    <s v="Venmo"/>
    <s v="Fortnightly"/>
    <m/>
  </r>
  <r>
    <n v="1371"/>
    <x v="7"/>
    <x v="0"/>
    <s v="Scarf"/>
    <s v="Accessories"/>
    <n v="67"/>
    <x v="6"/>
    <s v="L"/>
    <s v="Peach"/>
    <s v="Summer"/>
    <n v="2.9"/>
    <s v="No"/>
    <s v="Yes"/>
    <n v="41"/>
    <s v="Bank Transfer"/>
    <s v="Every 3 Months"/>
    <m/>
  </r>
  <r>
    <n v="1372"/>
    <x v="37"/>
    <x v="0"/>
    <s v="Pants"/>
    <s v="Clothing"/>
    <n v="64"/>
    <x v="16"/>
    <s v="M"/>
    <s v="Charcoal"/>
    <s v="Spring"/>
    <n v="2.8"/>
    <s v="No"/>
    <s v="Yes"/>
    <n v="42"/>
    <s v="Credit Card"/>
    <s v="Monthly"/>
    <m/>
  </r>
  <r>
    <n v="1373"/>
    <x v="14"/>
    <x v="0"/>
    <s v="Blouse"/>
    <s v="Clothing"/>
    <n v="61"/>
    <x v="49"/>
    <s v="M"/>
    <s v="Gray"/>
    <s v="Fall"/>
    <n v="4"/>
    <s v="No"/>
    <s v="Yes"/>
    <n v="44"/>
    <s v="PayPal"/>
    <s v="Bi-Weekly"/>
    <m/>
  </r>
  <r>
    <n v="1374"/>
    <x v="20"/>
    <x v="0"/>
    <s v="Gloves"/>
    <s v="Accessories"/>
    <n v="40"/>
    <x v="41"/>
    <s v="L"/>
    <s v="Turquoise"/>
    <s v="Winter"/>
    <n v="2.6"/>
    <s v="No"/>
    <s v="Yes"/>
    <n v="6"/>
    <s v="Cash"/>
    <s v="Quarterly"/>
    <m/>
  </r>
  <r>
    <n v="1375"/>
    <x v="40"/>
    <x v="0"/>
    <s v="Handbag"/>
    <s v="Accessories"/>
    <n v="97"/>
    <x v="14"/>
    <s v="M"/>
    <s v="Red"/>
    <s v="Fall"/>
    <n v="2.7"/>
    <s v="No"/>
    <s v="Yes"/>
    <n v="5"/>
    <s v="Bank Transfer"/>
    <s v="Quarterly"/>
    <m/>
  </r>
  <r>
    <n v="1376"/>
    <x v="32"/>
    <x v="0"/>
    <s v="Sneakers"/>
    <s v="Footwear"/>
    <n v="31"/>
    <x v="1"/>
    <s v="L"/>
    <s v="Brown"/>
    <s v="Spring"/>
    <n v="4.0999999999999996"/>
    <s v="No"/>
    <s v="Yes"/>
    <n v="8"/>
    <s v="Credit Card"/>
    <s v="Annually"/>
    <m/>
  </r>
  <r>
    <n v="1377"/>
    <x v="9"/>
    <x v="0"/>
    <s v="Sandals"/>
    <s v="Footwear"/>
    <n v="65"/>
    <x v="32"/>
    <s v="L"/>
    <s v="Pink"/>
    <s v="Spring"/>
    <n v="5"/>
    <s v="No"/>
    <s v="Yes"/>
    <n v="24"/>
    <s v="PayPal"/>
    <s v="Annually"/>
    <m/>
  </r>
  <r>
    <n v="1378"/>
    <x v="23"/>
    <x v="0"/>
    <s v="Sunglasses"/>
    <s v="Accessories"/>
    <n v="54"/>
    <x v="33"/>
    <s v="L"/>
    <s v="Olive"/>
    <s v="Spring"/>
    <n v="3"/>
    <s v="No"/>
    <s v="Yes"/>
    <n v="42"/>
    <s v="Venmo"/>
    <s v="Monthly"/>
    <m/>
  </r>
  <r>
    <n v="1379"/>
    <x v="43"/>
    <x v="0"/>
    <s v="Jacket"/>
    <s v="Outerwear"/>
    <n v="49"/>
    <x v="0"/>
    <s v="XL"/>
    <s v="Lavender"/>
    <s v="Fall"/>
    <n v="3.6"/>
    <s v="No"/>
    <s v="Yes"/>
    <n v="24"/>
    <s v="Venmo"/>
    <s v="Weekly"/>
    <m/>
  </r>
  <r>
    <n v="1380"/>
    <x v="3"/>
    <x v="0"/>
    <s v="T-shirt"/>
    <s v="Clothing"/>
    <n v="64"/>
    <x v="46"/>
    <s v="L"/>
    <s v="Purple"/>
    <s v="Fall"/>
    <n v="2.8"/>
    <s v="No"/>
    <s v="Yes"/>
    <n v="38"/>
    <s v="Venmo"/>
    <s v="Bi-Weekly"/>
    <m/>
  </r>
  <r>
    <n v="1381"/>
    <x v="47"/>
    <x v="0"/>
    <s v="Sneakers"/>
    <s v="Footwear"/>
    <n v="35"/>
    <x v="2"/>
    <s v="S"/>
    <s v="Beige"/>
    <s v="Winter"/>
    <n v="4.5999999999999996"/>
    <s v="No"/>
    <s v="Yes"/>
    <n v="41"/>
    <s v="Cash"/>
    <s v="Fortnightly"/>
    <m/>
  </r>
  <r>
    <n v="1382"/>
    <x v="11"/>
    <x v="0"/>
    <s v="Shoes"/>
    <s v="Footwear"/>
    <n v="86"/>
    <x v="26"/>
    <s v="L"/>
    <s v="Green"/>
    <s v="Winter"/>
    <n v="2.9"/>
    <s v="No"/>
    <s v="Yes"/>
    <n v="48"/>
    <s v="Venmo"/>
    <s v="Quarterly"/>
    <m/>
  </r>
  <r>
    <n v="1383"/>
    <x v="33"/>
    <x v="0"/>
    <s v="Jacket"/>
    <s v="Outerwear"/>
    <n v="55"/>
    <x v="49"/>
    <s v="L"/>
    <s v="Brown"/>
    <s v="Winter"/>
    <n v="4.8"/>
    <s v="No"/>
    <s v="Yes"/>
    <n v="16"/>
    <s v="Bank Transfer"/>
    <s v="Quarterly"/>
    <m/>
  </r>
  <r>
    <n v="1384"/>
    <x v="24"/>
    <x v="0"/>
    <s v="Scarf"/>
    <s v="Accessories"/>
    <n v="58"/>
    <x v="48"/>
    <s v="M"/>
    <s v="Beige"/>
    <s v="Spring"/>
    <n v="3.3"/>
    <s v="No"/>
    <s v="Yes"/>
    <n v="4"/>
    <s v="Venmo"/>
    <s v="Monthly"/>
    <m/>
  </r>
  <r>
    <n v="1385"/>
    <x v="5"/>
    <x v="0"/>
    <s v="Sneakers"/>
    <s v="Footwear"/>
    <n v="96"/>
    <x v="29"/>
    <s v="M"/>
    <s v="Beige"/>
    <s v="Fall"/>
    <n v="4.5999999999999996"/>
    <s v="No"/>
    <s v="Yes"/>
    <n v="8"/>
    <s v="Bank Transfer"/>
    <s v="Weekly"/>
    <m/>
  </r>
  <r>
    <n v="1386"/>
    <x v="38"/>
    <x v="0"/>
    <s v="Jewelry"/>
    <s v="Accessories"/>
    <n v="64"/>
    <x v="16"/>
    <s v="M"/>
    <s v="Indigo"/>
    <s v="Fall"/>
    <n v="2.6"/>
    <s v="No"/>
    <s v="Yes"/>
    <n v="1"/>
    <s v="Bank Transfer"/>
    <s v="Bi-Weekly"/>
    <m/>
  </r>
  <r>
    <n v="1387"/>
    <x v="33"/>
    <x v="0"/>
    <s v="Jacket"/>
    <s v="Outerwear"/>
    <n v="56"/>
    <x v="4"/>
    <s v="M"/>
    <s v="Silver"/>
    <s v="Fall"/>
    <n v="4"/>
    <s v="No"/>
    <s v="Yes"/>
    <n v="4"/>
    <s v="Debit Card"/>
    <s v="Quarterly"/>
    <m/>
  </r>
  <r>
    <n v="1388"/>
    <x v="3"/>
    <x v="0"/>
    <s v="Blouse"/>
    <s v="Clothing"/>
    <n v="85"/>
    <x v="33"/>
    <s v="M"/>
    <s v="Gold"/>
    <s v="Winter"/>
    <n v="3.8"/>
    <s v="No"/>
    <s v="Yes"/>
    <n v="20"/>
    <s v="Credit Card"/>
    <s v="Monthly"/>
    <m/>
  </r>
  <r>
    <n v="1389"/>
    <x v="46"/>
    <x v="0"/>
    <s v="Dress"/>
    <s v="Clothing"/>
    <n v="23"/>
    <x v="10"/>
    <s v="M"/>
    <s v="Lavender"/>
    <s v="Spring"/>
    <n v="3.9"/>
    <s v="No"/>
    <s v="Yes"/>
    <n v="40"/>
    <s v="Cash"/>
    <s v="Quarterly"/>
    <m/>
  </r>
  <r>
    <n v="1390"/>
    <x v="35"/>
    <x v="0"/>
    <s v="Scarf"/>
    <s v="Accessories"/>
    <n v="72"/>
    <x v="26"/>
    <s v="L"/>
    <s v="Orange"/>
    <s v="Fall"/>
    <n v="2.6"/>
    <s v="No"/>
    <s v="Yes"/>
    <n v="8"/>
    <s v="Debit Card"/>
    <s v="Fortnightly"/>
    <m/>
  </r>
  <r>
    <n v="1391"/>
    <x v="15"/>
    <x v="0"/>
    <s v="Hat"/>
    <s v="Accessories"/>
    <n v="38"/>
    <x v="10"/>
    <s v="M"/>
    <s v="Maroon"/>
    <s v="Summer"/>
    <n v="4.3"/>
    <s v="No"/>
    <s v="Yes"/>
    <n v="42"/>
    <s v="Debit Card"/>
    <s v="Weekly"/>
    <m/>
  </r>
  <r>
    <n v="1392"/>
    <x v="10"/>
    <x v="0"/>
    <s v="Blouse"/>
    <s v="Clothing"/>
    <n v="29"/>
    <x v="16"/>
    <s v="S"/>
    <s v="White"/>
    <s v="Winter"/>
    <n v="3.6"/>
    <s v="No"/>
    <s v="Yes"/>
    <n v="38"/>
    <s v="Credit Card"/>
    <s v="Annually"/>
    <m/>
  </r>
  <r>
    <n v="1393"/>
    <x v="18"/>
    <x v="0"/>
    <s v="Gloves"/>
    <s v="Accessories"/>
    <n v="46"/>
    <x v="10"/>
    <s v="M"/>
    <s v="Yellow"/>
    <s v="Spring"/>
    <n v="4.2"/>
    <s v="No"/>
    <s v="Yes"/>
    <n v="34"/>
    <s v="Venmo"/>
    <s v="Every 3 Months"/>
    <m/>
  </r>
  <r>
    <n v="1394"/>
    <x v="5"/>
    <x v="0"/>
    <s v="Gloves"/>
    <s v="Accessories"/>
    <n v="58"/>
    <x v="37"/>
    <s v="L"/>
    <s v="Yellow"/>
    <s v="Spring"/>
    <n v="3.9"/>
    <s v="No"/>
    <s v="Yes"/>
    <n v="14"/>
    <s v="PayPal"/>
    <s v="Fortnightly"/>
    <m/>
  </r>
  <r>
    <n v="1395"/>
    <x v="8"/>
    <x v="0"/>
    <s v="Coat"/>
    <s v="Outerwear"/>
    <n v="43"/>
    <x v="44"/>
    <s v="L"/>
    <s v="Magenta"/>
    <s v="Fall"/>
    <n v="4.7"/>
    <s v="No"/>
    <s v="Yes"/>
    <n v="39"/>
    <s v="Cash"/>
    <s v="Weekly"/>
    <m/>
  </r>
  <r>
    <n v="1396"/>
    <x v="36"/>
    <x v="0"/>
    <s v="Scarf"/>
    <s v="Accessories"/>
    <n v="32"/>
    <x v="8"/>
    <s v="L"/>
    <s v="Turquoise"/>
    <s v="Spring"/>
    <n v="2.8"/>
    <s v="No"/>
    <s v="Yes"/>
    <n v="40"/>
    <s v="PayPal"/>
    <s v="Bi-Weekly"/>
    <m/>
  </r>
  <r>
    <n v="1397"/>
    <x v="43"/>
    <x v="0"/>
    <s v="Pants"/>
    <s v="Clothing"/>
    <n v="30"/>
    <x v="48"/>
    <s v="XL"/>
    <s v="Lavender"/>
    <s v="Winter"/>
    <n v="3"/>
    <s v="No"/>
    <s v="Yes"/>
    <n v="49"/>
    <s v="Debit Card"/>
    <s v="Monthly"/>
    <m/>
  </r>
  <r>
    <n v="1398"/>
    <x v="0"/>
    <x v="0"/>
    <s v="Sunglasses"/>
    <s v="Accessories"/>
    <n v="67"/>
    <x v="2"/>
    <s v="S"/>
    <s v="Magenta"/>
    <s v="Summer"/>
    <n v="4.7"/>
    <s v="No"/>
    <s v="Yes"/>
    <n v="33"/>
    <s v="PayPal"/>
    <s v="Annually"/>
    <m/>
  </r>
  <r>
    <n v="1399"/>
    <x v="11"/>
    <x v="0"/>
    <s v="Dress"/>
    <s v="Clothing"/>
    <n v="45"/>
    <x v="21"/>
    <s v="M"/>
    <s v="Cyan"/>
    <s v="Summer"/>
    <n v="2.5"/>
    <s v="No"/>
    <s v="Yes"/>
    <n v="25"/>
    <s v="Credit Card"/>
    <s v="Weekly"/>
    <m/>
  </r>
  <r>
    <n v="1400"/>
    <x v="1"/>
    <x v="0"/>
    <s v="Hat"/>
    <s v="Accessories"/>
    <n v="81"/>
    <x v="43"/>
    <s v="M"/>
    <s v="Olive"/>
    <s v="Winter"/>
    <n v="3.1"/>
    <s v="No"/>
    <s v="Yes"/>
    <n v="48"/>
    <s v="Venmo"/>
    <s v="Annually"/>
    <m/>
  </r>
  <r>
    <n v="1401"/>
    <x v="24"/>
    <x v="0"/>
    <s v="Backpack"/>
    <s v="Accessories"/>
    <n v="23"/>
    <x v="22"/>
    <s v="M"/>
    <s v="Red"/>
    <s v="Fall"/>
    <n v="3.6"/>
    <s v="No"/>
    <s v="Yes"/>
    <n v="22"/>
    <s v="Credit Card"/>
    <s v="Every 3 Months"/>
    <m/>
  </r>
  <r>
    <n v="1402"/>
    <x v="51"/>
    <x v="0"/>
    <s v="Sandals"/>
    <s v="Footwear"/>
    <n v="59"/>
    <x v="27"/>
    <s v="M"/>
    <s v="Blue"/>
    <s v="Fall"/>
    <n v="3.5"/>
    <s v="No"/>
    <s v="Yes"/>
    <n v="1"/>
    <s v="PayPal"/>
    <s v="Weekly"/>
    <m/>
  </r>
  <r>
    <n v="1403"/>
    <x v="46"/>
    <x v="0"/>
    <s v="Sunglasses"/>
    <s v="Accessories"/>
    <n v="21"/>
    <x v="25"/>
    <s v="L"/>
    <s v="White"/>
    <s v="Summer"/>
    <n v="3.1"/>
    <s v="No"/>
    <s v="Yes"/>
    <n v="47"/>
    <s v="PayPal"/>
    <s v="Monthly"/>
    <m/>
  </r>
  <r>
    <n v="1404"/>
    <x v="8"/>
    <x v="0"/>
    <s v="Backpack"/>
    <s v="Accessories"/>
    <n v="20"/>
    <x v="42"/>
    <s v="M"/>
    <s v="Peach"/>
    <s v="Spring"/>
    <n v="3.6"/>
    <s v="No"/>
    <s v="Yes"/>
    <n v="20"/>
    <s v="Credit Card"/>
    <s v="Bi-Weekly"/>
    <m/>
  </r>
  <r>
    <n v="1405"/>
    <x v="24"/>
    <x v="0"/>
    <s v="Jewelry"/>
    <s v="Accessories"/>
    <n v="28"/>
    <x v="35"/>
    <s v="M"/>
    <s v="Charcoal"/>
    <s v="Winter"/>
    <n v="3.5"/>
    <s v="No"/>
    <s v="Yes"/>
    <n v="10"/>
    <s v="Debit Card"/>
    <s v="Weekly"/>
    <m/>
  </r>
  <r>
    <n v="1406"/>
    <x v="23"/>
    <x v="0"/>
    <s v="Socks"/>
    <s v="Clothing"/>
    <n v="100"/>
    <x v="13"/>
    <s v="M"/>
    <s v="Peach"/>
    <s v="Winter"/>
    <n v="2.7"/>
    <s v="No"/>
    <s v="Yes"/>
    <n v="39"/>
    <s v="Credit Card"/>
    <s v="Monthly"/>
    <m/>
  </r>
  <r>
    <n v="1407"/>
    <x v="45"/>
    <x v="0"/>
    <s v="Shirt"/>
    <s v="Clothing"/>
    <n v="46"/>
    <x v="47"/>
    <s v="L"/>
    <s v="Turquoise"/>
    <s v="Spring"/>
    <n v="3.6"/>
    <s v="No"/>
    <s v="Yes"/>
    <n v="15"/>
    <s v="Debit Card"/>
    <s v="Monthly"/>
    <m/>
  </r>
  <r>
    <n v="1408"/>
    <x v="19"/>
    <x v="0"/>
    <s v="Handbag"/>
    <s v="Accessories"/>
    <n v="61"/>
    <x v="22"/>
    <s v="XL"/>
    <s v="Charcoal"/>
    <s v="Spring"/>
    <n v="4.5"/>
    <s v="No"/>
    <s v="Yes"/>
    <n v="11"/>
    <s v="Credit Card"/>
    <s v="Annually"/>
    <m/>
  </r>
  <r>
    <n v="1409"/>
    <x v="44"/>
    <x v="0"/>
    <s v="Blouse"/>
    <s v="Clothing"/>
    <n v="58"/>
    <x v="1"/>
    <s v="M"/>
    <s v="Yellow"/>
    <s v="Winter"/>
    <n v="4.0999999999999996"/>
    <s v="No"/>
    <s v="Yes"/>
    <n v="38"/>
    <s v="Venmo"/>
    <s v="Weekly"/>
    <m/>
  </r>
  <r>
    <n v="1410"/>
    <x v="50"/>
    <x v="0"/>
    <s v="Backpack"/>
    <s v="Accessories"/>
    <n v="50"/>
    <x v="37"/>
    <s v="M"/>
    <s v="Blue"/>
    <s v="Spring"/>
    <n v="4.2"/>
    <s v="No"/>
    <s v="Yes"/>
    <n v="41"/>
    <s v="Cash"/>
    <s v="Fortnightly"/>
    <m/>
  </r>
  <r>
    <n v="1411"/>
    <x v="12"/>
    <x v="0"/>
    <s v="Hat"/>
    <s v="Accessories"/>
    <n v="93"/>
    <x v="30"/>
    <s v="M"/>
    <s v="Purple"/>
    <s v="Summer"/>
    <n v="4"/>
    <s v="No"/>
    <s v="Yes"/>
    <n v="18"/>
    <s v="Debit Card"/>
    <s v="Annually"/>
    <m/>
  </r>
  <r>
    <n v="1412"/>
    <x v="39"/>
    <x v="0"/>
    <s v="Skirt"/>
    <s v="Clothing"/>
    <n v="24"/>
    <x v="7"/>
    <s v="L"/>
    <s v="Green"/>
    <s v="Summer"/>
    <n v="2.8"/>
    <s v="No"/>
    <s v="Yes"/>
    <n v="13"/>
    <s v="Venmo"/>
    <s v="Quarterly"/>
    <m/>
  </r>
  <r>
    <n v="1413"/>
    <x v="15"/>
    <x v="0"/>
    <s v="Shorts"/>
    <s v="Clothing"/>
    <n v="100"/>
    <x v="49"/>
    <s v="M"/>
    <s v="Charcoal"/>
    <s v="Summer"/>
    <n v="2.6"/>
    <s v="No"/>
    <s v="Yes"/>
    <n v="43"/>
    <s v="Venmo"/>
    <s v="Annually"/>
    <m/>
  </r>
  <r>
    <n v="1414"/>
    <x v="47"/>
    <x v="0"/>
    <s v="Blouse"/>
    <s v="Clothing"/>
    <n v="79"/>
    <x v="13"/>
    <s v="S"/>
    <s v="Indigo"/>
    <s v="Fall"/>
    <n v="2.7"/>
    <s v="No"/>
    <s v="Yes"/>
    <n v="12"/>
    <s v="Bank Transfer"/>
    <s v="Quarterly"/>
    <m/>
  </r>
  <r>
    <n v="1415"/>
    <x v="26"/>
    <x v="0"/>
    <s v="Socks"/>
    <s v="Clothing"/>
    <n v="51"/>
    <x v="46"/>
    <s v="M"/>
    <s v="Black"/>
    <s v="Summer"/>
    <n v="4.5"/>
    <s v="No"/>
    <s v="Yes"/>
    <n v="3"/>
    <s v="Credit Card"/>
    <s v="Bi-Weekly"/>
    <m/>
  </r>
  <r>
    <n v="1416"/>
    <x v="22"/>
    <x v="0"/>
    <s v="Belt"/>
    <s v="Accessories"/>
    <n v="90"/>
    <x v="26"/>
    <s v="M"/>
    <s v="Blue"/>
    <s v="Winter"/>
    <n v="3.7"/>
    <s v="No"/>
    <s v="Yes"/>
    <n v="12"/>
    <s v="Credit Card"/>
    <s v="Every 3 Months"/>
    <m/>
  </r>
  <r>
    <n v="1417"/>
    <x v="39"/>
    <x v="0"/>
    <s v="Boots"/>
    <s v="Footwear"/>
    <n v="56"/>
    <x v="37"/>
    <s v="L"/>
    <s v="Silver"/>
    <s v="Summer"/>
    <n v="3.4"/>
    <s v="No"/>
    <s v="Yes"/>
    <n v="46"/>
    <s v="Cash"/>
    <s v="Quarterly"/>
    <m/>
  </r>
  <r>
    <n v="1418"/>
    <x v="46"/>
    <x v="0"/>
    <s v="Shorts"/>
    <s v="Clothing"/>
    <n v="25"/>
    <x v="6"/>
    <s v="S"/>
    <s v="Brown"/>
    <s v="Spring"/>
    <n v="4.5999999999999996"/>
    <s v="No"/>
    <s v="Yes"/>
    <n v="21"/>
    <s v="Debit Card"/>
    <s v="Fortnightly"/>
    <m/>
  </r>
  <r>
    <n v="1419"/>
    <x v="20"/>
    <x v="0"/>
    <s v="Shirt"/>
    <s v="Clothing"/>
    <n v="75"/>
    <x v="15"/>
    <s v="M"/>
    <s v="Violet"/>
    <s v="Summer"/>
    <n v="4.0999999999999996"/>
    <s v="No"/>
    <s v="Yes"/>
    <n v="23"/>
    <s v="Venmo"/>
    <s v="Every 3 Months"/>
    <m/>
  </r>
  <r>
    <n v="1420"/>
    <x v="49"/>
    <x v="0"/>
    <s v="Handbag"/>
    <s v="Accessories"/>
    <n v="75"/>
    <x v="6"/>
    <s v="M"/>
    <s v="Orange"/>
    <s v="Summer"/>
    <n v="2.6"/>
    <s v="No"/>
    <s v="Yes"/>
    <n v="4"/>
    <s v="Debit Card"/>
    <s v="Quarterly"/>
    <m/>
  </r>
  <r>
    <n v="1421"/>
    <x v="40"/>
    <x v="0"/>
    <s v="Jeans"/>
    <s v="Clothing"/>
    <n v="53"/>
    <x v="18"/>
    <s v="XL"/>
    <s v="Gray"/>
    <s v="Summer"/>
    <n v="4.5999999999999996"/>
    <s v="No"/>
    <s v="Yes"/>
    <n v="45"/>
    <s v="PayPal"/>
    <s v="Every 3 Months"/>
    <m/>
  </r>
  <r>
    <n v="1422"/>
    <x v="33"/>
    <x v="0"/>
    <s v="Dress"/>
    <s v="Clothing"/>
    <n v="100"/>
    <x v="38"/>
    <s v="S"/>
    <s v="Gold"/>
    <s v="Spring"/>
    <n v="3"/>
    <s v="No"/>
    <s v="Yes"/>
    <n v="24"/>
    <s v="Bank Transfer"/>
    <s v="Fortnightly"/>
    <m/>
  </r>
  <r>
    <n v="1423"/>
    <x v="42"/>
    <x v="0"/>
    <s v="Dress"/>
    <s v="Clothing"/>
    <n v="27"/>
    <x v="21"/>
    <s v="L"/>
    <s v="Charcoal"/>
    <s v="Fall"/>
    <n v="3.4"/>
    <s v="No"/>
    <s v="Yes"/>
    <n v="3"/>
    <s v="PayPal"/>
    <s v="Bi-Weekly"/>
    <m/>
  </r>
  <r>
    <n v="1424"/>
    <x v="47"/>
    <x v="0"/>
    <s v="Sandals"/>
    <s v="Footwear"/>
    <n v="60"/>
    <x v="49"/>
    <s v="S"/>
    <s v="Black"/>
    <s v="Fall"/>
    <n v="3.5"/>
    <s v="No"/>
    <s v="Yes"/>
    <n v="12"/>
    <s v="Venmo"/>
    <s v="Every 3 Months"/>
    <m/>
  </r>
  <r>
    <n v="1425"/>
    <x v="17"/>
    <x v="0"/>
    <s v="Jacket"/>
    <s v="Outerwear"/>
    <n v="23"/>
    <x v="39"/>
    <s v="S"/>
    <s v="Indigo"/>
    <s v="Fall"/>
    <n v="3.5"/>
    <s v="No"/>
    <s v="Yes"/>
    <n v="34"/>
    <s v="Bank Transfer"/>
    <s v="Every 3 Months"/>
    <m/>
  </r>
  <r>
    <n v="1426"/>
    <x v="35"/>
    <x v="0"/>
    <s v="Coat"/>
    <s v="Outerwear"/>
    <n v="40"/>
    <x v="5"/>
    <s v="S"/>
    <s v="White"/>
    <s v="Winter"/>
    <n v="3.7"/>
    <s v="No"/>
    <s v="Yes"/>
    <n v="39"/>
    <s v="Credit Card"/>
    <s v="Annually"/>
    <m/>
  </r>
  <r>
    <n v="1427"/>
    <x v="52"/>
    <x v="0"/>
    <s v="Pants"/>
    <s v="Clothing"/>
    <n v="38"/>
    <x v="49"/>
    <s v="M"/>
    <s v="Yellow"/>
    <s v="Summer"/>
    <n v="4.8"/>
    <s v="No"/>
    <s v="Yes"/>
    <n v="35"/>
    <s v="PayPal"/>
    <s v="Every 3 Months"/>
    <m/>
  </r>
  <r>
    <n v="1428"/>
    <x v="18"/>
    <x v="0"/>
    <s v="Backpack"/>
    <s v="Accessories"/>
    <n v="90"/>
    <x v="45"/>
    <s v="S"/>
    <s v="Orange"/>
    <s v="Summer"/>
    <n v="4.9000000000000004"/>
    <s v="No"/>
    <s v="Yes"/>
    <n v="8"/>
    <s v="Credit Card"/>
    <s v="Annually"/>
    <m/>
  </r>
  <r>
    <n v="1429"/>
    <x v="30"/>
    <x v="0"/>
    <s v="Blouse"/>
    <s v="Clothing"/>
    <n v="97"/>
    <x v="25"/>
    <s v="S"/>
    <s v="Green"/>
    <s v="Summer"/>
    <n v="4.9000000000000004"/>
    <s v="No"/>
    <s v="Yes"/>
    <n v="42"/>
    <s v="PayPal"/>
    <s v="Quarterly"/>
    <m/>
  </r>
  <r>
    <n v="1430"/>
    <x v="41"/>
    <x v="0"/>
    <s v="Skirt"/>
    <s v="Clothing"/>
    <n v="38"/>
    <x v="33"/>
    <s v="L"/>
    <s v="Gold"/>
    <s v="Fall"/>
    <n v="4.7"/>
    <s v="No"/>
    <s v="Yes"/>
    <n v="6"/>
    <s v="Credit Card"/>
    <s v="Every 3 Months"/>
    <m/>
  </r>
  <r>
    <n v="1431"/>
    <x v="39"/>
    <x v="0"/>
    <s v="Sandals"/>
    <s v="Footwear"/>
    <n v="30"/>
    <x v="49"/>
    <s v="S"/>
    <s v="Orange"/>
    <s v="Summer"/>
    <n v="4.9000000000000004"/>
    <s v="No"/>
    <s v="Yes"/>
    <n v="3"/>
    <s v="Credit Card"/>
    <s v="Fortnightly"/>
    <m/>
  </r>
  <r>
    <n v="1432"/>
    <x v="31"/>
    <x v="0"/>
    <s v="Pants"/>
    <s v="Clothing"/>
    <n v="88"/>
    <x v="45"/>
    <s v="M"/>
    <s v="Cyan"/>
    <s v="Fall"/>
    <n v="2.9"/>
    <s v="No"/>
    <s v="Yes"/>
    <n v="29"/>
    <s v="Venmo"/>
    <s v="Quarterly"/>
    <m/>
  </r>
  <r>
    <n v="1433"/>
    <x v="50"/>
    <x v="0"/>
    <s v="Hat"/>
    <s v="Accessories"/>
    <n v="33"/>
    <x v="20"/>
    <s v="L"/>
    <s v="Black"/>
    <s v="Winter"/>
    <n v="4.4000000000000004"/>
    <s v="No"/>
    <s v="Yes"/>
    <n v="32"/>
    <s v="Debit Card"/>
    <s v="Quarterly"/>
    <m/>
  </r>
  <r>
    <n v="1434"/>
    <x v="27"/>
    <x v="0"/>
    <s v="Hoodie"/>
    <s v="Clothing"/>
    <n v="60"/>
    <x v="46"/>
    <s v="L"/>
    <s v="Yellow"/>
    <s v="Winter"/>
    <n v="3.2"/>
    <s v="No"/>
    <s v="Yes"/>
    <n v="45"/>
    <s v="Debit Card"/>
    <s v="Weekly"/>
    <m/>
  </r>
  <r>
    <n v="1435"/>
    <x v="35"/>
    <x v="0"/>
    <s v="Sweater"/>
    <s v="Clothing"/>
    <n v="64"/>
    <x v="14"/>
    <s v="L"/>
    <s v="Maroon"/>
    <s v="Summer"/>
    <n v="4.5999999999999996"/>
    <s v="No"/>
    <s v="Yes"/>
    <n v="21"/>
    <s v="Debit Card"/>
    <s v="Bi-Weekly"/>
    <m/>
  </r>
  <r>
    <n v="1436"/>
    <x v="4"/>
    <x v="0"/>
    <s v="Scarf"/>
    <s v="Accessories"/>
    <n v="95"/>
    <x v="4"/>
    <s v="XL"/>
    <s v="Black"/>
    <s v="Fall"/>
    <n v="4"/>
    <s v="No"/>
    <s v="Yes"/>
    <n v="41"/>
    <s v="Cash"/>
    <s v="Weekly"/>
    <m/>
  </r>
  <r>
    <n v="1437"/>
    <x v="25"/>
    <x v="0"/>
    <s v="Sneakers"/>
    <s v="Footwear"/>
    <n v="83"/>
    <x v="46"/>
    <s v="M"/>
    <s v="Gray"/>
    <s v="Winter"/>
    <n v="3.7"/>
    <s v="No"/>
    <s v="Yes"/>
    <n v="23"/>
    <s v="PayPal"/>
    <s v="Fortnightly"/>
    <m/>
  </r>
  <r>
    <n v="1438"/>
    <x v="28"/>
    <x v="0"/>
    <s v="Boots"/>
    <s v="Footwear"/>
    <n v="97"/>
    <x v="6"/>
    <s v="XL"/>
    <s v="Orange"/>
    <s v="Winter"/>
    <n v="4.2"/>
    <s v="No"/>
    <s v="Yes"/>
    <n v="14"/>
    <s v="Cash"/>
    <s v="Annually"/>
    <m/>
  </r>
  <r>
    <n v="1439"/>
    <x v="44"/>
    <x v="0"/>
    <s v="Coat"/>
    <s v="Outerwear"/>
    <n v="38"/>
    <x v="47"/>
    <s v="M"/>
    <s v="Cyan"/>
    <s v="Spring"/>
    <n v="2.9"/>
    <s v="No"/>
    <s v="Yes"/>
    <n v="24"/>
    <s v="Debit Card"/>
    <s v="Monthly"/>
    <m/>
  </r>
  <r>
    <n v="1440"/>
    <x v="15"/>
    <x v="0"/>
    <s v="Boots"/>
    <s v="Footwear"/>
    <n v="48"/>
    <x v="35"/>
    <s v="M"/>
    <s v="Magenta"/>
    <s v="Summer"/>
    <n v="4.8"/>
    <s v="No"/>
    <s v="Yes"/>
    <n v="25"/>
    <s v="Cash"/>
    <s v="Fortnightly"/>
    <m/>
  </r>
  <r>
    <n v="1441"/>
    <x v="7"/>
    <x v="0"/>
    <s v="Sandals"/>
    <s v="Footwear"/>
    <n v="76"/>
    <x v="28"/>
    <s v="M"/>
    <s v="Pink"/>
    <s v="Spring"/>
    <n v="4.4000000000000004"/>
    <s v="No"/>
    <s v="Yes"/>
    <n v="13"/>
    <s v="Venmo"/>
    <s v="Monthly"/>
    <m/>
  </r>
  <r>
    <n v="1442"/>
    <x v="50"/>
    <x v="0"/>
    <s v="Pants"/>
    <s v="Clothing"/>
    <n v="25"/>
    <x v="43"/>
    <s v="S"/>
    <s v="Turquoise"/>
    <s v="Summer"/>
    <n v="3.4"/>
    <s v="No"/>
    <s v="Yes"/>
    <n v="3"/>
    <s v="Venmo"/>
    <s v="Every 3 Months"/>
    <m/>
  </r>
  <r>
    <n v="1443"/>
    <x v="10"/>
    <x v="0"/>
    <s v="Hoodie"/>
    <s v="Clothing"/>
    <n v="92"/>
    <x v="37"/>
    <s v="S"/>
    <s v="Violet"/>
    <s v="Spring"/>
    <n v="2.8"/>
    <s v="No"/>
    <s v="Yes"/>
    <n v="42"/>
    <s v="Credit Card"/>
    <s v="Annually"/>
    <m/>
  </r>
  <r>
    <n v="1444"/>
    <x v="44"/>
    <x v="0"/>
    <s v="Sandals"/>
    <s v="Footwear"/>
    <n v="47"/>
    <x v="37"/>
    <s v="L"/>
    <s v="Teal"/>
    <s v="Fall"/>
    <n v="4.2"/>
    <s v="No"/>
    <s v="Yes"/>
    <n v="2"/>
    <s v="Cash"/>
    <s v="Monthly"/>
    <m/>
  </r>
  <r>
    <n v="1445"/>
    <x v="45"/>
    <x v="0"/>
    <s v="Sweater"/>
    <s v="Clothing"/>
    <n v="36"/>
    <x v="34"/>
    <s v="L"/>
    <s v="Pink"/>
    <s v="Fall"/>
    <n v="3.8"/>
    <s v="No"/>
    <s v="Yes"/>
    <n v="26"/>
    <s v="Cash"/>
    <s v="Quarterly"/>
    <m/>
  </r>
  <r>
    <n v="1446"/>
    <x v="14"/>
    <x v="0"/>
    <s v="Belt"/>
    <s v="Accessories"/>
    <n v="51"/>
    <x v="10"/>
    <s v="M"/>
    <s v="Gold"/>
    <s v="Fall"/>
    <n v="3.1"/>
    <s v="No"/>
    <s v="Yes"/>
    <n v="24"/>
    <s v="Credit Card"/>
    <s v="Annually"/>
    <m/>
  </r>
  <r>
    <n v="1447"/>
    <x v="6"/>
    <x v="0"/>
    <s v="Jeans"/>
    <s v="Clothing"/>
    <n v="35"/>
    <x v="5"/>
    <s v="XL"/>
    <s v="Red"/>
    <s v="Summer"/>
    <n v="3.2"/>
    <s v="No"/>
    <s v="Yes"/>
    <n v="6"/>
    <s v="Credit Card"/>
    <s v="Quarterly"/>
    <m/>
  </r>
  <r>
    <n v="1448"/>
    <x v="51"/>
    <x v="0"/>
    <s v="Hoodie"/>
    <s v="Clothing"/>
    <n v="57"/>
    <x v="35"/>
    <s v="S"/>
    <s v="Beige"/>
    <s v="Summer"/>
    <n v="3"/>
    <s v="No"/>
    <s v="Yes"/>
    <n v="25"/>
    <s v="PayPal"/>
    <s v="Monthly"/>
    <m/>
  </r>
  <r>
    <n v="1449"/>
    <x v="14"/>
    <x v="0"/>
    <s v="Boots"/>
    <s v="Footwear"/>
    <n v="95"/>
    <x v="8"/>
    <s v="M"/>
    <s v="Black"/>
    <s v="Summer"/>
    <n v="3.6"/>
    <s v="No"/>
    <s v="Yes"/>
    <n v="11"/>
    <s v="Credit Card"/>
    <s v="Every 3 Months"/>
    <m/>
  </r>
  <r>
    <n v="1450"/>
    <x v="20"/>
    <x v="0"/>
    <s v="Socks"/>
    <s v="Clothing"/>
    <n v="41"/>
    <x v="14"/>
    <s v="L"/>
    <s v="Lavender"/>
    <s v="Winter"/>
    <n v="2.5"/>
    <s v="No"/>
    <s v="Yes"/>
    <n v="20"/>
    <s v="Cash"/>
    <s v="Every 3 Months"/>
    <m/>
  </r>
  <r>
    <n v="1451"/>
    <x v="15"/>
    <x v="0"/>
    <s v="Dress"/>
    <s v="Clothing"/>
    <n v="44"/>
    <x v="26"/>
    <s v="S"/>
    <s v="Teal"/>
    <s v="Winter"/>
    <n v="3.4"/>
    <s v="No"/>
    <s v="Yes"/>
    <n v="25"/>
    <s v="Cash"/>
    <s v="Quarterly"/>
    <m/>
  </r>
  <r>
    <n v="1452"/>
    <x v="22"/>
    <x v="0"/>
    <s v="Jacket"/>
    <s v="Outerwear"/>
    <n v="34"/>
    <x v="40"/>
    <s v="M"/>
    <s v="Maroon"/>
    <s v="Fall"/>
    <n v="2.5"/>
    <s v="No"/>
    <s v="Yes"/>
    <n v="35"/>
    <s v="PayPal"/>
    <s v="Quarterly"/>
    <m/>
  </r>
  <r>
    <n v="1453"/>
    <x v="52"/>
    <x v="0"/>
    <s v="Jacket"/>
    <s v="Outerwear"/>
    <n v="25"/>
    <x v="24"/>
    <s v="L"/>
    <s v="Blue"/>
    <s v="Spring"/>
    <n v="4.7"/>
    <s v="No"/>
    <s v="Yes"/>
    <n v="11"/>
    <s v="Bank Transfer"/>
    <s v="Quarterly"/>
    <m/>
  </r>
  <r>
    <n v="1454"/>
    <x v="24"/>
    <x v="0"/>
    <s v="Boots"/>
    <s v="Footwear"/>
    <n v="93"/>
    <x v="41"/>
    <s v="S"/>
    <s v="Teal"/>
    <s v="Winter"/>
    <n v="3.2"/>
    <s v="No"/>
    <s v="Yes"/>
    <n v="41"/>
    <s v="Bank Transfer"/>
    <s v="Fortnightly"/>
    <m/>
  </r>
  <r>
    <n v="1455"/>
    <x v="17"/>
    <x v="0"/>
    <s v="Sneakers"/>
    <s v="Footwear"/>
    <n v="50"/>
    <x v="42"/>
    <s v="L"/>
    <s v="Maroon"/>
    <s v="Winter"/>
    <n v="2.9"/>
    <s v="No"/>
    <s v="Yes"/>
    <n v="17"/>
    <s v="Credit Card"/>
    <s v="Annually"/>
    <m/>
  </r>
  <r>
    <n v="1456"/>
    <x v="52"/>
    <x v="0"/>
    <s v="Pants"/>
    <s v="Clothing"/>
    <n v="79"/>
    <x v="15"/>
    <s v="L"/>
    <s v="Silver"/>
    <s v="Fall"/>
    <n v="4.9000000000000004"/>
    <s v="No"/>
    <s v="Yes"/>
    <n v="1"/>
    <s v="PayPal"/>
    <s v="Every 3 Months"/>
    <m/>
  </r>
  <r>
    <n v="1457"/>
    <x v="35"/>
    <x v="0"/>
    <s v="Coat"/>
    <s v="Outerwear"/>
    <n v="100"/>
    <x v="6"/>
    <s v="S"/>
    <s v="Olive"/>
    <s v="Spring"/>
    <n v="2.7"/>
    <s v="No"/>
    <s v="Yes"/>
    <n v="30"/>
    <s v="PayPal"/>
    <s v="Every 3 Months"/>
    <m/>
  </r>
  <r>
    <n v="1458"/>
    <x v="44"/>
    <x v="0"/>
    <s v="Shirt"/>
    <s v="Clothing"/>
    <n v="57"/>
    <x v="38"/>
    <s v="S"/>
    <s v="Gray"/>
    <s v="Spring"/>
    <n v="4.7"/>
    <s v="No"/>
    <s v="Yes"/>
    <n v="47"/>
    <s v="Venmo"/>
    <s v="Fortnightly"/>
    <m/>
  </r>
  <r>
    <n v="1459"/>
    <x v="25"/>
    <x v="0"/>
    <s v="Sweater"/>
    <s v="Clothing"/>
    <n v="28"/>
    <x v="9"/>
    <s v="M"/>
    <s v="Peach"/>
    <s v="Spring"/>
    <n v="2.9"/>
    <s v="No"/>
    <s v="Yes"/>
    <n v="34"/>
    <s v="Venmo"/>
    <s v="Weekly"/>
    <m/>
  </r>
  <r>
    <n v="1460"/>
    <x v="30"/>
    <x v="0"/>
    <s v="Shoes"/>
    <s v="Footwear"/>
    <n v="35"/>
    <x v="1"/>
    <s v="L"/>
    <s v="Yellow"/>
    <s v="Winter"/>
    <n v="4.8"/>
    <s v="No"/>
    <s v="Yes"/>
    <n v="18"/>
    <s v="Venmo"/>
    <s v="Fortnightly"/>
    <m/>
  </r>
  <r>
    <n v="1461"/>
    <x v="27"/>
    <x v="0"/>
    <s v="Boots"/>
    <s v="Footwear"/>
    <n v="85"/>
    <x v="38"/>
    <s v="L"/>
    <s v="Violet"/>
    <s v="Fall"/>
    <n v="4.5999999999999996"/>
    <s v="No"/>
    <s v="Yes"/>
    <n v="33"/>
    <s v="Venmo"/>
    <s v="Bi-Weekly"/>
    <m/>
  </r>
  <r>
    <n v="1462"/>
    <x v="22"/>
    <x v="0"/>
    <s v="Sunglasses"/>
    <s v="Accessories"/>
    <n v="95"/>
    <x v="4"/>
    <s v="S"/>
    <s v="Red"/>
    <s v="Summer"/>
    <n v="5"/>
    <s v="No"/>
    <s v="Yes"/>
    <n v="42"/>
    <s v="Venmo"/>
    <s v="Quarterly"/>
    <m/>
  </r>
  <r>
    <n v="1463"/>
    <x v="21"/>
    <x v="0"/>
    <s v="Sneakers"/>
    <s v="Footwear"/>
    <n v="90"/>
    <x v="40"/>
    <s v="S"/>
    <s v="Charcoal"/>
    <s v="Summer"/>
    <n v="4.8"/>
    <s v="No"/>
    <s v="Yes"/>
    <n v="2"/>
    <s v="Venmo"/>
    <s v="Quarterly"/>
    <m/>
  </r>
  <r>
    <n v="1464"/>
    <x v="22"/>
    <x v="0"/>
    <s v="Jewelry"/>
    <s v="Accessories"/>
    <n v="49"/>
    <x v="19"/>
    <s v="M"/>
    <s v="Beige"/>
    <s v="Summer"/>
    <n v="4.9000000000000004"/>
    <s v="No"/>
    <s v="Yes"/>
    <n v="1"/>
    <s v="Bank Transfer"/>
    <s v="Monthly"/>
    <m/>
  </r>
  <r>
    <n v="1465"/>
    <x v="23"/>
    <x v="0"/>
    <s v="Belt"/>
    <s v="Accessories"/>
    <n v="92"/>
    <x v="6"/>
    <s v="M"/>
    <s v="Peach"/>
    <s v="Winter"/>
    <n v="4.5999999999999996"/>
    <s v="No"/>
    <s v="Yes"/>
    <n v="23"/>
    <s v="Bank Transfer"/>
    <s v="Quarterly"/>
    <m/>
  </r>
  <r>
    <n v="1466"/>
    <x v="5"/>
    <x v="0"/>
    <s v="Gloves"/>
    <s v="Accessories"/>
    <n v="72"/>
    <x v="43"/>
    <s v="XL"/>
    <s v="Violet"/>
    <s v="Winter"/>
    <n v="3.9"/>
    <s v="No"/>
    <s v="Yes"/>
    <n v="42"/>
    <s v="Cash"/>
    <s v="Bi-Weekly"/>
    <m/>
  </r>
  <r>
    <n v="1467"/>
    <x v="44"/>
    <x v="0"/>
    <s v="Shorts"/>
    <s v="Clothing"/>
    <n v="71"/>
    <x v="15"/>
    <s v="M"/>
    <s v="Green"/>
    <s v="Summer"/>
    <n v="4.5"/>
    <s v="No"/>
    <s v="Yes"/>
    <n v="3"/>
    <s v="PayPal"/>
    <s v="Annually"/>
    <m/>
  </r>
  <r>
    <n v="1468"/>
    <x v="11"/>
    <x v="0"/>
    <s v="Jewelry"/>
    <s v="Accessories"/>
    <n v="27"/>
    <x v="31"/>
    <s v="XL"/>
    <s v="Olive"/>
    <s v="Winter"/>
    <n v="4.7"/>
    <s v="No"/>
    <s v="Yes"/>
    <n v="16"/>
    <s v="Debit Card"/>
    <s v="Fortnightly"/>
    <m/>
  </r>
  <r>
    <n v="1469"/>
    <x v="32"/>
    <x v="0"/>
    <s v="Gloves"/>
    <s v="Accessories"/>
    <n v="39"/>
    <x v="10"/>
    <s v="S"/>
    <s v="Silver"/>
    <s v="Fall"/>
    <n v="3.9"/>
    <s v="No"/>
    <s v="Yes"/>
    <n v="46"/>
    <s v="Cash"/>
    <s v="Fortnightly"/>
    <m/>
  </r>
  <r>
    <n v="1470"/>
    <x v="48"/>
    <x v="0"/>
    <s v="Jewelry"/>
    <s v="Accessories"/>
    <n v="98"/>
    <x v="16"/>
    <s v="M"/>
    <s v="Purple"/>
    <s v="Winter"/>
    <n v="4.4000000000000004"/>
    <s v="No"/>
    <s v="Yes"/>
    <n v="31"/>
    <s v="PayPal"/>
    <s v="Every 3 Months"/>
    <m/>
  </r>
  <r>
    <n v="1471"/>
    <x v="49"/>
    <x v="0"/>
    <s v="Sandals"/>
    <s v="Footwear"/>
    <n v="27"/>
    <x v="18"/>
    <s v="M"/>
    <s v="Silver"/>
    <s v="Spring"/>
    <n v="3.9"/>
    <s v="No"/>
    <s v="Yes"/>
    <n v="15"/>
    <s v="Cash"/>
    <s v="Every 3 Months"/>
    <m/>
  </r>
  <r>
    <n v="1472"/>
    <x v="18"/>
    <x v="0"/>
    <s v="Jewelry"/>
    <s v="Accessories"/>
    <n v="71"/>
    <x v="29"/>
    <s v="S"/>
    <s v="Gray"/>
    <s v="Spring"/>
    <n v="2.8"/>
    <s v="No"/>
    <s v="Yes"/>
    <n v="48"/>
    <s v="Venmo"/>
    <s v="Every 3 Months"/>
    <m/>
  </r>
  <r>
    <n v="1473"/>
    <x v="31"/>
    <x v="0"/>
    <s v="Hat"/>
    <s v="Accessories"/>
    <n v="24"/>
    <x v="27"/>
    <s v="L"/>
    <s v="Turquoise"/>
    <s v="Spring"/>
    <n v="3.5"/>
    <s v="No"/>
    <s v="Yes"/>
    <n v="11"/>
    <s v="Cash"/>
    <s v="Weekly"/>
    <m/>
  </r>
  <r>
    <n v="1474"/>
    <x v="28"/>
    <x v="0"/>
    <s v="Shorts"/>
    <s v="Clothing"/>
    <n v="63"/>
    <x v="48"/>
    <s v="M"/>
    <s v="Violet"/>
    <s v="Fall"/>
    <n v="4.3"/>
    <s v="No"/>
    <s v="Yes"/>
    <n v="20"/>
    <s v="Credit Card"/>
    <s v="Every 3 Months"/>
    <m/>
  </r>
  <r>
    <n v="1475"/>
    <x v="18"/>
    <x v="0"/>
    <s v="Sweater"/>
    <s v="Clothing"/>
    <n v="72"/>
    <x v="32"/>
    <s v="S"/>
    <s v="Pink"/>
    <s v="Fall"/>
    <n v="3.9"/>
    <s v="No"/>
    <s v="Yes"/>
    <n v="6"/>
    <s v="Credit Card"/>
    <s v="Monthly"/>
    <m/>
  </r>
  <r>
    <n v="1476"/>
    <x v="42"/>
    <x v="0"/>
    <s v="Blouse"/>
    <s v="Clothing"/>
    <n v="61"/>
    <x v="3"/>
    <s v="M"/>
    <s v="Teal"/>
    <s v="Spring"/>
    <n v="4"/>
    <s v="No"/>
    <s v="Yes"/>
    <n v="24"/>
    <s v="Cash"/>
    <s v="Monthly"/>
    <m/>
  </r>
  <r>
    <n v="1477"/>
    <x v="31"/>
    <x v="0"/>
    <s v="Hat"/>
    <s v="Accessories"/>
    <n v="56"/>
    <x v="5"/>
    <s v="M"/>
    <s v="Magenta"/>
    <s v="Fall"/>
    <n v="4.0999999999999996"/>
    <s v="No"/>
    <s v="Yes"/>
    <n v="18"/>
    <s v="Credit Card"/>
    <s v="Monthly"/>
    <m/>
  </r>
  <r>
    <n v="1478"/>
    <x v="41"/>
    <x v="0"/>
    <s v="Belt"/>
    <s v="Accessories"/>
    <n v="32"/>
    <x v="4"/>
    <s v="XL"/>
    <s v="Silver"/>
    <s v="Summer"/>
    <n v="4.3"/>
    <s v="No"/>
    <s v="Yes"/>
    <n v="1"/>
    <s v="PayPal"/>
    <s v="Every 3 Months"/>
    <m/>
  </r>
  <r>
    <n v="1479"/>
    <x v="48"/>
    <x v="0"/>
    <s v="Gloves"/>
    <s v="Accessories"/>
    <n v="23"/>
    <x v="47"/>
    <s v="M"/>
    <s v="Blue"/>
    <s v="Summer"/>
    <n v="4.2"/>
    <s v="No"/>
    <s v="Yes"/>
    <n v="13"/>
    <s v="Venmo"/>
    <s v="Bi-Weekly"/>
    <m/>
  </r>
  <r>
    <n v="1480"/>
    <x v="39"/>
    <x v="0"/>
    <s v="Coat"/>
    <s v="Outerwear"/>
    <n v="100"/>
    <x v="47"/>
    <s v="L"/>
    <s v="Black"/>
    <s v="Spring"/>
    <n v="4"/>
    <s v="No"/>
    <s v="Yes"/>
    <n v="2"/>
    <s v="Bank Transfer"/>
    <s v="Weekly"/>
    <m/>
  </r>
  <r>
    <n v="1481"/>
    <x v="31"/>
    <x v="0"/>
    <s v="Jewelry"/>
    <s v="Accessories"/>
    <n v="74"/>
    <x v="13"/>
    <s v="M"/>
    <s v="Gold"/>
    <s v="Fall"/>
    <n v="3.6"/>
    <s v="No"/>
    <s v="Yes"/>
    <n v="26"/>
    <s v="Cash"/>
    <s v="Quarterly"/>
    <m/>
  </r>
  <r>
    <n v="1482"/>
    <x v="14"/>
    <x v="0"/>
    <s v="Skirt"/>
    <s v="Clothing"/>
    <n v="33"/>
    <x v="33"/>
    <s v="S"/>
    <s v="Gray"/>
    <s v="Spring"/>
    <n v="3.3"/>
    <s v="No"/>
    <s v="Yes"/>
    <n v="31"/>
    <s v="PayPal"/>
    <s v="Quarterly"/>
    <m/>
  </r>
  <r>
    <n v="1483"/>
    <x v="48"/>
    <x v="0"/>
    <s v="Gloves"/>
    <s v="Accessories"/>
    <n v="67"/>
    <x v="48"/>
    <s v="S"/>
    <s v="Magenta"/>
    <s v="Spring"/>
    <n v="4.0999999999999996"/>
    <s v="No"/>
    <s v="Yes"/>
    <n v="43"/>
    <s v="Bank Transfer"/>
    <s v="Weekly"/>
    <m/>
  </r>
  <r>
    <n v="1484"/>
    <x v="31"/>
    <x v="0"/>
    <s v="Jewelry"/>
    <s v="Accessories"/>
    <n v="61"/>
    <x v="2"/>
    <s v="S"/>
    <s v="Yellow"/>
    <s v="Summer"/>
    <n v="4.7"/>
    <s v="No"/>
    <s v="Yes"/>
    <n v="12"/>
    <s v="Debit Card"/>
    <s v="Bi-Weekly"/>
    <m/>
  </r>
  <r>
    <n v="1485"/>
    <x v="34"/>
    <x v="0"/>
    <s v="Shorts"/>
    <s v="Clothing"/>
    <n v="46"/>
    <x v="43"/>
    <s v="M"/>
    <s v="Teal"/>
    <s v="Summer"/>
    <n v="4.4000000000000004"/>
    <s v="No"/>
    <s v="Yes"/>
    <n v="22"/>
    <s v="Venmo"/>
    <s v="Every 3 Months"/>
    <m/>
  </r>
  <r>
    <n v="1486"/>
    <x v="40"/>
    <x v="0"/>
    <s v="Gloves"/>
    <s v="Accessories"/>
    <n v="56"/>
    <x v="43"/>
    <s v="L"/>
    <s v="Red"/>
    <s v="Spring"/>
    <n v="3.4"/>
    <s v="No"/>
    <s v="Yes"/>
    <n v="3"/>
    <s v="Cash"/>
    <s v="Fortnightly"/>
    <m/>
  </r>
  <r>
    <n v="1487"/>
    <x v="15"/>
    <x v="0"/>
    <s v="Sneakers"/>
    <s v="Footwear"/>
    <n v="73"/>
    <x v="37"/>
    <s v="S"/>
    <s v="Yellow"/>
    <s v="Spring"/>
    <n v="5"/>
    <s v="No"/>
    <s v="Yes"/>
    <n v="23"/>
    <s v="Venmo"/>
    <s v="Every 3 Months"/>
    <m/>
  </r>
  <r>
    <n v="1488"/>
    <x v="37"/>
    <x v="0"/>
    <s v="Skirt"/>
    <s v="Clothing"/>
    <n v="44"/>
    <x v="28"/>
    <s v="L"/>
    <s v="Black"/>
    <s v="Summer"/>
    <n v="4.5999999999999996"/>
    <s v="No"/>
    <s v="Yes"/>
    <n v="26"/>
    <s v="PayPal"/>
    <s v="Annually"/>
    <m/>
  </r>
  <r>
    <n v="1489"/>
    <x v="51"/>
    <x v="0"/>
    <s v="Hat"/>
    <s v="Accessories"/>
    <n v="44"/>
    <x v="11"/>
    <s v="L"/>
    <s v="Pink"/>
    <s v="Winter"/>
    <n v="4"/>
    <s v="No"/>
    <s v="Yes"/>
    <n v="37"/>
    <s v="Credit Card"/>
    <s v="Weekly"/>
    <m/>
  </r>
  <r>
    <n v="1490"/>
    <x v="41"/>
    <x v="0"/>
    <s v="Jewelry"/>
    <s v="Accessories"/>
    <n v="26"/>
    <x v="9"/>
    <s v="XL"/>
    <s v="Magenta"/>
    <s v="Summer"/>
    <n v="4.0999999999999996"/>
    <s v="No"/>
    <s v="Yes"/>
    <n v="42"/>
    <s v="Venmo"/>
    <s v="Quarterly"/>
    <m/>
  </r>
  <r>
    <n v="1491"/>
    <x v="17"/>
    <x v="0"/>
    <s v="Sneakers"/>
    <s v="Footwear"/>
    <n v="52"/>
    <x v="7"/>
    <s v="L"/>
    <s v="Olive"/>
    <s v="Spring"/>
    <n v="4.9000000000000004"/>
    <s v="No"/>
    <s v="Yes"/>
    <n v="15"/>
    <s v="Venmo"/>
    <s v="Bi-Weekly"/>
    <m/>
  </r>
  <r>
    <n v="1492"/>
    <x v="7"/>
    <x v="0"/>
    <s v="Shirt"/>
    <s v="Clothing"/>
    <n v="54"/>
    <x v="10"/>
    <s v="S"/>
    <s v="Black"/>
    <s v="Summer"/>
    <n v="2.7"/>
    <s v="No"/>
    <s v="Yes"/>
    <n v="10"/>
    <s v="Bank Transfer"/>
    <s v="Quarterly"/>
    <m/>
  </r>
  <r>
    <n v="1493"/>
    <x v="46"/>
    <x v="0"/>
    <s v="Jacket"/>
    <s v="Outerwear"/>
    <n v="38"/>
    <x v="17"/>
    <s v="M"/>
    <s v="Maroon"/>
    <s v="Summer"/>
    <n v="4.5"/>
    <s v="No"/>
    <s v="Yes"/>
    <n v="3"/>
    <s v="Venmo"/>
    <s v="Quarterly"/>
    <m/>
  </r>
  <r>
    <n v="1494"/>
    <x v="27"/>
    <x v="0"/>
    <s v="Belt"/>
    <s v="Accessories"/>
    <n v="44"/>
    <x v="25"/>
    <s v="S"/>
    <s v="Gold"/>
    <s v="Fall"/>
    <n v="2.7"/>
    <s v="No"/>
    <s v="Yes"/>
    <n v="44"/>
    <s v="Credit Card"/>
    <s v="Quarterly"/>
    <m/>
  </r>
  <r>
    <n v="1495"/>
    <x v="49"/>
    <x v="0"/>
    <s v="T-shirt"/>
    <s v="Clothing"/>
    <n v="76"/>
    <x v="6"/>
    <s v="M"/>
    <s v="Gray"/>
    <s v="Spring"/>
    <n v="3"/>
    <s v="No"/>
    <s v="Yes"/>
    <n v="23"/>
    <s v="Bank Transfer"/>
    <s v="Fortnightly"/>
    <m/>
  </r>
  <r>
    <n v="1496"/>
    <x v="4"/>
    <x v="0"/>
    <s v="Jewelry"/>
    <s v="Accessories"/>
    <n v="23"/>
    <x v="3"/>
    <s v="M"/>
    <s v="Brown"/>
    <s v="Winter"/>
    <n v="4.5"/>
    <s v="No"/>
    <s v="Yes"/>
    <n v="6"/>
    <s v="PayPal"/>
    <s v="Weekly"/>
    <m/>
  </r>
  <r>
    <n v="1497"/>
    <x v="6"/>
    <x v="0"/>
    <s v="T-shirt"/>
    <s v="Clothing"/>
    <n v="98"/>
    <x v="37"/>
    <s v="M"/>
    <s v="Purple"/>
    <s v="Winter"/>
    <n v="5"/>
    <s v="No"/>
    <s v="Yes"/>
    <n v="9"/>
    <s v="Venmo"/>
    <s v="Bi-Weekly"/>
    <m/>
  </r>
  <r>
    <n v="1498"/>
    <x v="28"/>
    <x v="0"/>
    <s v="Jacket"/>
    <s v="Outerwear"/>
    <n v="33"/>
    <x v="49"/>
    <s v="S"/>
    <s v="Magenta"/>
    <s v="Spring"/>
    <n v="3.8"/>
    <s v="No"/>
    <s v="Yes"/>
    <n v="16"/>
    <s v="Debit Card"/>
    <s v="Every 3 Months"/>
    <m/>
  </r>
  <r>
    <n v="1499"/>
    <x v="35"/>
    <x v="0"/>
    <s v="Sweater"/>
    <s v="Clothing"/>
    <n v="32"/>
    <x v="26"/>
    <s v="M"/>
    <s v="Teal"/>
    <s v="Summer"/>
    <n v="3.1"/>
    <s v="No"/>
    <s v="Yes"/>
    <n v="46"/>
    <s v="Venmo"/>
    <s v="Fortnightly"/>
    <m/>
  </r>
  <r>
    <n v="1500"/>
    <x v="1"/>
    <x v="0"/>
    <s v="Boots"/>
    <s v="Footwear"/>
    <n v="85"/>
    <x v="42"/>
    <s v="S"/>
    <s v="Olive"/>
    <s v="Fall"/>
    <n v="3.4"/>
    <s v="No"/>
    <s v="Yes"/>
    <n v="24"/>
    <s v="Credit Card"/>
    <s v="Every 3 Months"/>
    <m/>
  </r>
  <r>
    <n v="1501"/>
    <x v="6"/>
    <x v="0"/>
    <s v="Jeans"/>
    <s v="Clothing"/>
    <n v="69"/>
    <x v="15"/>
    <s v="L"/>
    <s v="Maroon"/>
    <s v="Summer"/>
    <n v="4.8"/>
    <s v="No"/>
    <s v="Yes"/>
    <n v="22"/>
    <s v="Debit Card"/>
    <s v="Monthly"/>
    <m/>
  </r>
  <r>
    <n v="1502"/>
    <x v="43"/>
    <x v="0"/>
    <s v="Jeans"/>
    <s v="Clothing"/>
    <n v="55"/>
    <x v="29"/>
    <s v="XL"/>
    <s v="Silver"/>
    <s v="Spring"/>
    <n v="2.7"/>
    <s v="No"/>
    <s v="Yes"/>
    <n v="13"/>
    <s v="Debit Card"/>
    <s v="Every 3 Months"/>
    <m/>
  </r>
  <r>
    <n v="1503"/>
    <x v="43"/>
    <x v="0"/>
    <s v="Pants"/>
    <s v="Clothing"/>
    <n v="66"/>
    <x v="2"/>
    <s v="M"/>
    <s v="Black"/>
    <s v="Summer"/>
    <n v="3.2"/>
    <s v="No"/>
    <s v="Yes"/>
    <n v="20"/>
    <s v="Cash"/>
    <s v="Fortnightly"/>
    <m/>
  </r>
  <r>
    <n v="1504"/>
    <x v="2"/>
    <x v="0"/>
    <s v="Jacket"/>
    <s v="Outerwear"/>
    <n v="30"/>
    <x v="49"/>
    <s v="M"/>
    <s v="Maroon"/>
    <s v="Fall"/>
    <n v="3.9"/>
    <s v="No"/>
    <s v="Yes"/>
    <n v="46"/>
    <s v="Cash"/>
    <s v="Quarterly"/>
    <m/>
  </r>
  <r>
    <n v="1505"/>
    <x v="52"/>
    <x v="0"/>
    <s v="Jacket"/>
    <s v="Outerwear"/>
    <n v="80"/>
    <x v="29"/>
    <s v="M"/>
    <s v="Teal"/>
    <s v="Winter"/>
    <n v="4.2"/>
    <s v="No"/>
    <s v="Yes"/>
    <n v="10"/>
    <s v="Bank Transfer"/>
    <s v="Monthly"/>
    <m/>
  </r>
  <r>
    <n v="1506"/>
    <x v="5"/>
    <x v="0"/>
    <s v="Belt"/>
    <s v="Accessories"/>
    <n v="20"/>
    <x v="25"/>
    <s v="M"/>
    <s v="Teal"/>
    <s v="Summer"/>
    <n v="3"/>
    <s v="No"/>
    <s v="Yes"/>
    <n v="39"/>
    <s v="Cash"/>
    <s v="Monthly"/>
    <m/>
  </r>
  <r>
    <n v="1507"/>
    <x v="25"/>
    <x v="0"/>
    <s v="Shirt"/>
    <s v="Clothing"/>
    <n v="30"/>
    <x v="36"/>
    <s v="L"/>
    <s v="Beige"/>
    <s v="Fall"/>
    <n v="3"/>
    <s v="No"/>
    <s v="Yes"/>
    <n v="44"/>
    <s v="PayPal"/>
    <s v="Quarterly"/>
    <m/>
  </r>
  <r>
    <n v="1508"/>
    <x v="17"/>
    <x v="0"/>
    <s v="Dress"/>
    <s v="Clothing"/>
    <n v="86"/>
    <x v="38"/>
    <s v="S"/>
    <s v="Maroon"/>
    <s v="Winter"/>
    <n v="3.7"/>
    <s v="No"/>
    <s v="Yes"/>
    <n v="7"/>
    <s v="Venmo"/>
    <s v="Annually"/>
    <m/>
  </r>
  <r>
    <n v="1509"/>
    <x v="25"/>
    <x v="0"/>
    <s v="Blouse"/>
    <s v="Clothing"/>
    <n v="84"/>
    <x v="24"/>
    <s v="L"/>
    <s v="Beige"/>
    <s v="Spring"/>
    <n v="4.4000000000000004"/>
    <s v="No"/>
    <s v="Yes"/>
    <n v="3"/>
    <s v="Cash"/>
    <s v="Every 3 Months"/>
    <m/>
  </r>
  <r>
    <n v="1510"/>
    <x v="30"/>
    <x v="0"/>
    <s v="Dress"/>
    <s v="Clothing"/>
    <n v="54"/>
    <x v="13"/>
    <s v="XL"/>
    <s v="White"/>
    <s v="Summer"/>
    <n v="4.5999999999999996"/>
    <s v="No"/>
    <s v="Yes"/>
    <n v="44"/>
    <s v="Debit Card"/>
    <s v="Annually"/>
    <m/>
  </r>
  <r>
    <n v="1511"/>
    <x v="0"/>
    <x v="0"/>
    <s v="Blouse"/>
    <s v="Clothing"/>
    <n v="30"/>
    <x v="33"/>
    <s v="XL"/>
    <s v="Gray"/>
    <s v="Fall"/>
    <n v="3"/>
    <s v="No"/>
    <s v="Yes"/>
    <n v="31"/>
    <s v="Venmo"/>
    <s v="Annually"/>
    <m/>
  </r>
  <r>
    <n v="1512"/>
    <x v="50"/>
    <x v="0"/>
    <s v="Dress"/>
    <s v="Clothing"/>
    <n v="91"/>
    <x v="42"/>
    <s v="M"/>
    <s v="Violet"/>
    <s v="Winter"/>
    <n v="3.6"/>
    <s v="No"/>
    <s v="Yes"/>
    <n v="48"/>
    <s v="Credit Card"/>
    <s v="Weekly"/>
    <m/>
  </r>
  <r>
    <n v="1513"/>
    <x v="52"/>
    <x v="0"/>
    <s v="Sneakers"/>
    <s v="Footwear"/>
    <n v="23"/>
    <x v="48"/>
    <s v="L"/>
    <s v="Silver"/>
    <s v="Winter"/>
    <n v="3.9"/>
    <s v="No"/>
    <s v="Yes"/>
    <n v="18"/>
    <s v="PayPal"/>
    <s v="Bi-Weekly"/>
    <m/>
  </r>
  <r>
    <n v="1514"/>
    <x v="40"/>
    <x v="0"/>
    <s v="Socks"/>
    <s v="Clothing"/>
    <n v="35"/>
    <x v="21"/>
    <s v="M"/>
    <s v="Red"/>
    <s v="Spring"/>
    <n v="4.0999999999999996"/>
    <s v="No"/>
    <s v="Yes"/>
    <n v="27"/>
    <s v="Cash"/>
    <s v="Monthly"/>
    <m/>
  </r>
  <r>
    <n v="1515"/>
    <x v="8"/>
    <x v="0"/>
    <s v="Shoes"/>
    <s v="Footwear"/>
    <n v="90"/>
    <x v="40"/>
    <s v="L"/>
    <s v="Brown"/>
    <s v="Winter"/>
    <n v="3.9"/>
    <s v="No"/>
    <s v="Yes"/>
    <n v="1"/>
    <s v="Venmo"/>
    <s v="Weekly"/>
    <m/>
  </r>
  <r>
    <n v="1516"/>
    <x v="31"/>
    <x v="0"/>
    <s v="Jeans"/>
    <s v="Clothing"/>
    <n v="93"/>
    <x v="27"/>
    <s v="S"/>
    <s v="Turquoise"/>
    <s v="Fall"/>
    <n v="3.9"/>
    <s v="No"/>
    <s v="Yes"/>
    <n v="34"/>
    <s v="Cash"/>
    <s v="Weekly"/>
    <m/>
  </r>
  <r>
    <n v="1517"/>
    <x v="30"/>
    <x v="0"/>
    <s v="Jeans"/>
    <s v="Clothing"/>
    <n v="68"/>
    <x v="22"/>
    <s v="L"/>
    <s v="Indigo"/>
    <s v="Winter"/>
    <n v="4.5"/>
    <s v="No"/>
    <s v="Yes"/>
    <n v="5"/>
    <s v="Bank Transfer"/>
    <s v="Bi-Weekly"/>
    <m/>
  </r>
  <r>
    <n v="1518"/>
    <x v="9"/>
    <x v="0"/>
    <s v="Gloves"/>
    <s v="Accessories"/>
    <n v="41"/>
    <x v="13"/>
    <s v="M"/>
    <s v="Violet"/>
    <s v="Spring"/>
    <n v="3.4"/>
    <s v="No"/>
    <s v="Yes"/>
    <n v="12"/>
    <s v="Cash"/>
    <s v="Quarterly"/>
    <m/>
  </r>
  <r>
    <n v="1519"/>
    <x v="33"/>
    <x v="0"/>
    <s v="Belt"/>
    <s v="Accessories"/>
    <n v="73"/>
    <x v="14"/>
    <s v="M"/>
    <s v="Yellow"/>
    <s v="Winter"/>
    <n v="4.0999999999999996"/>
    <s v="No"/>
    <s v="Yes"/>
    <n v="14"/>
    <s v="Venmo"/>
    <s v="Fortnightly"/>
    <m/>
  </r>
  <r>
    <n v="1520"/>
    <x v="2"/>
    <x v="0"/>
    <s v="Sunglasses"/>
    <s v="Accessories"/>
    <n v="73"/>
    <x v="21"/>
    <s v="L"/>
    <s v="Cyan"/>
    <s v="Fall"/>
    <n v="4.9000000000000004"/>
    <s v="No"/>
    <s v="Yes"/>
    <n v="40"/>
    <s v="PayPal"/>
    <s v="Weekly"/>
    <m/>
  </r>
  <r>
    <n v="1521"/>
    <x v="3"/>
    <x v="0"/>
    <s v="Hat"/>
    <s v="Accessories"/>
    <n v="66"/>
    <x v="44"/>
    <s v="M"/>
    <s v="Brown"/>
    <s v="Summer"/>
    <n v="4.4000000000000004"/>
    <s v="No"/>
    <s v="Yes"/>
    <n v="39"/>
    <s v="Cash"/>
    <s v="Quarterly"/>
    <m/>
  </r>
  <r>
    <n v="1522"/>
    <x v="26"/>
    <x v="0"/>
    <s v="Backpack"/>
    <s v="Accessories"/>
    <n v="59"/>
    <x v="47"/>
    <s v="M"/>
    <s v="White"/>
    <s v="Summer"/>
    <n v="2.7"/>
    <s v="No"/>
    <s v="Yes"/>
    <n v="50"/>
    <s v="Bank Transfer"/>
    <s v="Weekly"/>
    <m/>
  </r>
  <r>
    <n v="1523"/>
    <x v="21"/>
    <x v="0"/>
    <s v="Shorts"/>
    <s v="Clothing"/>
    <n v="72"/>
    <x v="30"/>
    <s v="L"/>
    <s v="Yellow"/>
    <s v="Spring"/>
    <n v="4.8"/>
    <s v="No"/>
    <s v="Yes"/>
    <n v="5"/>
    <s v="Debit Card"/>
    <s v="Monthly"/>
    <m/>
  </r>
  <r>
    <n v="1524"/>
    <x v="22"/>
    <x v="0"/>
    <s v="Socks"/>
    <s v="Clothing"/>
    <n v="88"/>
    <x v="42"/>
    <s v="M"/>
    <s v="White"/>
    <s v="Summer"/>
    <n v="3.3"/>
    <s v="No"/>
    <s v="Yes"/>
    <n v="35"/>
    <s v="Debit Card"/>
    <s v="Annually"/>
    <m/>
  </r>
  <r>
    <n v="1525"/>
    <x v="40"/>
    <x v="0"/>
    <s v="Socks"/>
    <s v="Clothing"/>
    <n v="76"/>
    <x v="2"/>
    <s v="L"/>
    <s v="Pink"/>
    <s v="Summer"/>
    <n v="4.4000000000000004"/>
    <s v="No"/>
    <s v="Yes"/>
    <n v="6"/>
    <s v="Cash"/>
    <s v="Bi-Weekly"/>
    <m/>
  </r>
  <r>
    <n v="1526"/>
    <x v="26"/>
    <x v="0"/>
    <s v="Belt"/>
    <s v="Accessories"/>
    <n v="31"/>
    <x v="4"/>
    <s v="M"/>
    <s v="Indigo"/>
    <s v="Winter"/>
    <n v="4.5999999999999996"/>
    <s v="No"/>
    <s v="Yes"/>
    <n v="22"/>
    <s v="Cash"/>
    <s v="Fortnightly"/>
    <m/>
  </r>
  <r>
    <n v="1527"/>
    <x v="38"/>
    <x v="0"/>
    <s v="Jacket"/>
    <s v="Outerwear"/>
    <n v="22"/>
    <x v="19"/>
    <s v="L"/>
    <s v="White"/>
    <s v="Summer"/>
    <n v="3.1"/>
    <s v="No"/>
    <s v="Yes"/>
    <n v="27"/>
    <s v="PayPal"/>
    <s v="Monthly"/>
    <m/>
  </r>
  <r>
    <n v="1528"/>
    <x v="8"/>
    <x v="0"/>
    <s v="Hat"/>
    <s v="Accessories"/>
    <n v="75"/>
    <x v="48"/>
    <s v="L"/>
    <s v="Red"/>
    <s v="Fall"/>
    <n v="4.5"/>
    <s v="No"/>
    <s v="Yes"/>
    <n v="33"/>
    <s v="Debit Card"/>
    <s v="Fortnightly"/>
    <m/>
  </r>
  <r>
    <n v="1529"/>
    <x v="28"/>
    <x v="0"/>
    <s v="T-shirt"/>
    <s v="Clothing"/>
    <n v="75"/>
    <x v="4"/>
    <s v="S"/>
    <s v="Red"/>
    <s v="Spring"/>
    <n v="4"/>
    <s v="No"/>
    <s v="Yes"/>
    <n v="47"/>
    <s v="Venmo"/>
    <s v="Bi-Weekly"/>
    <m/>
  </r>
  <r>
    <n v="1530"/>
    <x v="30"/>
    <x v="0"/>
    <s v="Backpack"/>
    <s v="Accessories"/>
    <n v="63"/>
    <x v="42"/>
    <s v="M"/>
    <s v="Lavender"/>
    <s v="Winter"/>
    <n v="3.1"/>
    <s v="No"/>
    <s v="Yes"/>
    <n v="48"/>
    <s v="Credit Card"/>
    <s v="Bi-Weekly"/>
    <m/>
  </r>
  <r>
    <n v="1531"/>
    <x v="35"/>
    <x v="0"/>
    <s v="Coat"/>
    <s v="Outerwear"/>
    <n v="21"/>
    <x v="35"/>
    <s v="M"/>
    <s v="Teal"/>
    <s v="Spring"/>
    <n v="3.9"/>
    <s v="No"/>
    <s v="Yes"/>
    <n v="22"/>
    <s v="Bank Transfer"/>
    <s v="Quarterly"/>
    <m/>
  </r>
  <r>
    <n v="1532"/>
    <x v="6"/>
    <x v="0"/>
    <s v="Backpack"/>
    <s v="Accessories"/>
    <n v="83"/>
    <x v="16"/>
    <s v="S"/>
    <s v="Violet"/>
    <s v="Spring"/>
    <n v="4.5"/>
    <s v="No"/>
    <s v="Yes"/>
    <n v="8"/>
    <s v="PayPal"/>
    <s v="Bi-Weekly"/>
    <m/>
  </r>
  <r>
    <n v="1533"/>
    <x v="33"/>
    <x v="0"/>
    <s v="Jacket"/>
    <s v="Outerwear"/>
    <n v="46"/>
    <x v="48"/>
    <s v="S"/>
    <s v="Silver"/>
    <s v="Winter"/>
    <n v="4.4000000000000004"/>
    <s v="No"/>
    <s v="Yes"/>
    <n v="5"/>
    <s v="PayPal"/>
    <s v="Every 3 Months"/>
    <m/>
  </r>
  <r>
    <n v="1534"/>
    <x v="2"/>
    <x v="0"/>
    <s v="Shoes"/>
    <s v="Footwear"/>
    <n v="59"/>
    <x v="13"/>
    <s v="M"/>
    <s v="Gold"/>
    <s v="Summer"/>
    <n v="3.6"/>
    <s v="No"/>
    <s v="Yes"/>
    <n v="16"/>
    <s v="Bank Transfer"/>
    <s v="Quarterly"/>
    <m/>
  </r>
  <r>
    <n v="1535"/>
    <x v="0"/>
    <x v="0"/>
    <s v="Blouse"/>
    <s v="Clothing"/>
    <n v="66"/>
    <x v="5"/>
    <s v="M"/>
    <s v="Green"/>
    <s v="Summer"/>
    <n v="3.4"/>
    <s v="No"/>
    <s v="Yes"/>
    <n v="26"/>
    <s v="Venmo"/>
    <s v="Fortnightly"/>
    <m/>
  </r>
  <r>
    <n v="1536"/>
    <x v="24"/>
    <x v="0"/>
    <s v="Sandals"/>
    <s v="Footwear"/>
    <n v="74"/>
    <x v="8"/>
    <s v="S"/>
    <s v="Turquoise"/>
    <s v="Fall"/>
    <n v="4"/>
    <s v="No"/>
    <s v="Yes"/>
    <n v="8"/>
    <s v="Venmo"/>
    <s v="Monthly"/>
    <m/>
  </r>
  <r>
    <n v="1537"/>
    <x v="20"/>
    <x v="0"/>
    <s v="Sunglasses"/>
    <s v="Accessories"/>
    <n v="82"/>
    <x v="49"/>
    <s v="M"/>
    <s v="Indigo"/>
    <s v="Summer"/>
    <n v="2.6"/>
    <s v="No"/>
    <s v="Yes"/>
    <n v="17"/>
    <s v="Cash"/>
    <s v="Quarterly"/>
    <m/>
  </r>
  <r>
    <n v="1538"/>
    <x v="33"/>
    <x v="0"/>
    <s v="Shoes"/>
    <s v="Footwear"/>
    <n v="89"/>
    <x v="29"/>
    <s v="L"/>
    <s v="Black"/>
    <s v="Spring"/>
    <n v="3.2"/>
    <s v="No"/>
    <s v="Yes"/>
    <n v="50"/>
    <s v="Venmo"/>
    <s v="Annually"/>
    <m/>
  </r>
  <r>
    <n v="1539"/>
    <x v="19"/>
    <x v="0"/>
    <s v="Dress"/>
    <s v="Clothing"/>
    <n v="65"/>
    <x v="26"/>
    <s v="L"/>
    <s v="Charcoal"/>
    <s v="Fall"/>
    <n v="3.2"/>
    <s v="No"/>
    <s v="Yes"/>
    <n v="22"/>
    <s v="Venmo"/>
    <s v="Bi-Weekly"/>
    <m/>
  </r>
  <r>
    <n v="1540"/>
    <x v="45"/>
    <x v="0"/>
    <s v="Belt"/>
    <s v="Accessories"/>
    <n v="55"/>
    <x v="11"/>
    <s v="M"/>
    <s v="Turquoise"/>
    <s v="Spring"/>
    <n v="5"/>
    <s v="No"/>
    <s v="Yes"/>
    <n v="19"/>
    <s v="Cash"/>
    <s v="Every 3 Months"/>
    <m/>
  </r>
  <r>
    <n v="1541"/>
    <x v="48"/>
    <x v="0"/>
    <s v="Shorts"/>
    <s v="Clothing"/>
    <n v="95"/>
    <x v="24"/>
    <s v="M"/>
    <s v="Red"/>
    <s v="Winter"/>
    <n v="2.9"/>
    <s v="No"/>
    <s v="Yes"/>
    <n v="14"/>
    <s v="Bank Transfer"/>
    <s v="Monthly"/>
    <m/>
  </r>
  <r>
    <n v="1542"/>
    <x v="41"/>
    <x v="0"/>
    <s v="Handbag"/>
    <s v="Accessories"/>
    <n v="77"/>
    <x v="26"/>
    <s v="S"/>
    <s v="Indigo"/>
    <s v="Winter"/>
    <n v="2.9"/>
    <s v="No"/>
    <s v="Yes"/>
    <n v="35"/>
    <s v="Cash"/>
    <s v="Bi-Weekly"/>
    <m/>
  </r>
  <r>
    <n v="1543"/>
    <x v="35"/>
    <x v="0"/>
    <s v="Blouse"/>
    <s v="Clothing"/>
    <n v="44"/>
    <x v="11"/>
    <s v="M"/>
    <s v="Maroon"/>
    <s v="Winter"/>
    <n v="3.5"/>
    <s v="No"/>
    <s v="Yes"/>
    <n v="43"/>
    <s v="PayPal"/>
    <s v="Weekly"/>
    <m/>
  </r>
  <r>
    <n v="1544"/>
    <x v="19"/>
    <x v="0"/>
    <s v="Jeans"/>
    <s v="Clothing"/>
    <n v="89"/>
    <x v="48"/>
    <s v="M"/>
    <s v="Indigo"/>
    <s v="Fall"/>
    <n v="4"/>
    <s v="No"/>
    <s v="Yes"/>
    <n v="24"/>
    <s v="Venmo"/>
    <s v="Annually"/>
    <m/>
  </r>
  <r>
    <n v="1545"/>
    <x v="11"/>
    <x v="0"/>
    <s v="Jewelry"/>
    <s v="Accessories"/>
    <n v="24"/>
    <x v="10"/>
    <s v="M"/>
    <s v="Maroon"/>
    <s v="Spring"/>
    <n v="3.9"/>
    <s v="No"/>
    <s v="Yes"/>
    <n v="17"/>
    <s v="Debit Card"/>
    <s v="Bi-Weekly"/>
    <m/>
  </r>
  <r>
    <n v="1546"/>
    <x v="39"/>
    <x v="0"/>
    <s v="Belt"/>
    <s v="Accessories"/>
    <n v="43"/>
    <x v="12"/>
    <s v="M"/>
    <s v="Black"/>
    <s v="Winter"/>
    <n v="4.9000000000000004"/>
    <s v="No"/>
    <s v="Yes"/>
    <n v="49"/>
    <s v="Bank Transfer"/>
    <s v="Annually"/>
    <m/>
  </r>
  <r>
    <n v="1547"/>
    <x v="52"/>
    <x v="0"/>
    <s v="Sneakers"/>
    <s v="Footwear"/>
    <n v="51"/>
    <x v="4"/>
    <s v="XL"/>
    <s v="Purple"/>
    <s v="Summer"/>
    <n v="3.8"/>
    <s v="No"/>
    <s v="Yes"/>
    <n v="17"/>
    <s v="Bank Transfer"/>
    <s v="Annually"/>
    <m/>
  </r>
  <r>
    <n v="1548"/>
    <x v="5"/>
    <x v="0"/>
    <s v="Hat"/>
    <s v="Accessories"/>
    <n v="46"/>
    <x v="36"/>
    <s v="L"/>
    <s v="Teal"/>
    <s v="Summer"/>
    <n v="3.5"/>
    <s v="No"/>
    <s v="Yes"/>
    <n v="40"/>
    <s v="Cash"/>
    <s v="Quarterly"/>
    <m/>
  </r>
  <r>
    <n v="1549"/>
    <x v="28"/>
    <x v="0"/>
    <s v="Dress"/>
    <s v="Clothing"/>
    <n v="32"/>
    <x v="33"/>
    <s v="M"/>
    <s v="Silver"/>
    <s v="Summer"/>
    <n v="3.7"/>
    <s v="No"/>
    <s v="Yes"/>
    <n v="43"/>
    <s v="Bank Transfer"/>
    <s v="Weekly"/>
    <m/>
  </r>
  <r>
    <n v="1550"/>
    <x v="1"/>
    <x v="0"/>
    <s v="Sneakers"/>
    <s v="Footwear"/>
    <n v="55"/>
    <x v="23"/>
    <s v="M"/>
    <s v="Black"/>
    <s v="Spring"/>
    <n v="2.9"/>
    <s v="No"/>
    <s v="Yes"/>
    <n v="19"/>
    <s v="Debit Card"/>
    <s v="Every 3 Months"/>
    <m/>
  </r>
  <r>
    <n v="1551"/>
    <x v="17"/>
    <x v="0"/>
    <s v="Sunglasses"/>
    <s v="Accessories"/>
    <n v="26"/>
    <x v="10"/>
    <s v="S"/>
    <s v="Black"/>
    <s v="Summer"/>
    <n v="2.8"/>
    <s v="No"/>
    <s v="Yes"/>
    <n v="40"/>
    <s v="Bank Transfer"/>
    <s v="Quarterly"/>
    <m/>
  </r>
  <r>
    <n v="1552"/>
    <x v="14"/>
    <x v="0"/>
    <s v="Handbag"/>
    <s v="Accessories"/>
    <n v="29"/>
    <x v="46"/>
    <s v="M"/>
    <s v="Olive"/>
    <s v="Summer"/>
    <n v="3.7"/>
    <s v="No"/>
    <s v="Yes"/>
    <n v="13"/>
    <s v="Credit Card"/>
    <s v="Monthly"/>
    <m/>
  </r>
  <r>
    <n v="1553"/>
    <x v="22"/>
    <x v="0"/>
    <s v="Blouse"/>
    <s v="Clothing"/>
    <n v="49"/>
    <x v="35"/>
    <s v="L"/>
    <s v="Purple"/>
    <s v="Spring"/>
    <n v="3"/>
    <s v="No"/>
    <s v="Yes"/>
    <n v="20"/>
    <s v="Credit Card"/>
    <s v="Monthly"/>
    <m/>
  </r>
  <r>
    <n v="1554"/>
    <x v="7"/>
    <x v="0"/>
    <s v="Blouse"/>
    <s v="Clothing"/>
    <n v="45"/>
    <x v="12"/>
    <s v="M"/>
    <s v="Indigo"/>
    <s v="Spring"/>
    <n v="4.8"/>
    <s v="No"/>
    <s v="Yes"/>
    <n v="21"/>
    <s v="Debit Card"/>
    <s v="Quarterly"/>
    <m/>
  </r>
  <r>
    <n v="1555"/>
    <x v="14"/>
    <x v="0"/>
    <s v="Shorts"/>
    <s v="Clothing"/>
    <n v="48"/>
    <x v="40"/>
    <s v="S"/>
    <s v="Lavender"/>
    <s v="Winter"/>
    <n v="2.7"/>
    <s v="No"/>
    <s v="Yes"/>
    <n v="18"/>
    <s v="Cash"/>
    <s v="Bi-Weekly"/>
    <m/>
  </r>
  <r>
    <n v="1556"/>
    <x v="49"/>
    <x v="0"/>
    <s v="Shorts"/>
    <s v="Clothing"/>
    <n v="47"/>
    <x v="31"/>
    <s v="S"/>
    <s v="Cyan"/>
    <s v="Winter"/>
    <n v="4.5"/>
    <s v="No"/>
    <s v="Yes"/>
    <n v="44"/>
    <s v="Cash"/>
    <s v="Quarterly"/>
    <m/>
  </r>
  <r>
    <n v="1557"/>
    <x v="49"/>
    <x v="0"/>
    <s v="Hoodie"/>
    <s v="Clothing"/>
    <n v="57"/>
    <x v="15"/>
    <s v="M"/>
    <s v="Gold"/>
    <s v="Fall"/>
    <n v="2.7"/>
    <s v="No"/>
    <s v="Yes"/>
    <n v="26"/>
    <s v="Credit Card"/>
    <s v="Quarterly"/>
    <m/>
  </r>
  <r>
    <n v="1558"/>
    <x v="7"/>
    <x v="0"/>
    <s v="Backpack"/>
    <s v="Accessories"/>
    <n v="34"/>
    <x v="45"/>
    <s v="L"/>
    <s v="Magenta"/>
    <s v="Fall"/>
    <n v="3.5"/>
    <s v="No"/>
    <s v="Yes"/>
    <n v="34"/>
    <s v="PayPal"/>
    <s v="Quarterly"/>
    <m/>
  </r>
  <r>
    <n v="1559"/>
    <x v="25"/>
    <x v="0"/>
    <s v="Sunglasses"/>
    <s v="Accessories"/>
    <n v="75"/>
    <x v="35"/>
    <s v="XL"/>
    <s v="Teal"/>
    <s v="Fall"/>
    <n v="3.5"/>
    <s v="No"/>
    <s v="Yes"/>
    <n v="24"/>
    <s v="Credit Card"/>
    <s v="Every 3 Months"/>
    <m/>
  </r>
  <r>
    <n v="1560"/>
    <x v="49"/>
    <x v="0"/>
    <s v="Scarf"/>
    <s v="Accessories"/>
    <n v="94"/>
    <x v="4"/>
    <s v="L"/>
    <s v="Beige"/>
    <s v="Fall"/>
    <n v="4.5"/>
    <s v="No"/>
    <s v="Yes"/>
    <n v="23"/>
    <s v="PayPal"/>
    <s v="Fortnightly"/>
    <m/>
  </r>
  <r>
    <n v="1561"/>
    <x v="9"/>
    <x v="0"/>
    <s v="Hat"/>
    <s v="Accessories"/>
    <n v="84"/>
    <x v="4"/>
    <s v="M"/>
    <s v="Teal"/>
    <s v="Winter"/>
    <n v="3.8"/>
    <s v="No"/>
    <s v="Yes"/>
    <n v="3"/>
    <s v="Debit Card"/>
    <s v="Weekly"/>
    <m/>
  </r>
  <r>
    <n v="1562"/>
    <x v="2"/>
    <x v="0"/>
    <s v="Scarf"/>
    <s v="Accessories"/>
    <n v="38"/>
    <x v="16"/>
    <s v="M"/>
    <s v="Indigo"/>
    <s v="Summer"/>
    <n v="3.8"/>
    <s v="No"/>
    <s v="Yes"/>
    <n v="2"/>
    <s v="Bank Transfer"/>
    <s v="Quarterly"/>
    <m/>
  </r>
  <r>
    <n v="1563"/>
    <x v="43"/>
    <x v="0"/>
    <s v="Scarf"/>
    <s v="Accessories"/>
    <n v="75"/>
    <x v="15"/>
    <s v="M"/>
    <s v="Purple"/>
    <s v="Winter"/>
    <n v="3.2"/>
    <s v="No"/>
    <s v="Yes"/>
    <n v="23"/>
    <s v="Venmo"/>
    <s v="Bi-Weekly"/>
    <m/>
  </r>
  <r>
    <n v="1564"/>
    <x v="33"/>
    <x v="0"/>
    <s v="Pants"/>
    <s v="Clothing"/>
    <n v="44"/>
    <x v="23"/>
    <s v="M"/>
    <s v="Teal"/>
    <s v="Fall"/>
    <n v="4.3"/>
    <s v="No"/>
    <s v="Yes"/>
    <n v="8"/>
    <s v="Cash"/>
    <s v="Weekly"/>
    <m/>
  </r>
  <r>
    <n v="1565"/>
    <x v="40"/>
    <x v="0"/>
    <s v="Backpack"/>
    <s v="Accessories"/>
    <n v="33"/>
    <x v="18"/>
    <s v="XL"/>
    <s v="Turquoise"/>
    <s v="Summer"/>
    <n v="4.5"/>
    <s v="No"/>
    <s v="Yes"/>
    <n v="30"/>
    <s v="Debit Card"/>
    <s v="Every 3 Months"/>
    <m/>
  </r>
  <r>
    <n v="1566"/>
    <x v="44"/>
    <x v="0"/>
    <s v="Sunglasses"/>
    <s v="Accessories"/>
    <n v="93"/>
    <x v="37"/>
    <s v="L"/>
    <s v="Peach"/>
    <s v="Fall"/>
    <n v="4.2"/>
    <s v="No"/>
    <s v="Yes"/>
    <n v="48"/>
    <s v="PayPal"/>
    <s v="Annually"/>
    <m/>
  </r>
  <r>
    <n v="1567"/>
    <x v="39"/>
    <x v="0"/>
    <s v="Sneakers"/>
    <s v="Footwear"/>
    <n v="99"/>
    <x v="5"/>
    <s v="S"/>
    <s v="Green"/>
    <s v="Winter"/>
    <n v="3"/>
    <s v="No"/>
    <s v="Yes"/>
    <n v="21"/>
    <s v="Cash"/>
    <s v="Bi-Weekly"/>
    <m/>
  </r>
  <r>
    <n v="1568"/>
    <x v="11"/>
    <x v="0"/>
    <s v="Backpack"/>
    <s v="Accessories"/>
    <n v="33"/>
    <x v="46"/>
    <s v="M"/>
    <s v="Turquoise"/>
    <s v="Spring"/>
    <n v="4.0999999999999996"/>
    <s v="No"/>
    <s v="Yes"/>
    <n v="9"/>
    <s v="Cash"/>
    <s v="Monthly"/>
    <m/>
  </r>
  <r>
    <n v="1569"/>
    <x v="47"/>
    <x v="0"/>
    <s v="Sneakers"/>
    <s v="Footwear"/>
    <n v="76"/>
    <x v="47"/>
    <s v="L"/>
    <s v="Yellow"/>
    <s v="Spring"/>
    <n v="4.5999999999999996"/>
    <s v="No"/>
    <s v="Yes"/>
    <n v="8"/>
    <s v="Debit Card"/>
    <s v="Monthly"/>
    <m/>
  </r>
  <r>
    <n v="1570"/>
    <x v="30"/>
    <x v="0"/>
    <s v="Skirt"/>
    <s v="Clothing"/>
    <n v="63"/>
    <x v="11"/>
    <s v="M"/>
    <s v="Orange"/>
    <s v="Summer"/>
    <n v="2.9"/>
    <s v="No"/>
    <s v="Yes"/>
    <n v="29"/>
    <s v="Debit Card"/>
    <s v="Weekly"/>
    <m/>
  </r>
  <r>
    <n v="1571"/>
    <x v="11"/>
    <x v="0"/>
    <s v="Pants"/>
    <s v="Clothing"/>
    <n v="41"/>
    <x v="9"/>
    <s v="L"/>
    <s v="Brown"/>
    <s v="Winter"/>
    <n v="4.8"/>
    <s v="No"/>
    <s v="Yes"/>
    <n v="3"/>
    <s v="Bank Transfer"/>
    <s v="Every 3 Months"/>
    <m/>
  </r>
  <r>
    <n v="1572"/>
    <x v="48"/>
    <x v="0"/>
    <s v="Jewelry"/>
    <s v="Accessories"/>
    <n v="88"/>
    <x v="24"/>
    <s v="L"/>
    <s v="Silver"/>
    <s v="Winter"/>
    <n v="4.5"/>
    <s v="No"/>
    <s v="Yes"/>
    <n v="11"/>
    <s v="Bank Transfer"/>
    <s v="Fortnightly"/>
    <m/>
  </r>
  <r>
    <n v="1573"/>
    <x v="43"/>
    <x v="0"/>
    <s v="Skirt"/>
    <s v="Clothing"/>
    <n v="92"/>
    <x v="47"/>
    <s v="L"/>
    <s v="White"/>
    <s v="Summer"/>
    <n v="3.4"/>
    <s v="No"/>
    <s v="Yes"/>
    <n v="16"/>
    <s v="Debit Card"/>
    <s v="Monthly"/>
    <m/>
  </r>
  <r>
    <n v="1574"/>
    <x v="24"/>
    <x v="0"/>
    <s v="T-shirt"/>
    <s v="Clothing"/>
    <n v="31"/>
    <x v="25"/>
    <s v="L"/>
    <s v="Indigo"/>
    <s v="Summer"/>
    <n v="4.3"/>
    <s v="No"/>
    <s v="Yes"/>
    <n v="25"/>
    <s v="Debit Card"/>
    <s v="Weekly"/>
    <m/>
  </r>
  <r>
    <n v="1575"/>
    <x v="20"/>
    <x v="0"/>
    <s v="Skirt"/>
    <s v="Clothing"/>
    <n v="25"/>
    <x v="46"/>
    <s v="S"/>
    <s v="Magenta"/>
    <s v="Spring"/>
    <n v="4.2"/>
    <s v="No"/>
    <s v="Yes"/>
    <n v="32"/>
    <s v="PayPal"/>
    <s v="Bi-Weekly"/>
    <m/>
  </r>
  <r>
    <n v="1576"/>
    <x v="16"/>
    <x v="0"/>
    <s v="Shirt"/>
    <s v="Clothing"/>
    <n v="28"/>
    <x v="18"/>
    <s v="M"/>
    <s v="Turquoise"/>
    <s v="Spring"/>
    <n v="3.6"/>
    <s v="No"/>
    <s v="Yes"/>
    <n v="28"/>
    <s v="Cash"/>
    <s v="Fortnightly"/>
    <m/>
  </r>
  <r>
    <n v="1577"/>
    <x v="19"/>
    <x v="0"/>
    <s v="Dress"/>
    <s v="Clothing"/>
    <n v="75"/>
    <x v="49"/>
    <s v="M"/>
    <s v="White"/>
    <s v="Spring"/>
    <n v="3.7"/>
    <s v="No"/>
    <s v="Yes"/>
    <n v="36"/>
    <s v="PayPal"/>
    <s v="Monthly"/>
    <m/>
  </r>
  <r>
    <n v="1578"/>
    <x v="33"/>
    <x v="0"/>
    <s v="Boots"/>
    <s v="Footwear"/>
    <n v="34"/>
    <x v="12"/>
    <s v="S"/>
    <s v="Olive"/>
    <s v="Spring"/>
    <n v="4"/>
    <s v="No"/>
    <s v="Yes"/>
    <n v="7"/>
    <s v="Venmo"/>
    <s v="Fortnightly"/>
    <m/>
  </r>
  <r>
    <n v="1579"/>
    <x v="46"/>
    <x v="0"/>
    <s v="Pants"/>
    <s v="Clothing"/>
    <n v="97"/>
    <x v="18"/>
    <s v="S"/>
    <s v="Maroon"/>
    <s v="Winter"/>
    <n v="4.9000000000000004"/>
    <s v="No"/>
    <s v="Yes"/>
    <n v="2"/>
    <s v="PayPal"/>
    <s v="Quarterly"/>
    <m/>
  </r>
  <r>
    <n v="1580"/>
    <x v="25"/>
    <x v="0"/>
    <s v="Jacket"/>
    <s v="Outerwear"/>
    <n v="80"/>
    <x v="19"/>
    <s v="M"/>
    <s v="Violet"/>
    <s v="Summer"/>
    <n v="3.1"/>
    <s v="No"/>
    <s v="Yes"/>
    <n v="6"/>
    <s v="Bank Transfer"/>
    <s v="Monthly"/>
    <m/>
  </r>
  <r>
    <n v="1581"/>
    <x v="13"/>
    <x v="0"/>
    <s v="Sneakers"/>
    <s v="Footwear"/>
    <n v="71"/>
    <x v="25"/>
    <s v="L"/>
    <s v="Cyan"/>
    <s v="Summer"/>
    <n v="3.7"/>
    <s v="No"/>
    <s v="Yes"/>
    <n v="30"/>
    <s v="Cash"/>
    <s v="Annually"/>
    <m/>
  </r>
  <r>
    <n v="1582"/>
    <x v="28"/>
    <x v="0"/>
    <s v="Jewelry"/>
    <s v="Accessories"/>
    <n v="77"/>
    <x v="31"/>
    <s v="L"/>
    <s v="Teal"/>
    <s v="Fall"/>
    <n v="4.2"/>
    <s v="No"/>
    <s v="Yes"/>
    <n v="46"/>
    <s v="Cash"/>
    <s v="Quarterly"/>
    <m/>
  </r>
  <r>
    <n v="1583"/>
    <x v="48"/>
    <x v="0"/>
    <s v="Belt"/>
    <s v="Accessories"/>
    <n v="41"/>
    <x v="11"/>
    <s v="L"/>
    <s v="Red"/>
    <s v="Spring"/>
    <n v="2.5"/>
    <s v="No"/>
    <s v="Yes"/>
    <n v="39"/>
    <s v="Cash"/>
    <s v="Monthly"/>
    <m/>
  </r>
  <r>
    <n v="1584"/>
    <x v="43"/>
    <x v="0"/>
    <s v="Scarf"/>
    <s v="Accessories"/>
    <n v="92"/>
    <x v="33"/>
    <s v="XL"/>
    <s v="Yellow"/>
    <s v="Summer"/>
    <n v="4.3"/>
    <s v="No"/>
    <s v="Yes"/>
    <n v="8"/>
    <s v="Venmo"/>
    <s v="Annually"/>
    <m/>
  </r>
  <r>
    <n v="1585"/>
    <x v="38"/>
    <x v="0"/>
    <s v="Blouse"/>
    <s v="Clothing"/>
    <n v="95"/>
    <x v="11"/>
    <s v="S"/>
    <s v="Silver"/>
    <s v="Spring"/>
    <n v="3.1"/>
    <s v="No"/>
    <s v="Yes"/>
    <n v="46"/>
    <s v="Credit Card"/>
    <s v="Quarterly"/>
    <m/>
  </r>
  <r>
    <n v="1586"/>
    <x v="43"/>
    <x v="0"/>
    <s v="Sweater"/>
    <s v="Clothing"/>
    <n v="25"/>
    <x v="15"/>
    <s v="M"/>
    <s v="Charcoal"/>
    <s v="Fall"/>
    <n v="3"/>
    <s v="No"/>
    <s v="Yes"/>
    <n v="40"/>
    <s v="Debit Card"/>
    <s v="Fortnightly"/>
    <m/>
  </r>
  <r>
    <n v="1587"/>
    <x v="15"/>
    <x v="0"/>
    <s v="Boots"/>
    <s v="Footwear"/>
    <n v="77"/>
    <x v="19"/>
    <s v="M"/>
    <s v="Purple"/>
    <s v="Fall"/>
    <n v="4"/>
    <s v="No"/>
    <s v="Yes"/>
    <n v="21"/>
    <s v="Bank Transfer"/>
    <s v="Weekly"/>
    <m/>
  </r>
  <r>
    <n v="1588"/>
    <x v="38"/>
    <x v="0"/>
    <s v="Socks"/>
    <s v="Clothing"/>
    <n v="99"/>
    <x v="15"/>
    <s v="M"/>
    <s v="Beige"/>
    <s v="Summer"/>
    <n v="3.5"/>
    <s v="No"/>
    <s v="Yes"/>
    <n v="33"/>
    <s v="Credit Card"/>
    <s v="Fortnightly"/>
    <m/>
  </r>
  <r>
    <n v="1589"/>
    <x v="39"/>
    <x v="0"/>
    <s v="Belt"/>
    <s v="Accessories"/>
    <n v="24"/>
    <x v="34"/>
    <s v="L"/>
    <s v="Cyan"/>
    <s v="Winter"/>
    <n v="3.2"/>
    <s v="No"/>
    <s v="Yes"/>
    <n v="3"/>
    <s v="Venmo"/>
    <s v="Monthly"/>
    <m/>
  </r>
  <r>
    <n v="1590"/>
    <x v="32"/>
    <x v="0"/>
    <s v="Sneakers"/>
    <s v="Footwear"/>
    <n v="72"/>
    <x v="31"/>
    <s v="M"/>
    <s v="Silver"/>
    <s v="Summer"/>
    <n v="2.7"/>
    <s v="No"/>
    <s v="Yes"/>
    <n v="48"/>
    <s v="Cash"/>
    <s v="Weekly"/>
    <m/>
  </r>
  <r>
    <n v="1591"/>
    <x v="22"/>
    <x v="0"/>
    <s v="Jeans"/>
    <s v="Clothing"/>
    <n v="80"/>
    <x v="48"/>
    <s v="S"/>
    <s v="Pink"/>
    <s v="Winter"/>
    <n v="3"/>
    <s v="No"/>
    <s v="Yes"/>
    <n v="8"/>
    <s v="PayPal"/>
    <s v="Annually"/>
    <m/>
  </r>
  <r>
    <n v="1592"/>
    <x v="20"/>
    <x v="0"/>
    <s v="Skirt"/>
    <s v="Clothing"/>
    <n v="100"/>
    <x v="45"/>
    <s v="L"/>
    <s v="Gold"/>
    <s v="Winter"/>
    <n v="2.9"/>
    <s v="No"/>
    <s v="Yes"/>
    <n v="24"/>
    <s v="PayPal"/>
    <s v="Annually"/>
    <m/>
  </r>
  <r>
    <n v="1593"/>
    <x v="19"/>
    <x v="0"/>
    <s v="Shoes"/>
    <s v="Footwear"/>
    <n v="83"/>
    <x v="44"/>
    <s v="M"/>
    <s v="Cyan"/>
    <s v="Summer"/>
    <n v="3.3"/>
    <s v="No"/>
    <s v="Yes"/>
    <n v="10"/>
    <s v="Bank Transfer"/>
    <s v="Every 3 Months"/>
    <m/>
  </r>
  <r>
    <n v="1594"/>
    <x v="12"/>
    <x v="0"/>
    <s v="Dress"/>
    <s v="Clothing"/>
    <n v="95"/>
    <x v="33"/>
    <s v="M"/>
    <s v="Black"/>
    <s v="Spring"/>
    <n v="4.9000000000000004"/>
    <s v="No"/>
    <s v="Yes"/>
    <n v="25"/>
    <s v="Bank Transfer"/>
    <s v="Monthly"/>
    <m/>
  </r>
  <r>
    <n v="1595"/>
    <x v="37"/>
    <x v="0"/>
    <s v="Handbag"/>
    <s v="Accessories"/>
    <n v="41"/>
    <x v="24"/>
    <s v="XL"/>
    <s v="Charcoal"/>
    <s v="Summer"/>
    <n v="3.7"/>
    <s v="No"/>
    <s v="Yes"/>
    <n v="3"/>
    <s v="Cash"/>
    <s v="Fortnightly"/>
    <m/>
  </r>
  <r>
    <n v="1596"/>
    <x v="50"/>
    <x v="0"/>
    <s v="Backpack"/>
    <s v="Accessories"/>
    <n v="35"/>
    <x v="48"/>
    <s v="S"/>
    <s v="Magenta"/>
    <s v="Spring"/>
    <n v="3.5"/>
    <s v="No"/>
    <s v="Yes"/>
    <n v="45"/>
    <s v="Debit Card"/>
    <s v="Fortnightly"/>
    <m/>
  </r>
  <r>
    <n v="1597"/>
    <x v="32"/>
    <x v="0"/>
    <s v="Jewelry"/>
    <s v="Accessories"/>
    <n v="30"/>
    <x v="16"/>
    <s v="S"/>
    <s v="Pink"/>
    <s v="Fall"/>
    <n v="4.7"/>
    <s v="No"/>
    <s v="Yes"/>
    <n v="15"/>
    <s v="Debit Card"/>
    <s v="Monthly"/>
    <m/>
  </r>
  <r>
    <n v="1598"/>
    <x v="49"/>
    <x v="0"/>
    <s v="Hat"/>
    <s v="Accessories"/>
    <n v="21"/>
    <x v="16"/>
    <s v="XL"/>
    <s v="Maroon"/>
    <s v="Winter"/>
    <n v="2.6"/>
    <s v="No"/>
    <s v="Yes"/>
    <n v="34"/>
    <s v="Bank Transfer"/>
    <s v="Quarterly"/>
    <m/>
  </r>
  <r>
    <n v="1599"/>
    <x v="36"/>
    <x v="0"/>
    <s v="Jewelry"/>
    <s v="Accessories"/>
    <n v="85"/>
    <x v="18"/>
    <s v="M"/>
    <s v="Teal"/>
    <s v="Fall"/>
    <n v="4.0999999999999996"/>
    <s v="No"/>
    <s v="Yes"/>
    <n v="21"/>
    <s v="Venmo"/>
    <s v="Bi-Weekly"/>
    <m/>
  </r>
  <r>
    <n v="1600"/>
    <x v="39"/>
    <x v="0"/>
    <s v="Shirt"/>
    <s v="Clothing"/>
    <n v="54"/>
    <x v="12"/>
    <s v="M"/>
    <s v="Orange"/>
    <s v="Winter"/>
    <n v="2.8"/>
    <s v="No"/>
    <s v="Yes"/>
    <n v="22"/>
    <s v="Debit Card"/>
    <s v="Bi-Weekly"/>
    <m/>
  </r>
  <r>
    <n v="1601"/>
    <x v="30"/>
    <x v="0"/>
    <s v="Boots"/>
    <s v="Footwear"/>
    <n v="26"/>
    <x v="6"/>
    <s v="S"/>
    <s v="Yellow"/>
    <s v="Spring"/>
    <n v="4.7"/>
    <s v="No"/>
    <s v="Yes"/>
    <n v="24"/>
    <s v="PayPal"/>
    <s v="Weekly"/>
    <m/>
  </r>
  <r>
    <n v="1602"/>
    <x v="13"/>
    <x v="0"/>
    <s v="Shirt"/>
    <s v="Clothing"/>
    <n v="59"/>
    <x v="27"/>
    <s v="XL"/>
    <s v="Red"/>
    <s v="Spring"/>
    <n v="2.9"/>
    <s v="No"/>
    <s v="Yes"/>
    <n v="33"/>
    <s v="Credit Card"/>
    <s v="Monthly"/>
    <m/>
  </r>
  <r>
    <n v="1603"/>
    <x v="22"/>
    <x v="0"/>
    <s v="Sunglasses"/>
    <s v="Accessories"/>
    <n v="48"/>
    <x v="8"/>
    <s v="S"/>
    <s v="Charcoal"/>
    <s v="Winter"/>
    <n v="2.8"/>
    <s v="No"/>
    <s v="Yes"/>
    <n v="13"/>
    <s v="Venmo"/>
    <s v="Fortnightly"/>
    <m/>
  </r>
  <r>
    <n v="1604"/>
    <x v="51"/>
    <x v="0"/>
    <s v="Shorts"/>
    <s v="Clothing"/>
    <n v="98"/>
    <x v="44"/>
    <s v="L"/>
    <s v="Black"/>
    <s v="Summer"/>
    <n v="4.3"/>
    <s v="No"/>
    <s v="Yes"/>
    <n v="17"/>
    <s v="Debit Card"/>
    <s v="Bi-Weekly"/>
    <m/>
  </r>
  <r>
    <n v="1605"/>
    <x v="20"/>
    <x v="0"/>
    <s v="Sweater"/>
    <s v="Clothing"/>
    <n v="92"/>
    <x v="1"/>
    <s v="M"/>
    <s v="White"/>
    <s v="Summer"/>
    <n v="4.8"/>
    <s v="No"/>
    <s v="Yes"/>
    <n v="25"/>
    <s v="Credit Card"/>
    <s v="Every 3 Months"/>
    <m/>
  </r>
  <r>
    <n v="1606"/>
    <x v="27"/>
    <x v="0"/>
    <s v="Belt"/>
    <s v="Accessories"/>
    <n v="46"/>
    <x v="39"/>
    <s v="M"/>
    <s v="Lavender"/>
    <s v="Winter"/>
    <n v="3.4"/>
    <s v="No"/>
    <s v="Yes"/>
    <n v="15"/>
    <s v="Credit Card"/>
    <s v="Bi-Weekly"/>
    <m/>
  </r>
  <r>
    <n v="1607"/>
    <x v="0"/>
    <x v="0"/>
    <s v="T-shirt"/>
    <s v="Clothing"/>
    <n v="21"/>
    <x v="23"/>
    <s v="S"/>
    <s v="White"/>
    <s v="Spring"/>
    <n v="4.3"/>
    <s v="No"/>
    <s v="Yes"/>
    <n v="4"/>
    <s v="PayPal"/>
    <s v="Fortnightly"/>
    <m/>
  </r>
  <r>
    <n v="1608"/>
    <x v="34"/>
    <x v="0"/>
    <s v="Shorts"/>
    <s v="Clothing"/>
    <n v="72"/>
    <x v="34"/>
    <s v="S"/>
    <s v="Gray"/>
    <s v="Fall"/>
    <n v="2.7"/>
    <s v="No"/>
    <s v="Yes"/>
    <n v="43"/>
    <s v="Debit Card"/>
    <s v="Quarterly"/>
    <m/>
  </r>
  <r>
    <n v="1609"/>
    <x v="8"/>
    <x v="0"/>
    <s v="Sandals"/>
    <s v="Footwear"/>
    <n v="58"/>
    <x v="43"/>
    <s v="XL"/>
    <s v="Cyan"/>
    <s v="Fall"/>
    <n v="4.5999999999999996"/>
    <s v="No"/>
    <s v="Yes"/>
    <n v="12"/>
    <s v="Bank Transfer"/>
    <s v="Bi-Weekly"/>
    <m/>
  </r>
  <r>
    <n v="1610"/>
    <x v="23"/>
    <x v="0"/>
    <s v="Shirt"/>
    <s v="Clothing"/>
    <n v="93"/>
    <x v="22"/>
    <s v="S"/>
    <s v="Brown"/>
    <s v="Fall"/>
    <n v="4.0999999999999996"/>
    <s v="No"/>
    <s v="Yes"/>
    <n v="3"/>
    <s v="Venmo"/>
    <s v="Monthly"/>
    <m/>
  </r>
  <r>
    <n v="1611"/>
    <x v="30"/>
    <x v="0"/>
    <s v="Socks"/>
    <s v="Clothing"/>
    <n v="31"/>
    <x v="30"/>
    <s v="L"/>
    <s v="Purple"/>
    <s v="Spring"/>
    <n v="3.4"/>
    <s v="No"/>
    <s v="Yes"/>
    <n v="1"/>
    <s v="PayPal"/>
    <s v="Annually"/>
    <m/>
  </r>
  <r>
    <n v="1612"/>
    <x v="38"/>
    <x v="0"/>
    <s v="Pants"/>
    <s v="Clothing"/>
    <n v="26"/>
    <x v="10"/>
    <s v="L"/>
    <s v="Yellow"/>
    <s v="Winter"/>
    <n v="4.5"/>
    <s v="No"/>
    <s v="Yes"/>
    <n v="6"/>
    <s v="Debit Card"/>
    <s v="Monthly"/>
    <m/>
  </r>
  <r>
    <n v="1613"/>
    <x v="20"/>
    <x v="0"/>
    <s v="Skirt"/>
    <s v="Clothing"/>
    <n v="68"/>
    <x v="48"/>
    <s v="M"/>
    <s v="Indigo"/>
    <s v="Summer"/>
    <n v="4.4000000000000004"/>
    <s v="No"/>
    <s v="Yes"/>
    <n v="26"/>
    <s v="Venmo"/>
    <s v="Monthly"/>
    <m/>
  </r>
  <r>
    <n v="1614"/>
    <x v="8"/>
    <x v="0"/>
    <s v="Jewelry"/>
    <s v="Accessories"/>
    <n v="31"/>
    <x v="26"/>
    <s v="S"/>
    <s v="Black"/>
    <s v="Summer"/>
    <n v="4"/>
    <s v="No"/>
    <s v="Yes"/>
    <n v="6"/>
    <s v="Credit Card"/>
    <s v="Fortnightly"/>
    <m/>
  </r>
  <r>
    <n v="1615"/>
    <x v="11"/>
    <x v="0"/>
    <s v="T-shirt"/>
    <s v="Clothing"/>
    <n v="41"/>
    <x v="23"/>
    <s v="S"/>
    <s v="Gray"/>
    <s v="Summer"/>
    <n v="3.4"/>
    <s v="No"/>
    <s v="Yes"/>
    <n v="22"/>
    <s v="Cash"/>
    <s v="Bi-Weekly"/>
    <m/>
  </r>
  <r>
    <n v="1616"/>
    <x v="14"/>
    <x v="0"/>
    <s v="Jewelry"/>
    <s v="Accessories"/>
    <n v="62"/>
    <x v="14"/>
    <s v="M"/>
    <s v="Indigo"/>
    <s v="Fall"/>
    <n v="3.2"/>
    <s v="No"/>
    <s v="Yes"/>
    <n v="45"/>
    <s v="Cash"/>
    <s v="Bi-Weekly"/>
    <m/>
  </r>
  <r>
    <n v="1617"/>
    <x v="8"/>
    <x v="0"/>
    <s v="Hat"/>
    <s v="Accessories"/>
    <n v="41"/>
    <x v="24"/>
    <s v="M"/>
    <s v="Green"/>
    <s v="Spring"/>
    <n v="3.4"/>
    <s v="No"/>
    <s v="Yes"/>
    <n v="50"/>
    <s v="Cash"/>
    <s v="Quarterly"/>
    <m/>
  </r>
  <r>
    <n v="1618"/>
    <x v="49"/>
    <x v="0"/>
    <s v="Blouse"/>
    <s v="Clothing"/>
    <n v="64"/>
    <x v="48"/>
    <s v="M"/>
    <s v="Peach"/>
    <s v="Winter"/>
    <n v="4.3"/>
    <s v="No"/>
    <s v="Yes"/>
    <n v="50"/>
    <s v="Credit Card"/>
    <s v="Fortnightly"/>
    <m/>
  </r>
  <r>
    <n v="1619"/>
    <x v="6"/>
    <x v="0"/>
    <s v="Sandals"/>
    <s v="Footwear"/>
    <n v="72"/>
    <x v="49"/>
    <s v="L"/>
    <s v="Purple"/>
    <s v="Summer"/>
    <n v="5"/>
    <s v="No"/>
    <s v="Yes"/>
    <n v="39"/>
    <s v="Debit Card"/>
    <s v="Quarterly"/>
    <m/>
  </r>
  <r>
    <n v="1620"/>
    <x v="9"/>
    <x v="0"/>
    <s v="Handbag"/>
    <s v="Accessories"/>
    <n v="78"/>
    <x v="11"/>
    <s v="L"/>
    <s v="Beige"/>
    <s v="Winter"/>
    <n v="3.5"/>
    <s v="No"/>
    <s v="Yes"/>
    <n v="50"/>
    <s v="Venmo"/>
    <s v="Bi-Weekly"/>
    <m/>
  </r>
  <r>
    <n v="1621"/>
    <x v="15"/>
    <x v="0"/>
    <s v="Hat"/>
    <s v="Accessories"/>
    <n v="47"/>
    <x v="41"/>
    <s v="M"/>
    <s v="Charcoal"/>
    <s v="Winter"/>
    <n v="3.1"/>
    <s v="No"/>
    <s v="Yes"/>
    <n v="27"/>
    <s v="PayPal"/>
    <s v="Every 3 Months"/>
    <m/>
  </r>
  <r>
    <n v="1622"/>
    <x v="33"/>
    <x v="0"/>
    <s v="Scarf"/>
    <s v="Accessories"/>
    <n v="46"/>
    <x v="31"/>
    <s v="L"/>
    <s v="Gray"/>
    <s v="Summer"/>
    <n v="3.9"/>
    <s v="No"/>
    <s v="Yes"/>
    <n v="38"/>
    <s v="Debit Card"/>
    <s v="Fortnightly"/>
    <m/>
  </r>
  <r>
    <n v="1623"/>
    <x v="18"/>
    <x v="0"/>
    <s v="Shorts"/>
    <s v="Clothing"/>
    <n v="43"/>
    <x v="9"/>
    <s v="S"/>
    <s v="Brown"/>
    <s v="Winter"/>
    <n v="4"/>
    <s v="No"/>
    <s v="Yes"/>
    <n v="37"/>
    <s v="Bank Transfer"/>
    <s v="Every 3 Months"/>
    <m/>
  </r>
  <r>
    <n v="1624"/>
    <x v="14"/>
    <x v="0"/>
    <s v="Backpack"/>
    <s v="Accessories"/>
    <n v="58"/>
    <x v="27"/>
    <s v="M"/>
    <s v="Cyan"/>
    <s v="Summer"/>
    <n v="3.5"/>
    <s v="No"/>
    <s v="Yes"/>
    <n v="50"/>
    <s v="Debit Card"/>
    <s v="Annually"/>
    <m/>
  </r>
  <r>
    <n v="1625"/>
    <x v="21"/>
    <x v="0"/>
    <s v="Sweater"/>
    <s v="Clothing"/>
    <n v="32"/>
    <x v="20"/>
    <s v="M"/>
    <s v="White"/>
    <s v="Winter"/>
    <n v="3.6"/>
    <s v="No"/>
    <s v="Yes"/>
    <n v="40"/>
    <s v="PayPal"/>
    <s v="Every 3 Months"/>
    <m/>
  </r>
  <r>
    <n v="1626"/>
    <x v="50"/>
    <x v="0"/>
    <s v="Skirt"/>
    <s v="Clothing"/>
    <n v="45"/>
    <x v="46"/>
    <s v="L"/>
    <s v="Beige"/>
    <s v="Winter"/>
    <n v="3"/>
    <s v="No"/>
    <s v="Yes"/>
    <n v="3"/>
    <s v="PayPal"/>
    <s v="Bi-Weekly"/>
    <m/>
  </r>
  <r>
    <n v="1627"/>
    <x v="45"/>
    <x v="0"/>
    <s v="Sneakers"/>
    <s v="Footwear"/>
    <n v="35"/>
    <x v="22"/>
    <s v="L"/>
    <s v="Orange"/>
    <s v="Summer"/>
    <n v="2.6"/>
    <s v="No"/>
    <s v="Yes"/>
    <n v="45"/>
    <s v="Credit Card"/>
    <s v="Bi-Weekly"/>
    <m/>
  </r>
  <r>
    <n v="1628"/>
    <x v="28"/>
    <x v="0"/>
    <s v="Sunglasses"/>
    <s v="Accessories"/>
    <n v="21"/>
    <x v="1"/>
    <s v="M"/>
    <s v="Olive"/>
    <s v="Winter"/>
    <n v="2.9"/>
    <s v="No"/>
    <s v="Yes"/>
    <n v="8"/>
    <s v="Credit Card"/>
    <s v="Annually"/>
    <m/>
  </r>
  <r>
    <n v="1629"/>
    <x v="4"/>
    <x v="0"/>
    <s v="Dress"/>
    <s v="Clothing"/>
    <n v="64"/>
    <x v="2"/>
    <s v="S"/>
    <s v="Teal"/>
    <s v="Winter"/>
    <n v="3.1"/>
    <s v="No"/>
    <s v="Yes"/>
    <n v="7"/>
    <s v="Cash"/>
    <s v="Monthly"/>
    <m/>
  </r>
  <r>
    <n v="1630"/>
    <x v="25"/>
    <x v="0"/>
    <s v="Blouse"/>
    <s v="Clothing"/>
    <n v="88"/>
    <x v="25"/>
    <s v="S"/>
    <s v="Silver"/>
    <s v="Spring"/>
    <n v="3.3"/>
    <s v="No"/>
    <s v="Yes"/>
    <n v="13"/>
    <s v="Venmo"/>
    <s v="Quarterly"/>
    <m/>
  </r>
  <r>
    <n v="1631"/>
    <x v="6"/>
    <x v="0"/>
    <s v="Shoes"/>
    <s v="Footwear"/>
    <n v="48"/>
    <x v="32"/>
    <s v="M"/>
    <s v="Gold"/>
    <s v="Summer"/>
    <n v="2.9"/>
    <s v="No"/>
    <s v="Yes"/>
    <n v="29"/>
    <s v="Venmo"/>
    <s v="Every 3 Months"/>
    <m/>
  </r>
  <r>
    <n v="1632"/>
    <x v="13"/>
    <x v="0"/>
    <s v="Sweater"/>
    <s v="Clothing"/>
    <n v="36"/>
    <x v="27"/>
    <s v="L"/>
    <s v="Violet"/>
    <s v="Summer"/>
    <n v="3.9"/>
    <s v="No"/>
    <s v="Yes"/>
    <n v="7"/>
    <s v="Bank Transfer"/>
    <s v="Fortnightly"/>
    <m/>
  </r>
  <r>
    <n v="1633"/>
    <x v="25"/>
    <x v="0"/>
    <s v="Gloves"/>
    <s v="Accessories"/>
    <n v="28"/>
    <x v="4"/>
    <s v="S"/>
    <s v="White"/>
    <s v="Summer"/>
    <n v="4.7"/>
    <s v="No"/>
    <s v="Yes"/>
    <n v="50"/>
    <s v="Debit Card"/>
    <s v="Every 3 Months"/>
    <m/>
  </r>
  <r>
    <n v="1634"/>
    <x v="22"/>
    <x v="0"/>
    <s v="Socks"/>
    <s v="Clothing"/>
    <n v="80"/>
    <x v="25"/>
    <s v="M"/>
    <s v="Peach"/>
    <s v="Spring"/>
    <n v="4.4000000000000004"/>
    <s v="No"/>
    <s v="Yes"/>
    <n v="33"/>
    <s v="Debit Card"/>
    <s v="Bi-Weekly"/>
    <m/>
  </r>
  <r>
    <n v="1635"/>
    <x v="48"/>
    <x v="0"/>
    <s v="Coat"/>
    <s v="Outerwear"/>
    <n v="23"/>
    <x v="36"/>
    <s v="S"/>
    <s v="Orange"/>
    <s v="Summer"/>
    <n v="3.6"/>
    <s v="No"/>
    <s v="Yes"/>
    <n v="30"/>
    <s v="Cash"/>
    <s v="Every 3 Months"/>
    <m/>
  </r>
  <r>
    <n v="1636"/>
    <x v="33"/>
    <x v="0"/>
    <s v="Sunglasses"/>
    <s v="Accessories"/>
    <n v="24"/>
    <x v="17"/>
    <s v="L"/>
    <s v="Violet"/>
    <s v="Summer"/>
    <n v="3.2"/>
    <s v="No"/>
    <s v="Yes"/>
    <n v="40"/>
    <s v="Cash"/>
    <s v="Annually"/>
    <m/>
  </r>
  <r>
    <n v="1637"/>
    <x v="44"/>
    <x v="0"/>
    <s v="Boots"/>
    <s v="Footwear"/>
    <n v="22"/>
    <x v="25"/>
    <s v="L"/>
    <s v="Green"/>
    <s v="Fall"/>
    <n v="4"/>
    <s v="No"/>
    <s v="Yes"/>
    <n v="49"/>
    <s v="Cash"/>
    <s v="Fortnightly"/>
    <m/>
  </r>
  <r>
    <n v="1638"/>
    <x v="25"/>
    <x v="0"/>
    <s v="Dress"/>
    <s v="Clothing"/>
    <n v="21"/>
    <x v="2"/>
    <s v="M"/>
    <s v="Peach"/>
    <s v="Spring"/>
    <n v="3.5"/>
    <s v="No"/>
    <s v="Yes"/>
    <n v="32"/>
    <s v="Venmo"/>
    <s v="Fortnightly"/>
    <m/>
  </r>
  <r>
    <n v="1639"/>
    <x v="33"/>
    <x v="0"/>
    <s v="Jacket"/>
    <s v="Outerwear"/>
    <n v="51"/>
    <x v="30"/>
    <s v="M"/>
    <s v="Black"/>
    <s v="Spring"/>
    <n v="4.5999999999999996"/>
    <s v="No"/>
    <s v="Yes"/>
    <n v="18"/>
    <s v="Venmo"/>
    <s v="Weekly"/>
    <m/>
  </r>
  <r>
    <n v="1640"/>
    <x v="38"/>
    <x v="0"/>
    <s v="Gloves"/>
    <s v="Accessories"/>
    <n v="65"/>
    <x v="9"/>
    <s v="L"/>
    <s v="Blue"/>
    <s v="Summer"/>
    <n v="3.3"/>
    <s v="No"/>
    <s v="Yes"/>
    <n v="50"/>
    <s v="PayPal"/>
    <s v="Annually"/>
    <m/>
  </r>
  <r>
    <n v="1641"/>
    <x v="13"/>
    <x v="0"/>
    <s v="Scarf"/>
    <s v="Accessories"/>
    <n v="51"/>
    <x v="30"/>
    <s v="S"/>
    <s v="Magenta"/>
    <s v="Spring"/>
    <n v="4"/>
    <s v="No"/>
    <s v="Yes"/>
    <n v="13"/>
    <s v="PayPal"/>
    <s v="Weekly"/>
    <m/>
  </r>
  <r>
    <n v="1642"/>
    <x v="2"/>
    <x v="0"/>
    <s v="Hoodie"/>
    <s v="Clothing"/>
    <n v="32"/>
    <x v="24"/>
    <s v="L"/>
    <s v="Violet"/>
    <s v="Summer"/>
    <n v="3.4"/>
    <s v="No"/>
    <s v="Yes"/>
    <n v="1"/>
    <s v="Bank Transfer"/>
    <s v="Every 3 Months"/>
    <m/>
  </r>
  <r>
    <n v="1643"/>
    <x v="20"/>
    <x v="0"/>
    <s v="Coat"/>
    <s v="Outerwear"/>
    <n v="70"/>
    <x v="16"/>
    <s v="M"/>
    <s v="Beige"/>
    <s v="Spring"/>
    <n v="4.2"/>
    <s v="No"/>
    <s v="Yes"/>
    <n v="16"/>
    <s v="PayPal"/>
    <s v="Fortnightly"/>
    <m/>
  </r>
  <r>
    <n v="1644"/>
    <x v="21"/>
    <x v="0"/>
    <s v="Scarf"/>
    <s v="Accessories"/>
    <n v="77"/>
    <x v="31"/>
    <s v="L"/>
    <s v="Pink"/>
    <s v="Summer"/>
    <n v="3.9"/>
    <s v="No"/>
    <s v="Yes"/>
    <n v="6"/>
    <s v="PayPal"/>
    <s v="Monthly"/>
    <m/>
  </r>
  <r>
    <n v="1645"/>
    <x v="33"/>
    <x v="0"/>
    <s v="Coat"/>
    <s v="Outerwear"/>
    <n v="90"/>
    <x v="17"/>
    <s v="S"/>
    <s v="Beige"/>
    <s v="Summer"/>
    <n v="3.9"/>
    <s v="No"/>
    <s v="Yes"/>
    <n v="21"/>
    <s v="Debit Card"/>
    <s v="Monthly"/>
    <m/>
  </r>
  <r>
    <n v="1646"/>
    <x v="10"/>
    <x v="0"/>
    <s v="Scarf"/>
    <s v="Accessories"/>
    <n v="36"/>
    <x v="31"/>
    <s v="L"/>
    <s v="Green"/>
    <s v="Summer"/>
    <n v="2.8"/>
    <s v="No"/>
    <s v="Yes"/>
    <n v="36"/>
    <s v="Venmo"/>
    <s v="Every 3 Months"/>
    <m/>
  </r>
  <r>
    <n v="1647"/>
    <x v="44"/>
    <x v="0"/>
    <s v="Handbag"/>
    <s v="Accessories"/>
    <n v="77"/>
    <x v="43"/>
    <s v="S"/>
    <s v="Silver"/>
    <s v="Summer"/>
    <n v="3.7"/>
    <s v="No"/>
    <s v="Yes"/>
    <n v="20"/>
    <s v="Bank Transfer"/>
    <s v="Every 3 Months"/>
    <m/>
  </r>
  <r>
    <n v="1648"/>
    <x v="50"/>
    <x v="0"/>
    <s v="Boots"/>
    <s v="Footwear"/>
    <n v="78"/>
    <x v="11"/>
    <s v="M"/>
    <s v="Purple"/>
    <s v="Summer"/>
    <n v="4.9000000000000004"/>
    <s v="No"/>
    <s v="Yes"/>
    <n v="8"/>
    <s v="Debit Card"/>
    <s v="Quarterly"/>
    <m/>
  </r>
  <r>
    <n v="1649"/>
    <x v="24"/>
    <x v="0"/>
    <s v="Pants"/>
    <s v="Clothing"/>
    <n v="69"/>
    <x v="19"/>
    <s v="M"/>
    <s v="Gray"/>
    <s v="Summer"/>
    <n v="2.6"/>
    <s v="No"/>
    <s v="Yes"/>
    <n v="22"/>
    <s v="Credit Card"/>
    <s v="Monthly"/>
    <m/>
  </r>
  <r>
    <n v="1650"/>
    <x v="44"/>
    <x v="0"/>
    <s v="T-shirt"/>
    <s v="Clothing"/>
    <n v="63"/>
    <x v="48"/>
    <s v="M"/>
    <s v="White"/>
    <s v="Summer"/>
    <n v="4.9000000000000004"/>
    <s v="No"/>
    <s v="Yes"/>
    <n v="3"/>
    <s v="Credit Card"/>
    <s v="Quarterly"/>
    <m/>
  </r>
  <r>
    <n v="1651"/>
    <x v="52"/>
    <x v="0"/>
    <s v="Scarf"/>
    <s v="Accessories"/>
    <n v="36"/>
    <x v="10"/>
    <s v="M"/>
    <s v="Silver"/>
    <s v="Winter"/>
    <n v="3.4"/>
    <s v="No"/>
    <s v="Yes"/>
    <n v="46"/>
    <s v="Credit Card"/>
    <s v="Fortnightly"/>
    <m/>
  </r>
  <r>
    <n v="1652"/>
    <x v="35"/>
    <x v="0"/>
    <s v="Coat"/>
    <s v="Outerwear"/>
    <n v="80"/>
    <x v="21"/>
    <s v="M"/>
    <s v="Blue"/>
    <s v="Winter"/>
    <n v="3.9"/>
    <s v="No"/>
    <s v="Yes"/>
    <n v="42"/>
    <s v="Debit Card"/>
    <s v="Monthly"/>
    <m/>
  </r>
  <r>
    <n v="1653"/>
    <x v="13"/>
    <x v="0"/>
    <s v="Sweater"/>
    <s v="Clothing"/>
    <n v="35"/>
    <x v="35"/>
    <s v="M"/>
    <s v="Orange"/>
    <s v="Summer"/>
    <n v="4"/>
    <s v="No"/>
    <s v="Yes"/>
    <n v="1"/>
    <s v="Bank Transfer"/>
    <s v="Fortnightly"/>
    <m/>
  </r>
  <r>
    <n v="1654"/>
    <x v="18"/>
    <x v="0"/>
    <s v="Belt"/>
    <s v="Accessories"/>
    <n v="93"/>
    <x v="24"/>
    <s v="L"/>
    <s v="Silver"/>
    <s v="Winter"/>
    <n v="3"/>
    <s v="No"/>
    <s v="Yes"/>
    <n v="29"/>
    <s v="Debit Card"/>
    <s v="Bi-Weekly"/>
    <m/>
  </r>
  <r>
    <n v="1655"/>
    <x v="49"/>
    <x v="0"/>
    <s v="Belt"/>
    <s v="Accessories"/>
    <n v="25"/>
    <x v="27"/>
    <s v="L"/>
    <s v="Gray"/>
    <s v="Spring"/>
    <n v="2.6"/>
    <s v="No"/>
    <s v="Yes"/>
    <n v="14"/>
    <s v="Credit Card"/>
    <s v="Quarterly"/>
    <m/>
  </r>
  <r>
    <n v="1656"/>
    <x v="43"/>
    <x v="0"/>
    <s v="Sweater"/>
    <s v="Clothing"/>
    <n v="81"/>
    <x v="28"/>
    <s v="L"/>
    <s v="Gold"/>
    <s v="Spring"/>
    <n v="3.2"/>
    <s v="No"/>
    <s v="Yes"/>
    <n v="4"/>
    <s v="PayPal"/>
    <s v="Monthly"/>
    <m/>
  </r>
  <r>
    <n v="1657"/>
    <x v="3"/>
    <x v="0"/>
    <s v="Blouse"/>
    <s v="Clothing"/>
    <n v="42"/>
    <x v="27"/>
    <s v="L"/>
    <s v="Brown"/>
    <s v="Spring"/>
    <n v="2.6"/>
    <s v="No"/>
    <s v="Yes"/>
    <n v="41"/>
    <s v="PayPal"/>
    <s v="Every 3 Months"/>
    <m/>
  </r>
  <r>
    <n v="1658"/>
    <x v="28"/>
    <x v="0"/>
    <s v="Skirt"/>
    <s v="Clothing"/>
    <n v="36"/>
    <x v="27"/>
    <s v="L"/>
    <s v="Turquoise"/>
    <s v="Spring"/>
    <n v="3.2"/>
    <s v="No"/>
    <s v="Yes"/>
    <n v="4"/>
    <s v="Debit Card"/>
    <s v="Bi-Weekly"/>
    <m/>
  </r>
  <r>
    <n v="1659"/>
    <x v="45"/>
    <x v="0"/>
    <s v="Jewelry"/>
    <s v="Accessories"/>
    <n v="66"/>
    <x v="29"/>
    <s v="S"/>
    <s v="Pink"/>
    <s v="Spring"/>
    <n v="4.0999999999999996"/>
    <s v="No"/>
    <s v="Yes"/>
    <n v="47"/>
    <s v="Cash"/>
    <s v="Weekly"/>
    <m/>
  </r>
  <r>
    <n v="1660"/>
    <x v="10"/>
    <x v="0"/>
    <s v="Gloves"/>
    <s v="Accessories"/>
    <n v="37"/>
    <x v="40"/>
    <s v="M"/>
    <s v="Black"/>
    <s v="Fall"/>
    <n v="3.9"/>
    <s v="No"/>
    <s v="Yes"/>
    <n v="44"/>
    <s v="Venmo"/>
    <s v="Annually"/>
    <m/>
  </r>
  <r>
    <n v="1661"/>
    <x v="35"/>
    <x v="0"/>
    <s v="T-shirt"/>
    <s v="Clothing"/>
    <n v="45"/>
    <x v="7"/>
    <s v="L"/>
    <s v="Yellow"/>
    <s v="Winter"/>
    <n v="4.0999999999999996"/>
    <s v="No"/>
    <s v="Yes"/>
    <n v="37"/>
    <s v="Venmo"/>
    <s v="Monthly"/>
    <m/>
  </r>
  <r>
    <n v="1662"/>
    <x v="14"/>
    <x v="0"/>
    <s v="Gloves"/>
    <s v="Accessories"/>
    <n v="86"/>
    <x v="44"/>
    <s v="S"/>
    <s v="Beige"/>
    <s v="Summer"/>
    <n v="2.7"/>
    <s v="No"/>
    <s v="Yes"/>
    <n v="21"/>
    <s v="Debit Card"/>
    <s v="Quarterly"/>
    <m/>
  </r>
  <r>
    <n v="1663"/>
    <x v="6"/>
    <x v="0"/>
    <s v="Sunglasses"/>
    <s v="Accessories"/>
    <n v="24"/>
    <x v="35"/>
    <s v="M"/>
    <s v="Olive"/>
    <s v="Winter"/>
    <n v="4.5999999999999996"/>
    <s v="No"/>
    <s v="Yes"/>
    <n v="46"/>
    <s v="Debit Card"/>
    <s v="Fortnightly"/>
    <m/>
  </r>
  <r>
    <n v="1664"/>
    <x v="49"/>
    <x v="0"/>
    <s v="Shirt"/>
    <s v="Clothing"/>
    <n v="22"/>
    <x v="1"/>
    <s v="XL"/>
    <s v="Gold"/>
    <s v="Summer"/>
    <n v="3.5"/>
    <s v="No"/>
    <s v="Yes"/>
    <n v="1"/>
    <s v="Cash"/>
    <s v="Bi-Weekly"/>
    <m/>
  </r>
  <r>
    <n v="1665"/>
    <x v="1"/>
    <x v="0"/>
    <s v="Handbag"/>
    <s v="Accessories"/>
    <n v="53"/>
    <x v="46"/>
    <s v="M"/>
    <s v="Purple"/>
    <s v="Spring"/>
    <n v="5"/>
    <s v="No"/>
    <s v="Yes"/>
    <n v="35"/>
    <s v="PayPal"/>
    <s v="Weekly"/>
    <m/>
  </r>
  <r>
    <n v="1666"/>
    <x v="37"/>
    <x v="0"/>
    <s v="Jacket"/>
    <s v="Outerwear"/>
    <n v="41"/>
    <x v="35"/>
    <s v="L"/>
    <s v="Pink"/>
    <s v="Fall"/>
    <n v="3.4"/>
    <s v="No"/>
    <s v="Yes"/>
    <n v="49"/>
    <s v="Venmo"/>
    <s v="Monthly"/>
    <m/>
  </r>
  <r>
    <n v="1667"/>
    <x v="47"/>
    <x v="0"/>
    <s v="Skirt"/>
    <s v="Clothing"/>
    <n v="64"/>
    <x v="10"/>
    <s v="M"/>
    <s v="Blue"/>
    <s v="Summer"/>
    <n v="3.1"/>
    <s v="No"/>
    <s v="Yes"/>
    <n v="47"/>
    <s v="PayPal"/>
    <s v="Annually"/>
    <m/>
  </r>
  <r>
    <n v="1668"/>
    <x v="47"/>
    <x v="0"/>
    <s v="Handbag"/>
    <s v="Accessories"/>
    <n v="40"/>
    <x v="19"/>
    <s v="L"/>
    <s v="Brown"/>
    <s v="Winter"/>
    <n v="3.4"/>
    <s v="No"/>
    <s v="Yes"/>
    <n v="24"/>
    <s v="Bank Transfer"/>
    <s v="Every 3 Months"/>
    <m/>
  </r>
  <r>
    <n v="1669"/>
    <x v="17"/>
    <x v="0"/>
    <s v="Blouse"/>
    <s v="Clothing"/>
    <n v="33"/>
    <x v="40"/>
    <s v="L"/>
    <s v="Charcoal"/>
    <s v="Summer"/>
    <n v="4"/>
    <s v="No"/>
    <s v="Yes"/>
    <n v="28"/>
    <s v="Debit Card"/>
    <s v="Fortnightly"/>
    <m/>
  </r>
  <r>
    <n v="1670"/>
    <x v="32"/>
    <x v="0"/>
    <s v="T-shirt"/>
    <s v="Clothing"/>
    <n v="59"/>
    <x v="48"/>
    <s v="L"/>
    <s v="Maroon"/>
    <s v="Winter"/>
    <n v="2.7"/>
    <s v="No"/>
    <s v="Yes"/>
    <n v="22"/>
    <s v="Bank Transfer"/>
    <s v="Quarterly"/>
    <m/>
  </r>
  <r>
    <n v="1671"/>
    <x v="40"/>
    <x v="0"/>
    <s v="Pants"/>
    <s v="Clothing"/>
    <n v="73"/>
    <x v="40"/>
    <s v="L"/>
    <s v="Cyan"/>
    <s v="Fall"/>
    <n v="3.6"/>
    <s v="No"/>
    <s v="Yes"/>
    <n v="20"/>
    <s v="Cash"/>
    <s v="Weekly"/>
    <m/>
  </r>
  <r>
    <n v="1672"/>
    <x v="18"/>
    <x v="0"/>
    <s v="Hoodie"/>
    <s v="Clothing"/>
    <n v="22"/>
    <x v="40"/>
    <s v="M"/>
    <s v="Olive"/>
    <s v="Winter"/>
    <n v="4"/>
    <s v="No"/>
    <s v="Yes"/>
    <n v="25"/>
    <s v="Bank Transfer"/>
    <s v="Weekly"/>
    <m/>
  </r>
  <r>
    <n v="1673"/>
    <x v="20"/>
    <x v="0"/>
    <s v="Boots"/>
    <s v="Footwear"/>
    <n v="73"/>
    <x v="36"/>
    <s v="L"/>
    <s v="Gold"/>
    <s v="Fall"/>
    <n v="3.8"/>
    <s v="No"/>
    <s v="Yes"/>
    <n v="15"/>
    <s v="Venmo"/>
    <s v="Quarterly"/>
    <m/>
  </r>
  <r>
    <n v="1674"/>
    <x v="3"/>
    <x v="0"/>
    <s v="Blouse"/>
    <s v="Clothing"/>
    <n v="62"/>
    <x v="11"/>
    <s v="M"/>
    <s v="Violet"/>
    <s v="Fall"/>
    <n v="3.4"/>
    <s v="No"/>
    <s v="Yes"/>
    <n v="49"/>
    <s v="Venmo"/>
    <s v="Bi-Weekly"/>
    <m/>
  </r>
  <r>
    <n v="1675"/>
    <x v="25"/>
    <x v="0"/>
    <s v="Coat"/>
    <s v="Outerwear"/>
    <n v="56"/>
    <x v="29"/>
    <s v="M"/>
    <s v="Peach"/>
    <s v="Winter"/>
    <n v="3.2"/>
    <s v="No"/>
    <s v="Yes"/>
    <n v="10"/>
    <s v="Debit Card"/>
    <s v="Fortnightly"/>
    <m/>
  </r>
  <r>
    <n v="1676"/>
    <x v="25"/>
    <x v="0"/>
    <s v="Pants"/>
    <s v="Clothing"/>
    <n v="90"/>
    <x v="24"/>
    <s v="M"/>
    <s v="Beige"/>
    <s v="Spring"/>
    <n v="4.7"/>
    <s v="No"/>
    <s v="Yes"/>
    <n v="21"/>
    <s v="Credit Card"/>
    <s v="Annually"/>
    <m/>
  </r>
  <r>
    <n v="1677"/>
    <x v="7"/>
    <x v="0"/>
    <s v="Sunglasses"/>
    <s v="Accessories"/>
    <n v="44"/>
    <x v="8"/>
    <s v="M"/>
    <s v="Cyan"/>
    <s v="Winter"/>
    <n v="3.1"/>
    <s v="No"/>
    <s v="Yes"/>
    <n v="34"/>
    <s v="Bank Transfer"/>
    <s v="Weekly"/>
    <m/>
  </r>
  <r>
    <n v="1678"/>
    <x v="13"/>
    <x v="0"/>
    <s v="Jeans"/>
    <s v="Clothing"/>
    <n v="35"/>
    <x v="4"/>
    <s v="L"/>
    <s v="Silver"/>
    <s v="Summer"/>
    <n v="3.3"/>
    <s v="No"/>
    <s v="No"/>
    <n v="41"/>
    <s v="Debit Card"/>
    <s v="Weekly"/>
    <m/>
  </r>
  <r>
    <n v="1679"/>
    <x v="38"/>
    <x v="0"/>
    <s v="Pants"/>
    <s v="Clothing"/>
    <n v="71"/>
    <x v="31"/>
    <s v="S"/>
    <s v="Magenta"/>
    <s v="Summer"/>
    <n v="4.8"/>
    <s v="No"/>
    <s v="No"/>
    <n v="30"/>
    <s v="Venmo"/>
    <s v="Fortnightly"/>
    <m/>
  </r>
  <r>
    <n v="1680"/>
    <x v="52"/>
    <x v="0"/>
    <s v="Dress"/>
    <s v="Clothing"/>
    <n v="52"/>
    <x v="2"/>
    <s v="S"/>
    <s v="Black"/>
    <s v="Fall"/>
    <n v="4.5"/>
    <s v="No"/>
    <s v="No"/>
    <n v="24"/>
    <s v="Debit Card"/>
    <s v="Bi-Weekly"/>
    <m/>
  </r>
  <r>
    <n v="1681"/>
    <x v="12"/>
    <x v="0"/>
    <s v="Shoes"/>
    <s v="Footwear"/>
    <n v="37"/>
    <x v="7"/>
    <s v="M"/>
    <s v="Olive"/>
    <s v="Summer"/>
    <n v="3.4"/>
    <s v="No"/>
    <s v="No"/>
    <n v="6"/>
    <s v="Credit Card"/>
    <s v="Annually"/>
    <m/>
  </r>
  <r>
    <n v="1682"/>
    <x v="41"/>
    <x v="0"/>
    <s v="Sneakers"/>
    <s v="Footwear"/>
    <n v="95"/>
    <x v="41"/>
    <s v="L"/>
    <s v="Green"/>
    <s v="Winter"/>
    <n v="3.7"/>
    <s v="No"/>
    <s v="No"/>
    <n v="14"/>
    <s v="Credit Card"/>
    <s v="Bi-Weekly"/>
    <m/>
  </r>
  <r>
    <n v="1683"/>
    <x v="13"/>
    <x v="0"/>
    <s v="Socks"/>
    <s v="Clothing"/>
    <n v="97"/>
    <x v="14"/>
    <s v="M"/>
    <s v="Yellow"/>
    <s v="Fall"/>
    <n v="4.9000000000000004"/>
    <s v="No"/>
    <s v="No"/>
    <n v="37"/>
    <s v="Credit Card"/>
    <s v="Bi-Weekly"/>
    <m/>
  </r>
  <r>
    <n v="1684"/>
    <x v="51"/>
    <x v="0"/>
    <s v="Coat"/>
    <s v="Outerwear"/>
    <n v="57"/>
    <x v="10"/>
    <s v="S"/>
    <s v="Lavender"/>
    <s v="Spring"/>
    <n v="3.5"/>
    <s v="No"/>
    <s v="No"/>
    <n v="37"/>
    <s v="Venmo"/>
    <s v="Quarterly"/>
    <m/>
  </r>
  <r>
    <n v="1685"/>
    <x v="11"/>
    <x v="0"/>
    <s v="Shirt"/>
    <s v="Clothing"/>
    <n v="93"/>
    <x v="35"/>
    <s v="M"/>
    <s v="Indigo"/>
    <s v="Spring"/>
    <n v="4.5999999999999996"/>
    <s v="No"/>
    <s v="No"/>
    <n v="28"/>
    <s v="PayPal"/>
    <s v="Weekly"/>
    <m/>
  </r>
  <r>
    <n v="1686"/>
    <x v="23"/>
    <x v="0"/>
    <s v="Blouse"/>
    <s v="Clothing"/>
    <n v="48"/>
    <x v="46"/>
    <s v="M"/>
    <s v="Pink"/>
    <s v="Winter"/>
    <n v="4.5999999999999996"/>
    <s v="No"/>
    <s v="No"/>
    <n v="43"/>
    <s v="PayPal"/>
    <s v="Bi-Weekly"/>
    <m/>
  </r>
  <r>
    <n v="1687"/>
    <x v="40"/>
    <x v="0"/>
    <s v="Gloves"/>
    <s v="Accessories"/>
    <n v="75"/>
    <x v="26"/>
    <s v="L"/>
    <s v="Red"/>
    <s v="Fall"/>
    <n v="4.2"/>
    <s v="No"/>
    <s v="No"/>
    <n v="25"/>
    <s v="Cash"/>
    <s v="Annually"/>
    <m/>
  </r>
  <r>
    <n v="1688"/>
    <x v="29"/>
    <x v="0"/>
    <s v="Skirt"/>
    <s v="Clothing"/>
    <n v="70"/>
    <x v="42"/>
    <s v="S"/>
    <s v="Magenta"/>
    <s v="Winter"/>
    <n v="3.7"/>
    <s v="No"/>
    <s v="No"/>
    <n v="4"/>
    <s v="PayPal"/>
    <s v="Annually"/>
    <m/>
  </r>
  <r>
    <n v="1689"/>
    <x v="48"/>
    <x v="0"/>
    <s v="Handbag"/>
    <s v="Accessories"/>
    <n v="26"/>
    <x v="16"/>
    <s v="S"/>
    <s v="Peach"/>
    <s v="Winter"/>
    <n v="3"/>
    <s v="No"/>
    <s v="No"/>
    <n v="13"/>
    <s v="Venmo"/>
    <s v="Fortnightly"/>
    <m/>
  </r>
  <r>
    <n v="1690"/>
    <x v="45"/>
    <x v="0"/>
    <s v="Shirt"/>
    <s v="Clothing"/>
    <n v="73"/>
    <x v="17"/>
    <s v="L"/>
    <s v="Turquoise"/>
    <s v="Winter"/>
    <n v="4.5999999999999996"/>
    <s v="No"/>
    <s v="No"/>
    <n v="32"/>
    <s v="Bank Transfer"/>
    <s v="Monthly"/>
    <m/>
  </r>
  <r>
    <n v="1691"/>
    <x v="37"/>
    <x v="0"/>
    <s v="Coat"/>
    <s v="Outerwear"/>
    <n v="30"/>
    <x v="22"/>
    <s v="M"/>
    <s v="Black"/>
    <s v="Summer"/>
    <n v="3.2"/>
    <s v="No"/>
    <s v="No"/>
    <n v="1"/>
    <s v="Cash"/>
    <s v="Annually"/>
    <m/>
  </r>
  <r>
    <n v="1692"/>
    <x v="14"/>
    <x v="0"/>
    <s v="Shoes"/>
    <s v="Footwear"/>
    <n v="61"/>
    <x v="39"/>
    <s v="L"/>
    <s v="Blue"/>
    <s v="Summer"/>
    <n v="3.5"/>
    <s v="No"/>
    <s v="No"/>
    <n v="4"/>
    <s v="Cash"/>
    <s v="Annually"/>
    <m/>
  </r>
  <r>
    <n v="1693"/>
    <x v="19"/>
    <x v="0"/>
    <s v="Handbag"/>
    <s v="Accessories"/>
    <n v="75"/>
    <x v="40"/>
    <s v="M"/>
    <s v="Beige"/>
    <s v="Winter"/>
    <n v="2.6"/>
    <s v="No"/>
    <s v="No"/>
    <n v="33"/>
    <s v="Cash"/>
    <s v="Bi-Weekly"/>
    <m/>
  </r>
  <r>
    <n v="1694"/>
    <x v="6"/>
    <x v="0"/>
    <s v="Jacket"/>
    <s v="Outerwear"/>
    <n v="88"/>
    <x v="30"/>
    <s v="XL"/>
    <s v="Olive"/>
    <s v="Fall"/>
    <n v="4.9000000000000004"/>
    <s v="No"/>
    <s v="No"/>
    <n v="45"/>
    <s v="Bank Transfer"/>
    <s v="Fortnightly"/>
    <m/>
  </r>
  <r>
    <n v="1695"/>
    <x v="30"/>
    <x v="0"/>
    <s v="Shirt"/>
    <s v="Clothing"/>
    <n v="67"/>
    <x v="16"/>
    <s v="M"/>
    <s v="Turquoise"/>
    <s v="Summer"/>
    <n v="2.7"/>
    <s v="No"/>
    <s v="No"/>
    <n v="20"/>
    <s v="Debit Card"/>
    <s v="Fortnightly"/>
    <m/>
  </r>
  <r>
    <n v="1696"/>
    <x v="22"/>
    <x v="0"/>
    <s v="Hat"/>
    <s v="Accessories"/>
    <n v="95"/>
    <x v="43"/>
    <s v="S"/>
    <s v="Yellow"/>
    <s v="Fall"/>
    <n v="4.7"/>
    <s v="No"/>
    <s v="No"/>
    <n v="1"/>
    <s v="PayPal"/>
    <s v="Fortnightly"/>
    <m/>
  </r>
  <r>
    <n v="1697"/>
    <x v="18"/>
    <x v="0"/>
    <s v="Sunglasses"/>
    <s v="Accessories"/>
    <n v="69"/>
    <x v="8"/>
    <s v="S"/>
    <s v="Turquoise"/>
    <s v="Spring"/>
    <n v="4"/>
    <s v="No"/>
    <s v="No"/>
    <n v="7"/>
    <s v="Credit Card"/>
    <s v="Bi-Weekly"/>
    <m/>
  </r>
  <r>
    <n v="1698"/>
    <x v="24"/>
    <x v="0"/>
    <s v="Shirt"/>
    <s v="Clothing"/>
    <n v="87"/>
    <x v="36"/>
    <s v="L"/>
    <s v="Lavender"/>
    <s v="Fall"/>
    <n v="3.5"/>
    <s v="No"/>
    <s v="No"/>
    <n v="48"/>
    <s v="Credit Card"/>
    <s v="Every 3 Months"/>
    <m/>
  </r>
  <r>
    <n v="1699"/>
    <x v="15"/>
    <x v="0"/>
    <s v="Belt"/>
    <s v="Accessories"/>
    <n v="41"/>
    <x v="44"/>
    <s v="XL"/>
    <s v="Turquoise"/>
    <s v="Winter"/>
    <n v="4.8"/>
    <s v="No"/>
    <s v="No"/>
    <n v="46"/>
    <s v="Bank Transfer"/>
    <s v="Quarterly"/>
    <m/>
  </r>
  <r>
    <n v="1700"/>
    <x v="30"/>
    <x v="0"/>
    <s v="Sweater"/>
    <s v="Clothing"/>
    <n v="67"/>
    <x v="25"/>
    <s v="L"/>
    <s v="Teal"/>
    <s v="Spring"/>
    <n v="4"/>
    <s v="No"/>
    <s v="No"/>
    <n v="34"/>
    <s v="Debit Card"/>
    <s v="Annually"/>
    <m/>
  </r>
  <r>
    <n v="1701"/>
    <x v="46"/>
    <x v="0"/>
    <s v="Hoodie"/>
    <s v="Clothing"/>
    <n v="70"/>
    <x v="8"/>
    <s v="L"/>
    <s v="Black"/>
    <s v="Fall"/>
    <n v="4.0999999999999996"/>
    <s v="No"/>
    <s v="No"/>
    <n v="36"/>
    <s v="Bank Transfer"/>
    <s v="Monthly"/>
    <m/>
  </r>
  <r>
    <n v="1702"/>
    <x v="28"/>
    <x v="0"/>
    <s v="Handbag"/>
    <s v="Accessories"/>
    <n v="41"/>
    <x v="16"/>
    <s v="XL"/>
    <s v="Blue"/>
    <s v="Winter"/>
    <n v="3.8"/>
    <s v="No"/>
    <s v="No"/>
    <n v="44"/>
    <s v="Debit Card"/>
    <s v="Every 3 Months"/>
    <m/>
  </r>
  <r>
    <n v="1703"/>
    <x v="22"/>
    <x v="0"/>
    <s v="Jeans"/>
    <s v="Clothing"/>
    <n v="83"/>
    <x v="15"/>
    <s v="XL"/>
    <s v="Yellow"/>
    <s v="Summer"/>
    <n v="5"/>
    <s v="No"/>
    <s v="No"/>
    <n v="48"/>
    <s v="Bank Transfer"/>
    <s v="Weekly"/>
    <m/>
  </r>
  <r>
    <n v="1704"/>
    <x v="31"/>
    <x v="0"/>
    <s v="Backpack"/>
    <s v="Accessories"/>
    <n v="22"/>
    <x v="18"/>
    <s v="M"/>
    <s v="Black"/>
    <s v="Spring"/>
    <n v="4"/>
    <s v="No"/>
    <s v="No"/>
    <n v="12"/>
    <s v="Bank Transfer"/>
    <s v="Annually"/>
    <m/>
  </r>
  <r>
    <n v="1705"/>
    <x v="19"/>
    <x v="0"/>
    <s v="Sneakers"/>
    <s v="Footwear"/>
    <n v="20"/>
    <x v="37"/>
    <s v="M"/>
    <s v="Lavender"/>
    <s v="Summer"/>
    <n v="3.9"/>
    <s v="No"/>
    <s v="No"/>
    <n v="19"/>
    <s v="Cash"/>
    <s v="Every 3 Months"/>
    <m/>
  </r>
  <r>
    <n v="1706"/>
    <x v="31"/>
    <x v="0"/>
    <s v="Jewelry"/>
    <s v="Accessories"/>
    <n v="29"/>
    <x v="45"/>
    <s v="L"/>
    <s v="Cyan"/>
    <s v="Summer"/>
    <n v="3.4"/>
    <s v="No"/>
    <s v="No"/>
    <n v="49"/>
    <s v="Venmo"/>
    <s v="Bi-Weekly"/>
    <m/>
  </r>
  <r>
    <n v="1707"/>
    <x v="43"/>
    <x v="0"/>
    <s v="Sunglasses"/>
    <s v="Accessories"/>
    <n v="87"/>
    <x v="25"/>
    <s v="M"/>
    <s v="Brown"/>
    <s v="Spring"/>
    <n v="3"/>
    <s v="No"/>
    <s v="No"/>
    <n v="25"/>
    <s v="Venmo"/>
    <s v="Fortnightly"/>
    <m/>
  </r>
  <r>
    <n v="1708"/>
    <x v="15"/>
    <x v="0"/>
    <s v="Shorts"/>
    <s v="Clothing"/>
    <n v="81"/>
    <x v="22"/>
    <s v="L"/>
    <s v="Maroon"/>
    <s v="Fall"/>
    <n v="4.9000000000000004"/>
    <s v="No"/>
    <s v="No"/>
    <n v="25"/>
    <s v="Cash"/>
    <s v="Bi-Weekly"/>
    <m/>
  </r>
  <r>
    <n v="1709"/>
    <x v="25"/>
    <x v="0"/>
    <s v="Boots"/>
    <s v="Footwear"/>
    <n v="58"/>
    <x v="20"/>
    <s v="L"/>
    <s v="Cyan"/>
    <s v="Spring"/>
    <n v="3.2"/>
    <s v="No"/>
    <s v="No"/>
    <n v="1"/>
    <s v="Credit Card"/>
    <s v="Quarterly"/>
    <m/>
  </r>
  <r>
    <n v="1710"/>
    <x v="4"/>
    <x v="0"/>
    <s v="Skirt"/>
    <s v="Clothing"/>
    <n v="83"/>
    <x v="27"/>
    <s v="M"/>
    <s v="Pink"/>
    <s v="Winter"/>
    <n v="3.8"/>
    <s v="No"/>
    <s v="No"/>
    <n v="19"/>
    <s v="Bank Transfer"/>
    <s v="Annually"/>
    <m/>
  </r>
  <r>
    <n v="1711"/>
    <x v="1"/>
    <x v="0"/>
    <s v="Pants"/>
    <s v="Clothing"/>
    <n v="59"/>
    <x v="10"/>
    <s v="XL"/>
    <s v="Orange"/>
    <s v="Fall"/>
    <n v="3.8"/>
    <s v="No"/>
    <s v="No"/>
    <n v="7"/>
    <s v="Credit Card"/>
    <s v="Quarterly"/>
    <m/>
  </r>
  <r>
    <n v="1712"/>
    <x v="3"/>
    <x v="0"/>
    <s v="T-shirt"/>
    <s v="Clothing"/>
    <n v="93"/>
    <x v="17"/>
    <s v="M"/>
    <s v="Lavender"/>
    <s v="Spring"/>
    <n v="4.7"/>
    <s v="No"/>
    <s v="No"/>
    <n v="19"/>
    <s v="Credit Card"/>
    <s v="Monthly"/>
    <m/>
  </r>
  <r>
    <n v="1713"/>
    <x v="13"/>
    <x v="0"/>
    <s v="T-shirt"/>
    <s v="Clothing"/>
    <n v="87"/>
    <x v="26"/>
    <s v="S"/>
    <s v="Beige"/>
    <s v="Fall"/>
    <n v="3.8"/>
    <s v="No"/>
    <s v="No"/>
    <n v="9"/>
    <s v="Cash"/>
    <s v="Fortnightly"/>
    <m/>
  </r>
  <r>
    <n v="1714"/>
    <x v="34"/>
    <x v="0"/>
    <s v="Jacket"/>
    <s v="Outerwear"/>
    <n v="22"/>
    <x v="9"/>
    <s v="M"/>
    <s v="Pink"/>
    <s v="Winter"/>
    <n v="4.5999999999999996"/>
    <s v="No"/>
    <s v="No"/>
    <n v="37"/>
    <s v="PayPal"/>
    <s v="Quarterly"/>
    <m/>
  </r>
  <r>
    <n v="1715"/>
    <x v="11"/>
    <x v="0"/>
    <s v="Jeans"/>
    <s v="Clothing"/>
    <n v="71"/>
    <x v="45"/>
    <s v="S"/>
    <s v="Charcoal"/>
    <s v="Summer"/>
    <n v="4.4000000000000004"/>
    <s v="No"/>
    <s v="No"/>
    <n v="15"/>
    <s v="Cash"/>
    <s v="Monthly"/>
    <m/>
  </r>
  <r>
    <n v="1716"/>
    <x v="51"/>
    <x v="0"/>
    <s v="Dress"/>
    <s v="Clothing"/>
    <n v="69"/>
    <x v="37"/>
    <s v="XL"/>
    <s v="Gray"/>
    <s v="Spring"/>
    <n v="3.4"/>
    <s v="No"/>
    <s v="No"/>
    <n v="30"/>
    <s v="PayPal"/>
    <s v="Bi-Weekly"/>
    <m/>
  </r>
  <r>
    <n v="1717"/>
    <x v="28"/>
    <x v="0"/>
    <s v="Blouse"/>
    <s v="Clothing"/>
    <n v="47"/>
    <x v="39"/>
    <s v="M"/>
    <s v="Cyan"/>
    <s v="Winter"/>
    <n v="4.7"/>
    <s v="No"/>
    <s v="No"/>
    <n v="30"/>
    <s v="Cash"/>
    <s v="Every 3 Months"/>
    <m/>
  </r>
  <r>
    <n v="1718"/>
    <x v="26"/>
    <x v="0"/>
    <s v="Hoodie"/>
    <s v="Clothing"/>
    <n v="50"/>
    <x v="11"/>
    <s v="L"/>
    <s v="Orange"/>
    <s v="Summer"/>
    <n v="2.9"/>
    <s v="No"/>
    <s v="No"/>
    <n v="16"/>
    <s v="Debit Card"/>
    <s v="Bi-Weekly"/>
    <m/>
  </r>
  <r>
    <n v="1719"/>
    <x v="22"/>
    <x v="0"/>
    <s v="T-shirt"/>
    <s v="Clothing"/>
    <n v="96"/>
    <x v="33"/>
    <s v="L"/>
    <s v="Pink"/>
    <s v="Winter"/>
    <n v="3.4"/>
    <s v="No"/>
    <s v="No"/>
    <n v="14"/>
    <s v="PayPal"/>
    <s v="Every 3 Months"/>
    <m/>
  </r>
  <r>
    <n v="1720"/>
    <x v="4"/>
    <x v="0"/>
    <s v="Sweater"/>
    <s v="Clothing"/>
    <n v="39"/>
    <x v="33"/>
    <s v="M"/>
    <s v="White"/>
    <s v="Winter"/>
    <n v="3.2"/>
    <s v="No"/>
    <s v="No"/>
    <n v="8"/>
    <s v="Venmo"/>
    <s v="Quarterly"/>
    <m/>
  </r>
  <r>
    <n v="1721"/>
    <x v="15"/>
    <x v="0"/>
    <s v="Shorts"/>
    <s v="Clothing"/>
    <n v="84"/>
    <x v="2"/>
    <s v="S"/>
    <s v="Beige"/>
    <s v="Winter"/>
    <n v="2.8"/>
    <s v="No"/>
    <s v="No"/>
    <n v="40"/>
    <s v="Debit Card"/>
    <s v="Bi-Weekly"/>
    <m/>
  </r>
  <r>
    <n v="1722"/>
    <x v="50"/>
    <x v="0"/>
    <s v="Jewelry"/>
    <s v="Accessories"/>
    <n v="28"/>
    <x v="12"/>
    <s v="S"/>
    <s v="Magenta"/>
    <s v="Spring"/>
    <n v="4.3"/>
    <s v="No"/>
    <s v="No"/>
    <n v="24"/>
    <s v="Credit Card"/>
    <s v="Monthly"/>
    <m/>
  </r>
  <r>
    <n v="1723"/>
    <x v="5"/>
    <x v="0"/>
    <s v="T-shirt"/>
    <s v="Clothing"/>
    <n v="51"/>
    <x v="2"/>
    <s v="L"/>
    <s v="Violet"/>
    <s v="Summer"/>
    <n v="3.3"/>
    <s v="No"/>
    <s v="No"/>
    <n v="14"/>
    <s v="Cash"/>
    <s v="Fortnightly"/>
    <m/>
  </r>
  <r>
    <n v="1724"/>
    <x v="27"/>
    <x v="0"/>
    <s v="Scarf"/>
    <s v="Accessories"/>
    <n v="20"/>
    <x v="14"/>
    <s v="XL"/>
    <s v="Gold"/>
    <s v="Spring"/>
    <n v="3.3"/>
    <s v="No"/>
    <s v="No"/>
    <n v="39"/>
    <s v="PayPal"/>
    <s v="Annually"/>
    <m/>
  </r>
  <r>
    <n v="1725"/>
    <x v="32"/>
    <x v="0"/>
    <s v="Shoes"/>
    <s v="Footwear"/>
    <n v="72"/>
    <x v="12"/>
    <s v="S"/>
    <s v="Teal"/>
    <s v="Winter"/>
    <n v="3.3"/>
    <s v="No"/>
    <s v="No"/>
    <n v="21"/>
    <s v="PayPal"/>
    <s v="Weekly"/>
    <m/>
  </r>
  <r>
    <n v="1726"/>
    <x v="4"/>
    <x v="0"/>
    <s v="Sunglasses"/>
    <s v="Accessories"/>
    <n v="33"/>
    <x v="2"/>
    <s v="M"/>
    <s v="Indigo"/>
    <s v="Spring"/>
    <n v="3"/>
    <s v="No"/>
    <s v="No"/>
    <n v="32"/>
    <s v="Venmo"/>
    <s v="Quarterly"/>
    <m/>
  </r>
  <r>
    <n v="1727"/>
    <x v="9"/>
    <x v="0"/>
    <s v="Coat"/>
    <s v="Outerwear"/>
    <n v="28"/>
    <x v="27"/>
    <s v="S"/>
    <s v="Olive"/>
    <s v="Summer"/>
    <n v="2.8"/>
    <s v="No"/>
    <s v="No"/>
    <n v="45"/>
    <s v="Debit Card"/>
    <s v="Weekly"/>
    <m/>
  </r>
  <r>
    <n v="1728"/>
    <x v="34"/>
    <x v="0"/>
    <s v="Blouse"/>
    <s v="Clothing"/>
    <n v="53"/>
    <x v="41"/>
    <s v="S"/>
    <s v="Violet"/>
    <s v="Spring"/>
    <n v="4"/>
    <s v="No"/>
    <s v="No"/>
    <n v="19"/>
    <s v="PayPal"/>
    <s v="Monthly"/>
    <m/>
  </r>
  <r>
    <n v="1729"/>
    <x v="51"/>
    <x v="0"/>
    <s v="Jeans"/>
    <s v="Clothing"/>
    <n v="48"/>
    <x v="5"/>
    <s v="L"/>
    <s v="Black"/>
    <s v="Fall"/>
    <n v="4.3"/>
    <s v="No"/>
    <s v="No"/>
    <n v="1"/>
    <s v="Debit Card"/>
    <s v="Every 3 Months"/>
    <m/>
  </r>
  <r>
    <n v="1730"/>
    <x v="36"/>
    <x v="0"/>
    <s v="Shorts"/>
    <s v="Clothing"/>
    <n v="21"/>
    <x v="26"/>
    <s v="M"/>
    <s v="Brown"/>
    <s v="Winter"/>
    <n v="3.8"/>
    <s v="No"/>
    <s v="No"/>
    <n v="12"/>
    <s v="Venmo"/>
    <s v="Fortnightly"/>
    <m/>
  </r>
  <r>
    <n v="1731"/>
    <x v="51"/>
    <x v="0"/>
    <s v="Shirt"/>
    <s v="Clothing"/>
    <n v="22"/>
    <x v="15"/>
    <s v="S"/>
    <s v="Silver"/>
    <s v="Fall"/>
    <n v="4.2"/>
    <s v="No"/>
    <s v="No"/>
    <n v="26"/>
    <s v="Credit Card"/>
    <s v="Weekly"/>
    <m/>
  </r>
  <r>
    <n v="1732"/>
    <x v="3"/>
    <x v="0"/>
    <s v="Backpack"/>
    <s v="Accessories"/>
    <n v="87"/>
    <x v="37"/>
    <s v="M"/>
    <s v="Gray"/>
    <s v="Fall"/>
    <n v="3.1"/>
    <s v="No"/>
    <s v="No"/>
    <n v="12"/>
    <s v="Cash"/>
    <s v="Monthly"/>
    <m/>
  </r>
  <r>
    <n v="1733"/>
    <x v="4"/>
    <x v="0"/>
    <s v="Belt"/>
    <s v="Accessories"/>
    <n v="50"/>
    <x v="3"/>
    <s v="S"/>
    <s v="Charcoal"/>
    <s v="Winter"/>
    <n v="2.6"/>
    <s v="No"/>
    <s v="No"/>
    <n v="36"/>
    <s v="Cash"/>
    <s v="Every 3 Months"/>
    <m/>
  </r>
  <r>
    <n v="1734"/>
    <x v="29"/>
    <x v="0"/>
    <s v="Blouse"/>
    <s v="Clothing"/>
    <n v="85"/>
    <x v="14"/>
    <s v="L"/>
    <s v="Black"/>
    <s v="Summer"/>
    <n v="3.4"/>
    <s v="No"/>
    <s v="No"/>
    <n v="22"/>
    <s v="Credit Card"/>
    <s v="Annually"/>
    <m/>
  </r>
  <r>
    <n v="1735"/>
    <x v="18"/>
    <x v="0"/>
    <s v="Jeans"/>
    <s v="Clothing"/>
    <n v="98"/>
    <x v="9"/>
    <s v="L"/>
    <s v="Brown"/>
    <s v="Spring"/>
    <n v="3.1"/>
    <s v="No"/>
    <s v="No"/>
    <n v="16"/>
    <s v="PayPal"/>
    <s v="Quarterly"/>
    <m/>
  </r>
  <r>
    <n v="1736"/>
    <x v="44"/>
    <x v="0"/>
    <s v="Dress"/>
    <s v="Clothing"/>
    <n v="34"/>
    <x v="21"/>
    <s v="M"/>
    <s v="Purple"/>
    <s v="Winter"/>
    <n v="3.6"/>
    <s v="No"/>
    <s v="No"/>
    <n v="31"/>
    <s v="Venmo"/>
    <s v="Annually"/>
    <m/>
  </r>
  <r>
    <n v="1737"/>
    <x v="9"/>
    <x v="0"/>
    <s v="Shorts"/>
    <s v="Clothing"/>
    <n v="61"/>
    <x v="30"/>
    <s v="M"/>
    <s v="Purple"/>
    <s v="Summer"/>
    <n v="2.6"/>
    <s v="No"/>
    <s v="No"/>
    <n v="43"/>
    <s v="Cash"/>
    <s v="Quarterly"/>
    <m/>
  </r>
  <r>
    <n v="1738"/>
    <x v="32"/>
    <x v="0"/>
    <s v="Jewelry"/>
    <s v="Accessories"/>
    <n v="98"/>
    <x v="31"/>
    <s v="L"/>
    <s v="Gray"/>
    <s v="Summer"/>
    <n v="4.2"/>
    <s v="No"/>
    <s v="No"/>
    <n v="50"/>
    <s v="Venmo"/>
    <s v="Bi-Weekly"/>
    <m/>
  </r>
  <r>
    <n v="1739"/>
    <x v="52"/>
    <x v="0"/>
    <s v="Handbag"/>
    <s v="Accessories"/>
    <n v="61"/>
    <x v="30"/>
    <s v="M"/>
    <s v="Green"/>
    <s v="Spring"/>
    <n v="2.9"/>
    <s v="No"/>
    <s v="No"/>
    <n v="37"/>
    <s v="Credit Card"/>
    <s v="Weekly"/>
    <m/>
  </r>
  <r>
    <n v="1740"/>
    <x v="3"/>
    <x v="0"/>
    <s v="Jewelry"/>
    <s v="Accessories"/>
    <n v="98"/>
    <x v="46"/>
    <s v="L"/>
    <s v="Silver"/>
    <s v="Winter"/>
    <n v="4.2"/>
    <s v="No"/>
    <s v="No"/>
    <n v="23"/>
    <s v="Cash"/>
    <s v="Weekly"/>
    <m/>
  </r>
  <r>
    <n v="1741"/>
    <x v="28"/>
    <x v="0"/>
    <s v="Pants"/>
    <s v="Clothing"/>
    <n v="21"/>
    <x v="48"/>
    <s v="L"/>
    <s v="Charcoal"/>
    <s v="Fall"/>
    <n v="3.3"/>
    <s v="No"/>
    <s v="No"/>
    <n v="10"/>
    <s v="Bank Transfer"/>
    <s v="Every 3 Months"/>
    <m/>
  </r>
  <r>
    <n v="1742"/>
    <x v="38"/>
    <x v="0"/>
    <s v="Pants"/>
    <s v="Clothing"/>
    <n v="51"/>
    <x v="12"/>
    <s v="XL"/>
    <s v="Teal"/>
    <s v="Winter"/>
    <n v="3.6"/>
    <s v="No"/>
    <s v="No"/>
    <n v="20"/>
    <s v="Bank Transfer"/>
    <s v="Monthly"/>
    <m/>
  </r>
  <r>
    <n v="1743"/>
    <x v="47"/>
    <x v="0"/>
    <s v="Sandals"/>
    <s v="Footwear"/>
    <n v="80"/>
    <x v="23"/>
    <s v="XL"/>
    <s v="White"/>
    <s v="Spring"/>
    <n v="4.3"/>
    <s v="No"/>
    <s v="No"/>
    <n v="18"/>
    <s v="Venmo"/>
    <s v="Every 3 Months"/>
    <m/>
  </r>
  <r>
    <n v="1744"/>
    <x v="51"/>
    <x v="0"/>
    <s v="Skirt"/>
    <s v="Clothing"/>
    <n v="72"/>
    <x v="9"/>
    <s v="XL"/>
    <s v="Brown"/>
    <s v="Winter"/>
    <n v="3.3"/>
    <s v="No"/>
    <s v="No"/>
    <n v="3"/>
    <s v="Bank Transfer"/>
    <s v="Weekly"/>
    <m/>
  </r>
  <r>
    <n v="1745"/>
    <x v="9"/>
    <x v="0"/>
    <s v="Sunglasses"/>
    <s v="Accessories"/>
    <n v="63"/>
    <x v="49"/>
    <s v="L"/>
    <s v="Teal"/>
    <s v="Winter"/>
    <n v="3"/>
    <s v="No"/>
    <s v="No"/>
    <n v="23"/>
    <s v="PayPal"/>
    <s v="Weekly"/>
    <m/>
  </r>
  <r>
    <n v="1746"/>
    <x v="37"/>
    <x v="0"/>
    <s v="Skirt"/>
    <s v="Clothing"/>
    <n v="27"/>
    <x v="8"/>
    <s v="L"/>
    <s v="Red"/>
    <s v="Winter"/>
    <n v="3.6"/>
    <s v="No"/>
    <s v="No"/>
    <n v="27"/>
    <s v="Cash"/>
    <s v="Weekly"/>
    <m/>
  </r>
  <r>
    <n v="1747"/>
    <x v="13"/>
    <x v="0"/>
    <s v="Handbag"/>
    <s v="Accessories"/>
    <n v="44"/>
    <x v="15"/>
    <s v="L"/>
    <s v="Brown"/>
    <s v="Summer"/>
    <n v="3.1"/>
    <s v="No"/>
    <s v="No"/>
    <n v="44"/>
    <s v="Bank Transfer"/>
    <s v="Fortnightly"/>
    <m/>
  </r>
  <r>
    <n v="1748"/>
    <x v="12"/>
    <x v="0"/>
    <s v="Coat"/>
    <s v="Outerwear"/>
    <n v="23"/>
    <x v="13"/>
    <s v="M"/>
    <s v="Yellow"/>
    <s v="Winter"/>
    <n v="2.9"/>
    <s v="No"/>
    <s v="No"/>
    <n v="41"/>
    <s v="Venmo"/>
    <s v="Quarterly"/>
    <m/>
  </r>
  <r>
    <n v="1749"/>
    <x v="50"/>
    <x v="0"/>
    <s v="Skirt"/>
    <s v="Clothing"/>
    <n v="93"/>
    <x v="6"/>
    <s v="L"/>
    <s v="Teal"/>
    <s v="Winter"/>
    <n v="3.9"/>
    <s v="No"/>
    <s v="No"/>
    <n v="41"/>
    <s v="Bank Transfer"/>
    <s v="Annually"/>
    <m/>
  </r>
  <r>
    <n v="1750"/>
    <x v="49"/>
    <x v="0"/>
    <s v="Hoodie"/>
    <s v="Clothing"/>
    <n v="70"/>
    <x v="5"/>
    <s v="L"/>
    <s v="Pink"/>
    <s v="Fall"/>
    <n v="3.2"/>
    <s v="No"/>
    <s v="No"/>
    <n v="36"/>
    <s v="Debit Card"/>
    <s v="Every 3 Months"/>
    <m/>
  </r>
  <r>
    <n v="1751"/>
    <x v="18"/>
    <x v="0"/>
    <s v="Sunglasses"/>
    <s v="Accessories"/>
    <n v="85"/>
    <x v="9"/>
    <s v="M"/>
    <s v="White"/>
    <s v="Fall"/>
    <n v="3.1"/>
    <s v="No"/>
    <s v="No"/>
    <n v="38"/>
    <s v="Venmo"/>
    <s v="Every 3 Months"/>
    <m/>
  </r>
  <r>
    <n v="1752"/>
    <x v="9"/>
    <x v="0"/>
    <s v="Sweater"/>
    <s v="Clothing"/>
    <n v="40"/>
    <x v="31"/>
    <s v="M"/>
    <s v="Silver"/>
    <s v="Winter"/>
    <n v="3.2"/>
    <s v="No"/>
    <s v="No"/>
    <n v="34"/>
    <s v="Cash"/>
    <s v="Annually"/>
    <m/>
  </r>
  <r>
    <n v="1753"/>
    <x v="50"/>
    <x v="0"/>
    <s v="Boots"/>
    <s v="Footwear"/>
    <n v="29"/>
    <x v="45"/>
    <s v="L"/>
    <s v="Blue"/>
    <s v="Winter"/>
    <n v="3.3"/>
    <s v="No"/>
    <s v="No"/>
    <n v="14"/>
    <s v="Venmo"/>
    <s v="Quarterly"/>
    <m/>
  </r>
  <r>
    <n v="1754"/>
    <x v="15"/>
    <x v="0"/>
    <s v="Skirt"/>
    <s v="Clothing"/>
    <n v="27"/>
    <x v="24"/>
    <s v="L"/>
    <s v="Black"/>
    <s v="Fall"/>
    <n v="4.8"/>
    <s v="No"/>
    <s v="No"/>
    <n v="23"/>
    <s v="Credit Card"/>
    <s v="Fortnightly"/>
    <m/>
  </r>
  <r>
    <n v="1755"/>
    <x v="17"/>
    <x v="0"/>
    <s v="Dress"/>
    <s v="Clothing"/>
    <n v="93"/>
    <x v="2"/>
    <s v="S"/>
    <s v="Beige"/>
    <s v="Fall"/>
    <n v="3.8"/>
    <s v="No"/>
    <s v="No"/>
    <n v="18"/>
    <s v="Credit Card"/>
    <s v="Fortnightly"/>
    <m/>
  </r>
  <r>
    <n v="1756"/>
    <x v="19"/>
    <x v="0"/>
    <s v="Belt"/>
    <s v="Accessories"/>
    <n v="20"/>
    <x v="12"/>
    <s v="XL"/>
    <s v="Charcoal"/>
    <s v="Spring"/>
    <n v="4.5999999999999996"/>
    <s v="No"/>
    <s v="No"/>
    <n v="45"/>
    <s v="Cash"/>
    <s v="Monthly"/>
    <m/>
  </r>
  <r>
    <n v="1757"/>
    <x v="34"/>
    <x v="0"/>
    <s v="Jewelry"/>
    <s v="Accessories"/>
    <n v="55"/>
    <x v="13"/>
    <s v="S"/>
    <s v="Cyan"/>
    <s v="Fall"/>
    <n v="2.8"/>
    <s v="No"/>
    <s v="No"/>
    <n v="14"/>
    <s v="Bank Transfer"/>
    <s v="Weekly"/>
    <m/>
  </r>
  <r>
    <n v="1758"/>
    <x v="1"/>
    <x v="0"/>
    <s v="Dress"/>
    <s v="Clothing"/>
    <n v="94"/>
    <x v="49"/>
    <s v="L"/>
    <s v="Yellow"/>
    <s v="Fall"/>
    <n v="3.6"/>
    <s v="No"/>
    <s v="No"/>
    <n v="48"/>
    <s v="Debit Card"/>
    <s v="Annually"/>
    <m/>
  </r>
  <r>
    <n v="1759"/>
    <x v="7"/>
    <x v="0"/>
    <s v="Hat"/>
    <s v="Accessories"/>
    <n v="56"/>
    <x v="38"/>
    <s v="M"/>
    <s v="Silver"/>
    <s v="Winter"/>
    <n v="4.3"/>
    <s v="No"/>
    <s v="No"/>
    <n v="17"/>
    <s v="Venmo"/>
    <s v="Bi-Weekly"/>
    <m/>
  </r>
  <r>
    <n v="1760"/>
    <x v="33"/>
    <x v="0"/>
    <s v="Sweater"/>
    <s v="Clothing"/>
    <n v="58"/>
    <x v="7"/>
    <s v="L"/>
    <s v="Green"/>
    <s v="Spring"/>
    <n v="4"/>
    <s v="No"/>
    <s v="No"/>
    <n v="1"/>
    <s v="PayPal"/>
    <s v="Weekly"/>
    <m/>
  </r>
  <r>
    <n v="1761"/>
    <x v="30"/>
    <x v="0"/>
    <s v="Skirt"/>
    <s v="Clothing"/>
    <n v="44"/>
    <x v="46"/>
    <s v="XL"/>
    <s v="Peach"/>
    <s v="Spring"/>
    <n v="3.5"/>
    <s v="No"/>
    <s v="No"/>
    <n v="39"/>
    <s v="PayPal"/>
    <s v="Weekly"/>
    <m/>
  </r>
  <r>
    <n v="1762"/>
    <x v="3"/>
    <x v="0"/>
    <s v="Hoodie"/>
    <s v="Clothing"/>
    <n v="95"/>
    <x v="11"/>
    <s v="S"/>
    <s v="Green"/>
    <s v="Fall"/>
    <n v="4.9000000000000004"/>
    <s v="No"/>
    <s v="No"/>
    <n v="24"/>
    <s v="Cash"/>
    <s v="Weekly"/>
    <m/>
  </r>
  <r>
    <n v="1763"/>
    <x v="24"/>
    <x v="0"/>
    <s v="Sandals"/>
    <s v="Footwear"/>
    <n v="42"/>
    <x v="37"/>
    <s v="M"/>
    <s v="Brown"/>
    <s v="Summer"/>
    <n v="3.1"/>
    <s v="No"/>
    <s v="No"/>
    <n v="41"/>
    <s v="Bank Transfer"/>
    <s v="Fortnightly"/>
    <m/>
  </r>
  <r>
    <n v="1764"/>
    <x v="43"/>
    <x v="0"/>
    <s v="Jewelry"/>
    <s v="Accessories"/>
    <n v="93"/>
    <x v="34"/>
    <s v="M"/>
    <s v="Lavender"/>
    <s v="Winter"/>
    <n v="3.9"/>
    <s v="No"/>
    <s v="No"/>
    <n v="28"/>
    <s v="PayPal"/>
    <s v="Annually"/>
    <m/>
  </r>
  <r>
    <n v="1765"/>
    <x v="12"/>
    <x v="0"/>
    <s v="Dress"/>
    <s v="Clothing"/>
    <n v="56"/>
    <x v="12"/>
    <s v="M"/>
    <s v="Charcoal"/>
    <s v="Summer"/>
    <n v="3"/>
    <s v="No"/>
    <s v="No"/>
    <n v="34"/>
    <s v="Venmo"/>
    <s v="Quarterly"/>
    <m/>
  </r>
  <r>
    <n v="1766"/>
    <x v="33"/>
    <x v="0"/>
    <s v="Hoodie"/>
    <s v="Clothing"/>
    <n v="88"/>
    <x v="35"/>
    <s v="M"/>
    <s v="Orange"/>
    <s v="Spring"/>
    <n v="4.0999999999999996"/>
    <s v="No"/>
    <s v="No"/>
    <n v="41"/>
    <s v="Venmo"/>
    <s v="Quarterly"/>
    <m/>
  </r>
  <r>
    <n v="1767"/>
    <x v="52"/>
    <x v="0"/>
    <s v="Sweater"/>
    <s v="Clothing"/>
    <n v="54"/>
    <x v="29"/>
    <s v="S"/>
    <s v="Cyan"/>
    <s v="Winter"/>
    <n v="4.3"/>
    <s v="No"/>
    <s v="No"/>
    <n v="27"/>
    <s v="Cash"/>
    <s v="Bi-Weekly"/>
    <m/>
  </r>
  <r>
    <n v="1768"/>
    <x v="28"/>
    <x v="0"/>
    <s v="Jewelry"/>
    <s v="Accessories"/>
    <n v="89"/>
    <x v="46"/>
    <s v="L"/>
    <s v="Lavender"/>
    <s v="Fall"/>
    <n v="3.8"/>
    <s v="No"/>
    <s v="No"/>
    <n v="46"/>
    <s v="Debit Card"/>
    <s v="Fortnightly"/>
    <m/>
  </r>
  <r>
    <n v="1769"/>
    <x v="15"/>
    <x v="0"/>
    <s v="Sandals"/>
    <s v="Footwear"/>
    <n v="45"/>
    <x v="43"/>
    <s v="M"/>
    <s v="Indigo"/>
    <s v="Summer"/>
    <n v="3.9"/>
    <s v="No"/>
    <s v="No"/>
    <n v="2"/>
    <s v="PayPal"/>
    <s v="Every 3 Months"/>
    <m/>
  </r>
  <r>
    <n v="1770"/>
    <x v="45"/>
    <x v="0"/>
    <s v="Socks"/>
    <s v="Clothing"/>
    <n v="75"/>
    <x v="29"/>
    <s v="L"/>
    <s v="Brown"/>
    <s v="Winter"/>
    <n v="4.3"/>
    <s v="No"/>
    <s v="No"/>
    <n v="45"/>
    <s v="Cash"/>
    <s v="Monthly"/>
    <m/>
  </r>
  <r>
    <n v="1771"/>
    <x v="10"/>
    <x v="0"/>
    <s v="Backpack"/>
    <s v="Accessories"/>
    <n v="22"/>
    <x v="49"/>
    <s v="M"/>
    <s v="Pink"/>
    <s v="Fall"/>
    <n v="4.3"/>
    <s v="No"/>
    <s v="No"/>
    <n v="34"/>
    <s v="Bank Transfer"/>
    <s v="Weekly"/>
    <m/>
  </r>
  <r>
    <n v="1772"/>
    <x v="5"/>
    <x v="0"/>
    <s v="Shirt"/>
    <s v="Clothing"/>
    <n v="82"/>
    <x v="27"/>
    <s v="XL"/>
    <s v="Turquoise"/>
    <s v="Fall"/>
    <n v="4.7"/>
    <s v="No"/>
    <s v="No"/>
    <n v="9"/>
    <s v="Credit Card"/>
    <s v="Annually"/>
    <m/>
  </r>
  <r>
    <n v="1773"/>
    <x v="44"/>
    <x v="0"/>
    <s v="Shoes"/>
    <s v="Footwear"/>
    <n v="34"/>
    <x v="11"/>
    <s v="M"/>
    <s v="Gold"/>
    <s v="Summer"/>
    <n v="3.1"/>
    <s v="No"/>
    <s v="No"/>
    <n v="1"/>
    <s v="Bank Transfer"/>
    <s v="Annually"/>
    <m/>
  </r>
  <r>
    <n v="1774"/>
    <x v="3"/>
    <x v="0"/>
    <s v="Coat"/>
    <s v="Outerwear"/>
    <n v="92"/>
    <x v="8"/>
    <s v="M"/>
    <s v="Blue"/>
    <s v="Summer"/>
    <n v="2.7"/>
    <s v="No"/>
    <s v="No"/>
    <n v="17"/>
    <s v="PayPal"/>
    <s v="Annually"/>
    <m/>
  </r>
  <r>
    <n v="1775"/>
    <x v="5"/>
    <x v="0"/>
    <s v="Sweater"/>
    <s v="Clothing"/>
    <n v="78"/>
    <x v="14"/>
    <s v="M"/>
    <s v="Lavender"/>
    <s v="Spring"/>
    <n v="3.7"/>
    <s v="No"/>
    <s v="No"/>
    <n v="6"/>
    <s v="PayPal"/>
    <s v="Weekly"/>
    <m/>
  </r>
  <r>
    <n v="1776"/>
    <x v="20"/>
    <x v="0"/>
    <s v="Jacket"/>
    <s v="Outerwear"/>
    <n v="47"/>
    <x v="44"/>
    <s v="M"/>
    <s v="Violet"/>
    <s v="Spring"/>
    <n v="3.3"/>
    <s v="No"/>
    <s v="No"/>
    <n v="12"/>
    <s v="Cash"/>
    <s v="Bi-Weekly"/>
    <m/>
  </r>
  <r>
    <n v="1777"/>
    <x v="19"/>
    <x v="0"/>
    <s v="Jacket"/>
    <s v="Outerwear"/>
    <n v="64"/>
    <x v="28"/>
    <s v="L"/>
    <s v="Cyan"/>
    <s v="Summer"/>
    <n v="3.4"/>
    <s v="No"/>
    <s v="No"/>
    <n v="10"/>
    <s v="Venmo"/>
    <s v="Every 3 Months"/>
    <m/>
  </r>
  <r>
    <n v="1778"/>
    <x v="20"/>
    <x v="0"/>
    <s v="Sneakers"/>
    <s v="Footwear"/>
    <n v="44"/>
    <x v="46"/>
    <s v="L"/>
    <s v="Purple"/>
    <s v="Winter"/>
    <n v="4.7"/>
    <s v="No"/>
    <s v="No"/>
    <n v="4"/>
    <s v="Cash"/>
    <s v="Fortnightly"/>
    <m/>
  </r>
  <r>
    <n v="1779"/>
    <x v="34"/>
    <x v="0"/>
    <s v="Belt"/>
    <s v="Accessories"/>
    <n v="94"/>
    <x v="21"/>
    <s v="M"/>
    <s v="Red"/>
    <s v="Winter"/>
    <n v="4.9000000000000004"/>
    <s v="No"/>
    <s v="No"/>
    <n v="8"/>
    <s v="Debit Card"/>
    <s v="Bi-Weekly"/>
    <m/>
  </r>
  <r>
    <n v="1780"/>
    <x v="26"/>
    <x v="0"/>
    <s v="Scarf"/>
    <s v="Accessories"/>
    <n v="62"/>
    <x v="41"/>
    <s v="M"/>
    <s v="Charcoal"/>
    <s v="Winter"/>
    <n v="4.3"/>
    <s v="No"/>
    <s v="No"/>
    <n v="41"/>
    <s v="Venmo"/>
    <s v="Weekly"/>
    <m/>
  </r>
  <r>
    <n v="1781"/>
    <x v="29"/>
    <x v="0"/>
    <s v="Jewelry"/>
    <s v="Accessories"/>
    <n v="81"/>
    <x v="25"/>
    <s v="S"/>
    <s v="Gray"/>
    <s v="Summer"/>
    <n v="4.2"/>
    <s v="No"/>
    <s v="No"/>
    <n v="49"/>
    <s v="Credit Card"/>
    <s v="Weekly"/>
    <m/>
  </r>
  <r>
    <n v="1782"/>
    <x v="18"/>
    <x v="0"/>
    <s v="T-shirt"/>
    <s v="Clothing"/>
    <n v="33"/>
    <x v="44"/>
    <s v="M"/>
    <s v="Pink"/>
    <s v="Fall"/>
    <n v="3.7"/>
    <s v="No"/>
    <s v="No"/>
    <n v="49"/>
    <s v="Bank Transfer"/>
    <s v="Quarterly"/>
    <m/>
  </r>
  <r>
    <n v="1783"/>
    <x v="16"/>
    <x v="0"/>
    <s v="Pants"/>
    <s v="Clothing"/>
    <n v="88"/>
    <x v="40"/>
    <s v="M"/>
    <s v="Lavender"/>
    <s v="Fall"/>
    <n v="2.7"/>
    <s v="No"/>
    <s v="No"/>
    <n v="40"/>
    <s v="Bank Transfer"/>
    <s v="Fortnightly"/>
    <m/>
  </r>
  <r>
    <n v="1784"/>
    <x v="32"/>
    <x v="0"/>
    <s v="Handbag"/>
    <s v="Accessories"/>
    <n v="49"/>
    <x v="31"/>
    <s v="L"/>
    <s v="Lavender"/>
    <s v="Winter"/>
    <n v="3.3"/>
    <s v="No"/>
    <s v="No"/>
    <n v="30"/>
    <s v="Credit Card"/>
    <s v="Monthly"/>
    <m/>
  </r>
  <r>
    <n v="1785"/>
    <x v="45"/>
    <x v="0"/>
    <s v="Backpack"/>
    <s v="Accessories"/>
    <n v="31"/>
    <x v="7"/>
    <s v="L"/>
    <s v="Yellow"/>
    <s v="Summer"/>
    <n v="4.8"/>
    <s v="No"/>
    <s v="No"/>
    <n v="4"/>
    <s v="Debit Card"/>
    <s v="Quarterly"/>
    <m/>
  </r>
  <r>
    <n v="1786"/>
    <x v="36"/>
    <x v="0"/>
    <s v="Gloves"/>
    <s v="Accessories"/>
    <n v="29"/>
    <x v="44"/>
    <s v="S"/>
    <s v="Peach"/>
    <s v="Fall"/>
    <n v="4.0999999999999996"/>
    <s v="No"/>
    <s v="No"/>
    <n v="22"/>
    <s v="Venmo"/>
    <s v="Monthly"/>
    <m/>
  </r>
  <r>
    <n v="1787"/>
    <x v="4"/>
    <x v="0"/>
    <s v="Jacket"/>
    <s v="Outerwear"/>
    <n v="34"/>
    <x v="33"/>
    <s v="M"/>
    <s v="Brown"/>
    <s v="Spring"/>
    <n v="4.5999999999999996"/>
    <s v="No"/>
    <s v="No"/>
    <n v="22"/>
    <s v="Venmo"/>
    <s v="Monthly"/>
    <m/>
  </r>
  <r>
    <n v="1788"/>
    <x v="30"/>
    <x v="0"/>
    <s v="Sweater"/>
    <s v="Clothing"/>
    <n v="38"/>
    <x v="6"/>
    <s v="L"/>
    <s v="Gold"/>
    <s v="Fall"/>
    <n v="4.9000000000000004"/>
    <s v="No"/>
    <s v="No"/>
    <n v="10"/>
    <s v="Bank Transfer"/>
    <s v="Quarterly"/>
    <m/>
  </r>
  <r>
    <n v="1789"/>
    <x v="17"/>
    <x v="0"/>
    <s v="Blouse"/>
    <s v="Clothing"/>
    <n v="41"/>
    <x v="26"/>
    <s v="L"/>
    <s v="Pink"/>
    <s v="Summer"/>
    <n v="3.1"/>
    <s v="No"/>
    <s v="No"/>
    <n v="23"/>
    <s v="Cash"/>
    <s v="Bi-Weekly"/>
    <m/>
  </r>
  <r>
    <n v="1790"/>
    <x v="16"/>
    <x v="0"/>
    <s v="Blouse"/>
    <s v="Clothing"/>
    <n v="34"/>
    <x v="28"/>
    <s v="L"/>
    <s v="Peach"/>
    <s v="Spring"/>
    <n v="3"/>
    <s v="No"/>
    <s v="No"/>
    <n v="43"/>
    <s v="Debit Card"/>
    <s v="Quarterly"/>
    <m/>
  </r>
  <r>
    <n v="1791"/>
    <x v="2"/>
    <x v="0"/>
    <s v="Gloves"/>
    <s v="Accessories"/>
    <n v="26"/>
    <x v="17"/>
    <s v="S"/>
    <s v="Violet"/>
    <s v="Summer"/>
    <n v="3.7"/>
    <s v="No"/>
    <s v="No"/>
    <n v="31"/>
    <s v="PayPal"/>
    <s v="Bi-Weekly"/>
    <m/>
  </r>
  <r>
    <n v="1792"/>
    <x v="46"/>
    <x v="0"/>
    <s v="Jeans"/>
    <s v="Clothing"/>
    <n v="98"/>
    <x v="6"/>
    <s v="S"/>
    <s v="Purple"/>
    <s v="Winter"/>
    <n v="4"/>
    <s v="No"/>
    <s v="No"/>
    <n v="38"/>
    <s v="Cash"/>
    <s v="Annually"/>
    <m/>
  </r>
  <r>
    <n v="1793"/>
    <x v="21"/>
    <x v="0"/>
    <s v="Sneakers"/>
    <s v="Footwear"/>
    <n v="59"/>
    <x v="44"/>
    <s v="M"/>
    <s v="Peach"/>
    <s v="Fall"/>
    <n v="3"/>
    <s v="No"/>
    <s v="No"/>
    <n v="22"/>
    <s v="Debit Card"/>
    <s v="Every 3 Months"/>
    <m/>
  </r>
  <r>
    <n v="1794"/>
    <x v="13"/>
    <x v="0"/>
    <s v="Hat"/>
    <s v="Accessories"/>
    <n v="92"/>
    <x v="44"/>
    <s v="S"/>
    <s v="White"/>
    <s v="Fall"/>
    <n v="3.8"/>
    <s v="No"/>
    <s v="No"/>
    <n v="45"/>
    <s v="Cash"/>
    <s v="Every 3 Months"/>
    <m/>
  </r>
  <r>
    <n v="1795"/>
    <x v="52"/>
    <x v="0"/>
    <s v="Backpack"/>
    <s v="Accessories"/>
    <n v="40"/>
    <x v="31"/>
    <s v="L"/>
    <s v="Indigo"/>
    <s v="Spring"/>
    <n v="3.7"/>
    <s v="No"/>
    <s v="No"/>
    <n v="21"/>
    <s v="Debit Card"/>
    <s v="Fortnightly"/>
    <m/>
  </r>
  <r>
    <n v="1796"/>
    <x v="33"/>
    <x v="0"/>
    <s v="Jeans"/>
    <s v="Clothing"/>
    <n v="20"/>
    <x v="48"/>
    <s v="S"/>
    <s v="Violet"/>
    <s v="Fall"/>
    <n v="4"/>
    <s v="No"/>
    <s v="No"/>
    <n v="9"/>
    <s v="Debit Card"/>
    <s v="Fortnightly"/>
    <m/>
  </r>
  <r>
    <n v="1797"/>
    <x v="46"/>
    <x v="0"/>
    <s v="Skirt"/>
    <s v="Clothing"/>
    <n v="35"/>
    <x v="36"/>
    <s v="S"/>
    <s v="Brown"/>
    <s v="Spring"/>
    <n v="3.1"/>
    <s v="No"/>
    <s v="No"/>
    <n v="34"/>
    <s v="Venmo"/>
    <s v="Weekly"/>
    <m/>
  </r>
  <r>
    <n v="1798"/>
    <x v="46"/>
    <x v="0"/>
    <s v="Belt"/>
    <s v="Accessories"/>
    <n v="35"/>
    <x v="4"/>
    <s v="L"/>
    <s v="Maroon"/>
    <s v="Spring"/>
    <n v="3.9"/>
    <s v="No"/>
    <s v="No"/>
    <n v="26"/>
    <s v="Venmo"/>
    <s v="Weekly"/>
    <m/>
  </r>
  <r>
    <n v="1799"/>
    <x v="37"/>
    <x v="0"/>
    <s v="Dress"/>
    <s v="Clothing"/>
    <n v="82"/>
    <x v="25"/>
    <s v="L"/>
    <s v="Magenta"/>
    <s v="Winter"/>
    <n v="3.7"/>
    <s v="No"/>
    <s v="No"/>
    <n v="1"/>
    <s v="Cash"/>
    <s v="Weekly"/>
    <m/>
  </r>
  <r>
    <n v="1800"/>
    <x v="45"/>
    <x v="0"/>
    <s v="Hoodie"/>
    <s v="Clothing"/>
    <n v="48"/>
    <x v="18"/>
    <s v="M"/>
    <s v="Charcoal"/>
    <s v="Fall"/>
    <n v="3.9"/>
    <s v="No"/>
    <s v="No"/>
    <n v="47"/>
    <s v="Venmo"/>
    <s v="Weekly"/>
    <m/>
  </r>
  <r>
    <n v="1801"/>
    <x v="40"/>
    <x v="0"/>
    <s v="Coat"/>
    <s v="Outerwear"/>
    <n v="58"/>
    <x v="16"/>
    <s v="XL"/>
    <s v="Indigo"/>
    <s v="Winter"/>
    <n v="2.7"/>
    <s v="No"/>
    <s v="No"/>
    <n v="30"/>
    <s v="Credit Card"/>
    <s v="Weekly"/>
    <m/>
  </r>
  <r>
    <n v="1802"/>
    <x v="23"/>
    <x v="0"/>
    <s v="Sweater"/>
    <s v="Clothing"/>
    <n v="57"/>
    <x v="32"/>
    <s v="M"/>
    <s v="Turquoise"/>
    <s v="Spring"/>
    <n v="3.9"/>
    <s v="No"/>
    <s v="No"/>
    <n v="48"/>
    <s v="Debit Card"/>
    <s v="Fortnightly"/>
    <m/>
  </r>
  <r>
    <n v="1803"/>
    <x v="9"/>
    <x v="0"/>
    <s v="Shorts"/>
    <s v="Clothing"/>
    <n v="96"/>
    <x v="3"/>
    <s v="L"/>
    <s v="Turquoise"/>
    <s v="Winter"/>
    <n v="2.6"/>
    <s v="No"/>
    <s v="No"/>
    <n v="31"/>
    <s v="Venmo"/>
    <s v="Bi-Weekly"/>
    <m/>
  </r>
  <r>
    <n v="1804"/>
    <x v="52"/>
    <x v="0"/>
    <s v="Sneakers"/>
    <s v="Footwear"/>
    <n v="97"/>
    <x v="13"/>
    <s v="S"/>
    <s v="Gray"/>
    <s v="Summer"/>
    <n v="3.5"/>
    <s v="No"/>
    <s v="No"/>
    <n v="33"/>
    <s v="Venmo"/>
    <s v="Fortnightly"/>
    <m/>
  </r>
  <r>
    <n v="1805"/>
    <x v="11"/>
    <x v="0"/>
    <s v="Sweater"/>
    <s v="Clothing"/>
    <n v="42"/>
    <x v="7"/>
    <s v="L"/>
    <s v="Peach"/>
    <s v="Winter"/>
    <n v="4.4000000000000004"/>
    <s v="No"/>
    <s v="No"/>
    <n v="39"/>
    <s v="Credit Card"/>
    <s v="Weekly"/>
    <m/>
  </r>
  <r>
    <n v="1806"/>
    <x v="38"/>
    <x v="0"/>
    <s v="T-shirt"/>
    <s v="Clothing"/>
    <n v="62"/>
    <x v="28"/>
    <s v="L"/>
    <s v="Gold"/>
    <s v="Spring"/>
    <n v="4.9000000000000004"/>
    <s v="No"/>
    <s v="No"/>
    <n v="46"/>
    <s v="Debit Card"/>
    <s v="Weekly"/>
    <m/>
  </r>
  <r>
    <n v="1807"/>
    <x v="44"/>
    <x v="0"/>
    <s v="Handbag"/>
    <s v="Accessories"/>
    <n v="67"/>
    <x v="3"/>
    <s v="M"/>
    <s v="Green"/>
    <s v="Fall"/>
    <n v="3.9"/>
    <s v="No"/>
    <s v="No"/>
    <n v="24"/>
    <s v="Venmo"/>
    <s v="Annually"/>
    <m/>
  </r>
  <r>
    <n v="1808"/>
    <x v="50"/>
    <x v="0"/>
    <s v="Sneakers"/>
    <s v="Footwear"/>
    <n v="46"/>
    <x v="34"/>
    <s v="L"/>
    <s v="Gold"/>
    <s v="Summer"/>
    <n v="3.5"/>
    <s v="No"/>
    <s v="No"/>
    <n v="37"/>
    <s v="Venmo"/>
    <s v="Fortnightly"/>
    <m/>
  </r>
  <r>
    <n v="1809"/>
    <x v="29"/>
    <x v="0"/>
    <s v="Jacket"/>
    <s v="Outerwear"/>
    <n v="71"/>
    <x v="30"/>
    <s v="M"/>
    <s v="Lavender"/>
    <s v="Spring"/>
    <n v="4.3"/>
    <s v="No"/>
    <s v="No"/>
    <n v="7"/>
    <s v="Debit Card"/>
    <s v="Monthly"/>
    <m/>
  </r>
  <r>
    <n v="1810"/>
    <x v="44"/>
    <x v="0"/>
    <s v="Backpack"/>
    <s v="Accessories"/>
    <n v="99"/>
    <x v="29"/>
    <s v="S"/>
    <s v="Blue"/>
    <s v="Fall"/>
    <n v="3.4"/>
    <s v="No"/>
    <s v="No"/>
    <n v="6"/>
    <s v="Debit Card"/>
    <s v="Fortnightly"/>
    <m/>
  </r>
  <r>
    <n v="1811"/>
    <x v="38"/>
    <x v="0"/>
    <s v="Jeans"/>
    <s v="Clothing"/>
    <n v="28"/>
    <x v="33"/>
    <s v="M"/>
    <s v="Magenta"/>
    <s v="Fall"/>
    <n v="2.7"/>
    <s v="No"/>
    <s v="No"/>
    <n v="16"/>
    <s v="Cash"/>
    <s v="Bi-Weekly"/>
    <m/>
  </r>
  <r>
    <n v="1812"/>
    <x v="32"/>
    <x v="0"/>
    <s v="Belt"/>
    <s v="Accessories"/>
    <n v="77"/>
    <x v="48"/>
    <s v="L"/>
    <s v="Blue"/>
    <s v="Summer"/>
    <n v="3.6"/>
    <s v="No"/>
    <s v="No"/>
    <n v="33"/>
    <s v="Bank Transfer"/>
    <s v="Annually"/>
    <m/>
  </r>
  <r>
    <n v="1813"/>
    <x v="2"/>
    <x v="0"/>
    <s v="Boots"/>
    <s v="Footwear"/>
    <n v="63"/>
    <x v="22"/>
    <s v="S"/>
    <s v="Blue"/>
    <s v="Summer"/>
    <n v="4.9000000000000004"/>
    <s v="No"/>
    <s v="No"/>
    <n v="18"/>
    <s v="PayPal"/>
    <s v="Bi-Weekly"/>
    <m/>
  </r>
  <r>
    <n v="1814"/>
    <x v="37"/>
    <x v="0"/>
    <s v="Shorts"/>
    <s v="Clothing"/>
    <n v="62"/>
    <x v="26"/>
    <s v="M"/>
    <s v="Olive"/>
    <s v="Spring"/>
    <n v="3.5"/>
    <s v="No"/>
    <s v="No"/>
    <n v="24"/>
    <s v="PayPal"/>
    <s v="Weekly"/>
    <m/>
  </r>
  <r>
    <n v="1815"/>
    <x v="45"/>
    <x v="0"/>
    <s v="Jeans"/>
    <s v="Clothing"/>
    <n v="92"/>
    <x v="6"/>
    <s v="M"/>
    <s v="White"/>
    <s v="Summer"/>
    <n v="3.8"/>
    <s v="No"/>
    <s v="No"/>
    <n v="24"/>
    <s v="Cash"/>
    <s v="Quarterly"/>
    <m/>
  </r>
  <r>
    <n v="1816"/>
    <x v="47"/>
    <x v="0"/>
    <s v="Shoes"/>
    <s v="Footwear"/>
    <n v="72"/>
    <x v="35"/>
    <s v="L"/>
    <s v="White"/>
    <s v="Winter"/>
    <n v="4.5"/>
    <s v="No"/>
    <s v="No"/>
    <n v="48"/>
    <s v="Credit Card"/>
    <s v="Every 3 Months"/>
    <m/>
  </r>
  <r>
    <n v="1817"/>
    <x v="8"/>
    <x v="0"/>
    <s v="Hat"/>
    <s v="Accessories"/>
    <n v="79"/>
    <x v="41"/>
    <s v="M"/>
    <s v="Purple"/>
    <s v="Summer"/>
    <n v="4"/>
    <s v="No"/>
    <s v="No"/>
    <n v="4"/>
    <s v="Cash"/>
    <s v="Weekly"/>
    <m/>
  </r>
  <r>
    <n v="1818"/>
    <x v="45"/>
    <x v="0"/>
    <s v="T-shirt"/>
    <s v="Clothing"/>
    <n v="27"/>
    <x v="12"/>
    <s v="M"/>
    <s v="White"/>
    <s v="Summer"/>
    <n v="4.7"/>
    <s v="No"/>
    <s v="No"/>
    <n v="20"/>
    <s v="Cash"/>
    <s v="Weekly"/>
    <m/>
  </r>
  <r>
    <n v="1819"/>
    <x v="44"/>
    <x v="0"/>
    <s v="Sunglasses"/>
    <s v="Accessories"/>
    <n v="39"/>
    <x v="17"/>
    <s v="M"/>
    <s v="White"/>
    <s v="Fall"/>
    <n v="3.8"/>
    <s v="No"/>
    <s v="No"/>
    <n v="47"/>
    <s v="Debit Card"/>
    <s v="Every 3 Months"/>
    <m/>
  </r>
  <r>
    <n v="1820"/>
    <x v="47"/>
    <x v="0"/>
    <s v="Socks"/>
    <s v="Clothing"/>
    <n v="86"/>
    <x v="22"/>
    <s v="S"/>
    <s v="Peach"/>
    <s v="Spring"/>
    <n v="4.5"/>
    <s v="No"/>
    <s v="No"/>
    <n v="50"/>
    <s v="Cash"/>
    <s v="Quarterly"/>
    <m/>
  </r>
  <r>
    <n v="1821"/>
    <x v="1"/>
    <x v="0"/>
    <s v="Shirt"/>
    <s v="Clothing"/>
    <n v="94"/>
    <x v="47"/>
    <s v="XL"/>
    <s v="Gold"/>
    <s v="Fall"/>
    <n v="5"/>
    <s v="No"/>
    <s v="No"/>
    <n v="31"/>
    <s v="PayPal"/>
    <s v="Monthly"/>
    <m/>
  </r>
  <r>
    <n v="1822"/>
    <x v="9"/>
    <x v="0"/>
    <s v="Shorts"/>
    <s v="Clothing"/>
    <n v="53"/>
    <x v="1"/>
    <s v="M"/>
    <s v="Teal"/>
    <s v="Spring"/>
    <n v="2.8"/>
    <s v="No"/>
    <s v="No"/>
    <n v="29"/>
    <s v="PayPal"/>
    <s v="Quarterly"/>
    <m/>
  </r>
  <r>
    <n v="1823"/>
    <x v="17"/>
    <x v="0"/>
    <s v="Shirt"/>
    <s v="Clothing"/>
    <n v="85"/>
    <x v="39"/>
    <s v="S"/>
    <s v="Cyan"/>
    <s v="Summer"/>
    <n v="4.4000000000000004"/>
    <s v="No"/>
    <s v="No"/>
    <n v="4"/>
    <s v="Cash"/>
    <s v="Annually"/>
    <m/>
  </r>
  <r>
    <n v="1824"/>
    <x v="46"/>
    <x v="0"/>
    <s v="Socks"/>
    <s v="Clothing"/>
    <n v="50"/>
    <x v="7"/>
    <s v="L"/>
    <s v="Pink"/>
    <s v="Fall"/>
    <n v="4.7"/>
    <s v="No"/>
    <s v="No"/>
    <n v="40"/>
    <s v="Bank Transfer"/>
    <s v="Bi-Weekly"/>
    <m/>
  </r>
  <r>
    <n v="1825"/>
    <x v="44"/>
    <x v="0"/>
    <s v="Pants"/>
    <s v="Clothing"/>
    <n v="47"/>
    <x v="26"/>
    <s v="XL"/>
    <s v="Magenta"/>
    <s v="Winter"/>
    <n v="3.8"/>
    <s v="No"/>
    <s v="No"/>
    <n v="31"/>
    <s v="Cash"/>
    <s v="Monthly"/>
    <m/>
  </r>
  <r>
    <n v="1826"/>
    <x v="51"/>
    <x v="0"/>
    <s v="Boots"/>
    <s v="Footwear"/>
    <n v="75"/>
    <x v="45"/>
    <s v="M"/>
    <s v="Pink"/>
    <s v="Winter"/>
    <n v="4.9000000000000004"/>
    <s v="No"/>
    <s v="No"/>
    <n v="41"/>
    <s v="Credit Card"/>
    <s v="Weekly"/>
    <m/>
  </r>
  <r>
    <n v="1827"/>
    <x v="4"/>
    <x v="0"/>
    <s v="T-shirt"/>
    <s v="Clothing"/>
    <n v="60"/>
    <x v="27"/>
    <s v="M"/>
    <s v="Turquoise"/>
    <s v="Winter"/>
    <n v="4.2"/>
    <s v="No"/>
    <s v="No"/>
    <n v="44"/>
    <s v="Debit Card"/>
    <s v="Annually"/>
    <m/>
  </r>
  <r>
    <n v="1828"/>
    <x v="30"/>
    <x v="0"/>
    <s v="T-shirt"/>
    <s v="Clothing"/>
    <n v="36"/>
    <x v="34"/>
    <s v="S"/>
    <s v="Pink"/>
    <s v="Spring"/>
    <n v="4.9000000000000004"/>
    <s v="No"/>
    <s v="No"/>
    <n v="31"/>
    <s v="Bank Transfer"/>
    <s v="Weekly"/>
    <m/>
  </r>
  <r>
    <n v="1829"/>
    <x v="23"/>
    <x v="0"/>
    <s v="Coat"/>
    <s v="Outerwear"/>
    <n v="80"/>
    <x v="13"/>
    <s v="L"/>
    <s v="Gray"/>
    <s v="Spring"/>
    <n v="3.9"/>
    <s v="No"/>
    <s v="No"/>
    <n v="45"/>
    <s v="Cash"/>
    <s v="Every 3 Months"/>
    <m/>
  </r>
  <r>
    <n v="1830"/>
    <x v="11"/>
    <x v="0"/>
    <s v="Hat"/>
    <s v="Accessories"/>
    <n v="96"/>
    <x v="4"/>
    <s v="M"/>
    <s v="White"/>
    <s v="Spring"/>
    <n v="4.9000000000000004"/>
    <s v="No"/>
    <s v="No"/>
    <n v="50"/>
    <s v="Credit Card"/>
    <s v="Quarterly"/>
    <m/>
  </r>
  <r>
    <n v="1831"/>
    <x v="2"/>
    <x v="0"/>
    <s v="Sunglasses"/>
    <s v="Accessories"/>
    <n v="80"/>
    <x v="23"/>
    <s v="M"/>
    <s v="Blue"/>
    <s v="Winter"/>
    <n v="4.8"/>
    <s v="No"/>
    <s v="No"/>
    <n v="7"/>
    <s v="Venmo"/>
    <s v="Annually"/>
    <m/>
  </r>
  <r>
    <n v="1832"/>
    <x v="46"/>
    <x v="0"/>
    <s v="Blouse"/>
    <s v="Clothing"/>
    <n v="71"/>
    <x v="1"/>
    <s v="M"/>
    <s v="Cyan"/>
    <s v="Summer"/>
    <n v="3.3"/>
    <s v="No"/>
    <s v="No"/>
    <n v="5"/>
    <s v="Bank Transfer"/>
    <s v="Every 3 Months"/>
    <m/>
  </r>
  <r>
    <n v="1833"/>
    <x v="28"/>
    <x v="0"/>
    <s v="Jewelry"/>
    <s v="Accessories"/>
    <n v="29"/>
    <x v="7"/>
    <s v="M"/>
    <s v="Blue"/>
    <s v="Fall"/>
    <n v="4.5999999999999996"/>
    <s v="No"/>
    <s v="No"/>
    <n v="48"/>
    <s v="Cash"/>
    <s v="Monthly"/>
    <m/>
  </r>
  <r>
    <n v="1834"/>
    <x v="50"/>
    <x v="0"/>
    <s v="Jewelry"/>
    <s v="Accessories"/>
    <n v="53"/>
    <x v="7"/>
    <s v="M"/>
    <s v="Yellow"/>
    <s v="Spring"/>
    <n v="4.5"/>
    <s v="No"/>
    <s v="No"/>
    <n v="19"/>
    <s v="PayPal"/>
    <s v="Fortnightly"/>
    <m/>
  </r>
  <r>
    <n v="1835"/>
    <x v="34"/>
    <x v="0"/>
    <s v="Skirt"/>
    <s v="Clothing"/>
    <n v="35"/>
    <x v="27"/>
    <s v="M"/>
    <s v="Charcoal"/>
    <s v="Summer"/>
    <n v="4.0999999999999996"/>
    <s v="No"/>
    <s v="No"/>
    <n v="39"/>
    <s v="Venmo"/>
    <s v="Fortnightly"/>
    <m/>
  </r>
  <r>
    <n v="1836"/>
    <x v="13"/>
    <x v="0"/>
    <s v="Scarf"/>
    <s v="Accessories"/>
    <n v="75"/>
    <x v="0"/>
    <s v="M"/>
    <s v="Lavender"/>
    <s v="Fall"/>
    <n v="3.2"/>
    <s v="No"/>
    <s v="No"/>
    <n v="45"/>
    <s v="Credit Card"/>
    <s v="Quarterly"/>
    <m/>
  </r>
  <r>
    <n v="1837"/>
    <x v="17"/>
    <x v="0"/>
    <s v="Pants"/>
    <s v="Clothing"/>
    <n v="52"/>
    <x v="36"/>
    <s v="M"/>
    <s v="Teal"/>
    <s v="Fall"/>
    <n v="4.2"/>
    <s v="No"/>
    <s v="No"/>
    <n v="35"/>
    <s v="Credit Card"/>
    <s v="Monthly"/>
    <m/>
  </r>
  <r>
    <n v="1838"/>
    <x v="38"/>
    <x v="0"/>
    <s v="Hat"/>
    <s v="Accessories"/>
    <n v="77"/>
    <x v="6"/>
    <s v="M"/>
    <s v="Beige"/>
    <s v="Winter"/>
    <n v="4.8"/>
    <s v="No"/>
    <s v="No"/>
    <n v="8"/>
    <s v="Venmo"/>
    <s v="Monthly"/>
    <m/>
  </r>
  <r>
    <n v="1839"/>
    <x v="43"/>
    <x v="0"/>
    <s v="Gloves"/>
    <s v="Accessories"/>
    <n v="24"/>
    <x v="34"/>
    <s v="L"/>
    <s v="Blue"/>
    <s v="Fall"/>
    <n v="4.0999999999999996"/>
    <s v="No"/>
    <s v="No"/>
    <n v="11"/>
    <s v="Credit Card"/>
    <s v="Quarterly"/>
    <m/>
  </r>
  <r>
    <n v="1840"/>
    <x v="45"/>
    <x v="0"/>
    <s v="Shirt"/>
    <s v="Clothing"/>
    <n v="78"/>
    <x v="16"/>
    <s v="XL"/>
    <s v="Purple"/>
    <s v="Winter"/>
    <n v="3.7"/>
    <s v="No"/>
    <s v="No"/>
    <n v="32"/>
    <s v="Cash"/>
    <s v="Annually"/>
    <m/>
  </r>
  <r>
    <n v="1841"/>
    <x v="32"/>
    <x v="0"/>
    <s v="Sandals"/>
    <s v="Footwear"/>
    <n v="98"/>
    <x v="5"/>
    <s v="M"/>
    <s v="Gold"/>
    <s v="Winter"/>
    <n v="2.6"/>
    <s v="No"/>
    <s v="No"/>
    <n v="46"/>
    <s v="Bank Transfer"/>
    <s v="Every 3 Months"/>
    <m/>
  </r>
  <r>
    <n v="1842"/>
    <x v="18"/>
    <x v="0"/>
    <s v="Socks"/>
    <s v="Clothing"/>
    <n v="57"/>
    <x v="34"/>
    <s v="L"/>
    <s v="Blue"/>
    <s v="Winter"/>
    <n v="3"/>
    <s v="No"/>
    <s v="No"/>
    <n v="7"/>
    <s v="PayPal"/>
    <s v="Every 3 Months"/>
    <m/>
  </r>
  <r>
    <n v="1843"/>
    <x v="12"/>
    <x v="0"/>
    <s v="Handbag"/>
    <s v="Accessories"/>
    <n v="78"/>
    <x v="15"/>
    <s v="M"/>
    <s v="Black"/>
    <s v="Summer"/>
    <n v="4.4000000000000004"/>
    <s v="No"/>
    <s v="No"/>
    <n v="1"/>
    <s v="Debit Card"/>
    <s v="Annually"/>
    <m/>
  </r>
  <r>
    <n v="1844"/>
    <x v="24"/>
    <x v="0"/>
    <s v="Jacket"/>
    <s v="Outerwear"/>
    <n v="76"/>
    <x v="0"/>
    <s v="M"/>
    <s v="Charcoal"/>
    <s v="Fall"/>
    <n v="4.7"/>
    <s v="No"/>
    <s v="No"/>
    <n v="32"/>
    <s v="Credit Card"/>
    <s v="Monthly"/>
    <m/>
  </r>
  <r>
    <n v="1845"/>
    <x v="52"/>
    <x v="0"/>
    <s v="Shorts"/>
    <s v="Clothing"/>
    <n v="26"/>
    <x v="45"/>
    <s v="M"/>
    <s v="Purple"/>
    <s v="Spring"/>
    <n v="2.7"/>
    <s v="No"/>
    <s v="No"/>
    <n v="31"/>
    <s v="Credit Card"/>
    <s v="Annually"/>
    <m/>
  </r>
  <r>
    <n v="1846"/>
    <x v="47"/>
    <x v="0"/>
    <s v="Sandals"/>
    <s v="Footwear"/>
    <n v="78"/>
    <x v="12"/>
    <s v="M"/>
    <s v="Orange"/>
    <s v="Winter"/>
    <n v="2.8"/>
    <s v="No"/>
    <s v="No"/>
    <n v="39"/>
    <s v="Bank Transfer"/>
    <s v="Quarterly"/>
    <m/>
  </r>
  <r>
    <n v="1847"/>
    <x v="33"/>
    <x v="0"/>
    <s v="Scarf"/>
    <s v="Accessories"/>
    <n v="53"/>
    <x v="48"/>
    <s v="M"/>
    <s v="Yellow"/>
    <s v="Summer"/>
    <n v="2.9"/>
    <s v="No"/>
    <s v="No"/>
    <n v="9"/>
    <s v="Venmo"/>
    <s v="Quarterly"/>
    <m/>
  </r>
  <r>
    <n v="1848"/>
    <x v="5"/>
    <x v="0"/>
    <s v="Sandals"/>
    <s v="Footwear"/>
    <n v="100"/>
    <x v="28"/>
    <s v="XL"/>
    <s v="Cyan"/>
    <s v="Summer"/>
    <n v="4.4000000000000004"/>
    <s v="No"/>
    <s v="No"/>
    <n v="49"/>
    <s v="Credit Card"/>
    <s v="Weekly"/>
    <m/>
  </r>
  <r>
    <n v="1849"/>
    <x v="1"/>
    <x v="0"/>
    <s v="Jeans"/>
    <s v="Clothing"/>
    <n v="73"/>
    <x v="1"/>
    <s v="XL"/>
    <s v="Yellow"/>
    <s v="Winter"/>
    <n v="2.7"/>
    <s v="No"/>
    <s v="No"/>
    <n v="34"/>
    <s v="Cash"/>
    <s v="Every 3 Months"/>
    <m/>
  </r>
  <r>
    <n v="1850"/>
    <x v="11"/>
    <x v="0"/>
    <s v="Skirt"/>
    <s v="Clothing"/>
    <n v="40"/>
    <x v="35"/>
    <s v="M"/>
    <s v="Maroon"/>
    <s v="Winter"/>
    <n v="4.5"/>
    <s v="No"/>
    <s v="No"/>
    <n v="35"/>
    <s v="Bank Transfer"/>
    <s v="Monthly"/>
    <m/>
  </r>
  <r>
    <n v="1851"/>
    <x v="47"/>
    <x v="0"/>
    <s v="Gloves"/>
    <s v="Accessories"/>
    <n v="76"/>
    <x v="5"/>
    <s v="S"/>
    <s v="Black"/>
    <s v="Winter"/>
    <n v="2.8"/>
    <s v="No"/>
    <s v="No"/>
    <n v="50"/>
    <s v="Debit Card"/>
    <s v="Weekly"/>
    <m/>
  </r>
  <r>
    <n v="1852"/>
    <x v="48"/>
    <x v="0"/>
    <s v="Skirt"/>
    <s v="Clothing"/>
    <n v="80"/>
    <x v="12"/>
    <s v="S"/>
    <s v="Lavender"/>
    <s v="Fall"/>
    <n v="3.1"/>
    <s v="No"/>
    <s v="No"/>
    <n v="4"/>
    <s v="Bank Transfer"/>
    <s v="Fortnightly"/>
    <m/>
  </r>
  <r>
    <n v="1853"/>
    <x v="38"/>
    <x v="0"/>
    <s v="Sweater"/>
    <s v="Clothing"/>
    <n v="80"/>
    <x v="38"/>
    <s v="XL"/>
    <s v="Violet"/>
    <s v="Winter"/>
    <n v="3.8"/>
    <s v="No"/>
    <s v="No"/>
    <n v="32"/>
    <s v="Cash"/>
    <s v="Weekly"/>
    <m/>
  </r>
  <r>
    <n v="1854"/>
    <x v="26"/>
    <x v="0"/>
    <s v="Blouse"/>
    <s v="Clothing"/>
    <n v="67"/>
    <x v="25"/>
    <s v="XL"/>
    <s v="Olive"/>
    <s v="Spring"/>
    <n v="2.9"/>
    <s v="No"/>
    <s v="No"/>
    <n v="11"/>
    <s v="PayPal"/>
    <s v="Fortnightly"/>
    <m/>
  </r>
  <r>
    <n v="1855"/>
    <x v="15"/>
    <x v="0"/>
    <s v="Sweater"/>
    <s v="Clothing"/>
    <n v="61"/>
    <x v="0"/>
    <s v="M"/>
    <s v="Teal"/>
    <s v="Spring"/>
    <n v="3.8"/>
    <s v="No"/>
    <s v="No"/>
    <n v="49"/>
    <s v="Credit Card"/>
    <s v="Annually"/>
    <m/>
  </r>
  <r>
    <n v="1856"/>
    <x v="52"/>
    <x v="0"/>
    <s v="Shirt"/>
    <s v="Clothing"/>
    <n v="76"/>
    <x v="3"/>
    <s v="XL"/>
    <s v="Teal"/>
    <s v="Spring"/>
    <n v="4.7"/>
    <s v="No"/>
    <s v="No"/>
    <n v="9"/>
    <s v="Cash"/>
    <s v="Annually"/>
    <m/>
  </r>
  <r>
    <n v="1857"/>
    <x v="6"/>
    <x v="0"/>
    <s v="Jewelry"/>
    <s v="Accessories"/>
    <n v="55"/>
    <x v="28"/>
    <s v="XL"/>
    <s v="Beige"/>
    <s v="Summer"/>
    <n v="3.2"/>
    <s v="No"/>
    <s v="No"/>
    <n v="30"/>
    <s v="PayPal"/>
    <s v="Bi-Weekly"/>
    <m/>
  </r>
  <r>
    <n v="1858"/>
    <x v="47"/>
    <x v="0"/>
    <s v="T-shirt"/>
    <s v="Clothing"/>
    <n v="85"/>
    <x v="24"/>
    <s v="L"/>
    <s v="Maroon"/>
    <s v="Summer"/>
    <n v="4"/>
    <s v="No"/>
    <s v="No"/>
    <n v="33"/>
    <s v="Cash"/>
    <s v="Monthly"/>
    <m/>
  </r>
  <r>
    <n v="1859"/>
    <x v="40"/>
    <x v="0"/>
    <s v="Scarf"/>
    <s v="Accessories"/>
    <n v="69"/>
    <x v="1"/>
    <s v="S"/>
    <s v="Peach"/>
    <s v="Spring"/>
    <n v="4.9000000000000004"/>
    <s v="No"/>
    <s v="No"/>
    <n v="8"/>
    <s v="Debit Card"/>
    <s v="Annually"/>
    <m/>
  </r>
  <r>
    <n v="1860"/>
    <x v="22"/>
    <x v="0"/>
    <s v="Belt"/>
    <s v="Accessories"/>
    <n v="26"/>
    <x v="32"/>
    <s v="L"/>
    <s v="Beige"/>
    <s v="Summer"/>
    <n v="3.7"/>
    <s v="No"/>
    <s v="No"/>
    <n v="29"/>
    <s v="Debit Card"/>
    <s v="Fortnightly"/>
    <m/>
  </r>
  <r>
    <n v="1861"/>
    <x v="20"/>
    <x v="0"/>
    <s v="T-shirt"/>
    <s v="Clothing"/>
    <n v="64"/>
    <x v="23"/>
    <s v="M"/>
    <s v="Silver"/>
    <s v="Summer"/>
    <n v="4.8"/>
    <s v="No"/>
    <s v="No"/>
    <n v="4"/>
    <s v="Credit Card"/>
    <s v="Monthly"/>
    <m/>
  </r>
  <r>
    <n v="1862"/>
    <x v="26"/>
    <x v="0"/>
    <s v="Sneakers"/>
    <s v="Footwear"/>
    <n v="60"/>
    <x v="45"/>
    <s v="S"/>
    <s v="Peach"/>
    <s v="Fall"/>
    <n v="3.6"/>
    <s v="No"/>
    <s v="No"/>
    <n v="19"/>
    <s v="Debit Card"/>
    <s v="Monthly"/>
    <m/>
  </r>
  <r>
    <n v="1863"/>
    <x v="35"/>
    <x v="0"/>
    <s v="Gloves"/>
    <s v="Accessories"/>
    <n v="36"/>
    <x v="13"/>
    <s v="M"/>
    <s v="Turquoise"/>
    <s v="Winter"/>
    <n v="4.5999999999999996"/>
    <s v="No"/>
    <s v="No"/>
    <n v="10"/>
    <s v="PayPal"/>
    <s v="Fortnightly"/>
    <m/>
  </r>
  <r>
    <n v="1864"/>
    <x v="15"/>
    <x v="0"/>
    <s v="Sandals"/>
    <s v="Footwear"/>
    <n v="21"/>
    <x v="39"/>
    <s v="L"/>
    <s v="Orange"/>
    <s v="Spring"/>
    <n v="4.3"/>
    <s v="No"/>
    <s v="No"/>
    <n v="39"/>
    <s v="Debit Card"/>
    <s v="Monthly"/>
    <m/>
  </r>
  <r>
    <n v="1865"/>
    <x v="1"/>
    <x v="0"/>
    <s v="Backpack"/>
    <s v="Accessories"/>
    <n v="72"/>
    <x v="5"/>
    <s v="S"/>
    <s v="Cyan"/>
    <s v="Fall"/>
    <n v="3.2"/>
    <s v="No"/>
    <s v="No"/>
    <n v="21"/>
    <s v="Venmo"/>
    <s v="Quarterly"/>
    <m/>
  </r>
  <r>
    <n v="1866"/>
    <x v="19"/>
    <x v="0"/>
    <s v="Pants"/>
    <s v="Clothing"/>
    <n v="62"/>
    <x v="9"/>
    <s v="S"/>
    <s v="Silver"/>
    <s v="Summer"/>
    <n v="3.8"/>
    <s v="No"/>
    <s v="No"/>
    <n v="12"/>
    <s v="Bank Transfer"/>
    <s v="Monthly"/>
    <m/>
  </r>
  <r>
    <n v="1867"/>
    <x v="18"/>
    <x v="0"/>
    <s v="T-shirt"/>
    <s v="Clothing"/>
    <n v="44"/>
    <x v="29"/>
    <s v="XL"/>
    <s v="Gold"/>
    <s v="Winter"/>
    <n v="4.2"/>
    <s v="No"/>
    <s v="No"/>
    <n v="9"/>
    <s v="Credit Card"/>
    <s v="Fortnightly"/>
    <m/>
  </r>
  <r>
    <n v="1868"/>
    <x v="4"/>
    <x v="0"/>
    <s v="Skirt"/>
    <s v="Clothing"/>
    <n v="52"/>
    <x v="12"/>
    <s v="M"/>
    <s v="Brown"/>
    <s v="Fall"/>
    <n v="3.4"/>
    <s v="No"/>
    <s v="No"/>
    <n v="20"/>
    <s v="Venmo"/>
    <s v="Quarterly"/>
    <m/>
  </r>
  <r>
    <n v="1869"/>
    <x v="51"/>
    <x v="0"/>
    <s v="Gloves"/>
    <s v="Accessories"/>
    <n v="58"/>
    <x v="27"/>
    <s v="M"/>
    <s v="Silver"/>
    <s v="Spring"/>
    <n v="4.7"/>
    <s v="No"/>
    <s v="No"/>
    <n v="44"/>
    <s v="Cash"/>
    <s v="Fortnightly"/>
    <m/>
  </r>
  <r>
    <n v="1870"/>
    <x v="20"/>
    <x v="0"/>
    <s v="Blouse"/>
    <s v="Clothing"/>
    <n v="77"/>
    <x v="8"/>
    <s v="S"/>
    <s v="Beige"/>
    <s v="Spring"/>
    <n v="3.9"/>
    <s v="No"/>
    <s v="No"/>
    <n v="16"/>
    <s v="Debit Card"/>
    <s v="Every 3 Months"/>
    <m/>
  </r>
  <r>
    <n v="1871"/>
    <x v="49"/>
    <x v="0"/>
    <s v="Blouse"/>
    <s v="Clothing"/>
    <n v="99"/>
    <x v="5"/>
    <s v="L"/>
    <s v="Violet"/>
    <s v="Spring"/>
    <n v="4.3"/>
    <s v="No"/>
    <s v="No"/>
    <n v="27"/>
    <s v="Debit Card"/>
    <s v="Fortnightly"/>
    <m/>
  </r>
  <r>
    <n v="1872"/>
    <x v="19"/>
    <x v="0"/>
    <s v="Jeans"/>
    <s v="Clothing"/>
    <n v="96"/>
    <x v="26"/>
    <s v="XL"/>
    <s v="Violet"/>
    <s v="Fall"/>
    <n v="2.7"/>
    <s v="No"/>
    <s v="No"/>
    <n v="14"/>
    <s v="Cash"/>
    <s v="Every 3 Months"/>
    <m/>
  </r>
  <r>
    <n v="1873"/>
    <x v="49"/>
    <x v="0"/>
    <s v="T-shirt"/>
    <s v="Clothing"/>
    <n v="64"/>
    <x v="29"/>
    <s v="M"/>
    <s v="Lavender"/>
    <s v="Summer"/>
    <n v="4.5999999999999996"/>
    <s v="No"/>
    <s v="No"/>
    <n v="24"/>
    <s v="Credit Card"/>
    <s v="Monthly"/>
    <m/>
  </r>
  <r>
    <n v="1874"/>
    <x v="14"/>
    <x v="0"/>
    <s v="Sweater"/>
    <s v="Clothing"/>
    <n v="44"/>
    <x v="48"/>
    <s v="XL"/>
    <s v="Red"/>
    <s v="Fall"/>
    <n v="2.9"/>
    <s v="No"/>
    <s v="No"/>
    <n v="49"/>
    <s v="Bank Transfer"/>
    <s v="Weekly"/>
    <m/>
  </r>
  <r>
    <n v="1875"/>
    <x v="29"/>
    <x v="0"/>
    <s v="Pants"/>
    <s v="Clothing"/>
    <n v="33"/>
    <x v="27"/>
    <s v="L"/>
    <s v="Purple"/>
    <s v="Fall"/>
    <n v="3.6"/>
    <s v="No"/>
    <s v="No"/>
    <n v="14"/>
    <s v="Cash"/>
    <s v="Weekly"/>
    <m/>
  </r>
  <r>
    <n v="1876"/>
    <x v="6"/>
    <x v="0"/>
    <s v="Boots"/>
    <s v="Footwear"/>
    <n v="71"/>
    <x v="30"/>
    <s v="M"/>
    <s v="Brown"/>
    <s v="Winter"/>
    <n v="3.9"/>
    <s v="No"/>
    <s v="No"/>
    <n v="6"/>
    <s v="Credit Card"/>
    <s v="Quarterly"/>
    <m/>
  </r>
  <r>
    <n v="1877"/>
    <x v="22"/>
    <x v="0"/>
    <s v="Skirt"/>
    <s v="Clothing"/>
    <n v="36"/>
    <x v="26"/>
    <s v="M"/>
    <s v="Gray"/>
    <s v="Fall"/>
    <n v="2.6"/>
    <s v="No"/>
    <s v="No"/>
    <n v="20"/>
    <s v="Venmo"/>
    <s v="Quarterly"/>
    <m/>
  </r>
  <r>
    <n v="1878"/>
    <x v="28"/>
    <x v="0"/>
    <s v="Gloves"/>
    <s v="Accessories"/>
    <n v="62"/>
    <x v="38"/>
    <s v="L"/>
    <s v="Pink"/>
    <s v="Fall"/>
    <n v="3.6"/>
    <s v="No"/>
    <s v="No"/>
    <n v="3"/>
    <s v="Credit Card"/>
    <s v="Annually"/>
    <m/>
  </r>
  <r>
    <n v="1879"/>
    <x v="50"/>
    <x v="0"/>
    <s v="Socks"/>
    <s v="Clothing"/>
    <n v="29"/>
    <x v="19"/>
    <s v="L"/>
    <s v="Magenta"/>
    <s v="Summer"/>
    <n v="3.4"/>
    <s v="No"/>
    <s v="No"/>
    <n v="5"/>
    <s v="Credit Card"/>
    <s v="Monthly"/>
    <m/>
  </r>
  <r>
    <n v="1880"/>
    <x v="19"/>
    <x v="0"/>
    <s v="T-shirt"/>
    <s v="Clothing"/>
    <n v="33"/>
    <x v="30"/>
    <s v="L"/>
    <s v="Charcoal"/>
    <s v="Spring"/>
    <n v="3.5"/>
    <s v="No"/>
    <s v="No"/>
    <n v="46"/>
    <s v="Cash"/>
    <s v="Bi-Weekly"/>
    <m/>
  </r>
  <r>
    <n v="1881"/>
    <x v="50"/>
    <x v="0"/>
    <s v="Blouse"/>
    <s v="Clothing"/>
    <n v="33"/>
    <x v="32"/>
    <s v="L"/>
    <s v="Yellow"/>
    <s v="Fall"/>
    <n v="3.1"/>
    <s v="No"/>
    <s v="No"/>
    <n v="8"/>
    <s v="Debit Card"/>
    <s v="Monthly"/>
    <m/>
  </r>
  <r>
    <n v="1882"/>
    <x v="44"/>
    <x v="0"/>
    <s v="Blouse"/>
    <s v="Clothing"/>
    <n v="41"/>
    <x v="32"/>
    <s v="M"/>
    <s v="Red"/>
    <s v="Winter"/>
    <n v="4.3"/>
    <s v="No"/>
    <s v="No"/>
    <n v="13"/>
    <s v="Cash"/>
    <s v="Bi-Weekly"/>
    <m/>
  </r>
  <r>
    <n v="1883"/>
    <x v="42"/>
    <x v="0"/>
    <s v="Scarf"/>
    <s v="Accessories"/>
    <n v="54"/>
    <x v="30"/>
    <s v="L"/>
    <s v="Blue"/>
    <s v="Winter"/>
    <n v="5"/>
    <s v="No"/>
    <s v="No"/>
    <n v="25"/>
    <s v="Bank Transfer"/>
    <s v="Quarterly"/>
    <m/>
  </r>
  <r>
    <n v="1884"/>
    <x v="15"/>
    <x v="0"/>
    <s v="Backpack"/>
    <s v="Accessories"/>
    <n v="58"/>
    <x v="42"/>
    <s v="M"/>
    <s v="Cyan"/>
    <s v="Spring"/>
    <n v="4.9000000000000004"/>
    <s v="No"/>
    <s v="No"/>
    <n v="39"/>
    <s v="Debit Card"/>
    <s v="Fortnightly"/>
    <m/>
  </r>
  <r>
    <n v="1885"/>
    <x v="7"/>
    <x v="0"/>
    <s v="Shorts"/>
    <s v="Clothing"/>
    <n v="30"/>
    <x v="28"/>
    <s v="S"/>
    <s v="Pink"/>
    <s v="Summer"/>
    <n v="4.3"/>
    <s v="No"/>
    <s v="No"/>
    <n v="15"/>
    <s v="Bank Transfer"/>
    <s v="Bi-Weekly"/>
    <m/>
  </r>
  <r>
    <n v="1886"/>
    <x v="8"/>
    <x v="0"/>
    <s v="Jewelry"/>
    <s v="Accessories"/>
    <n v="53"/>
    <x v="22"/>
    <s v="S"/>
    <s v="Maroon"/>
    <s v="Winter"/>
    <n v="4.4000000000000004"/>
    <s v="No"/>
    <s v="No"/>
    <n v="35"/>
    <s v="Cash"/>
    <s v="Monthly"/>
    <m/>
  </r>
  <r>
    <n v="1887"/>
    <x v="20"/>
    <x v="0"/>
    <s v="Gloves"/>
    <s v="Accessories"/>
    <n v="91"/>
    <x v="10"/>
    <s v="L"/>
    <s v="Beige"/>
    <s v="Spring"/>
    <n v="4.4000000000000004"/>
    <s v="No"/>
    <s v="No"/>
    <n v="46"/>
    <s v="Cash"/>
    <s v="Bi-Weekly"/>
    <m/>
  </r>
  <r>
    <n v="1888"/>
    <x v="14"/>
    <x v="0"/>
    <s v="Hoodie"/>
    <s v="Clothing"/>
    <n v="44"/>
    <x v="25"/>
    <s v="XL"/>
    <s v="Gold"/>
    <s v="Fall"/>
    <n v="3.5"/>
    <s v="No"/>
    <s v="No"/>
    <n v="3"/>
    <s v="PayPal"/>
    <s v="Monthly"/>
    <m/>
  </r>
  <r>
    <n v="1889"/>
    <x v="46"/>
    <x v="0"/>
    <s v="Hoodie"/>
    <s v="Clothing"/>
    <n v="89"/>
    <x v="45"/>
    <s v="XL"/>
    <s v="Turquoise"/>
    <s v="Winter"/>
    <n v="3.4"/>
    <s v="No"/>
    <s v="No"/>
    <n v="48"/>
    <s v="Credit Card"/>
    <s v="Weekly"/>
    <m/>
  </r>
  <r>
    <n v="1890"/>
    <x v="35"/>
    <x v="0"/>
    <s v="Skirt"/>
    <s v="Clothing"/>
    <n v="57"/>
    <x v="17"/>
    <s v="L"/>
    <s v="Peach"/>
    <s v="Spring"/>
    <n v="2.5"/>
    <s v="No"/>
    <s v="No"/>
    <n v="27"/>
    <s v="Bank Transfer"/>
    <s v="Weekly"/>
    <m/>
  </r>
  <r>
    <n v="1891"/>
    <x v="24"/>
    <x v="0"/>
    <s v="Sunglasses"/>
    <s v="Accessories"/>
    <n v="57"/>
    <x v="11"/>
    <s v="M"/>
    <s v="Lavender"/>
    <s v="Spring"/>
    <n v="3.4"/>
    <s v="No"/>
    <s v="No"/>
    <n v="5"/>
    <s v="Credit Card"/>
    <s v="Weekly"/>
    <m/>
  </r>
  <r>
    <n v="1892"/>
    <x v="28"/>
    <x v="0"/>
    <s v="Jewelry"/>
    <s v="Accessories"/>
    <n v="74"/>
    <x v="13"/>
    <s v="M"/>
    <s v="Gray"/>
    <s v="Summer"/>
    <n v="2.6"/>
    <s v="No"/>
    <s v="No"/>
    <n v="48"/>
    <s v="Debit Card"/>
    <s v="Quarterly"/>
    <m/>
  </r>
  <r>
    <n v="1893"/>
    <x v="31"/>
    <x v="0"/>
    <s v="Jacket"/>
    <s v="Outerwear"/>
    <n v="30"/>
    <x v="18"/>
    <s v="M"/>
    <s v="Blue"/>
    <s v="Fall"/>
    <n v="4.5999999999999996"/>
    <s v="No"/>
    <s v="No"/>
    <n v="12"/>
    <s v="Venmo"/>
    <s v="Weekly"/>
    <m/>
  </r>
  <r>
    <n v="1894"/>
    <x v="48"/>
    <x v="0"/>
    <s v="Dress"/>
    <s v="Clothing"/>
    <n v="20"/>
    <x v="12"/>
    <s v="L"/>
    <s v="Red"/>
    <s v="Summer"/>
    <n v="3.7"/>
    <s v="No"/>
    <s v="No"/>
    <n v="10"/>
    <s v="PayPal"/>
    <s v="Fortnightly"/>
    <m/>
  </r>
  <r>
    <n v="1895"/>
    <x v="32"/>
    <x v="0"/>
    <s v="Hoodie"/>
    <s v="Clothing"/>
    <n v="90"/>
    <x v="28"/>
    <s v="M"/>
    <s v="Purple"/>
    <s v="Fall"/>
    <n v="2.5"/>
    <s v="No"/>
    <s v="No"/>
    <n v="48"/>
    <s v="Debit Card"/>
    <s v="Bi-Weekly"/>
    <m/>
  </r>
  <r>
    <n v="1896"/>
    <x v="18"/>
    <x v="0"/>
    <s v="Jeans"/>
    <s v="Clothing"/>
    <n v="61"/>
    <x v="47"/>
    <s v="L"/>
    <s v="Indigo"/>
    <s v="Fall"/>
    <n v="4.5"/>
    <s v="No"/>
    <s v="No"/>
    <n v="3"/>
    <s v="Debit Card"/>
    <s v="Monthly"/>
    <m/>
  </r>
  <r>
    <n v="1897"/>
    <x v="9"/>
    <x v="0"/>
    <s v="Sandals"/>
    <s v="Footwear"/>
    <n v="51"/>
    <x v="22"/>
    <s v="M"/>
    <s v="Gold"/>
    <s v="Fall"/>
    <n v="2.9"/>
    <s v="No"/>
    <s v="No"/>
    <n v="19"/>
    <s v="Venmo"/>
    <s v="Monthly"/>
    <m/>
  </r>
  <r>
    <n v="1898"/>
    <x v="10"/>
    <x v="0"/>
    <s v="Sunglasses"/>
    <s v="Accessories"/>
    <n v="97"/>
    <x v="29"/>
    <s v="L"/>
    <s v="Teal"/>
    <s v="Winter"/>
    <n v="2.9"/>
    <s v="No"/>
    <s v="No"/>
    <n v="11"/>
    <s v="Debit Card"/>
    <s v="Fortnightly"/>
    <m/>
  </r>
  <r>
    <n v="1899"/>
    <x v="35"/>
    <x v="0"/>
    <s v="Pants"/>
    <s v="Clothing"/>
    <n v="97"/>
    <x v="21"/>
    <s v="L"/>
    <s v="Magenta"/>
    <s v="Fall"/>
    <n v="3.5"/>
    <s v="No"/>
    <s v="No"/>
    <n v="25"/>
    <s v="Venmo"/>
    <s v="Monthly"/>
    <m/>
  </r>
  <r>
    <n v="1900"/>
    <x v="45"/>
    <x v="0"/>
    <s v="Shorts"/>
    <s v="Clothing"/>
    <n v="40"/>
    <x v="14"/>
    <s v="L"/>
    <s v="Maroon"/>
    <s v="Winter"/>
    <n v="4.2"/>
    <s v="No"/>
    <s v="No"/>
    <n v="42"/>
    <s v="PayPal"/>
    <s v="Weekly"/>
    <m/>
  </r>
  <r>
    <n v="1901"/>
    <x v="13"/>
    <x v="0"/>
    <s v="Jewelry"/>
    <s v="Accessories"/>
    <n v="85"/>
    <x v="44"/>
    <s v="S"/>
    <s v="Blue"/>
    <s v="Summer"/>
    <n v="3.3"/>
    <s v="No"/>
    <s v="No"/>
    <n v="34"/>
    <s v="Cash"/>
    <s v="Quarterly"/>
    <m/>
  </r>
  <r>
    <n v="1902"/>
    <x v="19"/>
    <x v="0"/>
    <s v="Socks"/>
    <s v="Clothing"/>
    <n v="76"/>
    <x v="28"/>
    <s v="S"/>
    <s v="Beige"/>
    <s v="Winter"/>
    <n v="3.9"/>
    <s v="No"/>
    <s v="No"/>
    <n v="50"/>
    <s v="Cash"/>
    <s v="Quarterly"/>
    <m/>
  </r>
  <r>
    <n v="1903"/>
    <x v="18"/>
    <x v="0"/>
    <s v="Sandals"/>
    <s v="Footwear"/>
    <n v="22"/>
    <x v="35"/>
    <s v="S"/>
    <s v="Olive"/>
    <s v="Spring"/>
    <n v="5"/>
    <s v="No"/>
    <s v="No"/>
    <n v="21"/>
    <s v="Venmo"/>
    <s v="Monthly"/>
    <m/>
  </r>
  <r>
    <n v="1904"/>
    <x v="35"/>
    <x v="0"/>
    <s v="Pants"/>
    <s v="Clothing"/>
    <n v="63"/>
    <x v="17"/>
    <s v="M"/>
    <s v="Gold"/>
    <s v="Summer"/>
    <n v="3.3"/>
    <s v="No"/>
    <s v="No"/>
    <n v="37"/>
    <s v="Bank Transfer"/>
    <s v="Weekly"/>
    <m/>
  </r>
  <r>
    <n v="1905"/>
    <x v="40"/>
    <x v="0"/>
    <s v="T-shirt"/>
    <s v="Clothing"/>
    <n v="71"/>
    <x v="22"/>
    <s v="S"/>
    <s v="Silver"/>
    <s v="Spring"/>
    <n v="4.2"/>
    <s v="No"/>
    <s v="No"/>
    <n v="46"/>
    <s v="Cash"/>
    <s v="Monthly"/>
    <m/>
  </r>
  <r>
    <n v="1906"/>
    <x v="36"/>
    <x v="0"/>
    <s v="Boots"/>
    <s v="Footwear"/>
    <n v="35"/>
    <x v="37"/>
    <s v="M"/>
    <s v="Teal"/>
    <s v="Summer"/>
    <n v="4.9000000000000004"/>
    <s v="No"/>
    <s v="No"/>
    <n v="14"/>
    <s v="Bank Transfer"/>
    <s v="Fortnightly"/>
    <m/>
  </r>
  <r>
    <n v="1907"/>
    <x v="51"/>
    <x v="0"/>
    <s v="Backpack"/>
    <s v="Accessories"/>
    <n v="30"/>
    <x v="34"/>
    <s v="M"/>
    <s v="Green"/>
    <s v="Spring"/>
    <n v="4.5999999999999996"/>
    <s v="No"/>
    <s v="No"/>
    <n v="24"/>
    <s v="PayPal"/>
    <s v="Fortnightly"/>
    <m/>
  </r>
  <r>
    <n v="1908"/>
    <x v="28"/>
    <x v="0"/>
    <s v="Skirt"/>
    <s v="Clothing"/>
    <n v="74"/>
    <x v="35"/>
    <s v="L"/>
    <s v="Orange"/>
    <s v="Fall"/>
    <n v="4.8"/>
    <s v="No"/>
    <s v="No"/>
    <n v="36"/>
    <s v="Credit Card"/>
    <s v="Every 3 Months"/>
    <m/>
  </r>
  <r>
    <n v="1909"/>
    <x v="20"/>
    <x v="0"/>
    <s v="Scarf"/>
    <s v="Accessories"/>
    <n v="71"/>
    <x v="42"/>
    <s v="XL"/>
    <s v="Charcoal"/>
    <s v="Winter"/>
    <n v="2.7"/>
    <s v="No"/>
    <s v="No"/>
    <n v="19"/>
    <s v="Debit Card"/>
    <s v="Bi-Weekly"/>
    <m/>
  </r>
  <r>
    <n v="1910"/>
    <x v="2"/>
    <x v="0"/>
    <s v="Sweater"/>
    <s v="Clothing"/>
    <n v="84"/>
    <x v="0"/>
    <s v="S"/>
    <s v="Black"/>
    <s v="Spring"/>
    <n v="4.3"/>
    <s v="No"/>
    <s v="No"/>
    <n v="12"/>
    <s v="Credit Card"/>
    <s v="Monthly"/>
    <m/>
  </r>
  <r>
    <n v="1911"/>
    <x v="26"/>
    <x v="0"/>
    <s v="Sandals"/>
    <s v="Footwear"/>
    <n v="38"/>
    <x v="14"/>
    <s v="S"/>
    <s v="Yellow"/>
    <s v="Fall"/>
    <n v="3.8"/>
    <s v="No"/>
    <s v="No"/>
    <n v="13"/>
    <s v="Debit Card"/>
    <s v="Quarterly"/>
    <m/>
  </r>
  <r>
    <n v="1912"/>
    <x v="13"/>
    <x v="0"/>
    <s v="Jewelry"/>
    <s v="Accessories"/>
    <n v="81"/>
    <x v="28"/>
    <s v="M"/>
    <s v="Gray"/>
    <s v="Spring"/>
    <n v="4.9000000000000004"/>
    <s v="No"/>
    <s v="No"/>
    <n v="32"/>
    <s v="Debit Card"/>
    <s v="Bi-Weekly"/>
    <m/>
  </r>
  <r>
    <n v="1913"/>
    <x v="26"/>
    <x v="0"/>
    <s v="Sweater"/>
    <s v="Clothing"/>
    <n v="56"/>
    <x v="24"/>
    <s v="S"/>
    <s v="Charcoal"/>
    <s v="Winter"/>
    <n v="3.4"/>
    <s v="No"/>
    <s v="No"/>
    <n v="5"/>
    <s v="Credit Card"/>
    <s v="Bi-Weekly"/>
    <m/>
  </r>
  <r>
    <n v="1914"/>
    <x v="34"/>
    <x v="0"/>
    <s v="Skirt"/>
    <s v="Clothing"/>
    <n v="48"/>
    <x v="0"/>
    <s v="M"/>
    <s v="Peach"/>
    <s v="Winter"/>
    <n v="3.6"/>
    <s v="No"/>
    <s v="No"/>
    <n v="29"/>
    <s v="Cash"/>
    <s v="Annually"/>
    <m/>
  </r>
  <r>
    <n v="1915"/>
    <x v="48"/>
    <x v="0"/>
    <s v="Shorts"/>
    <s v="Clothing"/>
    <n v="97"/>
    <x v="29"/>
    <s v="L"/>
    <s v="Green"/>
    <s v="Fall"/>
    <n v="3.4"/>
    <s v="No"/>
    <s v="No"/>
    <n v="40"/>
    <s v="Credit Card"/>
    <s v="Fortnightly"/>
    <m/>
  </r>
  <r>
    <n v="1916"/>
    <x v="47"/>
    <x v="0"/>
    <s v="Backpack"/>
    <s v="Accessories"/>
    <n v="74"/>
    <x v="15"/>
    <s v="M"/>
    <s v="Magenta"/>
    <s v="Fall"/>
    <n v="4.7"/>
    <s v="No"/>
    <s v="No"/>
    <n v="44"/>
    <s v="Cash"/>
    <s v="Weekly"/>
    <m/>
  </r>
  <r>
    <n v="1917"/>
    <x v="8"/>
    <x v="0"/>
    <s v="Hoodie"/>
    <s v="Clothing"/>
    <n v="50"/>
    <x v="39"/>
    <s v="S"/>
    <s v="Beige"/>
    <s v="Winter"/>
    <n v="3"/>
    <s v="No"/>
    <s v="No"/>
    <n v="3"/>
    <s v="Debit Card"/>
    <s v="Bi-Weekly"/>
    <m/>
  </r>
  <r>
    <n v="1918"/>
    <x v="21"/>
    <x v="0"/>
    <s v="Skirt"/>
    <s v="Clothing"/>
    <n v="71"/>
    <x v="11"/>
    <s v="L"/>
    <s v="Black"/>
    <s v="Winter"/>
    <n v="3.4"/>
    <s v="No"/>
    <s v="No"/>
    <n v="35"/>
    <s v="PayPal"/>
    <s v="Bi-Weekly"/>
    <m/>
  </r>
  <r>
    <n v="1919"/>
    <x v="25"/>
    <x v="0"/>
    <s v="Skirt"/>
    <s v="Clothing"/>
    <n v="33"/>
    <x v="37"/>
    <s v="S"/>
    <s v="Purple"/>
    <s v="Summer"/>
    <n v="4.5999999999999996"/>
    <s v="No"/>
    <s v="No"/>
    <n v="33"/>
    <s v="Debit Card"/>
    <s v="Monthly"/>
    <m/>
  </r>
  <r>
    <n v="1920"/>
    <x v="50"/>
    <x v="0"/>
    <s v="Backpack"/>
    <s v="Accessories"/>
    <n v="56"/>
    <x v="41"/>
    <s v="M"/>
    <s v="Olive"/>
    <s v="Summer"/>
    <n v="3.1"/>
    <s v="No"/>
    <s v="No"/>
    <n v="20"/>
    <s v="PayPal"/>
    <s v="Bi-Weekly"/>
    <m/>
  </r>
  <r>
    <n v="1921"/>
    <x v="47"/>
    <x v="0"/>
    <s v="Blouse"/>
    <s v="Clothing"/>
    <n v="84"/>
    <x v="39"/>
    <s v="M"/>
    <s v="Purple"/>
    <s v="Spring"/>
    <n v="2.8"/>
    <s v="No"/>
    <s v="No"/>
    <n v="40"/>
    <s v="Cash"/>
    <s v="Every 3 Months"/>
    <m/>
  </r>
  <r>
    <n v="1922"/>
    <x v="36"/>
    <x v="0"/>
    <s v="Shirt"/>
    <s v="Clothing"/>
    <n v="36"/>
    <x v="49"/>
    <s v="M"/>
    <s v="Green"/>
    <s v="Fall"/>
    <n v="3.5"/>
    <s v="No"/>
    <s v="No"/>
    <n v="13"/>
    <s v="Venmo"/>
    <s v="Annually"/>
    <m/>
  </r>
  <r>
    <n v="1923"/>
    <x v="20"/>
    <x v="0"/>
    <s v="Gloves"/>
    <s v="Accessories"/>
    <n v="63"/>
    <x v="0"/>
    <s v="S"/>
    <s v="Peach"/>
    <s v="Summer"/>
    <n v="4.5999999999999996"/>
    <s v="No"/>
    <s v="No"/>
    <n v="9"/>
    <s v="PayPal"/>
    <s v="Monthly"/>
    <m/>
  </r>
  <r>
    <n v="1924"/>
    <x v="14"/>
    <x v="0"/>
    <s v="Sandals"/>
    <s v="Footwear"/>
    <n v="36"/>
    <x v="43"/>
    <s v="XL"/>
    <s v="Blue"/>
    <s v="Summer"/>
    <n v="4.3"/>
    <s v="No"/>
    <s v="No"/>
    <n v="7"/>
    <s v="Cash"/>
    <s v="Annually"/>
    <m/>
  </r>
  <r>
    <n v="1925"/>
    <x v="11"/>
    <x v="0"/>
    <s v="Jacket"/>
    <s v="Outerwear"/>
    <n v="63"/>
    <x v="49"/>
    <s v="M"/>
    <s v="Gray"/>
    <s v="Fall"/>
    <n v="4.8"/>
    <s v="No"/>
    <s v="No"/>
    <n v="42"/>
    <s v="PayPal"/>
    <s v="Quarterly"/>
    <m/>
  </r>
  <r>
    <n v="1926"/>
    <x v="35"/>
    <x v="0"/>
    <s v="Sneakers"/>
    <s v="Footwear"/>
    <n v="32"/>
    <x v="40"/>
    <s v="L"/>
    <s v="Black"/>
    <s v="Winter"/>
    <n v="2.9"/>
    <s v="No"/>
    <s v="No"/>
    <n v="44"/>
    <s v="Credit Card"/>
    <s v="Fortnightly"/>
    <m/>
  </r>
  <r>
    <n v="1927"/>
    <x v="17"/>
    <x v="0"/>
    <s v="Backpack"/>
    <s v="Accessories"/>
    <n v="93"/>
    <x v="35"/>
    <s v="M"/>
    <s v="Silver"/>
    <s v="Spring"/>
    <n v="3"/>
    <s v="No"/>
    <s v="No"/>
    <n v="6"/>
    <s v="PayPal"/>
    <s v="Annually"/>
    <m/>
  </r>
  <r>
    <n v="1928"/>
    <x v="37"/>
    <x v="0"/>
    <s v="Pants"/>
    <s v="Clothing"/>
    <n v="29"/>
    <x v="20"/>
    <s v="M"/>
    <s v="Pink"/>
    <s v="Summer"/>
    <n v="2.9"/>
    <s v="No"/>
    <s v="No"/>
    <n v="8"/>
    <s v="Cash"/>
    <s v="Every 3 Months"/>
    <m/>
  </r>
  <r>
    <n v="1929"/>
    <x v="15"/>
    <x v="0"/>
    <s v="Sunglasses"/>
    <s v="Accessories"/>
    <n v="92"/>
    <x v="16"/>
    <s v="S"/>
    <s v="Lavender"/>
    <s v="Summer"/>
    <n v="3.7"/>
    <s v="No"/>
    <s v="No"/>
    <n v="10"/>
    <s v="PayPal"/>
    <s v="Weekly"/>
    <m/>
  </r>
  <r>
    <n v="1930"/>
    <x v="35"/>
    <x v="0"/>
    <s v="Jeans"/>
    <s v="Clothing"/>
    <n v="33"/>
    <x v="11"/>
    <s v="L"/>
    <s v="Brown"/>
    <s v="Fall"/>
    <n v="4.7"/>
    <s v="No"/>
    <s v="No"/>
    <n v="46"/>
    <s v="Venmo"/>
    <s v="Quarterly"/>
    <m/>
  </r>
  <r>
    <n v="1931"/>
    <x v="17"/>
    <x v="0"/>
    <s v="Pants"/>
    <s v="Clothing"/>
    <n v="52"/>
    <x v="17"/>
    <s v="L"/>
    <s v="Turquoise"/>
    <s v="Spring"/>
    <n v="3.5"/>
    <s v="No"/>
    <s v="No"/>
    <n v="26"/>
    <s v="Cash"/>
    <s v="Weekly"/>
    <m/>
  </r>
  <r>
    <n v="1932"/>
    <x v="22"/>
    <x v="0"/>
    <s v="Jewelry"/>
    <s v="Accessories"/>
    <n v="42"/>
    <x v="26"/>
    <s v="S"/>
    <s v="Olive"/>
    <s v="Spring"/>
    <n v="2.7"/>
    <s v="No"/>
    <s v="No"/>
    <n v="6"/>
    <s v="Debit Card"/>
    <s v="Every 3 Months"/>
    <m/>
  </r>
  <r>
    <n v="1933"/>
    <x v="32"/>
    <x v="0"/>
    <s v="Hoodie"/>
    <s v="Clothing"/>
    <n v="36"/>
    <x v="33"/>
    <s v="M"/>
    <s v="White"/>
    <s v="Spring"/>
    <n v="5"/>
    <s v="No"/>
    <s v="No"/>
    <n v="47"/>
    <s v="Credit Card"/>
    <s v="Every 3 Months"/>
    <m/>
  </r>
  <r>
    <n v="1934"/>
    <x v="39"/>
    <x v="0"/>
    <s v="Sandals"/>
    <s v="Footwear"/>
    <n v="67"/>
    <x v="6"/>
    <s v="L"/>
    <s v="Violet"/>
    <s v="Summer"/>
    <n v="4.0999999999999996"/>
    <s v="No"/>
    <s v="No"/>
    <n v="28"/>
    <s v="Venmo"/>
    <s v="Annually"/>
    <m/>
  </r>
  <r>
    <n v="1935"/>
    <x v="50"/>
    <x v="0"/>
    <s v="Jacket"/>
    <s v="Outerwear"/>
    <n v="43"/>
    <x v="49"/>
    <s v="L"/>
    <s v="Gold"/>
    <s v="Winter"/>
    <n v="2.7"/>
    <s v="No"/>
    <s v="No"/>
    <n v="23"/>
    <s v="Bank Transfer"/>
    <s v="Annually"/>
    <m/>
  </r>
  <r>
    <n v="1936"/>
    <x v="1"/>
    <x v="0"/>
    <s v="Blouse"/>
    <s v="Clothing"/>
    <n v="68"/>
    <x v="17"/>
    <s v="XL"/>
    <s v="Violet"/>
    <s v="Spring"/>
    <n v="4.8"/>
    <s v="No"/>
    <s v="No"/>
    <n v="45"/>
    <s v="Cash"/>
    <s v="Fortnightly"/>
    <m/>
  </r>
  <r>
    <n v="1937"/>
    <x v="27"/>
    <x v="0"/>
    <s v="Jewelry"/>
    <s v="Accessories"/>
    <n v="60"/>
    <x v="46"/>
    <s v="S"/>
    <s v="Teal"/>
    <s v="Summer"/>
    <n v="4.3"/>
    <s v="No"/>
    <s v="No"/>
    <n v="44"/>
    <s v="PayPal"/>
    <s v="Every 3 Months"/>
    <m/>
  </r>
  <r>
    <n v="1938"/>
    <x v="49"/>
    <x v="0"/>
    <s v="Socks"/>
    <s v="Clothing"/>
    <n v="53"/>
    <x v="12"/>
    <s v="M"/>
    <s v="Olive"/>
    <s v="Summer"/>
    <n v="4.5"/>
    <s v="No"/>
    <s v="No"/>
    <n v="11"/>
    <s v="Bank Transfer"/>
    <s v="Monthly"/>
    <m/>
  </r>
  <r>
    <n v="1939"/>
    <x v="5"/>
    <x v="0"/>
    <s v="Jeans"/>
    <s v="Clothing"/>
    <n v="23"/>
    <x v="0"/>
    <s v="L"/>
    <s v="Blue"/>
    <s v="Spring"/>
    <n v="3.8"/>
    <s v="No"/>
    <s v="No"/>
    <n v="39"/>
    <s v="Debit Card"/>
    <s v="Bi-Weekly"/>
    <m/>
  </r>
  <r>
    <n v="1940"/>
    <x v="17"/>
    <x v="0"/>
    <s v="Gloves"/>
    <s v="Accessories"/>
    <n v="57"/>
    <x v="31"/>
    <s v="L"/>
    <s v="Magenta"/>
    <s v="Winter"/>
    <n v="3.7"/>
    <s v="No"/>
    <s v="No"/>
    <n v="20"/>
    <s v="PayPal"/>
    <s v="Every 3 Months"/>
    <m/>
  </r>
  <r>
    <n v="1941"/>
    <x v="2"/>
    <x v="0"/>
    <s v="Hat"/>
    <s v="Accessories"/>
    <n v="89"/>
    <x v="29"/>
    <s v="L"/>
    <s v="Gray"/>
    <s v="Fall"/>
    <n v="3.9"/>
    <s v="No"/>
    <s v="No"/>
    <n v="48"/>
    <s v="PayPal"/>
    <s v="Fortnightly"/>
    <m/>
  </r>
  <r>
    <n v="1942"/>
    <x v="0"/>
    <x v="0"/>
    <s v="Shoes"/>
    <s v="Footwear"/>
    <n v="99"/>
    <x v="34"/>
    <s v="XL"/>
    <s v="Peach"/>
    <s v="Winter"/>
    <n v="3.3"/>
    <s v="No"/>
    <s v="No"/>
    <n v="46"/>
    <s v="Credit Card"/>
    <s v="Quarterly"/>
    <m/>
  </r>
  <r>
    <n v="1943"/>
    <x v="6"/>
    <x v="0"/>
    <s v="Pants"/>
    <s v="Clothing"/>
    <n v="28"/>
    <x v="15"/>
    <s v="M"/>
    <s v="Cyan"/>
    <s v="Fall"/>
    <n v="3.4"/>
    <s v="No"/>
    <s v="No"/>
    <n v="22"/>
    <s v="PayPal"/>
    <s v="Monthly"/>
    <m/>
  </r>
  <r>
    <n v="1944"/>
    <x v="45"/>
    <x v="0"/>
    <s v="Socks"/>
    <s v="Clothing"/>
    <n v="53"/>
    <x v="48"/>
    <s v="L"/>
    <s v="Violet"/>
    <s v="Summer"/>
    <n v="3.8"/>
    <s v="No"/>
    <s v="No"/>
    <n v="45"/>
    <s v="Cash"/>
    <s v="Annually"/>
    <m/>
  </r>
  <r>
    <n v="1945"/>
    <x v="11"/>
    <x v="0"/>
    <s v="Hoodie"/>
    <s v="Clothing"/>
    <n v="45"/>
    <x v="10"/>
    <s v="M"/>
    <s v="Gold"/>
    <s v="Winter"/>
    <n v="2.7"/>
    <s v="No"/>
    <s v="No"/>
    <n v="49"/>
    <s v="Cash"/>
    <s v="Every 3 Months"/>
    <m/>
  </r>
  <r>
    <n v="1946"/>
    <x v="25"/>
    <x v="0"/>
    <s v="Hoodie"/>
    <s v="Clothing"/>
    <n v="38"/>
    <x v="42"/>
    <s v="M"/>
    <s v="Gold"/>
    <s v="Winter"/>
    <n v="2.9"/>
    <s v="No"/>
    <s v="No"/>
    <n v="9"/>
    <s v="Credit Card"/>
    <s v="Every 3 Months"/>
    <m/>
  </r>
  <r>
    <n v="1947"/>
    <x v="35"/>
    <x v="0"/>
    <s v="Pants"/>
    <s v="Clothing"/>
    <n v="49"/>
    <x v="7"/>
    <s v="M"/>
    <s v="White"/>
    <s v="Summer"/>
    <n v="4.5"/>
    <s v="No"/>
    <s v="No"/>
    <n v="41"/>
    <s v="Credit Card"/>
    <s v="Quarterly"/>
    <m/>
  </r>
  <r>
    <n v="1948"/>
    <x v="35"/>
    <x v="0"/>
    <s v="Shirt"/>
    <s v="Clothing"/>
    <n v="32"/>
    <x v="14"/>
    <s v="M"/>
    <s v="Gray"/>
    <s v="Summer"/>
    <n v="2.6"/>
    <s v="No"/>
    <s v="No"/>
    <n v="2"/>
    <s v="PayPal"/>
    <s v="Monthly"/>
    <m/>
  </r>
  <r>
    <n v="1949"/>
    <x v="22"/>
    <x v="0"/>
    <s v="T-shirt"/>
    <s v="Clothing"/>
    <n v="37"/>
    <x v="39"/>
    <s v="L"/>
    <s v="Brown"/>
    <s v="Winter"/>
    <n v="3.1"/>
    <s v="No"/>
    <s v="No"/>
    <n v="39"/>
    <s v="PayPal"/>
    <s v="Bi-Weekly"/>
    <m/>
  </r>
  <r>
    <n v="1950"/>
    <x v="6"/>
    <x v="0"/>
    <s v="Dress"/>
    <s v="Clothing"/>
    <n v="80"/>
    <x v="43"/>
    <s v="L"/>
    <s v="Gray"/>
    <s v="Winter"/>
    <n v="4.7"/>
    <s v="No"/>
    <s v="No"/>
    <n v="12"/>
    <s v="PayPal"/>
    <s v="Quarterly"/>
    <m/>
  </r>
  <r>
    <n v="1951"/>
    <x v="49"/>
    <x v="0"/>
    <s v="Backpack"/>
    <s v="Accessories"/>
    <n v="78"/>
    <x v="10"/>
    <s v="L"/>
    <s v="Blue"/>
    <s v="Summer"/>
    <n v="4.5999999999999996"/>
    <s v="No"/>
    <s v="No"/>
    <n v="26"/>
    <s v="PayPal"/>
    <s v="Every 3 Months"/>
    <m/>
  </r>
  <r>
    <n v="1952"/>
    <x v="23"/>
    <x v="0"/>
    <s v="Gloves"/>
    <s v="Accessories"/>
    <n v="53"/>
    <x v="39"/>
    <s v="L"/>
    <s v="Gold"/>
    <s v="Summer"/>
    <n v="2.7"/>
    <s v="No"/>
    <s v="No"/>
    <n v="32"/>
    <s v="Bank Transfer"/>
    <s v="Bi-Weekly"/>
    <m/>
  </r>
  <r>
    <n v="1953"/>
    <x v="9"/>
    <x v="0"/>
    <s v="Shoes"/>
    <s v="Footwear"/>
    <n v="82"/>
    <x v="33"/>
    <s v="L"/>
    <s v="Yellow"/>
    <s v="Summer"/>
    <n v="4.5999999999999996"/>
    <s v="No"/>
    <s v="No"/>
    <n v="50"/>
    <s v="Cash"/>
    <s v="Bi-Weekly"/>
    <m/>
  </r>
  <r>
    <n v="1954"/>
    <x v="15"/>
    <x v="0"/>
    <s v="Skirt"/>
    <s v="Clothing"/>
    <n v="33"/>
    <x v="24"/>
    <s v="XL"/>
    <s v="Green"/>
    <s v="Spring"/>
    <n v="4.8"/>
    <s v="No"/>
    <s v="No"/>
    <n v="3"/>
    <s v="PayPal"/>
    <s v="Fortnightly"/>
    <m/>
  </r>
  <r>
    <n v="1955"/>
    <x v="8"/>
    <x v="0"/>
    <s v="Gloves"/>
    <s v="Accessories"/>
    <n v="77"/>
    <x v="24"/>
    <s v="M"/>
    <s v="Pink"/>
    <s v="Winter"/>
    <n v="4.2"/>
    <s v="No"/>
    <s v="No"/>
    <n v="3"/>
    <s v="Venmo"/>
    <s v="Quarterly"/>
    <m/>
  </r>
  <r>
    <n v="1956"/>
    <x v="2"/>
    <x v="0"/>
    <s v="Hoodie"/>
    <s v="Clothing"/>
    <n v="56"/>
    <x v="1"/>
    <s v="M"/>
    <s v="Pink"/>
    <s v="Winter"/>
    <n v="4.9000000000000004"/>
    <s v="No"/>
    <s v="No"/>
    <n v="37"/>
    <s v="Cash"/>
    <s v="Monthly"/>
    <m/>
  </r>
  <r>
    <n v="1957"/>
    <x v="27"/>
    <x v="0"/>
    <s v="Socks"/>
    <s v="Clothing"/>
    <n v="37"/>
    <x v="19"/>
    <s v="M"/>
    <s v="Pink"/>
    <s v="Winter"/>
    <n v="4.9000000000000004"/>
    <s v="No"/>
    <s v="No"/>
    <n v="20"/>
    <s v="Credit Card"/>
    <s v="Fortnightly"/>
    <m/>
  </r>
  <r>
    <n v="1958"/>
    <x v="33"/>
    <x v="0"/>
    <s v="Gloves"/>
    <s v="Accessories"/>
    <n v="54"/>
    <x v="36"/>
    <s v="M"/>
    <s v="Cyan"/>
    <s v="Spring"/>
    <n v="4.5"/>
    <s v="No"/>
    <s v="No"/>
    <n v="26"/>
    <s v="Cash"/>
    <s v="Bi-Weekly"/>
    <m/>
  </r>
  <r>
    <n v="1959"/>
    <x v="31"/>
    <x v="0"/>
    <s v="Shorts"/>
    <s v="Clothing"/>
    <n v="67"/>
    <x v="22"/>
    <s v="M"/>
    <s v="Gray"/>
    <s v="Winter"/>
    <n v="2.7"/>
    <s v="No"/>
    <s v="No"/>
    <n v="47"/>
    <s v="Cash"/>
    <s v="Quarterly"/>
    <m/>
  </r>
  <r>
    <n v="1960"/>
    <x v="5"/>
    <x v="0"/>
    <s v="Shoes"/>
    <s v="Footwear"/>
    <n v="90"/>
    <x v="24"/>
    <s v="M"/>
    <s v="White"/>
    <s v="Fall"/>
    <n v="3.1"/>
    <s v="No"/>
    <s v="No"/>
    <n v="7"/>
    <s v="Credit Card"/>
    <s v="Every 3 Months"/>
    <m/>
  </r>
  <r>
    <n v="1961"/>
    <x v="9"/>
    <x v="0"/>
    <s v="Jeans"/>
    <s v="Clothing"/>
    <n v="72"/>
    <x v="2"/>
    <s v="L"/>
    <s v="Red"/>
    <s v="Summer"/>
    <n v="3.3"/>
    <s v="No"/>
    <s v="No"/>
    <n v="40"/>
    <s v="Credit Card"/>
    <s v="Annually"/>
    <m/>
  </r>
  <r>
    <n v="1962"/>
    <x v="36"/>
    <x v="0"/>
    <s v="Boots"/>
    <s v="Footwear"/>
    <n v="59"/>
    <x v="22"/>
    <s v="L"/>
    <s v="Black"/>
    <s v="Summer"/>
    <n v="2.6"/>
    <s v="No"/>
    <s v="No"/>
    <n v="45"/>
    <s v="Debit Card"/>
    <s v="Quarterly"/>
    <m/>
  </r>
  <r>
    <n v="1963"/>
    <x v="37"/>
    <x v="0"/>
    <s v="Hat"/>
    <s v="Accessories"/>
    <n v="45"/>
    <x v="44"/>
    <s v="M"/>
    <s v="Silver"/>
    <s v="Fall"/>
    <n v="4.4000000000000004"/>
    <s v="No"/>
    <s v="No"/>
    <n v="20"/>
    <s v="PayPal"/>
    <s v="Fortnightly"/>
    <m/>
  </r>
  <r>
    <n v="1964"/>
    <x v="16"/>
    <x v="0"/>
    <s v="Shorts"/>
    <s v="Clothing"/>
    <n v="30"/>
    <x v="49"/>
    <s v="L"/>
    <s v="Pink"/>
    <s v="Spring"/>
    <n v="3.9"/>
    <s v="No"/>
    <s v="No"/>
    <n v="11"/>
    <s v="Credit Card"/>
    <s v="Weekly"/>
    <m/>
  </r>
  <r>
    <n v="1965"/>
    <x v="37"/>
    <x v="0"/>
    <s v="Pants"/>
    <s v="Clothing"/>
    <n v="51"/>
    <x v="8"/>
    <s v="S"/>
    <s v="Cyan"/>
    <s v="Summer"/>
    <n v="4.5999999999999996"/>
    <s v="No"/>
    <s v="No"/>
    <n v="50"/>
    <s v="Debit Card"/>
    <s v="Monthly"/>
    <m/>
  </r>
  <r>
    <n v="1966"/>
    <x v="29"/>
    <x v="0"/>
    <s v="Sweater"/>
    <s v="Clothing"/>
    <n v="90"/>
    <x v="27"/>
    <s v="M"/>
    <s v="White"/>
    <s v="Fall"/>
    <n v="4.9000000000000004"/>
    <s v="No"/>
    <s v="No"/>
    <n v="25"/>
    <s v="Debit Card"/>
    <s v="Quarterly"/>
    <m/>
  </r>
  <r>
    <n v="1967"/>
    <x v="29"/>
    <x v="0"/>
    <s v="Jacket"/>
    <s v="Outerwear"/>
    <n v="95"/>
    <x v="27"/>
    <s v="XL"/>
    <s v="Purple"/>
    <s v="Winter"/>
    <n v="3.7"/>
    <s v="No"/>
    <s v="No"/>
    <n v="5"/>
    <s v="Credit Card"/>
    <s v="Fortnightly"/>
    <m/>
  </r>
  <r>
    <n v="1968"/>
    <x v="43"/>
    <x v="0"/>
    <s v="Dress"/>
    <s v="Clothing"/>
    <n v="81"/>
    <x v="42"/>
    <s v="L"/>
    <s v="Yellow"/>
    <s v="Fall"/>
    <n v="3.7"/>
    <s v="No"/>
    <s v="No"/>
    <n v="4"/>
    <s v="Venmo"/>
    <s v="Annually"/>
    <m/>
  </r>
  <r>
    <n v="1969"/>
    <x v="29"/>
    <x v="0"/>
    <s v="Shirt"/>
    <s v="Clothing"/>
    <n v="70"/>
    <x v="46"/>
    <s v="S"/>
    <s v="Blue"/>
    <s v="Spring"/>
    <n v="4.2"/>
    <s v="No"/>
    <s v="No"/>
    <n v="25"/>
    <s v="Credit Card"/>
    <s v="Weekly"/>
    <m/>
  </r>
  <r>
    <n v="1970"/>
    <x v="14"/>
    <x v="0"/>
    <s v="Dress"/>
    <s v="Clothing"/>
    <n v="32"/>
    <x v="7"/>
    <s v="S"/>
    <s v="Cyan"/>
    <s v="Winter"/>
    <n v="3.5"/>
    <s v="No"/>
    <s v="No"/>
    <n v="11"/>
    <s v="Bank Transfer"/>
    <s v="Fortnightly"/>
    <m/>
  </r>
  <r>
    <n v="1971"/>
    <x v="48"/>
    <x v="0"/>
    <s v="Belt"/>
    <s v="Accessories"/>
    <n v="94"/>
    <x v="33"/>
    <s v="M"/>
    <s v="Indigo"/>
    <s v="Spring"/>
    <n v="2.9"/>
    <s v="No"/>
    <s v="No"/>
    <n v="4"/>
    <s v="Credit Card"/>
    <s v="Bi-Weekly"/>
    <m/>
  </r>
  <r>
    <n v="1972"/>
    <x v="22"/>
    <x v="0"/>
    <s v="Hat"/>
    <s v="Accessories"/>
    <n v="29"/>
    <x v="38"/>
    <s v="XL"/>
    <s v="Indigo"/>
    <s v="Spring"/>
    <n v="3.4"/>
    <s v="No"/>
    <s v="No"/>
    <n v="1"/>
    <s v="Venmo"/>
    <s v="Monthly"/>
    <m/>
  </r>
  <r>
    <n v="1973"/>
    <x v="22"/>
    <x v="0"/>
    <s v="Backpack"/>
    <s v="Accessories"/>
    <n v="31"/>
    <x v="7"/>
    <s v="M"/>
    <s v="Silver"/>
    <s v="Summer"/>
    <n v="3.3"/>
    <s v="No"/>
    <s v="No"/>
    <n v="48"/>
    <s v="PayPal"/>
    <s v="Every 3 Months"/>
    <m/>
  </r>
  <r>
    <n v="1974"/>
    <x v="41"/>
    <x v="0"/>
    <s v="Skirt"/>
    <s v="Clothing"/>
    <n v="20"/>
    <x v="33"/>
    <s v="XL"/>
    <s v="Red"/>
    <s v="Fall"/>
    <n v="4.5"/>
    <s v="No"/>
    <s v="No"/>
    <n v="9"/>
    <s v="Venmo"/>
    <s v="Every 3 Months"/>
    <m/>
  </r>
  <r>
    <n v="1975"/>
    <x v="7"/>
    <x v="0"/>
    <s v="Gloves"/>
    <s v="Accessories"/>
    <n v="44"/>
    <x v="30"/>
    <s v="M"/>
    <s v="Peach"/>
    <s v="Winter"/>
    <n v="4.5999999999999996"/>
    <s v="No"/>
    <s v="No"/>
    <n v="2"/>
    <s v="PayPal"/>
    <s v="Fortnightly"/>
    <m/>
  </r>
  <r>
    <n v="1976"/>
    <x v="10"/>
    <x v="0"/>
    <s v="Jacket"/>
    <s v="Outerwear"/>
    <n v="77"/>
    <x v="26"/>
    <s v="L"/>
    <s v="Turquoise"/>
    <s v="Fall"/>
    <n v="2.9"/>
    <s v="No"/>
    <s v="No"/>
    <n v="4"/>
    <s v="Cash"/>
    <s v="Quarterly"/>
    <m/>
  </r>
  <r>
    <n v="1977"/>
    <x v="45"/>
    <x v="0"/>
    <s v="Handbag"/>
    <s v="Accessories"/>
    <n v="51"/>
    <x v="5"/>
    <s v="M"/>
    <s v="Pink"/>
    <s v="Spring"/>
    <n v="3.2"/>
    <s v="No"/>
    <s v="No"/>
    <n v="43"/>
    <s v="PayPal"/>
    <s v="Fortnightly"/>
    <m/>
  </r>
  <r>
    <n v="1978"/>
    <x v="41"/>
    <x v="0"/>
    <s v="Sandals"/>
    <s v="Footwear"/>
    <n v="49"/>
    <x v="20"/>
    <s v="M"/>
    <s v="Teal"/>
    <s v="Summer"/>
    <n v="2.6"/>
    <s v="No"/>
    <s v="No"/>
    <n v="32"/>
    <s v="Bank Transfer"/>
    <s v="Annually"/>
    <m/>
  </r>
  <r>
    <n v="1979"/>
    <x v="4"/>
    <x v="0"/>
    <s v="Sunglasses"/>
    <s v="Accessories"/>
    <n v="78"/>
    <x v="2"/>
    <s v="L"/>
    <s v="Magenta"/>
    <s v="Spring"/>
    <n v="3.8"/>
    <s v="No"/>
    <s v="No"/>
    <n v="1"/>
    <s v="Cash"/>
    <s v="Quarterly"/>
    <m/>
  </r>
  <r>
    <n v="1980"/>
    <x v="34"/>
    <x v="0"/>
    <s v="Jeans"/>
    <s v="Clothing"/>
    <n v="98"/>
    <x v="30"/>
    <s v="L"/>
    <s v="Blue"/>
    <s v="Spring"/>
    <n v="2.8"/>
    <s v="No"/>
    <s v="No"/>
    <n v="38"/>
    <s v="Debit Card"/>
    <s v="Fortnightly"/>
    <m/>
  </r>
  <r>
    <n v="1981"/>
    <x v="47"/>
    <x v="0"/>
    <s v="Sandals"/>
    <s v="Footwear"/>
    <n v="94"/>
    <x v="44"/>
    <s v="M"/>
    <s v="Green"/>
    <s v="Winter"/>
    <n v="4.4000000000000004"/>
    <s v="No"/>
    <s v="No"/>
    <n v="25"/>
    <s v="PayPal"/>
    <s v="Fortnightly"/>
    <m/>
  </r>
  <r>
    <n v="1982"/>
    <x v="28"/>
    <x v="0"/>
    <s v="Shoes"/>
    <s v="Footwear"/>
    <n v="91"/>
    <x v="49"/>
    <s v="L"/>
    <s v="Violet"/>
    <s v="Summer"/>
    <n v="4.7"/>
    <s v="No"/>
    <s v="No"/>
    <n v="42"/>
    <s v="PayPal"/>
    <s v="Quarterly"/>
    <m/>
  </r>
  <r>
    <n v="1983"/>
    <x v="38"/>
    <x v="0"/>
    <s v="Sunglasses"/>
    <s v="Accessories"/>
    <n v="77"/>
    <x v="23"/>
    <s v="M"/>
    <s v="Turquoise"/>
    <s v="Summer"/>
    <n v="2.7"/>
    <s v="No"/>
    <s v="No"/>
    <n v="32"/>
    <s v="PayPal"/>
    <s v="Monthly"/>
    <m/>
  </r>
  <r>
    <n v="1984"/>
    <x v="35"/>
    <x v="0"/>
    <s v="Scarf"/>
    <s v="Accessories"/>
    <n v="97"/>
    <x v="42"/>
    <s v="M"/>
    <s v="Pink"/>
    <s v="Summer"/>
    <n v="2.6"/>
    <s v="No"/>
    <s v="No"/>
    <n v="21"/>
    <s v="Debit Card"/>
    <s v="Quarterly"/>
    <m/>
  </r>
  <r>
    <n v="1985"/>
    <x v="8"/>
    <x v="0"/>
    <s v="Skirt"/>
    <s v="Clothing"/>
    <n v="58"/>
    <x v="8"/>
    <s v="M"/>
    <s v="Black"/>
    <s v="Summer"/>
    <n v="3.4"/>
    <s v="No"/>
    <s v="No"/>
    <n v="26"/>
    <s v="PayPal"/>
    <s v="Fortnightly"/>
    <m/>
  </r>
  <r>
    <n v="1986"/>
    <x v="51"/>
    <x v="0"/>
    <s v="Gloves"/>
    <s v="Accessories"/>
    <n v="97"/>
    <x v="30"/>
    <s v="M"/>
    <s v="Gold"/>
    <s v="Spring"/>
    <n v="3.9"/>
    <s v="No"/>
    <s v="No"/>
    <n v="6"/>
    <s v="Credit Card"/>
    <s v="Fortnightly"/>
    <m/>
  </r>
  <r>
    <n v="1987"/>
    <x v="46"/>
    <x v="0"/>
    <s v="Coat"/>
    <s v="Outerwear"/>
    <n v="48"/>
    <x v="10"/>
    <s v="L"/>
    <s v="Green"/>
    <s v="Summer"/>
    <n v="3.4"/>
    <s v="No"/>
    <s v="No"/>
    <n v="14"/>
    <s v="Venmo"/>
    <s v="Quarterly"/>
    <m/>
  </r>
  <r>
    <n v="1988"/>
    <x v="28"/>
    <x v="0"/>
    <s v="Belt"/>
    <s v="Accessories"/>
    <n v="23"/>
    <x v="34"/>
    <s v="XL"/>
    <s v="White"/>
    <s v="Summer"/>
    <n v="3.4"/>
    <s v="No"/>
    <s v="No"/>
    <n v="4"/>
    <s v="Cash"/>
    <s v="Quarterly"/>
    <m/>
  </r>
  <r>
    <n v="1989"/>
    <x v="5"/>
    <x v="0"/>
    <s v="Pants"/>
    <s v="Clothing"/>
    <n v="79"/>
    <x v="41"/>
    <s v="M"/>
    <s v="Gold"/>
    <s v="Winter"/>
    <n v="3.9"/>
    <s v="No"/>
    <s v="No"/>
    <n v="26"/>
    <s v="Bank Transfer"/>
    <s v="Weekly"/>
    <m/>
  </r>
  <r>
    <n v="1990"/>
    <x v="25"/>
    <x v="0"/>
    <s v="Jewelry"/>
    <s v="Accessories"/>
    <n v="42"/>
    <x v="33"/>
    <s v="S"/>
    <s v="Charcoal"/>
    <s v="Spring"/>
    <n v="4"/>
    <s v="No"/>
    <s v="No"/>
    <n v="39"/>
    <s v="PayPal"/>
    <s v="Bi-Weekly"/>
    <m/>
  </r>
  <r>
    <n v="1991"/>
    <x v="45"/>
    <x v="0"/>
    <s v="Backpack"/>
    <s v="Accessories"/>
    <n v="95"/>
    <x v="39"/>
    <s v="L"/>
    <s v="White"/>
    <s v="Spring"/>
    <n v="3.4"/>
    <s v="No"/>
    <s v="No"/>
    <n v="15"/>
    <s v="PayPal"/>
    <s v="Annually"/>
    <m/>
  </r>
  <r>
    <n v="1992"/>
    <x v="5"/>
    <x v="0"/>
    <s v="Sneakers"/>
    <s v="Footwear"/>
    <n v="29"/>
    <x v="9"/>
    <s v="M"/>
    <s v="Brown"/>
    <s v="Summer"/>
    <n v="3.7"/>
    <s v="No"/>
    <s v="No"/>
    <n v="1"/>
    <s v="Venmo"/>
    <s v="Every 3 Months"/>
    <m/>
  </r>
  <r>
    <n v="1993"/>
    <x v="23"/>
    <x v="0"/>
    <s v="Hoodie"/>
    <s v="Clothing"/>
    <n v="98"/>
    <x v="32"/>
    <s v="L"/>
    <s v="Gold"/>
    <s v="Winter"/>
    <n v="4.9000000000000004"/>
    <s v="No"/>
    <s v="No"/>
    <n v="28"/>
    <s v="Venmo"/>
    <s v="Monthly"/>
    <m/>
  </r>
  <r>
    <n v="1994"/>
    <x v="45"/>
    <x v="0"/>
    <s v="Blouse"/>
    <s v="Clothing"/>
    <n v="96"/>
    <x v="10"/>
    <s v="S"/>
    <s v="Purple"/>
    <s v="Spring"/>
    <n v="5"/>
    <s v="No"/>
    <s v="No"/>
    <n v="17"/>
    <s v="Cash"/>
    <s v="Weekly"/>
    <m/>
  </r>
  <r>
    <n v="1995"/>
    <x v="23"/>
    <x v="0"/>
    <s v="Sunglasses"/>
    <s v="Accessories"/>
    <n v="66"/>
    <x v="22"/>
    <s v="M"/>
    <s v="Brown"/>
    <s v="Fall"/>
    <n v="2.9"/>
    <s v="No"/>
    <s v="No"/>
    <n v="24"/>
    <s v="Credit Card"/>
    <s v="Weekly"/>
    <m/>
  </r>
  <r>
    <n v="1996"/>
    <x v="29"/>
    <x v="0"/>
    <s v="Boots"/>
    <s v="Footwear"/>
    <n v="80"/>
    <x v="9"/>
    <s v="S"/>
    <s v="Teal"/>
    <s v="Spring"/>
    <n v="3"/>
    <s v="No"/>
    <s v="No"/>
    <n v="29"/>
    <s v="Debit Card"/>
    <s v="Quarterly"/>
    <m/>
  </r>
  <r>
    <n v="1997"/>
    <x v="29"/>
    <x v="0"/>
    <s v="Sneakers"/>
    <s v="Footwear"/>
    <n v="27"/>
    <x v="45"/>
    <s v="L"/>
    <s v="Indigo"/>
    <s v="Summer"/>
    <n v="3.3"/>
    <s v="No"/>
    <s v="No"/>
    <n v="18"/>
    <s v="Cash"/>
    <s v="Every 3 Months"/>
    <m/>
  </r>
  <r>
    <n v="1998"/>
    <x v="32"/>
    <x v="0"/>
    <s v="Backpack"/>
    <s v="Accessories"/>
    <n v="25"/>
    <x v="39"/>
    <s v="M"/>
    <s v="Purple"/>
    <s v="Fall"/>
    <n v="4.7"/>
    <s v="No"/>
    <s v="No"/>
    <n v="10"/>
    <s v="Debit Card"/>
    <s v="Bi-Weekly"/>
    <m/>
  </r>
  <r>
    <n v="1999"/>
    <x v="30"/>
    <x v="0"/>
    <s v="Pants"/>
    <s v="Clothing"/>
    <n v="45"/>
    <x v="34"/>
    <s v="M"/>
    <s v="Orange"/>
    <s v="Fall"/>
    <n v="3.4"/>
    <s v="No"/>
    <s v="No"/>
    <n v="19"/>
    <s v="Cash"/>
    <s v="Quarterly"/>
    <m/>
  </r>
  <r>
    <n v="2000"/>
    <x v="31"/>
    <x v="0"/>
    <s v="Socks"/>
    <s v="Clothing"/>
    <n v="89"/>
    <x v="30"/>
    <s v="L"/>
    <s v="Indigo"/>
    <s v="Winter"/>
    <n v="4.5999999999999996"/>
    <s v="No"/>
    <s v="No"/>
    <n v="26"/>
    <s v="Debit Card"/>
    <s v="Monthly"/>
    <m/>
  </r>
  <r>
    <n v="2001"/>
    <x v="8"/>
    <x v="0"/>
    <s v="Belt"/>
    <s v="Accessories"/>
    <n v="27"/>
    <x v="18"/>
    <s v="M"/>
    <s v="Lavender"/>
    <s v="Winter"/>
    <n v="3.6"/>
    <s v="No"/>
    <s v="No"/>
    <n v="25"/>
    <s v="Cash"/>
    <s v="Bi-Weekly"/>
    <m/>
  </r>
  <r>
    <n v="2002"/>
    <x v="47"/>
    <x v="0"/>
    <s v="Sunglasses"/>
    <s v="Accessories"/>
    <n v="90"/>
    <x v="5"/>
    <s v="S"/>
    <s v="Purple"/>
    <s v="Winter"/>
    <n v="2.6"/>
    <s v="No"/>
    <s v="No"/>
    <n v="2"/>
    <s v="Debit Card"/>
    <s v="Fortnightly"/>
    <m/>
  </r>
  <r>
    <n v="2003"/>
    <x v="18"/>
    <x v="0"/>
    <s v="Shirt"/>
    <s v="Clothing"/>
    <n v="65"/>
    <x v="14"/>
    <s v="M"/>
    <s v="Red"/>
    <s v="Summer"/>
    <n v="2.7"/>
    <s v="No"/>
    <s v="No"/>
    <n v="19"/>
    <s v="PayPal"/>
    <s v="Every 3 Months"/>
    <m/>
  </r>
  <r>
    <n v="2004"/>
    <x v="33"/>
    <x v="0"/>
    <s v="Sneakers"/>
    <s v="Footwear"/>
    <n v="72"/>
    <x v="1"/>
    <s v="S"/>
    <s v="Blue"/>
    <s v="Spring"/>
    <n v="3.1"/>
    <s v="No"/>
    <s v="No"/>
    <n v="32"/>
    <s v="Cash"/>
    <s v="Quarterly"/>
    <m/>
  </r>
  <r>
    <n v="2005"/>
    <x v="42"/>
    <x v="0"/>
    <s v="Shoes"/>
    <s v="Footwear"/>
    <n v="70"/>
    <x v="42"/>
    <s v="L"/>
    <s v="Blue"/>
    <s v="Fall"/>
    <n v="3.2"/>
    <s v="No"/>
    <s v="No"/>
    <n v="13"/>
    <s v="Cash"/>
    <s v="Bi-Weekly"/>
    <m/>
  </r>
  <r>
    <n v="2006"/>
    <x v="20"/>
    <x v="0"/>
    <s v="Sandals"/>
    <s v="Footwear"/>
    <n v="82"/>
    <x v="30"/>
    <s v="M"/>
    <s v="Cyan"/>
    <s v="Winter"/>
    <n v="3.4"/>
    <s v="No"/>
    <s v="No"/>
    <n v="30"/>
    <s v="PayPal"/>
    <s v="Fortnightly"/>
    <m/>
  </r>
  <r>
    <n v="2007"/>
    <x v="44"/>
    <x v="0"/>
    <s v="Scarf"/>
    <s v="Accessories"/>
    <n v="97"/>
    <x v="35"/>
    <s v="S"/>
    <s v="Pink"/>
    <s v="Fall"/>
    <n v="4.4000000000000004"/>
    <s v="No"/>
    <s v="No"/>
    <n v="2"/>
    <s v="Credit Card"/>
    <s v="Annually"/>
    <m/>
  </r>
  <r>
    <n v="2008"/>
    <x v="8"/>
    <x v="0"/>
    <s v="Shirt"/>
    <s v="Clothing"/>
    <n v="25"/>
    <x v="41"/>
    <s v="M"/>
    <s v="Silver"/>
    <s v="Summer"/>
    <n v="3.2"/>
    <s v="No"/>
    <s v="No"/>
    <n v="8"/>
    <s v="PayPal"/>
    <s v="Quarterly"/>
    <m/>
  </r>
  <r>
    <n v="2009"/>
    <x v="9"/>
    <x v="0"/>
    <s v="Skirt"/>
    <s v="Clothing"/>
    <n v="48"/>
    <x v="20"/>
    <s v="M"/>
    <s v="Gray"/>
    <s v="Spring"/>
    <n v="2.5"/>
    <s v="No"/>
    <s v="No"/>
    <n v="27"/>
    <s v="PayPal"/>
    <s v="Every 3 Months"/>
    <m/>
  </r>
  <r>
    <n v="2010"/>
    <x v="43"/>
    <x v="0"/>
    <s v="Boots"/>
    <s v="Footwear"/>
    <n v="99"/>
    <x v="15"/>
    <s v="M"/>
    <s v="Indigo"/>
    <s v="Summer"/>
    <n v="3.8"/>
    <s v="No"/>
    <s v="No"/>
    <n v="26"/>
    <s v="Venmo"/>
    <s v="Bi-Weekly"/>
    <m/>
  </r>
  <r>
    <n v="2011"/>
    <x v="41"/>
    <x v="0"/>
    <s v="Sweater"/>
    <s v="Clothing"/>
    <n v="21"/>
    <x v="21"/>
    <s v="M"/>
    <s v="Maroon"/>
    <s v="Summer"/>
    <n v="4.4000000000000004"/>
    <s v="No"/>
    <s v="No"/>
    <n v="3"/>
    <s v="Debit Card"/>
    <s v="Bi-Weekly"/>
    <m/>
  </r>
  <r>
    <n v="2012"/>
    <x v="9"/>
    <x v="0"/>
    <s v="Sandals"/>
    <s v="Footwear"/>
    <n v="94"/>
    <x v="8"/>
    <s v="M"/>
    <s v="Beige"/>
    <s v="Spring"/>
    <n v="3.7"/>
    <s v="No"/>
    <s v="No"/>
    <n v="4"/>
    <s v="Bank Transfer"/>
    <s v="Monthly"/>
    <m/>
  </r>
  <r>
    <n v="2013"/>
    <x v="39"/>
    <x v="0"/>
    <s v="Jeans"/>
    <s v="Clothing"/>
    <n v="53"/>
    <x v="22"/>
    <s v="L"/>
    <s v="Green"/>
    <s v="Fall"/>
    <n v="3.2"/>
    <s v="No"/>
    <s v="No"/>
    <n v="5"/>
    <s v="Cash"/>
    <s v="Fortnightly"/>
    <m/>
  </r>
  <r>
    <n v="2014"/>
    <x v="31"/>
    <x v="0"/>
    <s v="Backpack"/>
    <s v="Accessories"/>
    <n v="70"/>
    <x v="41"/>
    <s v="M"/>
    <s v="Peach"/>
    <s v="Winter"/>
    <n v="4.9000000000000004"/>
    <s v="No"/>
    <s v="No"/>
    <n v="25"/>
    <s v="Debit Card"/>
    <s v="Quarterly"/>
    <m/>
  </r>
  <r>
    <n v="2015"/>
    <x v="47"/>
    <x v="0"/>
    <s v="Skirt"/>
    <s v="Clothing"/>
    <n v="26"/>
    <x v="48"/>
    <s v="L"/>
    <s v="Black"/>
    <s v="Summer"/>
    <n v="3.9"/>
    <s v="No"/>
    <s v="No"/>
    <n v="47"/>
    <s v="PayPal"/>
    <s v="Bi-Weekly"/>
    <m/>
  </r>
  <r>
    <n v="2016"/>
    <x v="9"/>
    <x v="0"/>
    <s v="Belt"/>
    <s v="Accessories"/>
    <n v="82"/>
    <x v="41"/>
    <s v="S"/>
    <s v="Pink"/>
    <s v="Summer"/>
    <n v="4.5"/>
    <s v="No"/>
    <s v="No"/>
    <n v="8"/>
    <s v="Credit Card"/>
    <s v="Fortnightly"/>
    <m/>
  </r>
  <r>
    <n v="2017"/>
    <x v="10"/>
    <x v="0"/>
    <s v="Shoes"/>
    <s v="Footwear"/>
    <n v="47"/>
    <x v="1"/>
    <s v="S"/>
    <s v="Violet"/>
    <s v="Winter"/>
    <n v="3.4"/>
    <s v="No"/>
    <s v="No"/>
    <n v="20"/>
    <s v="Debit Card"/>
    <s v="Fortnightly"/>
    <m/>
  </r>
  <r>
    <n v="2018"/>
    <x v="27"/>
    <x v="0"/>
    <s v="Socks"/>
    <s v="Clothing"/>
    <n v="32"/>
    <x v="2"/>
    <s v="S"/>
    <s v="Green"/>
    <s v="Winter"/>
    <n v="4.0999999999999996"/>
    <s v="No"/>
    <s v="No"/>
    <n v="42"/>
    <s v="Bank Transfer"/>
    <s v="Every 3 Months"/>
    <m/>
  </r>
  <r>
    <n v="2019"/>
    <x v="52"/>
    <x v="0"/>
    <s v="Backpack"/>
    <s v="Accessories"/>
    <n v="97"/>
    <x v="10"/>
    <s v="S"/>
    <s v="Gold"/>
    <s v="Fall"/>
    <n v="4.5"/>
    <s v="No"/>
    <s v="No"/>
    <n v="20"/>
    <s v="Bank Transfer"/>
    <s v="Weekly"/>
    <m/>
  </r>
  <r>
    <n v="2020"/>
    <x v="18"/>
    <x v="0"/>
    <s v="Shirt"/>
    <s v="Clothing"/>
    <n v="68"/>
    <x v="37"/>
    <s v="S"/>
    <s v="Red"/>
    <s v="Winter"/>
    <n v="4.7"/>
    <s v="No"/>
    <s v="No"/>
    <n v="23"/>
    <s v="Cash"/>
    <s v="Fortnightly"/>
    <m/>
  </r>
  <r>
    <n v="2021"/>
    <x v="38"/>
    <x v="0"/>
    <s v="Sweater"/>
    <s v="Clothing"/>
    <n v="23"/>
    <x v="38"/>
    <s v="M"/>
    <s v="Beige"/>
    <s v="Winter"/>
    <n v="4.8"/>
    <s v="No"/>
    <s v="No"/>
    <n v="26"/>
    <s v="Cash"/>
    <s v="Quarterly"/>
    <m/>
  </r>
  <r>
    <n v="2022"/>
    <x v="46"/>
    <x v="0"/>
    <s v="Handbag"/>
    <s v="Accessories"/>
    <n v="33"/>
    <x v="1"/>
    <s v="M"/>
    <s v="Green"/>
    <s v="Winter"/>
    <n v="4.4000000000000004"/>
    <s v="No"/>
    <s v="No"/>
    <n v="48"/>
    <s v="Venmo"/>
    <s v="Quarterly"/>
    <m/>
  </r>
  <r>
    <n v="2023"/>
    <x v="35"/>
    <x v="0"/>
    <s v="Jewelry"/>
    <s v="Accessories"/>
    <n v="38"/>
    <x v="15"/>
    <s v="S"/>
    <s v="Black"/>
    <s v="Winter"/>
    <n v="4"/>
    <s v="No"/>
    <s v="No"/>
    <n v="16"/>
    <s v="Cash"/>
    <s v="Bi-Weekly"/>
    <m/>
  </r>
  <r>
    <n v="2024"/>
    <x v="5"/>
    <x v="0"/>
    <s v="Socks"/>
    <s v="Clothing"/>
    <n v="68"/>
    <x v="37"/>
    <s v="S"/>
    <s v="Teal"/>
    <s v="Winter"/>
    <n v="4.0999999999999996"/>
    <s v="No"/>
    <s v="No"/>
    <n v="28"/>
    <s v="Cash"/>
    <s v="Bi-Weekly"/>
    <m/>
  </r>
  <r>
    <n v="2025"/>
    <x v="46"/>
    <x v="0"/>
    <s v="Socks"/>
    <s v="Clothing"/>
    <n v="23"/>
    <x v="10"/>
    <s v="L"/>
    <s v="Silver"/>
    <s v="Fall"/>
    <n v="3.7"/>
    <s v="No"/>
    <s v="No"/>
    <n v="39"/>
    <s v="PayPal"/>
    <s v="Weekly"/>
    <m/>
  </r>
  <r>
    <n v="2026"/>
    <x v="32"/>
    <x v="0"/>
    <s v="Shirt"/>
    <s v="Clothing"/>
    <n v="29"/>
    <x v="12"/>
    <s v="M"/>
    <s v="Turquoise"/>
    <s v="Summer"/>
    <n v="3"/>
    <s v="No"/>
    <s v="No"/>
    <n v="43"/>
    <s v="Debit Card"/>
    <s v="Fortnightly"/>
    <m/>
  </r>
  <r>
    <n v="2027"/>
    <x v="43"/>
    <x v="0"/>
    <s v="Scarf"/>
    <s v="Accessories"/>
    <n v="35"/>
    <x v="1"/>
    <s v="M"/>
    <s v="Orange"/>
    <s v="Winter"/>
    <n v="3.6"/>
    <s v="No"/>
    <s v="No"/>
    <n v="45"/>
    <s v="Bank Transfer"/>
    <s v="Every 3 Months"/>
    <m/>
  </r>
  <r>
    <n v="2028"/>
    <x v="2"/>
    <x v="0"/>
    <s v="Shoes"/>
    <s v="Footwear"/>
    <n v="73"/>
    <x v="43"/>
    <s v="S"/>
    <s v="Gold"/>
    <s v="Fall"/>
    <n v="4.8"/>
    <s v="No"/>
    <s v="No"/>
    <n v="50"/>
    <s v="Credit Card"/>
    <s v="Every 3 Months"/>
    <m/>
  </r>
  <r>
    <n v="2029"/>
    <x v="26"/>
    <x v="0"/>
    <s v="Shoes"/>
    <s v="Footwear"/>
    <n v="84"/>
    <x v="31"/>
    <s v="XL"/>
    <s v="Purple"/>
    <s v="Fall"/>
    <n v="3.7"/>
    <s v="No"/>
    <s v="No"/>
    <n v="10"/>
    <s v="Venmo"/>
    <s v="Bi-Weekly"/>
    <m/>
  </r>
  <r>
    <n v="2030"/>
    <x v="15"/>
    <x v="0"/>
    <s v="Scarf"/>
    <s v="Accessories"/>
    <n v="23"/>
    <x v="6"/>
    <s v="M"/>
    <s v="Pink"/>
    <s v="Spring"/>
    <n v="4.5999999999999996"/>
    <s v="No"/>
    <s v="No"/>
    <n v="40"/>
    <s v="PayPal"/>
    <s v="Quarterly"/>
    <m/>
  </r>
  <r>
    <n v="2031"/>
    <x v="17"/>
    <x v="0"/>
    <s v="Sunglasses"/>
    <s v="Accessories"/>
    <n v="67"/>
    <x v="35"/>
    <s v="S"/>
    <s v="Green"/>
    <s v="Summer"/>
    <n v="2.8"/>
    <s v="No"/>
    <s v="No"/>
    <n v="38"/>
    <s v="Credit Card"/>
    <s v="Monthly"/>
    <m/>
  </r>
  <r>
    <n v="2032"/>
    <x v="3"/>
    <x v="0"/>
    <s v="Socks"/>
    <s v="Clothing"/>
    <n v="51"/>
    <x v="17"/>
    <s v="L"/>
    <s v="Charcoal"/>
    <s v="Spring"/>
    <n v="4"/>
    <s v="No"/>
    <s v="No"/>
    <n v="2"/>
    <s v="Credit Card"/>
    <s v="Monthly"/>
    <m/>
  </r>
  <r>
    <n v="2033"/>
    <x v="5"/>
    <x v="0"/>
    <s v="Blouse"/>
    <s v="Clothing"/>
    <n v="36"/>
    <x v="36"/>
    <s v="M"/>
    <s v="Maroon"/>
    <s v="Winter"/>
    <n v="4.2"/>
    <s v="No"/>
    <s v="No"/>
    <n v="13"/>
    <s v="Cash"/>
    <s v="Annually"/>
    <m/>
  </r>
  <r>
    <n v="2034"/>
    <x v="9"/>
    <x v="0"/>
    <s v="Jeans"/>
    <s v="Clothing"/>
    <n v="55"/>
    <x v="26"/>
    <s v="L"/>
    <s v="Olive"/>
    <s v="Summer"/>
    <n v="3.6"/>
    <s v="No"/>
    <s v="No"/>
    <n v="33"/>
    <s v="Venmo"/>
    <s v="Annually"/>
    <m/>
  </r>
  <r>
    <n v="2035"/>
    <x v="12"/>
    <x v="0"/>
    <s v="Shorts"/>
    <s v="Clothing"/>
    <n v="30"/>
    <x v="15"/>
    <s v="M"/>
    <s v="Peach"/>
    <s v="Spring"/>
    <n v="2.9"/>
    <s v="No"/>
    <s v="No"/>
    <n v="27"/>
    <s v="PayPal"/>
    <s v="Monthly"/>
    <m/>
  </r>
  <r>
    <n v="2036"/>
    <x v="10"/>
    <x v="0"/>
    <s v="T-shirt"/>
    <s v="Clothing"/>
    <n v="70"/>
    <x v="19"/>
    <s v="S"/>
    <s v="Yellow"/>
    <s v="Summer"/>
    <n v="4.0999999999999996"/>
    <s v="No"/>
    <s v="No"/>
    <n v="43"/>
    <s v="Bank Transfer"/>
    <s v="Weekly"/>
    <m/>
  </r>
  <r>
    <n v="2037"/>
    <x v="43"/>
    <x v="0"/>
    <s v="Blouse"/>
    <s v="Clothing"/>
    <n v="63"/>
    <x v="46"/>
    <s v="S"/>
    <s v="Lavender"/>
    <s v="Winter"/>
    <n v="3.1"/>
    <s v="No"/>
    <s v="No"/>
    <n v="46"/>
    <s v="Cash"/>
    <s v="Weekly"/>
    <m/>
  </r>
  <r>
    <n v="2038"/>
    <x v="31"/>
    <x v="0"/>
    <s v="Belt"/>
    <s v="Accessories"/>
    <n v="87"/>
    <x v="26"/>
    <s v="S"/>
    <s v="Green"/>
    <s v="Summer"/>
    <n v="4.3"/>
    <s v="No"/>
    <s v="No"/>
    <n v="7"/>
    <s v="Venmo"/>
    <s v="Bi-Weekly"/>
    <m/>
  </r>
  <r>
    <n v="2039"/>
    <x v="10"/>
    <x v="0"/>
    <s v="Blouse"/>
    <s v="Clothing"/>
    <n v="70"/>
    <x v="10"/>
    <s v="L"/>
    <s v="Orange"/>
    <s v="Spring"/>
    <n v="4.4000000000000004"/>
    <s v="No"/>
    <s v="No"/>
    <n v="35"/>
    <s v="Credit Card"/>
    <s v="Fortnightly"/>
    <m/>
  </r>
  <r>
    <n v="2040"/>
    <x v="25"/>
    <x v="0"/>
    <s v="T-shirt"/>
    <s v="Clothing"/>
    <n v="51"/>
    <x v="46"/>
    <s v="M"/>
    <s v="Olive"/>
    <s v="Spring"/>
    <n v="3.1"/>
    <s v="No"/>
    <s v="No"/>
    <n v="31"/>
    <s v="Debit Card"/>
    <s v="Bi-Weekly"/>
    <m/>
  </r>
  <r>
    <n v="2041"/>
    <x v="28"/>
    <x v="0"/>
    <s v="Jewelry"/>
    <s v="Accessories"/>
    <n v="25"/>
    <x v="36"/>
    <s v="XL"/>
    <s v="Gray"/>
    <s v="Spring"/>
    <n v="2.9"/>
    <s v="No"/>
    <s v="No"/>
    <n v="42"/>
    <s v="Venmo"/>
    <s v="Quarterly"/>
    <m/>
  </r>
  <r>
    <n v="2042"/>
    <x v="17"/>
    <x v="0"/>
    <s v="Jacket"/>
    <s v="Outerwear"/>
    <n v="32"/>
    <x v="14"/>
    <s v="S"/>
    <s v="Lavender"/>
    <s v="Winter"/>
    <n v="3.2"/>
    <s v="No"/>
    <s v="No"/>
    <n v="14"/>
    <s v="PayPal"/>
    <s v="Bi-Weekly"/>
    <m/>
  </r>
  <r>
    <n v="2043"/>
    <x v="1"/>
    <x v="0"/>
    <s v="Shoes"/>
    <s v="Footwear"/>
    <n v="52"/>
    <x v="15"/>
    <s v="M"/>
    <s v="Red"/>
    <s v="Spring"/>
    <n v="4"/>
    <s v="No"/>
    <s v="No"/>
    <n v="35"/>
    <s v="Venmo"/>
    <s v="Monthly"/>
    <m/>
  </r>
  <r>
    <n v="2044"/>
    <x v="36"/>
    <x v="0"/>
    <s v="Gloves"/>
    <s v="Accessories"/>
    <n v="33"/>
    <x v="14"/>
    <s v="M"/>
    <s v="Charcoal"/>
    <s v="Summer"/>
    <n v="2.7"/>
    <s v="No"/>
    <s v="No"/>
    <n v="49"/>
    <s v="PayPal"/>
    <s v="Weekly"/>
    <m/>
  </r>
  <r>
    <n v="2045"/>
    <x v="34"/>
    <x v="0"/>
    <s v="Jeans"/>
    <s v="Clothing"/>
    <n v="68"/>
    <x v="9"/>
    <s v="L"/>
    <s v="Orange"/>
    <s v="Spring"/>
    <n v="3"/>
    <s v="No"/>
    <s v="No"/>
    <n v="17"/>
    <s v="PayPal"/>
    <s v="Fortnightly"/>
    <m/>
  </r>
  <r>
    <n v="2046"/>
    <x v="18"/>
    <x v="0"/>
    <s v="Jewelry"/>
    <s v="Accessories"/>
    <n v="20"/>
    <x v="42"/>
    <s v="M"/>
    <s v="Red"/>
    <s v="Fall"/>
    <n v="4.4000000000000004"/>
    <s v="No"/>
    <s v="No"/>
    <n v="26"/>
    <s v="PayPal"/>
    <s v="Quarterly"/>
    <m/>
  </r>
  <r>
    <n v="2047"/>
    <x v="31"/>
    <x v="0"/>
    <s v="Pants"/>
    <s v="Clothing"/>
    <n v="32"/>
    <x v="19"/>
    <s v="M"/>
    <s v="Maroon"/>
    <s v="Winter"/>
    <n v="2.8"/>
    <s v="No"/>
    <s v="No"/>
    <n v="30"/>
    <s v="Cash"/>
    <s v="Every 3 Months"/>
    <m/>
  </r>
  <r>
    <n v="2048"/>
    <x v="44"/>
    <x v="0"/>
    <s v="Jewelry"/>
    <s v="Accessories"/>
    <n v="82"/>
    <x v="39"/>
    <s v="M"/>
    <s v="Silver"/>
    <s v="Summer"/>
    <n v="3.1"/>
    <s v="No"/>
    <s v="No"/>
    <n v="32"/>
    <s v="Cash"/>
    <s v="Annually"/>
    <m/>
  </r>
  <r>
    <n v="2049"/>
    <x v="4"/>
    <x v="0"/>
    <s v="Sneakers"/>
    <s v="Footwear"/>
    <n v="64"/>
    <x v="49"/>
    <s v="XL"/>
    <s v="Pink"/>
    <s v="Winter"/>
    <n v="3.9"/>
    <s v="No"/>
    <s v="No"/>
    <n v="35"/>
    <s v="Bank Transfer"/>
    <s v="Quarterly"/>
    <m/>
  </r>
  <r>
    <n v="2050"/>
    <x v="33"/>
    <x v="0"/>
    <s v="Boots"/>
    <s v="Footwear"/>
    <n v="24"/>
    <x v="3"/>
    <s v="L"/>
    <s v="Blue"/>
    <s v="Fall"/>
    <n v="2.7"/>
    <s v="No"/>
    <s v="No"/>
    <n v="15"/>
    <s v="Venmo"/>
    <s v="Annually"/>
    <m/>
  </r>
  <r>
    <n v="2051"/>
    <x v="25"/>
    <x v="0"/>
    <s v="Hat"/>
    <s v="Accessories"/>
    <n v="96"/>
    <x v="16"/>
    <s v="M"/>
    <s v="Teal"/>
    <s v="Summer"/>
    <n v="3.4"/>
    <s v="No"/>
    <s v="No"/>
    <n v="10"/>
    <s v="Debit Card"/>
    <s v="Annually"/>
    <m/>
  </r>
  <r>
    <n v="2052"/>
    <x v="13"/>
    <x v="0"/>
    <s v="T-shirt"/>
    <s v="Clothing"/>
    <n v="94"/>
    <x v="2"/>
    <s v="L"/>
    <s v="Black"/>
    <s v="Spring"/>
    <n v="3.8"/>
    <s v="No"/>
    <s v="No"/>
    <n v="14"/>
    <s v="Credit Card"/>
    <s v="Monthly"/>
    <m/>
  </r>
  <r>
    <n v="2053"/>
    <x v="4"/>
    <x v="0"/>
    <s v="Backpack"/>
    <s v="Accessories"/>
    <n v="48"/>
    <x v="13"/>
    <s v="M"/>
    <s v="Gray"/>
    <s v="Winter"/>
    <n v="3.7"/>
    <s v="No"/>
    <s v="No"/>
    <n v="30"/>
    <s v="Bank Transfer"/>
    <s v="Annually"/>
    <m/>
  </r>
  <r>
    <n v="2054"/>
    <x v="1"/>
    <x v="0"/>
    <s v="Sunglasses"/>
    <s v="Accessories"/>
    <n v="60"/>
    <x v="5"/>
    <s v="S"/>
    <s v="Purple"/>
    <s v="Spring"/>
    <n v="4.5"/>
    <s v="No"/>
    <s v="No"/>
    <n v="16"/>
    <s v="Credit Card"/>
    <s v="Fortnightly"/>
    <m/>
  </r>
  <r>
    <n v="2055"/>
    <x v="13"/>
    <x v="0"/>
    <s v="Sweater"/>
    <s v="Clothing"/>
    <n v="56"/>
    <x v="32"/>
    <s v="XL"/>
    <s v="Gold"/>
    <s v="Spring"/>
    <n v="2.9"/>
    <s v="No"/>
    <s v="No"/>
    <n v="14"/>
    <s v="PayPal"/>
    <s v="Annually"/>
    <m/>
  </r>
  <r>
    <n v="2056"/>
    <x v="48"/>
    <x v="0"/>
    <s v="Handbag"/>
    <s v="Accessories"/>
    <n v="33"/>
    <x v="21"/>
    <s v="M"/>
    <s v="Silver"/>
    <s v="Fall"/>
    <n v="3.4"/>
    <s v="No"/>
    <s v="No"/>
    <n v="28"/>
    <s v="Bank Transfer"/>
    <s v="Weekly"/>
    <m/>
  </r>
  <r>
    <n v="2057"/>
    <x v="0"/>
    <x v="0"/>
    <s v="Backpack"/>
    <s v="Accessories"/>
    <n v="46"/>
    <x v="46"/>
    <s v="L"/>
    <s v="Blue"/>
    <s v="Spring"/>
    <n v="4.4000000000000004"/>
    <s v="No"/>
    <s v="No"/>
    <n v="29"/>
    <s v="PayPal"/>
    <s v="Monthly"/>
    <m/>
  </r>
  <r>
    <n v="2058"/>
    <x v="17"/>
    <x v="0"/>
    <s v="Socks"/>
    <s v="Clothing"/>
    <n v="37"/>
    <x v="45"/>
    <s v="L"/>
    <s v="Yellow"/>
    <s v="Spring"/>
    <n v="4.2"/>
    <s v="No"/>
    <s v="No"/>
    <n v="5"/>
    <s v="PayPal"/>
    <s v="Every 3 Months"/>
    <m/>
  </r>
  <r>
    <n v="2059"/>
    <x v="26"/>
    <x v="0"/>
    <s v="Shirt"/>
    <s v="Clothing"/>
    <n v="98"/>
    <x v="47"/>
    <s v="M"/>
    <s v="Brown"/>
    <s v="Winter"/>
    <n v="3.3"/>
    <s v="No"/>
    <s v="No"/>
    <n v="17"/>
    <s v="Bank Transfer"/>
    <s v="Quarterly"/>
    <m/>
  </r>
  <r>
    <n v="2060"/>
    <x v="19"/>
    <x v="0"/>
    <s v="Shorts"/>
    <s v="Clothing"/>
    <n v="50"/>
    <x v="18"/>
    <s v="XL"/>
    <s v="Beige"/>
    <s v="Spring"/>
    <n v="3.7"/>
    <s v="No"/>
    <s v="No"/>
    <n v="50"/>
    <s v="PayPal"/>
    <s v="Weekly"/>
    <m/>
  </r>
  <r>
    <n v="2061"/>
    <x v="3"/>
    <x v="0"/>
    <s v="Belt"/>
    <s v="Accessories"/>
    <n v="63"/>
    <x v="48"/>
    <s v="M"/>
    <s v="Blue"/>
    <s v="Fall"/>
    <n v="3.2"/>
    <s v="No"/>
    <s v="No"/>
    <n v="23"/>
    <s v="Bank Transfer"/>
    <s v="Quarterly"/>
    <m/>
  </r>
  <r>
    <n v="2062"/>
    <x v="45"/>
    <x v="0"/>
    <s v="Sweater"/>
    <s v="Clothing"/>
    <n v="70"/>
    <x v="49"/>
    <s v="S"/>
    <s v="Magenta"/>
    <s v="Summer"/>
    <n v="2.6"/>
    <s v="No"/>
    <s v="No"/>
    <n v="22"/>
    <s v="Debit Card"/>
    <s v="Annually"/>
    <m/>
  </r>
  <r>
    <n v="2063"/>
    <x v="22"/>
    <x v="0"/>
    <s v="Coat"/>
    <s v="Outerwear"/>
    <n v="63"/>
    <x v="36"/>
    <s v="L"/>
    <s v="Silver"/>
    <s v="Fall"/>
    <n v="2.8"/>
    <s v="No"/>
    <s v="No"/>
    <n v="15"/>
    <s v="Cash"/>
    <s v="Quarterly"/>
    <m/>
  </r>
  <r>
    <n v="2064"/>
    <x v="12"/>
    <x v="0"/>
    <s v="Shorts"/>
    <s v="Clothing"/>
    <n v="86"/>
    <x v="27"/>
    <s v="M"/>
    <s v="Cyan"/>
    <s v="Fall"/>
    <n v="2.9"/>
    <s v="No"/>
    <s v="No"/>
    <n v="32"/>
    <s v="Cash"/>
    <s v="Monthly"/>
    <m/>
  </r>
  <r>
    <n v="2065"/>
    <x v="18"/>
    <x v="0"/>
    <s v="Shoes"/>
    <s v="Footwear"/>
    <n v="99"/>
    <x v="10"/>
    <s v="M"/>
    <s v="Green"/>
    <s v="Summer"/>
    <n v="4"/>
    <s v="No"/>
    <s v="No"/>
    <n v="5"/>
    <s v="Bank Transfer"/>
    <s v="Monthly"/>
    <m/>
  </r>
  <r>
    <n v="2066"/>
    <x v="7"/>
    <x v="0"/>
    <s v="Sneakers"/>
    <s v="Footwear"/>
    <n v="40"/>
    <x v="4"/>
    <s v="M"/>
    <s v="Blue"/>
    <s v="Spring"/>
    <n v="2.9"/>
    <s v="No"/>
    <s v="No"/>
    <n v="6"/>
    <s v="Bank Transfer"/>
    <s v="Bi-Weekly"/>
    <m/>
  </r>
  <r>
    <n v="2067"/>
    <x v="14"/>
    <x v="0"/>
    <s v="Sneakers"/>
    <s v="Footwear"/>
    <n v="92"/>
    <x v="26"/>
    <s v="M"/>
    <s v="Olive"/>
    <s v="Fall"/>
    <n v="4.7"/>
    <s v="No"/>
    <s v="No"/>
    <n v="44"/>
    <s v="Debit Card"/>
    <s v="Fortnightly"/>
    <m/>
  </r>
  <r>
    <n v="2068"/>
    <x v="52"/>
    <x v="0"/>
    <s v="Pants"/>
    <s v="Clothing"/>
    <n v="21"/>
    <x v="33"/>
    <s v="XL"/>
    <s v="Beige"/>
    <s v="Fall"/>
    <n v="3.1"/>
    <s v="No"/>
    <s v="No"/>
    <n v="23"/>
    <s v="Cash"/>
    <s v="Fortnightly"/>
    <m/>
  </r>
  <r>
    <n v="2069"/>
    <x v="27"/>
    <x v="0"/>
    <s v="Jewelry"/>
    <s v="Accessories"/>
    <n v="81"/>
    <x v="34"/>
    <s v="XL"/>
    <s v="Black"/>
    <s v="Summer"/>
    <n v="3.9"/>
    <s v="No"/>
    <s v="No"/>
    <n v="44"/>
    <s v="Venmo"/>
    <s v="Monthly"/>
    <m/>
  </r>
  <r>
    <n v="2070"/>
    <x v="24"/>
    <x v="0"/>
    <s v="T-shirt"/>
    <s v="Clothing"/>
    <n v="82"/>
    <x v="21"/>
    <s v="M"/>
    <s v="Indigo"/>
    <s v="Fall"/>
    <n v="3.4"/>
    <s v="No"/>
    <s v="No"/>
    <n v="3"/>
    <s v="Debit Card"/>
    <s v="Quarterly"/>
    <m/>
  </r>
  <r>
    <n v="2071"/>
    <x v="19"/>
    <x v="0"/>
    <s v="Jewelry"/>
    <s v="Accessories"/>
    <n v="88"/>
    <x v="43"/>
    <s v="XL"/>
    <s v="Red"/>
    <s v="Spring"/>
    <n v="3.1"/>
    <s v="No"/>
    <s v="No"/>
    <n v="14"/>
    <s v="Cash"/>
    <s v="Monthly"/>
    <m/>
  </r>
  <r>
    <n v="2072"/>
    <x v="28"/>
    <x v="0"/>
    <s v="Jacket"/>
    <s v="Outerwear"/>
    <n v="100"/>
    <x v="36"/>
    <s v="S"/>
    <s v="Yellow"/>
    <s v="Fall"/>
    <n v="4.8"/>
    <s v="No"/>
    <s v="No"/>
    <n v="37"/>
    <s v="PayPal"/>
    <s v="Quarterly"/>
    <m/>
  </r>
  <r>
    <n v="2073"/>
    <x v="31"/>
    <x v="0"/>
    <s v="Backpack"/>
    <s v="Accessories"/>
    <n v="66"/>
    <x v="2"/>
    <s v="M"/>
    <s v="Beige"/>
    <s v="Winter"/>
    <n v="3.9"/>
    <s v="No"/>
    <s v="No"/>
    <n v="22"/>
    <s v="Bank Transfer"/>
    <s v="Weekly"/>
    <m/>
  </r>
  <r>
    <n v="2074"/>
    <x v="21"/>
    <x v="0"/>
    <s v="Belt"/>
    <s v="Accessories"/>
    <n v="25"/>
    <x v="21"/>
    <s v="S"/>
    <s v="Green"/>
    <s v="Winter"/>
    <n v="3.5"/>
    <s v="No"/>
    <s v="No"/>
    <n v="2"/>
    <s v="PayPal"/>
    <s v="Every 3 Months"/>
    <m/>
  </r>
  <r>
    <n v="2075"/>
    <x v="24"/>
    <x v="0"/>
    <s v="Scarf"/>
    <s v="Accessories"/>
    <n v="53"/>
    <x v="20"/>
    <s v="M"/>
    <s v="White"/>
    <s v="Summer"/>
    <n v="3.1"/>
    <s v="No"/>
    <s v="No"/>
    <n v="44"/>
    <s v="Debit Card"/>
    <s v="Fortnightly"/>
    <m/>
  </r>
  <r>
    <n v="2076"/>
    <x v="5"/>
    <x v="0"/>
    <s v="Sweater"/>
    <s v="Clothing"/>
    <n v="28"/>
    <x v="36"/>
    <s v="S"/>
    <s v="Turquoise"/>
    <s v="Fall"/>
    <n v="4.7"/>
    <s v="No"/>
    <s v="No"/>
    <n v="49"/>
    <s v="Debit Card"/>
    <s v="Monthly"/>
    <m/>
  </r>
  <r>
    <n v="2077"/>
    <x v="35"/>
    <x v="0"/>
    <s v="Gloves"/>
    <s v="Accessories"/>
    <n v="23"/>
    <x v="20"/>
    <s v="S"/>
    <s v="Indigo"/>
    <s v="Fall"/>
    <n v="4.5999999999999996"/>
    <s v="No"/>
    <s v="No"/>
    <n v="22"/>
    <s v="Debit Card"/>
    <s v="Bi-Weekly"/>
    <m/>
  </r>
  <r>
    <n v="2078"/>
    <x v="14"/>
    <x v="0"/>
    <s v="Scarf"/>
    <s v="Accessories"/>
    <n v="34"/>
    <x v="43"/>
    <s v="L"/>
    <s v="Orange"/>
    <s v="Fall"/>
    <n v="3.3"/>
    <s v="No"/>
    <s v="No"/>
    <n v="26"/>
    <s v="Bank Transfer"/>
    <s v="Annually"/>
    <m/>
  </r>
  <r>
    <n v="2079"/>
    <x v="34"/>
    <x v="0"/>
    <s v="Dress"/>
    <s v="Clothing"/>
    <n v="42"/>
    <x v="11"/>
    <s v="M"/>
    <s v="Blue"/>
    <s v="Spring"/>
    <n v="3.2"/>
    <s v="No"/>
    <s v="No"/>
    <n v="40"/>
    <s v="Debit Card"/>
    <s v="Weekly"/>
    <m/>
  </r>
  <r>
    <n v="2080"/>
    <x v="45"/>
    <x v="0"/>
    <s v="Jeans"/>
    <s v="Clothing"/>
    <n v="24"/>
    <x v="6"/>
    <s v="L"/>
    <s v="Violet"/>
    <s v="Summer"/>
    <n v="3.1"/>
    <s v="No"/>
    <s v="No"/>
    <n v="16"/>
    <s v="PayPal"/>
    <s v="Quarterly"/>
    <m/>
  </r>
  <r>
    <n v="2081"/>
    <x v="26"/>
    <x v="0"/>
    <s v="Sunglasses"/>
    <s v="Accessories"/>
    <n v="47"/>
    <x v="45"/>
    <s v="S"/>
    <s v="Gray"/>
    <s v="Fall"/>
    <n v="3.5"/>
    <s v="No"/>
    <s v="No"/>
    <n v="17"/>
    <s v="Debit Card"/>
    <s v="Bi-Weekly"/>
    <m/>
  </r>
  <r>
    <n v="2082"/>
    <x v="41"/>
    <x v="0"/>
    <s v="Coat"/>
    <s v="Outerwear"/>
    <n v="78"/>
    <x v="15"/>
    <s v="S"/>
    <s v="Cyan"/>
    <s v="Spring"/>
    <n v="4.3"/>
    <s v="No"/>
    <s v="No"/>
    <n v="48"/>
    <s v="Bank Transfer"/>
    <s v="Bi-Weekly"/>
    <m/>
  </r>
  <r>
    <n v="2083"/>
    <x v="38"/>
    <x v="0"/>
    <s v="Jeans"/>
    <s v="Clothing"/>
    <n v="89"/>
    <x v="10"/>
    <s v="M"/>
    <s v="Yellow"/>
    <s v="Summer"/>
    <n v="2.9"/>
    <s v="No"/>
    <s v="No"/>
    <n v="28"/>
    <s v="Venmo"/>
    <s v="Every 3 Months"/>
    <m/>
  </r>
  <r>
    <n v="2084"/>
    <x v="38"/>
    <x v="0"/>
    <s v="Scarf"/>
    <s v="Accessories"/>
    <n v="59"/>
    <x v="16"/>
    <s v="L"/>
    <s v="Orange"/>
    <s v="Fall"/>
    <n v="2.7"/>
    <s v="No"/>
    <s v="No"/>
    <n v="26"/>
    <s v="Credit Card"/>
    <s v="Fortnightly"/>
    <m/>
  </r>
  <r>
    <n v="2085"/>
    <x v="45"/>
    <x v="0"/>
    <s v="Blouse"/>
    <s v="Clothing"/>
    <n v="94"/>
    <x v="34"/>
    <s v="S"/>
    <s v="Brown"/>
    <s v="Summer"/>
    <n v="4"/>
    <s v="No"/>
    <s v="No"/>
    <n v="43"/>
    <s v="Bank Transfer"/>
    <s v="Quarterly"/>
    <m/>
  </r>
  <r>
    <n v="2086"/>
    <x v="28"/>
    <x v="0"/>
    <s v="Jeans"/>
    <s v="Clothing"/>
    <n v="49"/>
    <x v="14"/>
    <s v="M"/>
    <s v="Teal"/>
    <s v="Fall"/>
    <n v="4.5999999999999996"/>
    <s v="No"/>
    <s v="No"/>
    <n v="38"/>
    <s v="Debit Card"/>
    <s v="Weekly"/>
    <m/>
  </r>
  <r>
    <n v="2087"/>
    <x v="13"/>
    <x v="0"/>
    <s v="Dress"/>
    <s v="Clothing"/>
    <n v="89"/>
    <x v="25"/>
    <s v="L"/>
    <s v="Beige"/>
    <s v="Summer"/>
    <n v="4.7"/>
    <s v="No"/>
    <s v="No"/>
    <n v="36"/>
    <s v="Cash"/>
    <s v="Every 3 Months"/>
    <m/>
  </r>
  <r>
    <n v="2088"/>
    <x v="22"/>
    <x v="0"/>
    <s v="Hat"/>
    <s v="Accessories"/>
    <n v="91"/>
    <x v="48"/>
    <s v="M"/>
    <s v="Blue"/>
    <s v="Summer"/>
    <n v="4.7"/>
    <s v="No"/>
    <s v="No"/>
    <n v="1"/>
    <s v="Credit Card"/>
    <s v="Weekly"/>
    <m/>
  </r>
  <r>
    <n v="2089"/>
    <x v="31"/>
    <x v="0"/>
    <s v="Sandals"/>
    <s v="Footwear"/>
    <n v="89"/>
    <x v="18"/>
    <s v="L"/>
    <s v="Orange"/>
    <s v="Spring"/>
    <n v="4"/>
    <s v="No"/>
    <s v="No"/>
    <n v="49"/>
    <s v="Debit Card"/>
    <s v="Annually"/>
    <m/>
  </r>
  <r>
    <n v="2090"/>
    <x v="43"/>
    <x v="0"/>
    <s v="Jacket"/>
    <s v="Outerwear"/>
    <n v="57"/>
    <x v="33"/>
    <s v="L"/>
    <s v="Gold"/>
    <s v="Spring"/>
    <n v="3.6"/>
    <s v="No"/>
    <s v="No"/>
    <n v="41"/>
    <s v="Credit Card"/>
    <s v="Every 3 Months"/>
    <m/>
  </r>
  <r>
    <n v="2091"/>
    <x v="47"/>
    <x v="0"/>
    <s v="Socks"/>
    <s v="Clothing"/>
    <n v="71"/>
    <x v="2"/>
    <s v="S"/>
    <s v="Teal"/>
    <s v="Winter"/>
    <n v="3.4"/>
    <s v="No"/>
    <s v="No"/>
    <n v="21"/>
    <s v="Debit Card"/>
    <s v="Monthly"/>
    <m/>
  </r>
  <r>
    <n v="2092"/>
    <x v="8"/>
    <x v="0"/>
    <s v="Jeans"/>
    <s v="Clothing"/>
    <n v="97"/>
    <x v="47"/>
    <s v="XL"/>
    <s v="Beige"/>
    <s v="Fall"/>
    <n v="3"/>
    <s v="No"/>
    <s v="No"/>
    <n v="24"/>
    <s v="Bank Transfer"/>
    <s v="Quarterly"/>
    <m/>
  </r>
  <r>
    <n v="2093"/>
    <x v="32"/>
    <x v="0"/>
    <s v="Sandals"/>
    <s v="Footwear"/>
    <n v="45"/>
    <x v="46"/>
    <s v="M"/>
    <s v="Silver"/>
    <s v="Fall"/>
    <n v="2.6"/>
    <s v="No"/>
    <s v="No"/>
    <n v="27"/>
    <s v="Bank Transfer"/>
    <s v="Weekly"/>
    <m/>
  </r>
  <r>
    <n v="2094"/>
    <x v="3"/>
    <x v="0"/>
    <s v="Dress"/>
    <s v="Clothing"/>
    <n v="91"/>
    <x v="47"/>
    <s v="M"/>
    <s v="Maroon"/>
    <s v="Spring"/>
    <n v="4.2"/>
    <s v="No"/>
    <s v="No"/>
    <n v="4"/>
    <s v="Debit Card"/>
    <s v="Annually"/>
    <m/>
  </r>
  <r>
    <n v="2095"/>
    <x v="10"/>
    <x v="0"/>
    <s v="Socks"/>
    <s v="Clothing"/>
    <n v="25"/>
    <x v="36"/>
    <s v="M"/>
    <s v="Indigo"/>
    <s v="Spring"/>
    <n v="3.4"/>
    <s v="No"/>
    <s v="No"/>
    <n v="19"/>
    <s v="Venmo"/>
    <s v="Annually"/>
    <m/>
  </r>
  <r>
    <n v="2096"/>
    <x v="24"/>
    <x v="0"/>
    <s v="Hoodie"/>
    <s v="Clothing"/>
    <n v="63"/>
    <x v="35"/>
    <s v="M"/>
    <s v="Gray"/>
    <s v="Fall"/>
    <n v="4"/>
    <s v="No"/>
    <s v="No"/>
    <n v="1"/>
    <s v="Bank Transfer"/>
    <s v="Fortnightly"/>
    <m/>
  </r>
  <r>
    <n v="2097"/>
    <x v="3"/>
    <x v="0"/>
    <s v="Dress"/>
    <s v="Clothing"/>
    <n v="52"/>
    <x v="17"/>
    <s v="L"/>
    <s v="Blue"/>
    <s v="Summer"/>
    <n v="4.7"/>
    <s v="No"/>
    <s v="No"/>
    <n v="27"/>
    <s v="Debit Card"/>
    <s v="Annually"/>
    <m/>
  </r>
  <r>
    <n v="2098"/>
    <x v="23"/>
    <x v="0"/>
    <s v="Sneakers"/>
    <s v="Footwear"/>
    <n v="43"/>
    <x v="44"/>
    <s v="S"/>
    <s v="Cyan"/>
    <s v="Winter"/>
    <n v="3.9"/>
    <s v="No"/>
    <s v="No"/>
    <n v="5"/>
    <s v="Credit Card"/>
    <s v="Weekly"/>
    <m/>
  </r>
  <r>
    <n v="2099"/>
    <x v="34"/>
    <x v="0"/>
    <s v="T-shirt"/>
    <s v="Clothing"/>
    <n v="28"/>
    <x v="7"/>
    <s v="M"/>
    <s v="White"/>
    <s v="Summer"/>
    <n v="3.3"/>
    <s v="No"/>
    <s v="No"/>
    <n v="20"/>
    <s v="Venmo"/>
    <s v="Quarterly"/>
    <m/>
  </r>
  <r>
    <n v="2100"/>
    <x v="18"/>
    <x v="0"/>
    <s v="T-shirt"/>
    <s v="Clothing"/>
    <n v="78"/>
    <x v="19"/>
    <s v="L"/>
    <s v="Green"/>
    <s v="Summer"/>
    <n v="2.9"/>
    <s v="No"/>
    <s v="No"/>
    <n v="50"/>
    <s v="PayPal"/>
    <s v="Annually"/>
    <m/>
  </r>
  <r>
    <n v="2101"/>
    <x v="33"/>
    <x v="0"/>
    <s v="Sweater"/>
    <s v="Clothing"/>
    <n v="31"/>
    <x v="49"/>
    <s v="M"/>
    <s v="Silver"/>
    <s v="Spring"/>
    <n v="4.4000000000000004"/>
    <s v="No"/>
    <s v="No"/>
    <n v="36"/>
    <s v="Cash"/>
    <s v="Fortnightly"/>
    <m/>
  </r>
  <r>
    <n v="2102"/>
    <x v="34"/>
    <x v="0"/>
    <s v="Shirt"/>
    <s v="Clothing"/>
    <n v="23"/>
    <x v="4"/>
    <s v="M"/>
    <s v="Blue"/>
    <s v="Winter"/>
    <n v="3.6"/>
    <s v="No"/>
    <s v="No"/>
    <n v="12"/>
    <s v="Bank Transfer"/>
    <s v="Bi-Weekly"/>
    <m/>
  </r>
  <r>
    <n v="2103"/>
    <x v="51"/>
    <x v="0"/>
    <s v="Hat"/>
    <s v="Accessories"/>
    <n v="25"/>
    <x v="37"/>
    <s v="M"/>
    <s v="Brown"/>
    <s v="Spring"/>
    <n v="4.5"/>
    <s v="No"/>
    <s v="No"/>
    <n v="23"/>
    <s v="Cash"/>
    <s v="Monthly"/>
    <m/>
  </r>
  <r>
    <n v="2104"/>
    <x v="11"/>
    <x v="0"/>
    <s v="Pants"/>
    <s v="Clothing"/>
    <n v="86"/>
    <x v="27"/>
    <s v="S"/>
    <s v="Red"/>
    <s v="Summer"/>
    <n v="3.7"/>
    <s v="No"/>
    <s v="No"/>
    <n v="21"/>
    <s v="Venmo"/>
    <s v="Weekly"/>
    <m/>
  </r>
  <r>
    <n v="2105"/>
    <x v="10"/>
    <x v="0"/>
    <s v="Shoes"/>
    <s v="Footwear"/>
    <n v="88"/>
    <x v="35"/>
    <s v="M"/>
    <s v="Gold"/>
    <s v="Spring"/>
    <n v="2.8"/>
    <s v="No"/>
    <s v="No"/>
    <n v="47"/>
    <s v="Venmo"/>
    <s v="Weekly"/>
    <m/>
  </r>
  <r>
    <n v="2106"/>
    <x v="13"/>
    <x v="0"/>
    <s v="Gloves"/>
    <s v="Accessories"/>
    <n v="35"/>
    <x v="36"/>
    <s v="M"/>
    <s v="Silver"/>
    <s v="Spring"/>
    <n v="4.5"/>
    <s v="No"/>
    <s v="No"/>
    <n v="38"/>
    <s v="Venmo"/>
    <s v="Bi-Weekly"/>
    <m/>
  </r>
  <r>
    <n v="2107"/>
    <x v="52"/>
    <x v="0"/>
    <s v="Jewelry"/>
    <s v="Accessories"/>
    <n v="34"/>
    <x v="34"/>
    <s v="M"/>
    <s v="Gray"/>
    <s v="Fall"/>
    <n v="4.4000000000000004"/>
    <s v="No"/>
    <s v="No"/>
    <n v="40"/>
    <s v="Credit Card"/>
    <s v="Every 3 Months"/>
    <m/>
  </r>
  <r>
    <n v="2108"/>
    <x v="5"/>
    <x v="0"/>
    <s v="Pants"/>
    <s v="Clothing"/>
    <n v="75"/>
    <x v="12"/>
    <s v="M"/>
    <s v="Black"/>
    <s v="Winter"/>
    <n v="3.3"/>
    <s v="No"/>
    <s v="No"/>
    <n v="35"/>
    <s v="PayPal"/>
    <s v="Quarterly"/>
    <m/>
  </r>
  <r>
    <n v="2109"/>
    <x v="22"/>
    <x v="0"/>
    <s v="Hoodie"/>
    <s v="Clothing"/>
    <n v="46"/>
    <x v="25"/>
    <s v="XL"/>
    <s v="Beige"/>
    <s v="Winter"/>
    <n v="4.2"/>
    <s v="No"/>
    <s v="No"/>
    <n v="4"/>
    <s v="Credit Card"/>
    <s v="Quarterly"/>
    <m/>
  </r>
  <r>
    <n v="2110"/>
    <x v="35"/>
    <x v="0"/>
    <s v="Jewelry"/>
    <s v="Accessories"/>
    <n v="31"/>
    <x v="18"/>
    <s v="L"/>
    <s v="Peach"/>
    <s v="Fall"/>
    <n v="2.7"/>
    <s v="No"/>
    <s v="No"/>
    <n v="28"/>
    <s v="Venmo"/>
    <s v="Every 3 Months"/>
    <m/>
  </r>
  <r>
    <n v="2111"/>
    <x v="16"/>
    <x v="0"/>
    <s v="Socks"/>
    <s v="Clothing"/>
    <n v="93"/>
    <x v="6"/>
    <s v="L"/>
    <s v="Cyan"/>
    <s v="Spring"/>
    <n v="3.9"/>
    <s v="No"/>
    <s v="No"/>
    <n v="36"/>
    <s v="Debit Card"/>
    <s v="Every 3 Months"/>
    <m/>
  </r>
  <r>
    <n v="2112"/>
    <x v="38"/>
    <x v="0"/>
    <s v="Sunglasses"/>
    <s v="Accessories"/>
    <n v="85"/>
    <x v="9"/>
    <s v="XL"/>
    <s v="Pink"/>
    <s v="Spring"/>
    <n v="2.6"/>
    <s v="No"/>
    <s v="No"/>
    <n v="15"/>
    <s v="Bank Transfer"/>
    <s v="Annually"/>
    <m/>
  </r>
  <r>
    <n v="2113"/>
    <x v="49"/>
    <x v="0"/>
    <s v="Belt"/>
    <s v="Accessories"/>
    <n v="68"/>
    <x v="30"/>
    <s v="M"/>
    <s v="Lavender"/>
    <s v="Fall"/>
    <n v="4.5"/>
    <s v="No"/>
    <s v="No"/>
    <n v="7"/>
    <s v="Cash"/>
    <s v="Fortnightly"/>
    <m/>
  </r>
  <r>
    <n v="2114"/>
    <x v="6"/>
    <x v="0"/>
    <s v="Dress"/>
    <s v="Clothing"/>
    <n v="40"/>
    <x v="41"/>
    <s v="M"/>
    <s v="Brown"/>
    <s v="Spring"/>
    <n v="2.7"/>
    <s v="No"/>
    <s v="No"/>
    <n v="29"/>
    <s v="PayPal"/>
    <s v="Every 3 Months"/>
    <m/>
  </r>
  <r>
    <n v="2115"/>
    <x v="43"/>
    <x v="0"/>
    <s v="Shirt"/>
    <s v="Clothing"/>
    <n v="51"/>
    <x v="34"/>
    <s v="M"/>
    <s v="Magenta"/>
    <s v="Winter"/>
    <n v="2.9"/>
    <s v="No"/>
    <s v="No"/>
    <n v="12"/>
    <s v="Debit Card"/>
    <s v="Annually"/>
    <m/>
  </r>
  <r>
    <n v="2116"/>
    <x v="42"/>
    <x v="0"/>
    <s v="Scarf"/>
    <s v="Accessories"/>
    <n v="85"/>
    <x v="3"/>
    <s v="M"/>
    <s v="Violet"/>
    <s v="Winter"/>
    <n v="3.4"/>
    <s v="No"/>
    <s v="No"/>
    <n v="16"/>
    <s v="Bank Transfer"/>
    <s v="Bi-Weekly"/>
    <m/>
  </r>
  <r>
    <n v="2117"/>
    <x v="29"/>
    <x v="0"/>
    <s v="Jacket"/>
    <s v="Outerwear"/>
    <n v="23"/>
    <x v="23"/>
    <s v="M"/>
    <s v="Teal"/>
    <s v="Summer"/>
    <n v="2.9"/>
    <s v="No"/>
    <s v="No"/>
    <n v="50"/>
    <s v="Debit Card"/>
    <s v="Bi-Weekly"/>
    <m/>
  </r>
  <r>
    <n v="2118"/>
    <x v="7"/>
    <x v="0"/>
    <s v="Dress"/>
    <s v="Clothing"/>
    <n v="28"/>
    <x v="24"/>
    <s v="L"/>
    <s v="Brown"/>
    <s v="Summer"/>
    <n v="3.8"/>
    <s v="No"/>
    <s v="No"/>
    <n v="11"/>
    <s v="Debit Card"/>
    <s v="Annually"/>
    <m/>
  </r>
  <r>
    <n v="2119"/>
    <x v="52"/>
    <x v="0"/>
    <s v="Socks"/>
    <s v="Clothing"/>
    <n v="44"/>
    <x v="42"/>
    <s v="M"/>
    <s v="Olive"/>
    <s v="Fall"/>
    <n v="4.2"/>
    <s v="No"/>
    <s v="No"/>
    <n v="28"/>
    <s v="Debit Card"/>
    <s v="Quarterly"/>
    <m/>
  </r>
  <r>
    <n v="2120"/>
    <x v="44"/>
    <x v="0"/>
    <s v="Jewelry"/>
    <s v="Accessories"/>
    <n v="57"/>
    <x v="43"/>
    <s v="M"/>
    <s v="Indigo"/>
    <s v="Spring"/>
    <n v="3.5"/>
    <s v="No"/>
    <s v="No"/>
    <n v="36"/>
    <s v="Venmo"/>
    <s v="Bi-Weekly"/>
    <m/>
  </r>
  <r>
    <n v="2121"/>
    <x v="10"/>
    <x v="0"/>
    <s v="Scarf"/>
    <s v="Accessories"/>
    <n v="98"/>
    <x v="9"/>
    <s v="S"/>
    <s v="Red"/>
    <s v="Fall"/>
    <n v="3.1"/>
    <s v="No"/>
    <s v="No"/>
    <n v="38"/>
    <s v="PayPal"/>
    <s v="Quarterly"/>
    <m/>
  </r>
  <r>
    <n v="2122"/>
    <x v="49"/>
    <x v="0"/>
    <s v="Backpack"/>
    <s v="Accessories"/>
    <n v="68"/>
    <x v="29"/>
    <s v="M"/>
    <s v="Olive"/>
    <s v="Winter"/>
    <n v="3.5"/>
    <s v="No"/>
    <s v="No"/>
    <n v="32"/>
    <s v="Bank Transfer"/>
    <s v="Monthly"/>
    <m/>
  </r>
  <r>
    <n v="2123"/>
    <x v="45"/>
    <x v="0"/>
    <s v="Jacket"/>
    <s v="Outerwear"/>
    <n v="36"/>
    <x v="41"/>
    <s v="L"/>
    <s v="Teal"/>
    <s v="Fall"/>
    <n v="4"/>
    <s v="No"/>
    <s v="No"/>
    <n v="42"/>
    <s v="Debit Card"/>
    <s v="Weekly"/>
    <m/>
  </r>
  <r>
    <n v="2124"/>
    <x v="22"/>
    <x v="0"/>
    <s v="Coat"/>
    <s v="Outerwear"/>
    <n v="71"/>
    <x v="43"/>
    <s v="L"/>
    <s v="Cyan"/>
    <s v="Spring"/>
    <n v="3.7"/>
    <s v="No"/>
    <s v="No"/>
    <n v="22"/>
    <s v="Debit Card"/>
    <s v="Bi-Weekly"/>
    <m/>
  </r>
  <r>
    <n v="2125"/>
    <x v="36"/>
    <x v="0"/>
    <s v="Skirt"/>
    <s v="Clothing"/>
    <n v="60"/>
    <x v="3"/>
    <s v="M"/>
    <s v="Teal"/>
    <s v="Fall"/>
    <n v="4.2"/>
    <s v="No"/>
    <s v="No"/>
    <n v="22"/>
    <s v="Venmo"/>
    <s v="Quarterly"/>
    <m/>
  </r>
  <r>
    <n v="2126"/>
    <x v="9"/>
    <x v="0"/>
    <s v="Coat"/>
    <s v="Outerwear"/>
    <n v="87"/>
    <x v="13"/>
    <s v="M"/>
    <s v="Beige"/>
    <s v="Fall"/>
    <n v="4.8"/>
    <s v="No"/>
    <s v="No"/>
    <n v="31"/>
    <s v="PayPal"/>
    <s v="Quarterly"/>
    <m/>
  </r>
  <r>
    <n v="2127"/>
    <x v="6"/>
    <x v="0"/>
    <s v="Shoes"/>
    <s v="Footwear"/>
    <n v="38"/>
    <x v="15"/>
    <s v="XL"/>
    <s v="Magenta"/>
    <s v="Winter"/>
    <n v="4.0999999999999996"/>
    <s v="No"/>
    <s v="No"/>
    <n v="28"/>
    <s v="Credit Card"/>
    <s v="Monthly"/>
    <m/>
  </r>
  <r>
    <n v="2128"/>
    <x v="27"/>
    <x v="0"/>
    <s v="Boots"/>
    <s v="Footwear"/>
    <n v="45"/>
    <x v="17"/>
    <s v="M"/>
    <s v="Indigo"/>
    <s v="Spring"/>
    <n v="4.5"/>
    <s v="No"/>
    <s v="No"/>
    <n v="40"/>
    <s v="Debit Card"/>
    <s v="Weekly"/>
    <m/>
  </r>
  <r>
    <n v="2129"/>
    <x v="46"/>
    <x v="0"/>
    <s v="Coat"/>
    <s v="Outerwear"/>
    <n v="47"/>
    <x v="35"/>
    <s v="L"/>
    <s v="Cyan"/>
    <s v="Fall"/>
    <n v="2.7"/>
    <s v="No"/>
    <s v="No"/>
    <n v="21"/>
    <s v="PayPal"/>
    <s v="Weekly"/>
    <m/>
  </r>
  <r>
    <n v="2130"/>
    <x v="37"/>
    <x v="0"/>
    <s v="Skirt"/>
    <s v="Clothing"/>
    <n v="57"/>
    <x v="46"/>
    <s v="L"/>
    <s v="Orange"/>
    <s v="Fall"/>
    <n v="2.8"/>
    <s v="No"/>
    <s v="No"/>
    <n v="12"/>
    <s v="PayPal"/>
    <s v="Every 3 Months"/>
    <m/>
  </r>
  <r>
    <n v="2131"/>
    <x v="15"/>
    <x v="0"/>
    <s v="Backpack"/>
    <s v="Accessories"/>
    <n v="68"/>
    <x v="28"/>
    <s v="L"/>
    <s v="Violet"/>
    <s v="Summer"/>
    <n v="3.7"/>
    <s v="No"/>
    <s v="No"/>
    <n v="33"/>
    <s v="Credit Card"/>
    <s v="Annually"/>
    <m/>
  </r>
  <r>
    <n v="2132"/>
    <x v="1"/>
    <x v="0"/>
    <s v="Shorts"/>
    <s v="Clothing"/>
    <n v="52"/>
    <x v="6"/>
    <s v="M"/>
    <s v="Red"/>
    <s v="Fall"/>
    <n v="3.6"/>
    <s v="No"/>
    <s v="No"/>
    <n v="9"/>
    <s v="Bank Transfer"/>
    <s v="Fortnightly"/>
    <m/>
  </r>
  <r>
    <n v="2133"/>
    <x v="15"/>
    <x v="0"/>
    <s v="Skirt"/>
    <s v="Clothing"/>
    <n v="87"/>
    <x v="34"/>
    <s v="M"/>
    <s v="Magenta"/>
    <s v="Fall"/>
    <n v="4.7"/>
    <s v="No"/>
    <s v="No"/>
    <n v="15"/>
    <s v="Debit Card"/>
    <s v="Weekly"/>
    <m/>
  </r>
  <r>
    <n v="2134"/>
    <x v="3"/>
    <x v="0"/>
    <s v="Hat"/>
    <s v="Accessories"/>
    <n v="34"/>
    <x v="1"/>
    <s v="M"/>
    <s v="Olive"/>
    <s v="Summer"/>
    <n v="3.8"/>
    <s v="No"/>
    <s v="No"/>
    <n v="13"/>
    <s v="Bank Transfer"/>
    <s v="Annually"/>
    <m/>
  </r>
  <r>
    <n v="2135"/>
    <x v="0"/>
    <x v="0"/>
    <s v="Sandals"/>
    <s v="Footwear"/>
    <n v="41"/>
    <x v="41"/>
    <s v="XL"/>
    <s v="Maroon"/>
    <s v="Winter"/>
    <n v="2.9"/>
    <s v="No"/>
    <s v="No"/>
    <n v="35"/>
    <s v="Credit Card"/>
    <s v="Fortnightly"/>
    <m/>
  </r>
  <r>
    <n v="2136"/>
    <x v="50"/>
    <x v="0"/>
    <s v="Sunglasses"/>
    <s v="Accessories"/>
    <n v="94"/>
    <x v="18"/>
    <s v="S"/>
    <s v="Yellow"/>
    <s v="Winter"/>
    <n v="4.5999999999999996"/>
    <s v="No"/>
    <s v="No"/>
    <n v="1"/>
    <s v="Debit Card"/>
    <s v="Every 3 Months"/>
    <m/>
  </r>
  <r>
    <n v="2137"/>
    <x v="36"/>
    <x v="0"/>
    <s v="Sunglasses"/>
    <s v="Accessories"/>
    <n v="93"/>
    <x v="14"/>
    <s v="M"/>
    <s v="Red"/>
    <s v="Summer"/>
    <n v="2.8"/>
    <s v="No"/>
    <s v="No"/>
    <n v="25"/>
    <s v="Bank Transfer"/>
    <s v="Fortnightly"/>
    <m/>
  </r>
  <r>
    <n v="2138"/>
    <x v="7"/>
    <x v="0"/>
    <s v="Socks"/>
    <s v="Clothing"/>
    <n v="51"/>
    <x v="27"/>
    <s v="XL"/>
    <s v="Purple"/>
    <s v="Winter"/>
    <n v="4.5999999999999996"/>
    <s v="No"/>
    <s v="No"/>
    <n v="20"/>
    <s v="Credit Card"/>
    <s v="Every 3 Months"/>
    <m/>
  </r>
  <r>
    <n v="2139"/>
    <x v="29"/>
    <x v="0"/>
    <s v="Sweater"/>
    <s v="Clothing"/>
    <n v="42"/>
    <x v="16"/>
    <s v="M"/>
    <s v="Teal"/>
    <s v="Fall"/>
    <n v="2.8"/>
    <s v="No"/>
    <s v="No"/>
    <n v="36"/>
    <s v="Venmo"/>
    <s v="Quarterly"/>
    <m/>
  </r>
  <r>
    <n v="2140"/>
    <x v="37"/>
    <x v="0"/>
    <s v="Boots"/>
    <s v="Footwear"/>
    <n v="95"/>
    <x v="14"/>
    <s v="M"/>
    <s v="Red"/>
    <s v="Winter"/>
    <n v="3"/>
    <s v="No"/>
    <s v="No"/>
    <n v="33"/>
    <s v="Cash"/>
    <s v="Weekly"/>
    <m/>
  </r>
  <r>
    <n v="2141"/>
    <x v="10"/>
    <x v="0"/>
    <s v="Handbag"/>
    <s v="Accessories"/>
    <n v="90"/>
    <x v="35"/>
    <s v="M"/>
    <s v="Brown"/>
    <s v="Fall"/>
    <n v="3.7"/>
    <s v="No"/>
    <s v="No"/>
    <n v="36"/>
    <s v="Cash"/>
    <s v="Fortnightly"/>
    <m/>
  </r>
  <r>
    <n v="2142"/>
    <x v="41"/>
    <x v="0"/>
    <s v="Dress"/>
    <s v="Clothing"/>
    <n v="98"/>
    <x v="0"/>
    <s v="M"/>
    <s v="Peach"/>
    <s v="Winter"/>
    <n v="4.0999999999999996"/>
    <s v="No"/>
    <s v="No"/>
    <n v="32"/>
    <s v="PayPal"/>
    <s v="Annually"/>
    <m/>
  </r>
  <r>
    <n v="2143"/>
    <x v="36"/>
    <x v="0"/>
    <s v="Hat"/>
    <s v="Accessories"/>
    <n v="39"/>
    <x v="25"/>
    <s v="M"/>
    <s v="Maroon"/>
    <s v="Winter"/>
    <n v="4.3"/>
    <s v="No"/>
    <s v="No"/>
    <n v="21"/>
    <s v="Venmo"/>
    <s v="Quarterly"/>
    <m/>
  </r>
  <r>
    <n v="2144"/>
    <x v="10"/>
    <x v="0"/>
    <s v="Sandals"/>
    <s v="Footwear"/>
    <n v="66"/>
    <x v="10"/>
    <s v="L"/>
    <s v="Red"/>
    <s v="Fall"/>
    <n v="3.8"/>
    <s v="No"/>
    <s v="No"/>
    <n v="48"/>
    <s v="Venmo"/>
    <s v="Bi-Weekly"/>
    <m/>
  </r>
  <r>
    <n v="2145"/>
    <x v="36"/>
    <x v="0"/>
    <s v="Shoes"/>
    <s v="Footwear"/>
    <n v="23"/>
    <x v="33"/>
    <s v="L"/>
    <s v="Orange"/>
    <s v="Winter"/>
    <n v="3.7"/>
    <s v="No"/>
    <s v="No"/>
    <n v="25"/>
    <s v="PayPal"/>
    <s v="Quarterly"/>
    <m/>
  </r>
  <r>
    <n v="2146"/>
    <x v="21"/>
    <x v="0"/>
    <s v="Skirt"/>
    <s v="Clothing"/>
    <n v="73"/>
    <x v="39"/>
    <s v="S"/>
    <s v="White"/>
    <s v="Winter"/>
    <n v="4.8"/>
    <s v="No"/>
    <s v="No"/>
    <n v="32"/>
    <s v="PayPal"/>
    <s v="Annually"/>
    <m/>
  </r>
  <r>
    <n v="2147"/>
    <x v="39"/>
    <x v="0"/>
    <s v="Sunglasses"/>
    <s v="Accessories"/>
    <n v="23"/>
    <x v="40"/>
    <s v="XL"/>
    <s v="White"/>
    <s v="Summer"/>
    <n v="4.5999999999999996"/>
    <s v="No"/>
    <s v="No"/>
    <n v="45"/>
    <s v="PayPal"/>
    <s v="Every 3 Months"/>
    <m/>
  </r>
  <r>
    <n v="2148"/>
    <x v="36"/>
    <x v="0"/>
    <s v="Skirt"/>
    <s v="Clothing"/>
    <n v="43"/>
    <x v="9"/>
    <s v="S"/>
    <s v="Charcoal"/>
    <s v="Fall"/>
    <n v="4.8"/>
    <s v="No"/>
    <s v="No"/>
    <n v="4"/>
    <s v="Cash"/>
    <s v="Fortnightly"/>
    <m/>
  </r>
  <r>
    <n v="2149"/>
    <x v="1"/>
    <x v="0"/>
    <s v="T-shirt"/>
    <s v="Clothing"/>
    <n v="45"/>
    <x v="43"/>
    <s v="XL"/>
    <s v="Turquoise"/>
    <s v="Winter"/>
    <n v="4.5999999999999996"/>
    <s v="No"/>
    <s v="No"/>
    <n v="19"/>
    <s v="PayPal"/>
    <s v="Bi-Weekly"/>
    <m/>
  </r>
  <r>
    <n v="2150"/>
    <x v="21"/>
    <x v="0"/>
    <s v="Sandals"/>
    <s v="Footwear"/>
    <n v="21"/>
    <x v="11"/>
    <s v="L"/>
    <s v="Orange"/>
    <s v="Winter"/>
    <n v="4"/>
    <s v="No"/>
    <s v="No"/>
    <n v="1"/>
    <s v="Bank Transfer"/>
    <s v="Weekly"/>
    <m/>
  </r>
  <r>
    <n v="2151"/>
    <x v="9"/>
    <x v="0"/>
    <s v="Shirt"/>
    <s v="Clothing"/>
    <n v="40"/>
    <x v="26"/>
    <s v="M"/>
    <s v="Orange"/>
    <s v="Spring"/>
    <n v="2.6"/>
    <s v="No"/>
    <s v="No"/>
    <n v="12"/>
    <s v="Cash"/>
    <s v="Weekly"/>
    <m/>
  </r>
  <r>
    <n v="2152"/>
    <x v="27"/>
    <x v="0"/>
    <s v="Jeans"/>
    <s v="Clothing"/>
    <n v="58"/>
    <x v="34"/>
    <s v="L"/>
    <s v="Brown"/>
    <s v="Fall"/>
    <n v="2.6"/>
    <s v="No"/>
    <s v="No"/>
    <n v="18"/>
    <s v="Venmo"/>
    <s v="Monthly"/>
    <m/>
  </r>
  <r>
    <n v="2153"/>
    <x v="21"/>
    <x v="0"/>
    <s v="Shorts"/>
    <s v="Clothing"/>
    <n v="48"/>
    <x v="32"/>
    <s v="L"/>
    <s v="Magenta"/>
    <s v="Summer"/>
    <n v="4.5"/>
    <s v="No"/>
    <s v="No"/>
    <n v="43"/>
    <s v="Bank Transfer"/>
    <s v="Bi-Weekly"/>
    <m/>
  </r>
  <r>
    <n v="2154"/>
    <x v="25"/>
    <x v="0"/>
    <s v="Shirt"/>
    <s v="Clothing"/>
    <n v="94"/>
    <x v="0"/>
    <s v="M"/>
    <s v="Violet"/>
    <s v="Fall"/>
    <n v="4.2"/>
    <s v="No"/>
    <s v="No"/>
    <n v="31"/>
    <s v="PayPal"/>
    <s v="Annually"/>
    <m/>
  </r>
  <r>
    <n v="2155"/>
    <x v="5"/>
    <x v="0"/>
    <s v="Scarf"/>
    <s v="Accessories"/>
    <n v="74"/>
    <x v="5"/>
    <s v="M"/>
    <s v="Violet"/>
    <s v="Spring"/>
    <n v="3.4"/>
    <s v="No"/>
    <s v="No"/>
    <n v="33"/>
    <s v="Cash"/>
    <s v="Every 3 Months"/>
    <m/>
  </r>
  <r>
    <n v="2156"/>
    <x v="45"/>
    <x v="0"/>
    <s v="Handbag"/>
    <s v="Accessories"/>
    <n v="51"/>
    <x v="11"/>
    <s v="L"/>
    <s v="Yellow"/>
    <s v="Fall"/>
    <n v="3.7"/>
    <s v="No"/>
    <s v="No"/>
    <n v="46"/>
    <s v="PayPal"/>
    <s v="Monthly"/>
    <m/>
  </r>
  <r>
    <n v="2157"/>
    <x v="21"/>
    <x v="0"/>
    <s v="Skirt"/>
    <s v="Clothing"/>
    <n v="83"/>
    <x v="9"/>
    <s v="M"/>
    <s v="Maroon"/>
    <s v="Winter"/>
    <n v="3.6"/>
    <s v="No"/>
    <s v="No"/>
    <n v="41"/>
    <s v="Debit Card"/>
    <s v="Bi-Weekly"/>
    <m/>
  </r>
  <r>
    <n v="2158"/>
    <x v="38"/>
    <x v="0"/>
    <s v="Handbag"/>
    <s v="Accessories"/>
    <n v="68"/>
    <x v="16"/>
    <s v="L"/>
    <s v="Turquoise"/>
    <s v="Winter"/>
    <n v="4"/>
    <s v="No"/>
    <s v="No"/>
    <n v="41"/>
    <s v="Venmo"/>
    <s v="Fortnightly"/>
    <m/>
  </r>
  <r>
    <n v="2159"/>
    <x v="1"/>
    <x v="0"/>
    <s v="Gloves"/>
    <s v="Accessories"/>
    <n v="84"/>
    <x v="2"/>
    <s v="XL"/>
    <s v="Olive"/>
    <s v="Spring"/>
    <n v="4.5999999999999996"/>
    <s v="No"/>
    <s v="No"/>
    <n v="9"/>
    <s v="Bank Transfer"/>
    <s v="Fortnightly"/>
    <m/>
  </r>
  <r>
    <n v="2160"/>
    <x v="20"/>
    <x v="0"/>
    <s v="Shirt"/>
    <s v="Clothing"/>
    <n v="58"/>
    <x v="7"/>
    <s v="M"/>
    <s v="Peach"/>
    <s v="Fall"/>
    <n v="3"/>
    <s v="No"/>
    <s v="No"/>
    <n v="34"/>
    <s v="Cash"/>
    <s v="Annually"/>
    <m/>
  </r>
  <r>
    <n v="2161"/>
    <x v="4"/>
    <x v="0"/>
    <s v="Blouse"/>
    <s v="Clothing"/>
    <n v="92"/>
    <x v="8"/>
    <s v="L"/>
    <s v="Charcoal"/>
    <s v="Winter"/>
    <n v="3.3"/>
    <s v="No"/>
    <s v="No"/>
    <n v="21"/>
    <s v="PayPal"/>
    <s v="Annually"/>
    <m/>
  </r>
  <r>
    <n v="2162"/>
    <x v="51"/>
    <x v="0"/>
    <s v="Dress"/>
    <s v="Clothing"/>
    <n v="69"/>
    <x v="47"/>
    <s v="S"/>
    <s v="Peach"/>
    <s v="Summer"/>
    <n v="3.8"/>
    <s v="No"/>
    <s v="No"/>
    <n v="5"/>
    <s v="Debit Card"/>
    <s v="Fortnightly"/>
    <m/>
  </r>
  <r>
    <n v="2163"/>
    <x v="52"/>
    <x v="0"/>
    <s v="Shorts"/>
    <s v="Clothing"/>
    <n v="48"/>
    <x v="4"/>
    <s v="S"/>
    <s v="Black"/>
    <s v="Summer"/>
    <n v="2.7"/>
    <s v="No"/>
    <s v="No"/>
    <n v="32"/>
    <s v="PayPal"/>
    <s v="Weekly"/>
    <m/>
  </r>
  <r>
    <n v="2164"/>
    <x v="16"/>
    <x v="0"/>
    <s v="Shoes"/>
    <s v="Footwear"/>
    <n v="60"/>
    <x v="14"/>
    <s v="L"/>
    <s v="Gray"/>
    <s v="Spring"/>
    <n v="4.5"/>
    <s v="No"/>
    <s v="No"/>
    <n v="44"/>
    <s v="Bank Transfer"/>
    <s v="Monthly"/>
    <m/>
  </r>
  <r>
    <n v="2165"/>
    <x v="32"/>
    <x v="0"/>
    <s v="Sandals"/>
    <s v="Footwear"/>
    <n v="20"/>
    <x v="44"/>
    <s v="S"/>
    <s v="Olive"/>
    <s v="Winter"/>
    <n v="4.8"/>
    <s v="No"/>
    <s v="No"/>
    <n v="46"/>
    <s v="PayPal"/>
    <s v="Bi-Weekly"/>
    <m/>
  </r>
  <r>
    <n v="2166"/>
    <x v="26"/>
    <x v="0"/>
    <s v="Pants"/>
    <s v="Clothing"/>
    <n v="55"/>
    <x v="37"/>
    <s v="M"/>
    <s v="Turquoise"/>
    <s v="Summer"/>
    <n v="4.2"/>
    <s v="No"/>
    <s v="No"/>
    <n v="42"/>
    <s v="Credit Card"/>
    <s v="Every 3 Months"/>
    <m/>
  </r>
  <r>
    <n v="2167"/>
    <x v="18"/>
    <x v="0"/>
    <s v="Jacket"/>
    <s v="Outerwear"/>
    <n v="88"/>
    <x v="32"/>
    <s v="S"/>
    <s v="Purple"/>
    <s v="Spring"/>
    <n v="3.5"/>
    <s v="No"/>
    <s v="No"/>
    <n v="50"/>
    <s v="Credit Card"/>
    <s v="Bi-Weekly"/>
    <m/>
  </r>
  <r>
    <n v="2168"/>
    <x v="11"/>
    <x v="0"/>
    <s v="Skirt"/>
    <s v="Clothing"/>
    <n v="48"/>
    <x v="31"/>
    <s v="L"/>
    <s v="Green"/>
    <s v="Winter"/>
    <n v="4.9000000000000004"/>
    <s v="No"/>
    <s v="No"/>
    <n v="33"/>
    <s v="Venmo"/>
    <s v="Fortnightly"/>
    <m/>
  </r>
  <r>
    <n v="2169"/>
    <x v="51"/>
    <x v="0"/>
    <s v="Handbag"/>
    <s v="Accessories"/>
    <n v="74"/>
    <x v="39"/>
    <s v="M"/>
    <s v="Beige"/>
    <s v="Spring"/>
    <n v="4.0999999999999996"/>
    <s v="No"/>
    <s v="No"/>
    <n v="32"/>
    <s v="Cash"/>
    <s v="Quarterly"/>
    <m/>
  </r>
  <r>
    <n v="2170"/>
    <x v="18"/>
    <x v="0"/>
    <s v="Coat"/>
    <s v="Outerwear"/>
    <n v="42"/>
    <x v="20"/>
    <s v="M"/>
    <s v="Brown"/>
    <s v="Fall"/>
    <n v="2.9"/>
    <s v="No"/>
    <s v="No"/>
    <n v="32"/>
    <s v="Bank Transfer"/>
    <s v="Bi-Weekly"/>
    <m/>
  </r>
  <r>
    <n v="2171"/>
    <x v="37"/>
    <x v="0"/>
    <s v="Sweater"/>
    <s v="Clothing"/>
    <n v="32"/>
    <x v="36"/>
    <s v="M"/>
    <s v="Turquoise"/>
    <s v="Fall"/>
    <n v="4"/>
    <s v="No"/>
    <s v="No"/>
    <n v="37"/>
    <s v="Venmo"/>
    <s v="Every 3 Months"/>
    <m/>
  </r>
  <r>
    <n v="2172"/>
    <x v="31"/>
    <x v="0"/>
    <s v="Shorts"/>
    <s v="Clothing"/>
    <n v="98"/>
    <x v="9"/>
    <s v="M"/>
    <s v="Yellow"/>
    <s v="Summer"/>
    <n v="4.5999999999999996"/>
    <s v="No"/>
    <s v="No"/>
    <n v="9"/>
    <s v="Cash"/>
    <s v="Fortnightly"/>
    <m/>
  </r>
  <r>
    <n v="2173"/>
    <x v="48"/>
    <x v="0"/>
    <s v="Skirt"/>
    <s v="Clothing"/>
    <n v="89"/>
    <x v="3"/>
    <s v="S"/>
    <s v="Lavender"/>
    <s v="Fall"/>
    <n v="2.8"/>
    <s v="No"/>
    <s v="No"/>
    <n v="6"/>
    <s v="PayPal"/>
    <s v="Fortnightly"/>
    <m/>
  </r>
  <r>
    <n v="2174"/>
    <x v="51"/>
    <x v="0"/>
    <s v="Gloves"/>
    <s v="Accessories"/>
    <n v="97"/>
    <x v="12"/>
    <s v="S"/>
    <s v="Cyan"/>
    <s v="Summer"/>
    <n v="5"/>
    <s v="No"/>
    <s v="No"/>
    <n v="36"/>
    <s v="Venmo"/>
    <s v="Quarterly"/>
    <m/>
  </r>
  <r>
    <n v="2175"/>
    <x v="32"/>
    <x v="0"/>
    <s v="Backpack"/>
    <s v="Accessories"/>
    <n v="49"/>
    <x v="24"/>
    <s v="S"/>
    <s v="Olive"/>
    <s v="Spring"/>
    <n v="2.9"/>
    <s v="No"/>
    <s v="No"/>
    <n v="1"/>
    <s v="Cash"/>
    <s v="Annually"/>
    <m/>
  </r>
  <r>
    <n v="2176"/>
    <x v="33"/>
    <x v="0"/>
    <s v="Dress"/>
    <s v="Clothing"/>
    <n v="50"/>
    <x v="43"/>
    <s v="M"/>
    <s v="Silver"/>
    <s v="Spring"/>
    <n v="3.3"/>
    <s v="No"/>
    <s v="No"/>
    <n v="48"/>
    <s v="Credit Card"/>
    <s v="Fortnightly"/>
    <m/>
  </r>
  <r>
    <n v="2177"/>
    <x v="41"/>
    <x v="0"/>
    <s v="Belt"/>
    <s v="Accessories"/>
    <n v="91"/>
    <x v="34"/>
    <s v="S"/>
    <s v="Red"/>
    <s v="Winter"/>
    <n v="3.4"/>
    <s v="No"/>
    <s v="No"/>
    <n v="44"/>
    <s v="Debit Card"/>
    <s v="Quarterly"/>
    <m/>
  </r>
  <r>
    <n v="2178"/>
    <x v="41"/>
    <x v="0"/>
    <s v="Gloves"/>
    <s v="Accessories"/>
    <n v="93"/>
    <x v="6"/>
    <s v="XL"/>
    <s v="Green"/>
    <s v="Winter"/>
    <n v="3"/>
    <s v="No"/>
    <s v="No"/>
    <n v="9"/>
    <s v="PayPal"/>
    <s v="Bi-Weekly"/>
    <m/>
  </r>
  <r>
    <n v="2179"/>
    <x v="3"/>
    <x v="0"/>
    <s v="Jewelry"/>
    <s v="Accessories"/>
    <n v="98"/>
    <x v="20"/>
    <s v="M"/>
    <s v="Gold"/>
    <s v="Summer"/>
    <n v="4.7"/>
    <s v="No"/>
    <s v="No"/>
    <n v="32"/>
    <s v="Venmo"/>
    <s v="Annually"/>
    <m/>
  </r>
  <r>
    <n v="2180"/>
    <x v="34"/>
    <x v="0"/>
    <s v="Socks"/>
    <s v="Clothing"/>
    <n v="82"/>
    <x v="12"/>
    <s v="L"/>
    <s v="Lavender"/>
    <s v="Fall"/>
    <n v="2.9"/>
    <s v="No"/>
    <s v="No"/>
    <n v="14"/>
    <s v="PayPal"/>
    <s v="Monthly"/>
    <m/>
  </r>
  <r>
    <n v="2181"/>
    <x v="38"/>
    <x v="0"/>
    <s v="Coat"/>
    <s v="Outerwear"/>
    <n v="37"/>
    <x v="39"/>
    <s v="M"/>
    <s v="Yellow"/>
    <s v="Summer"/>
    <n v="4.0999999999999996"/>
    <s v="No"/>
    <s v="No"/>
    <n v="43"/>
    <s v="Cash"/>
    <s v="Quarterly"/>
    <m/>
  </r>
  <r>
    <n v="2182"/>
    <x v="40"/>
    <x v="0"/>
    <s v="Handbag"/>
    <s v="Accessories"/>
    <n v="63"/>
    <x v="11"/>
    <s v="M"/>
    <s v="Black"/>
    <s v="Fall"/>
    <n v="3.2"/>
    <s v="No"/>
    <s v="No"/>
    <n v="32"/>
    <s v="Bank Transfer"/>
    <s v="Bi-Weekly"/>
    <m/>
  </r>
  <r>
    <n v="2183"/>
    <x v="32"/>
    <x v="0"/>
    <s v="Blouse"/>
    <s v="Clothing"/>
    <n v="99"/>
    <x v="35"/>
    <s v="M"/>
    <s v="Maroon"/>
    <s v="Winter"/>
    <n v="2.7"/>
    <s v="No"/>
    <s v="No"/>
    <n v="26"/>
    <s v="Venmo"/>
    <s v="Bi-Weekly"/>
    <m/>
  </r>
  <r>
    <n v="2184"/>
    <x v="11"/>
    <x v="0"/>
    <s v="Shorts"/>
    <s v="Clothing"/>
    <n v="37"/>
    <x v="23"/>
    <s v="M"/>
    <s v="Maroon"/>
    <s v="Spring"/>
    <n v="4.7"/>
    <s v="No"/>
    <s v="No"/>
    <n v="2"/>
    <s v="Cash"/>
    <s v="Monthly"/>
    <m/>
  </r>
  <r>
    <n v="2185"/>
    <x v="21"/>
    <x v="0"/>
    <s v="Shoes"/>
    <s v="Footwear"/>
    <n v="34"/>
    <x v="22"/>
    <s v="S"/>
    <s v="Gold"/>
    <s v="Spring"/>
    <n v="3.2"/>
    <s v="No"/>
    <s v="No"/>
    <n v="16"/>
    <s v="PayPal"/>
    <s v="Every 3 Months"/>
    <m/>
  </r>
  <r>
    <n v="2186"/>
    <x v="37"/>
    <x v="0"/>
    <s v="Shorts"/>
    <s v="Clothing"/>
    <n v="32"/>
    <x v="17"/>
    <s v="M"/>
    <s v="Violet"/>
    <s v="Winter"/>
    <n v="2.5"/>
    <s v="No"/>
    <s v="No"/>
    <n v="50"/>
    <s v="Debit Card"/>
    <s v="Every 3 Months"/>
    <m/>
  </r>
  <r>
    <n v="2187"/>
    <x v="0"/>
    <x v="0"/>
    <s v="Sandals"/>
    <s v="Footwear"/>
    <n v="23"/>
    <x v="35"/>
    <s v="XL"/>
    <s v="Teal"/>
    <s v="Winter"/>
    <n v="4.3"/>
    <s v="No"/>
    <s v="No"/>
    <n v="6"/>
    <s v="PayPal"/>
    <s v="Every 3 Months"/>
    <m/>
  </r>
  <r>
    <n v="2188"/>
    <x v="43"/>
    <x v="0"/>
    <s v="Blouse"/>
    <s v="Clothing"/>
    <n v="78"/>
    <x v="37"/>
    <s v="M"/>
    <s v="Violet"/>
    <s v="Spring"/>
    <n v="4.4000000000000004"/>
    <s v="No"/>
    <s v="No"/>
    <n v="20"/>
    <s v="PayPal"/>
    <s v="Annually"/>
    <m/>
  </r>
  <r>
    <n v="2189"/>
    <x v="38"/>
    <x v="0"/>
    <s v="Coat"/>
    <s v="Outerwear"/>
    <n v="54"/>
    <x v="18"/>
    <s v="M"/>
    <s v="Brown"/>
    <s v="Winter"/>
    <n v="4.7"/>
    <s v="No"/>
    <s v="No"/>
    <n v="9"/>
    <s v="Credit Card"/>
    <s v="Weekly"/>
    <m/>
  </r>
  <r>
    <n v="2190"/>
    <x v="21"/>
    <x v="0"/>
    <s v="Blouse"/>
    <s v="Clothing"/>
    <n v="94"/>
    <x v="48"/>
    <s v="XL"/>
    <s v="Brown"/>
    <s v="Fall"/>
    <n v="4"/>
    <s v="No"/>
    <s v="No"/>
    <n v="47"/>
    <s v="Credit Card"/>
    <s v="Bi-Weekly"/>
    <m/>
  </r>
  <r>
    <n v="2191"/>
    <x v="32"/>
    <x v="0"/>
    <s v="Belt"/>
    <s v="Accessories"/>
    <n v="75"/>
    <x v="29"/>
    <s v="S"/>
    <s v="Maroon"/>
    <s v="Spring"/>
    <n v="4.5999999999999996"/>
    <s v="No"/>
    <s v="No"/>
    <n v="33"/>
    <s v="Credit Card"/>
    <s v="Annually"/>
    <m/>
  </r>
  <r>
    <n v="2192"/>
    <x v="8"/>
    <x v="0"/>
    <s v="Blouse"/>
    <s v="Clothing"/>
    <n v="69"/>
    <x v="38"/>
    <s v="S"/>
    <s v="Maroon"/>
    <s v="Summer"/>
    <n v="3.8"/>
    <s v="No"/>
    <s v="No"/>
    <n v="46"/>
    <s v="Cash"/>
    <s v="Bi-Weekly"/>
    <m/>
  </r>
  <r>
    <n v="2193"/>
    <x v="38"/>
    <x v="0"/>
    <s v="Scarf"/>
    <s v="Accessories"/>
    <n v="35"/>
    <x v="41"/>
    <s v="L"/>
    <s v="Yellow"/>
    <s v="Winter"/>
    <n v="3.2"/>
    <s v="No"/>
    <s v="No"/>
    <n v="9"/>
    <s v="Credit Card"/>
    <s v="Monthly"/>
    <m/>
  </r>
  <r>
    <n v="2194"/>
    <x v="7"/>
    <x v="0"/>
    <s v="Shirt"/>
    <s v="Clothing"/>
    <n v="78"/>
    <x v="18"/>
    <s v="L"/>
    <s v="Turquoise"/>
    <s v="Spring"/>
    <n v="5"/>
    <s v="No"/>
    <s v="No"/>
    <n v="8"/>
    <s v="PayPal"/>
    <s v="Monthly"/>
    <m/>
  </r>
  <r>
    <n v="2195"/>
    <x v="12"/>
    <x v="0"/>
    <s v="Socks"/>
    <s v="Clothing"/>
    <n v="29"/>
    <x v="0"/>
    <s v="M"/>
    <s v="Silver"/>
    <s v="Summer"/>
    <n v="3.5"/>
    <s v="No"/>
    <s v="No"/>
    <n v="48"/>
    <s v="Bank Transfer"/>
    <s v="Quarterly"/>
    <m/>
  </r>
  <r>
    <n v="2196"/>
    <x v="44"/>
    <x v="0"/>
    <s v="Jeans"/>
    <s v="Clothing"/>
    <n v="62"/>
    <x v="14"/>
    <s v="M"/>
    <s v="Brown"/>
    <s v="Fall"/>
    <n v="3.7"/>
    <s v="No"/>
    <s v="No"/>
    <n v="2"/>
    <s v="Cash"/>
    <s v="Monthly"/>
    <m/>
  </r>
  <r>
    <n v="2197"/>
    <x v="15"/>
    <x v="0"/>
    <s v="Dress"/>
    <s v="Clothing"/>
    <n v="58"/>
    <x v="34"/>
    <s v="M"/>
    <s v="Gray"/>
    <s v="Spring"/>
    <n v="4.8"/>
    <s v="No"/>
    <s v="No"/>
    <n v="31"/>
    <s v="PayPal"/>
    <s v="Weekly"/>
    <m/>
  </r>
  <r>
    <n v="2198"/>
    <x v="23"/>
    <x v="0"/>
    <s v="Boots"/>
    <s v="Footwear"/>
    <n v="88"/>
    <x v="38"/>
    <s v="M"/>
    <s v="Indigo"/>
    <s v="Summer"/>
    <n v="3.7"/>
    <s v="No"/>
    <s v="No"/>
    <n v="40"/>
    <s v="Venmo"/>
    <s v="Monthly"/>
    <m/>
  </r>
  <r>
    <n v="2199"/>
    <x v="9"/>
    <x v="0"/>
    <s v="Scarf"/>
    <s v="Accessories"/>
    <n v="80"/>
    <x v="14"/>
    <s v="L"/>
    <s v="Turquoise"/>
    <s v="Summer"/>
    <n v="3.5"/>
    <s v="No"/>
    <s v="No"/>
    <n v="35"/>
    <s v="Venmo"/>
    <s v="Monthly"/>
    <m/>
  </r>
  <r>
    <n v="2200"/>
    <x v="31"/>
    <x v="0"/>
    <s v="Scarf"/>
    <s v="Accessories"/>
    <n v="47"/>
    <x v="17"/>
    <s v="M"/>
    <s v="Maroon"/>
    <s v="Summer"/>
    <n v="4.9000000000000004"/>
    <s v="No"/>
    <s v="No"/>
    <n v="40"/>
    <s v="Debit Card"/>
    <s v="Monthly"/>
    <m/>
  </r>
  <r>
    <n v="2201"/>
    <x v="52"/>
    <x v="0"/>
    <s v="Gloves"/>
    <s v="Accessories"/>
    <n v="51"/>
    <x v="5"/>
    <s v="L"/>
    <s v="Charcoal"/>
    <s v="Summer"/>
    <n v="4.7"/>
    <s v="No"/>
    <s v="No"/>
    <n v="27"/>
    <s v="Debit Card"/>
    <s v="Every 3 Months"/>
    <m/>
  </r>
  <r>
    <n v="2202"/>
    <x v="31"/>
    <x v="0"/>
    <s v="Pants"/>
    <s v="Clothing"/>
    <n v="25"/>
    <x v="31"/>
    <s v="L"/>
    <s v="Peach"/>
    <s v="Spring"/>
    <n v="4.9000000000000004"/>
    <s v="No"/>
    <s v="No"/>
    <n v="10"/>
    <s v="Venmo"/>
    <s v="Annually"/>
    <m/>
  </r>
  <r>
    <n v="2203"/>
    <x v="32"/>
    <x v="0"/>
    <s v="Dress"/>
    <s v="Clothing"/>
    <n v="36"/>
    <x v="15"/>
    <s v="M"/>
    <s v="Red"/>
    <s v="Summer"/>
    <n v="4.3"/>
    <s v="No"/>
    <s v="No"/>
    <n v="23"/>
    <s v="Credit Card"/>
    <s v="Weekly"/>
    <m/>
  </r>
  <r>
    <n v="2204"/>
    <x v="10"/>
    <x v="0"/>
    <s v="Dress"/>
    <s v="Clothing"/>
    <n v="79"/>
    <x v="3"/>
    <s v="M"/>
    <s v="Indigo"/>
    <s v="Winter"/>
    <n v="3.1"/>
    <s v="No"/>
    <s v="No"/>
    <n v="32"/>
    <s v="Cash"/>
    <s v="Quarterly"/>
    <m/>
  </r>
  <r>
    <n v="2205"/>
    <x v="30"/>
    <x v="0"/>
    <s v="Jeans"/>
    <s v="Clothing"/>
    <n v="41"/>
    <x v="4"/>
    <s v="S"/>
    <s v="Lavender"/>
    <s v="Winter"/>
    <n v="3.4"/>
    <s v="No"/>
    <s v="No"/>
    <n v="6"/>
    <s v="Debit Card"/>
    <s v="Monthly"/>
    <m/>
  </r>
  <r>
    <n v="2206"/>
    <x v="5"/>
    <x v="0"/>
    <s v="Sweater"/>
    <s v="Clothing"/>
    <n v="68"/>
    <x v="25"/>
    <s v="XL"/>
    <s v="Red"/>
    <s v="Fall"/>
    <n v="2.7"/>
    <s v="No"/>
    <s v="No"/>
    <n v="27"/>
    <s v="PayPal"/>
    <s v="Weekly"/>
    <m/>
  </r>
  <r>
    <n v="2207"/>
    <x v="5"/>
    <x v="0"/>
    <s v="Sandals"/>
    <s v="Footwear"/>
    <n v="51"/>
    <x v="26"/>
    <s v="L"/>
    <s v="Green"/>
    <s v="Spring"/>
    <n v="2.6"/>
    <s v="No"/>
    <s v="No"/>
    <n v="25"/>
    <s v="Bank Transfer"/>
    <s v="Fortnightly"/>
    <m/>
  </r>
  <r>
    <n v="2208"/>
    <x v="28"/>
    <x v="0"/>
    <s v="Handbag"/>
    <s v="Accessories"/>
    <n v="38"/>
    <x v="35"/>
    <s v="M"/>
    <s v="Gray"/>
    <s v="Fall"/>
    <n v="2.9"/>
    <s v="No"/>
    <s v="No"/>
    <n v="11"/>
    <s v="Credit Card"/>
    <s v="Annually"/>
    <m/>
  </r>
  <r>
    <n v="2209"/>
    <x v="48"/>
    <x v="0"/>
    <s v="Scarf"/>
    <s v="Accessories"/>
    <n v="46"/>
    <x v="24"/>
    <s v="XL"/>
    <s v="Violet"/>
    <s v="Summer"/>
    <n v="2.7"/>
    <s v="No"/>
    <s v="No"/>
    <n v="23"/>
    <s v="PayPal"/>
    <s v="Monthly"/>
    <m/>
  </r>
  <r>
    <n v="2210"/>
    <x v="32"/>
    <x v="0"/>
    <s v="Sandals"/>
    <s v="Footwear"/>
    <n v="20"/>
    <x v="40"/>
    <s v="XL"/>
    <s v="Beige"/>
    <s v="Summer"/>
    <n v="4.5"/>
    <s v="No"/>
    <s v="No"/>
    <n v="44"/>
    <s v="Bank Transfer"/>
    <s v="Quarterly"/>
    <m/>
  </r>
  <r>
    <n v="2211"/>
    <x v="11"/>
    <x v="0"/>
    <s v="Sunglasses"/>
    <s v="Accessories"/>
    <n v="25"/>
    <x v="41"/>
    <s v="M"/>
    <s v="Orange"/>
    <s v="Summer"/>
    <n v="3.1"/>
    <s v="No"/>
    <s v="No"/>
    <n v="35"/>
    <s v="PayPal"/>
    <s v="Fortnightly"/>
    <m/>
  </r>
  <r>
    <n v="2212"/>
    <x v="2"/>
    <x v="0"/>
    <s v="Sweater"/>
    <s v="Clothing"/>
    <n v="89"/>
    <x v="1"/>
    <s v="L"/>
    <s v="Purple"/>
    <s v="Winter"/>
    <n v="3.2"/>
    <s v="No"/>
    <s v="No"/>
    <n v="45"/>
    <s v="Debit Card"/>
    <s v="Every 3 Months"/>
    <m/>
  </r>
  <r>
    <n v="2213"/>
    <x v="35"/>
    <x v="0"/>
    <s v="Pants"/>
    <s v="Clothing"/>
    <n v="77"/>
    <x v="43"/>
    <s v="M"/>
    <s v="Brown"/>
    <s v="Winter"/>
    <n v="3.3"/>
    <s v="No"/>
    <s v="No"/>
    <n v="22"/>
    <s v="Bank Transfer"/>
    <s v="Quarterly"/>
    <m/>
  </r>
  <r>
    <n v="2214"/>
    <x v="22"/>
    <x v="0"/>
    <s v="Hat"/>
    <s v="Accessories"/>
    <n v="94"/>
    <x v="11"/>
    <s v="M"/>
    <s v="Maroon"/>
    <s v="Fall"/>
    <n v="2.9"/>
    <s v="No"/>
    <s v="No"/>
    <n v="18"/>
    <s v="Debit Card"/>
    <s v="Quarterly"/>
    <m/>
  </r>
  <r>
    <n v="2215"/>
    <x v="2"/>
    <x v="0"/>
    <s v="Belt"/>
    <s v="Accessories"/>
    <n v="100"/>
    <x v="37"/>
    <s v="L"/>
    <s v="Gold"/>
    <s v="Fall"/>
    <n v="4.0999999999999996"/>
    <s v="No"/>
    <s v="No"/>
    <n v="20"/>
    <s v="Debit Card"/>
    <s v="Weekly"/>
    <m/>
  </r>
  <r>
    <n v="2216"/>
    <x v="15"/>
    <x v="0"/>
    <s v="Sandals"/>
    <s v="Footwear"/>
    <n v="96"/>
    <x v="8"/>
    <s v="M"/>
    <s v="Indigo"/>
    <s v="Winter"/>
    <n v="2.7"/>
    <s v="No"/>
    <s v="No"/>
    <n v="28"/>
    <s v="Credit Card"/>
    <s v="Fortnightly"/>
    <m/>
  </r>
  <r>
    <n v="2217"/>
    <x v="38"/>
    <x v="0"/>
    <s v="Pants"/>
    <s v="Clothing"/>
    <n v="36"/>
    <x v="34"/>
    <s v="XL"/>
    <s v="Silver"/>
    <s v="Winter"/>
    <n v="4"/>
    <s v="No"/>
    <s v="No"/>
    <n v="15"/>
    <s v="Venmo"/>
    <s v="Bi-Weekly"/>
    <m/>
  </r>
  <r>
    <n v="2218"/>
    <x v="25"/>
    <x v="0"/>
    <s v="Jewelry"/>
    <s v="Accessories"/>
    <n v="27"/>
    <x v="27"/>
    <s v="XL"/>
    <s v="Red"/>
    <s v="Fall"/>
    <n v="2.6"/>
    <s v="No"/>
    <s v="No"/>
    <n v="42"/>
    <s v="Bank Transfer"/>
    <s v="Fortnightly"/>
    <m/>
  </r>
  <r>
    <n v="2219"/>
    <x v="29"/>
    <x v="0"/>
    <s v="Sunglasses"/>
    <s v="Accessories"/>
    <n v="67"/>
    <x v="37"/>
    <s v="M"/>
    <s v="Magenta"/>
    <s v="Winter"/>
    <n v="3.5"/>
    <s v="No"/>
    <s v="No"/>
    <n v="20"/>
    <s v="Debit Card"/>
    <s v="Quarterly"/>
    <m/>
  </r>
  <r>
    <n v="2220"/>
    <x v="23"/>
    <x v="0"/>
    <s v="Blouse"/>
    <s v="Clothing"/>
    <n v="91"/>
    <x v="46"/>
    <s v="S"/>
    <s v="Purple"/>
    <s v="Fall"/>
    <n v="2.8"/>
    <s v="No"/>
    <s v="No"/>
    <n v="16"/>
    <s v="Bank Transfer"/>
    <s v="Fortnightly"/>
    <m/>
  </r>
  <r>
    <n v="2221"/>
    <x v="1"/>
    <x v="0"/>
    <s v="Belt"/>
    <s v="Accessories"/>
    <n v="62"/>
    <x v="5"/>
    <s v="XL"/>
    <s v="Beige"/>
    <s v="Fall"/>
    <n v="4.5"/>
    <s v="No"/>
    <s v="No"/>
    <n v="47"/>
    <s v="Cash"/>
    <s v="Annually"/>
    <m/>
  </r>
  <r>
    <n v="2222"/>
    <x v="15"/>
    <x v="0"/>
    <s v="Shorts"/>
    <s v="Clothing"/>
    <n v="88"/>
    <x v="23"/>
    <s v="XL"/>
    <s v="White"/>
    <s v="Fall"/>
    <n v="3"/>
    <s v="No"/>
    <s v="No"/>
    <n v="34"/>
    <s v="Credit Card"/>
    <s v="Annually"/>
    <m/>
  </r>
  <r>
    <n v="2223"/>
    <x v="45"/>
    <x v="0"/>
    <s v="Pants"/>
    <s v="Clothing"/>
    <n v="66"/>
    <x v="42"/>
    <s v="M"/>
    <s v="Teal"/>
    <s v="Summer"/>
    <n v="4.4000000000000004"/>
    <s v="No"/>
    <s v="No"/>
    <n v="30"/>
    <s v="Credit Card"/>
    <s v="Weekly"/>
    <m/>
  </r>
  <r>
    <n v="2224"/>
    <x v="11"/>
    <x v="0"/>
    <s v="Sandals"/>
    <s v="Footwear"/>
    <n v="65"/>
    <x v="23"/>
    <s v="M"/>
    <s v="Gray"/>
    <s v="Fall"/>
    <n v="4.7"/>
    <s v="No"/>
    <s v="No"/>
    <n v="5"/>
    <s v="PayPal"/>
    <s v="Quarterly"/>
    <m/>
  </r>
  <r>
    <n v="2225"/>
    <x v="20"/>
    <x v="0"/>
    <s v="Gloves"/>
    <s v="Accessories"/>
    <n v="25"/>
    <x v="43"/>
    <s v="L"/>
    <s v="Charcoal"/>
    <s v="Winter"/>
    <n v="4.3"/>
    <s v="No"/>
    <s v="No"/>
    <n v="38"/>
    <s v="Cash"/>
    <s v="Quarterly"/>
    <m/>
  </r>
  <r>
    <n v="2226"/>
    <x v="21"/>
    <x v="0"/>
    <s v="Belt"/>
    <s v="Accessories"/>
    <n v="64"/>
    <x v="47"/>
    <s v="S"/>
    <s v="Olive"/>
    <s v="Spring"/>
    <n v="4.8"/>
    <s v="No"/>
    <s v="No"/>
    <n v="18"/>
    <s v="Credit Card"/>
    <s v="Annually"/>
    <m/>
  </r>
  <r>
    <n v="2227"/>
    <x v="40"/>
    <x v="0"/>
    <s v="Shirt"/>
    <s v="Clothing"/>
    <n v="72"/>
    <x v="9"/>
    <s v="L"/>
    <s v="Blue"/>
    <s v="Spring"/>
    <n v="4.8"/>
    <s v="No"/>
    <s v="No"/>
    <n v="28"/>
    <s v="Cash"/>
    <s v="Annually"/>
    <m/>
  </r>
  <r>
    <n v="2228"/>
    <x v="37"/>
    <x v="0"/>
    <s v="Scarf"/>
    <s v="Accessories"/>
    <n v="74"/>
    <x v="47"/>
    <s v="S"/>
    <s v="Gray"/>
    <s v="Summer"/>
    <n v="4.4000000000000004"/>
    <s v="No"/>
    <s v="No"/>
    <n v="42"/>
    <s v="Credit Card"/>
    <s v="Fortnightly"/>
    <m/>
  </r>
  <r>
    <n v="2229"/>
    <x v="22"/>
    <x v="0"/>
    <s v="Gloves"/>
    <s v="Accessories"/>
    <n v="50"/>
    <x v="23"/>
    <s v="M"/>
    <s v="Green"/>
    <s v="Fall"/>
    <n v="3.7"/>
    <s v="No"/>
    <s v="No"/>
    <n v="5"/>
    <s v="Credit Card"/>
    <s v="Weekly"/>
    <m/>
  </r>
  <r>
    <n v="2230"/>
    <x v="27"/>
    <x v="0"/>
    <s v="Pants"/>
    <s v="Clothing"/>
    <n v="97"/>
    <x v="46"/>
    <s v="M"/>
    <s v="Silver"/>
    <s v="Fall"/>
    <n v="3.9"/>
    <s v="No"/>
    <s v="No"/>
    <n v="50"/>
    <s v="Venmo"/>
    <s v="Monthly"/>
    <m/>
  </r>
  <r>
    <n v="2231"/>
    <x v="16"/>
    <x v="0"/>
    <s v="Sneakers"/>
    <s v="Footwear"/>
    <n v="36"/>
    <x v="24"/>
    <s v="S"/>
    <s v="Teal"/>
    <s v="Spring"/>
    <n v="3.8"/>
    <s v="No"/>
    <s v="No"/>
    <n v="33"/>
    <s v="Venmo"/>
    <s v="Fortnightly"/>
    <m/>
  </r>
  <r>
    <n v="2232"/>
    <x v="50"/>
    <x v="0"/>
    <s v="Jacket"/>
    <s v="Outerwear"/>
    <n v="49"/>
    <x v="40"/>
    <s v="M"/>
    <s v="Beige"/>
    <s v="Fall"/>
    <n v="4.0999999999999996"/>
    <s v="No"/>
    <s v="No"/>
    <n v="1"/>
    <s v="Credit Card"/>
    <s v="Weekly"/>
    <m/>
  </r>
  <r>
    <n v="2233"/>
    <x v="13"/>
    <x v="0"/>
    <s v="Shoes"/>
    <s v="Footwear"/>
    <n v="64"/>
    <x v="17"/>
    <s v="L"/>
    <s v="Lavender"/>
    <s v="Spring"/>
    <n v="4"/>
    <s v="No"/>
    <s v="No"/>
    <n v="14"/>
    <s v="Cash"/>
    <s v="Fortnightly"/>
    <m/>
  </r>
  <r>
    <n v="2234"/>
    <x v="21"/>
    <x v="0"/>
    <s v="Blouse"/>
    <s v="Clothing"/>
    <n v="31"/>
    <x v="20"/>
    <s v="XL"/>
    <s v="Gray"/>
    <s v="Summer"/>
    <n v="4.5"/>
    <s v="No"/>
    <s v="No"/>
    <n v="48"/>
    <s v="Credit Card"/>
    <s v="Monthly"/>
    <m/>
  </r>
  <r>
    <n v="2235"/>
    <x v="25"/>
    <x v="0"/>
    <s v="Boots"/>
    <s v="Footwear"/>
    <n v="66"/>
    <x v="13"/>
    <s v="S"/>
    <s v="Yellow"/>
    <s v="Winter"/>
    <n v="4"/>
    <s v="No"/>
    <s v="No"/>
    <n v="26"/>
    <s v="Cash"/>
    <s v="Weekly"/>
    <m/>
  </r>
  <r>
    <n v="2236"/>
    <x v="37"/>
    <x v="0"/>
    <s v="Socks"/>
    <s v="Clothing"/>
    <n v="82"/>
    <x v="26"/>
    <s v="M"/>
    <s v="Gray"/>
    <s v="Spring"/>
    <n v="4.5"/>
    <s v="No"/>
    <s v="No"/>
    <n v="44"/>
    <s v="Credit Card"/>
    <s v="Annually"/>
    <m/>
  </r>
  <r>
    <n v="2237"/>
    <x v="51"/>
    <x v="0"/>
    <s v="T-shirt"/>
    <s v="Clothing"/>
    <n v="88"/>
    <x v="7"/>
    <s v="M"/>
    <s v="Yellow"/>
    <s v="Winter"/>
    <n v="2.7"/>
    <s v="No"/>
    <s v="No"/>
    <n v="18"/>
    <s v="Debit Card"/>
    <s v="Fortnightly"/>
    <m/>
  </r>
  <r>
    <n v="2238"/>
    <x v="4"/>
    <x v="0"/>
    <s v="Sandals"/>
    <s v="Footwear"/>
    <n v="34"/>
    <x v="15"/>
    <s v="S"/>
    <s v="Black"/>
    <s v="Summer"/>
    <n v="3.8"/>
    <s v="No"/>
    <s v="No"/>
    <n v="31"/>
    <s v="Venmo"/>
    <s v="Every 3 Months"/>
    <m/>
  </r>
  <r>
    <n v="2239"/>
    <x v="37"/>
    <x v="0"/>
    <s v="Sneakers"/>
    <s v="Footwear"/>
    <n v="84"/>
    <x v="20"/>
    <s v="L"/>
    <s v="Beige"/>
    <s v="Winter"/>
    <n v="3.8"/>
    <s v="No"/>
    <s v="No"/>
    <n v="18"/>
    <s v="Debit Card"/>
    <s v="Weekly"/>
    <m/>
  </r>
  <r>
    <n v="2240"/>
    <x v="32"/>
    <x v="0"/>
    <s v="Jewelry"/>
    <s v="Accessories"/>
    <n v="96"/>
    <x v="15"/>
    <s v="L"/>
    <s v="Indigo"/>
    <s v="Summer"/>
    <n v="3.8"/>
    <s v="No"/>
    <s v="No"/>
    <n v="41"/>
    <s v="Credit Card"/>
    <s v="Every 3 Months"/>
    <m/>
  </r>
  <r>
    <n v="2241"/>
    <x v="9"/>
    <x v="0"/>
    <s v="Sandals"/>
    <s v="Footwear"/>
    <n v="71"/>
    <x v="18"/>
    <s v="L"/>
    <s v="Green"/>
    <s v="Winter"/>
    <n v="4.3"/>
    <s v="No"/>
    <s v="No"/>
    <n v="18"/>
    <s v="Debit Card"/>
    <s v="Every 3 Months"/>
    <m/>
  </r>
  <r>
    <n v="2242"/>
    <x v="20"/>
    <x v="0"/>
    <s v="Jacket"/>
    <s v="Outerwear"/>
    <n v="77"/>
    <x v="33"/>
    <s v="M"/>
    <s v="Purple"/>
    <s v="Summer"/>
    <n v="3.5"/>
    <s v="No"/>
    <s v="No"/>
    <n v="3"/>
    <s v="Bank Transfer"/>
    <s v="Bi-Weekly"/>
    <m/>
  </r>
  <r>
    <n v="2243"/>
    <x v="20"/>
    <x v="0"/>
    <s v="Skirt"/>
    <s v="Clothing"/>
    <n v="66"/>
    <x v="22"/>
    <s v="M"/>
    <s v="Orange"/>
    <s v="Spring"/>
    <n v="3.8"/>
    <s v="No"/>
    <s v="No"/>
    <n v="5"/>
    <s v="Credit Card"/>
    <s v="Bi-Weekly"/>
    <m/>
  </r>
  <r>
    <n v="2244"/>
    <x v="19"/>
    <x v="0"/>
    <s v="Shirt"/>
    <s v="Clothing"/>
    <n v="21"/>
    <x v="2"/>
    <s v="M"/>
    <s v="Teal"/>
    <s v="Winter"/>
    <n v="3.7"/>
    <s v="No"/>
    <s v="No"/>
    <n v="13"/>
    <s v="Debit Card"/>
    <s v="Annually"/>
    <m/>
  </r>
  <r>
    <n v="2245"/>
    <x v="25"/>
    <x v="0"/>
    <s v="Shorts"/>
    <s v="Clothing"/>
    <n v="37"/>
    <x v="36"/>
    <s v="M"/>
    <s v="Gold"/>
    <s v="Summer"/>
    <n v="4.8"/>
    <s v="No"/>
    <s v="No"/>
    <n v="22"/>
    <s v="PayPal"/>
    <s v="Annually"/>
    <m/>
  </r>
  <r>
    <n v="2246"/>
    <x v="34"/>
    <x v="0"/>
    <s v="Socks"/>
    <s v="Clothing"/>
    <n v="90"/>
    <x v="12"/>
    <s v="L"/>
    <s v="Gray"/>
    <s v="Fall"/>
    <n v="4.9000000000000004"/>
    <s v="No"/>
    <s v="No"/>
    <n v="45"/>
    <s v="PayPal"/>
    <s v="Fortnightly"/>
    <m/>
  </r>
  <r>
    <n v="2247"/>
    <x v="34"/>
    <x v="0"/>
    <s v="Jacket"/>
    <s v="Outerwear"/>
    <n v="96"/>
    <x v="11"/>
    <s v="M"/>
    <s v="Cyan"/>
    <s v="Fall"/>
    <n v="4.3"/>
    <s v="No"/>
    <s v="No"/>
    <n v="39"/>
    <s v="PayPal"/>
    <s v="Every 3 Months"/>
    <m/>
  </r>
  <r>
    <n v="2248"/>
    <x v="50"/>
    <x v="0"/>
    <s v="Jewelry"/>
    <s v="Accessories"/>
    <n v="37"/>
    <x v="20"/>
    <s v="L"/>
    <s v="Teal"/>
    <s v="Summer"/>
    <n v="4.4000000000000004"/>
    <s v="No"/>
    <s v="No"/>
    <n v="18"/>
    <s v="Venmo"/>
    <s v="Annually"/>
    <m/>
  </r>
  <r>
    <n v="2249"/>
    <x v="6"/>
    <x v="0"/>
    <s v="T-shirt"/>
    <s v="Clothing"/>
    <n v="66"/>
    <x v="3"/>
    <s v="M"/>
    <s v="Violet"/>
    <s v="Winter"/>
    <n v="3.4"/>
    <s v="No"/>
    <s v="No"/>
    <n v="19"/>
    <s v="PayPal"/>
    <s v="Fortnightly"/>
    <m/>
  </r>
  <r>
    <n v="2250"/>
    <x v="32"/>
    <x v="0"/>
    <s v="Gloves"/>
    <s v="Accessories"/>
    <n v="45"/>
    <x v="5"/>
    <s v="XL"/>
    <s v="Indigo"/>
    <s v="Spring"/>
    <n v="4.3"/>
    <s v="No"/>
    <s v="No"/>
    <n v="29"/>
    <s v="Debit Card"/>
    <s v="Weekly"/>
    <m/>
  </r>
  <r>
    <n v="2251"/>
    <x v="38"/>
    <x v="0"/>
    <s v="Shoes"/>
    <s v="Footwear"/>
    <n v="89"/>
    <x v="24"/>
    <s v="L"/>
    <s v="Pink"/>
    <s v="Summer"/>
    <n v="4.5999999999999996"/>
    <s v="No"/>
    <s v="No"/>
    <n v="19"/>
    <s v="Credit Card"/>
    <s v="Weekly"/>
    <m/>
  </r>
  <r>
    <n v="2252"/>
    <x v="8"/>
    <x v="0"/>
    <s v="Shoes"/>
    <s v="Footwear"/>
    <n v="94"/>
    <x v="41"/>
    <s v="L"/>
    <s v="Gold"/>
    <s v="Fall"/>
    <n v="3.8"/>
    <s v="No"/>
    <s v="No"/>
    <n v="22"/>
    <s v="Debit Card"/>
    <s v="Monthly"/>
    <m/>
  </r>
  <r>
    <n v="2253"/>
    <x v="39"/>
    <x v="0"/>
    <s v="Shoes"/>
    <s v="Footwear"/>
    <n v="96"/>
    <x v="43"/>
    <s v="S"/>
    <s v="Maroon"/>
    <s v="Summer"/>
    <n v="3.9"/>
    <s v="No"/>
    <s v="No"/>
    <n v="21"/>
    <s v="Bank Transfer"/>
    <s v="Annually"/>
    <m/>
  </r>
  <r>
    <n v="2254"/>
    <x v="46"/>
    <x v="0"/>
    <s v="Hoodie"/>
    <s v="Clothing"/>
    <n v="31"/>
    <x v="19"/>
    <s v="M"/>
    <s v="Brown"/>
    <s v="Spring"/>
    <n v="2.6"/>
    <s v="No"/>
    <s v="No"/>
    <n v="22"/>
    <s v="PayPal"/>
    <s v="Monthly"/>
    <m/>
  </r>
  <r>
    <n v="2255"/>
    <x v="41"/>
    <x v="0"/>
    <s v="Belt"/>
    <s v="Accessories"/>
    <n v="79"/>
    <x v="25"/>
    <s v="M"/>
    <s v="Gold"/>
    <s v="Winter"/>
    <n v="4.2"/>
    <s v="No"/>
    <s v="No"/>
    <n v="44"/>
    <s v="PayPal"/>
    <s v="Every 3 Months"/>
    <m/>
  </r>
  <r>
    <n v="2256"/>
    <x v="39"/>
    <x v="0"/>
    <s v="Coat"/>
    <s v="Outerwear"/>
    <n v="39"/>
    <x v="49"/>
    <s v="L"/>
    <s v="Teal"/>
    <s v="Spring"/>
    <n v="4.5999999999999996"/>
    <s v="No"/>
    <s v="No"/>
    <n v="42"/>
    <s v="Bank Transfer"/>
    <s v="Quarterly"/>
    <m/>
  </r>
  <r>
    <n v="2257"/>
    <x v="18"/>
    <x v="0"/>
    <s v="Blouse"/>
    <s v="Clothing"/>
    <n v="22"/>
    <x v="18"/>
    <s v="M"/>
    <s v="Turquoise"/>
    <s v="Fall"/>
    <n v="5"/>
    <s v="No"/>
    <s v="No"/>
    <n v="33"/>
    <s v="Credit Card"/>
    <s v="Quarterly"/>
    <m/>
  </r>
  <r>
    <n v="2258"/>
    <x v="38"/>
    <x v="0"/>
    <s v="Skirt"/>
    <s v="Clothing"/>
    <n v="32"/>
    <x v="30"/>
    <s v="L"/>
    <s v="Olive"/>
    <s v="Fall"/>
    <n v="4.2"/>
    <s v="No"/>
    <s v="No"/>
    <n v="6"/>
    <s v="Bank Transfer"/>
    <s v="Annually"/>
    <m/>
  </r>
  <r>
    <n v="2259"/>
    <x v="41"/>
    <x v="0"/>
    <s v="T-shirt"/>
    <s v="Clothing"/>
    <n v="71"/>
    <x v="31"/>
    <s v="L"/>
    <s v="Cyan"/>
    <s v="Winter"/>
    <n v="4.3"/>
    <s v="No"/>
    <s v="No"/>
    <n v="44"/>
    <s v="Credit Card"/>
    <s v="Every 3 Months"/>
    <m/>
  </r>
  <r>
    <n v="2260"/>
    <x v="52"/>
    <x v="0"/>
    <s v="Jeans"/>
    <s v="Clothing"/>
    <n v="96"/>
    <x v="20"/>
    <s v="XL"/>
    <s v="Beige"/>
    <s v="Spring"/>
    <n v="3.3"/>
    <s v="No"/>
    <s v="No"/>
    <n v="24"/>
    <s v="Cash"/>
    <s v="Annually"/>
    <m/>
  </r>
  <r>
    <n v="2261"/>
    <x v="21"/>
    <x v="0"/>
    <s v="Scarf"/>
    <s v="Accessories"/>
    <n v="82"/>
    <x v="9"/>
    <s v="M"/>
    <s v="Blue"/>
    <s v="Fall"/>
    <n v="4.9000000000000004"/>
    <s v="No"/>
    <s v="No"/>
    <n v="16"/>
    <s v="PayPal"/>
    <s v="Quarterly"/>
    <m/>
  </r>
  <r>
    <n v="2262"/>
    <x v="44"/>
    <x v="0"/>
    <s v="Backpack"/>
    <s v="Accessories"/>
    <n v="76"/>
    <x v="36"/>
    <s v="L"/>
    <s v="Gold"/>
    <s v="Spring"/>
    <n v="4.4000000000000004"/>
    <s v="No"/>
    <s v="No"/>
    <n v="12"/>
    <s v="Bank Transfer"/>
    <s v="Fortnightly"/>
    <m/>
  </r>
  <r>
    <n v="2263"/>
    <x v="10"/>
    <x v="0"/>
    <s v="Backpack"/>
    <s v="Accessories"/>
    <n v="22"/>
    <x v="28"/>
    <s v="M"/>
    <s v="Green"/>
    <s v="Winter"/>
    <n v="3.1"/>
    <s v="No"/>
    <s v="No"/>
    <n v="50"/>
    <s v="PayPal"/>
    <s v="Monthly"/>
    <m/>
  </r>
  <r>
    <n v="2264"/>
    <x v="42"/>
    <x v="0"/>
    <s v="Scarf"/>
    <s v="Accessories"/>
    <n v="40"/>
    <x v="27"/>
    <s v="XL"/>
    <s v="Green"/>
    <s v="Winter"/>
    <n v="3.5"/>
    <s v="No"/>
    <s v="No"/>
    <n v="42"/>
    <s v="Cash"/>
    <s v="Quarterly"/>
    <m/>
  </r>
  <r>
    <n v="2265"/>
    <x v="47"/>
    <x v="0"/>
    <s v="Hat"/>
    <s v="Accessories"/>
    <n v="92"/>
    <x v="25"/>
    <s v="M"/>
    <s v="Turquoise"/>
    <s v="Summer"/>
    <n v="3.9"/>
    <s v="No"/>
    <s v="No"/>
    <n v="50"/>
    <s v="PayPal"/>
    <s v="Monthly"/>
    <m/>
  </r>
  <r>
    <n v="2266"/>
    <x v="24"/>
    <x v="0"/>
    <s v="Coat"/>
    <s v="Outerwear"/>
    <n v="94"/>
    <x v="6"/>
    <s v="XL"/>
    <s v="Yellow"/>
    <s v="Fall"/>
    <n v="3.9"/>
    <s v="No"/>
    <s v="No"/>
    <n v="10"/>
    <s v="PayPal"/>
    <s v="Quarterly"/>
    <m/>
  </r>
  <r>
    <n v="2267"/>
    <x v="30"/>
    <x v="0"/>
    <s v="Dress"/>
    <s v="Clothing"/>
    <n v="44"/>
    <x v="9"/>
    <s v="M"/>
    <s v="Yellow"/>
    <s v="Fall"/>
    <n v="4.3"/>
    <s v="No"/>
    <s v="No"/>
    <n v="32"/>
    <s v="Debit Card"/>
    <s v="Weekly"/>
    <m/>
  </r>
  <r>
    <n v="2268"/>
    <x v="45"/>
    <x v="0"/>
    <s v="Gloves"/>
    <s v="Accessories"/>
    <n v="49"/>
    <x v="0"/>
    <s v="S"/>
    <s v="Blue"/>
    <s v="Spring"/>
    <n v="3.8"/>
    <s v="No"/>
    <s v="No"/>
    <n v="37"/>
    <s v="Venmo"/>
    <s v="Weekly"/>
    <m/>
  </r>
  <r>
    <n v="2269"/>
    <x v="17"/>
    <x v="0"/>
    <s v="Sweater"/>
    <s v="Clothing"/>
    <n v="26"/>
    <x v="42"/>
    <s v="L"/>
    <s v="Charcoal"/>
    <s v="Spring"/>
    <n v="2.7"/>
    <s v="No"/>
    <s v="No"/>
    <n v="15"/>
    <s v="Bank Transfer"/>
    <s v="Monthly"/>
    <m/>
  </r>
  <r>
    <n v="2270"/>
    <x v="34"/>
    <x v="0"/>
    <s v="Skirt"/>
    <s v="Clothing"/>
    <n v="38"/>
    <x v="0"/>
    <s v="M"/>
    <s v="Yellow"/>
    <s v="Fall"/>
    <n v="4.4000000000000004"/>
    <s v="No"/>
    <s v="No"/>
    <n v="27"/>
    <s v="Credit Card"/>
    <s v="Annually"/>
    <m/>
  </r>
  <r>
    <n v="2271"/>
    <x v="7"/>
    <x v="0"/>
    <s v="Blouse"/>
    <s v="Clothing"/>
    <n v="72"/>
    <x v="42"/>
    <s v="L"/>
    <s v="Purple"/>
    <s v="Spring"/>
    <n v="3.5"/>
    <s v="No"/>
    <s v="No"/>
    <n v="7"/>
    <s v="Venmo"/>
    <s v="Weekly"/>
    <m/>
  </r>
  <r>
    <n v="2272"/>
    <x v="26"/>
    <x v="0"/>
    <s v="Dress"/>
    <s v="Clothing"/>
    <n v="99"/>
    <x v="29"/>
    <s v="M"/>
    <s v="Green"/>
    <s v="Summer"/>
    <n v="3.4"/>
    <s v="No"/>
    <s v="No"/>
    <n v="49"/>
    <s v="PayPal"/>
    <s v="Quarterly"/>
    <m/>
  </r>
  <r>
    <n v="2273"/>
    <x v="26"/>
    <x v="0"/>
    <s v="Jacket"/>
    <s v="Outerwear"/>
    <n v="38"/>
    <x v="1"/>
    <s v="L"/>
    <s v="Charcoal"/>
    <s v="Spring"/>
    <n v="4"/>
    <s v="No"/>
    <s v="No"/>
    <n v="44"/>
    <s v="PayPal"/>
    <s v="Monthly"/>
    <m/>
  </r>
  <r>
    <n v="2274"/>
    <x v="0"/>
    <x v="0"/>
    <s v="Coat"/>
    <s v="Outerwear"/>
    <n v="96"/>
    <x v="35"/>
    <s v="L"/>
    <s v="Silver"/>
    <s v="Winter"/>
    <n v="4.8"/>
    <s v="No"/>
    <s v="No"/>
    <n v="13"/>
    <s v="PayPal"/>
    <s v="Bi-Weekly"/>
    <m/>
  </r>
  <r>
    <n v="2275"/>
    <x v="9"/>
    <x v="0"/>
    <s v="Dress"/>
    <s v="Clothing"/>
    <n v="27"/>
    <x v="14"/>
    <s v="L"/>
    <s v="Turquoise"/>
    <s v="Spring"/>
    <n v="4.5"/>
    <s v="No"/>
    <s v="No"/>
    <n v="38"/>
    <s v="PayPal"/>
    <s v="Fortnightly"/>
    <m/>
  </r>
  <r>
    <n v="2276"/>
    <x v="26"/>
    <x v="0"/>
    <s v="Shorts"/>
    <s v="Clothing"/>
    <n v="24"/>
    <x v="19"/>
    <s v="M"/>
    <s v="Gray"/>
    <s v="Winter"/>
    <n v="4.4000000000000004"/>
    <s v="No"/>
    <s v="No"/>
    <n v="10"/>
    <s v="Debit Card"/>
    <s v="Weekly"/>
    <m/>
  </r>
  <r>
    <n v="2277"/>
    <x v="18"/>
    <x v="0"/>
    <s v="Jeans"/>
    <s v="Clothing"/>
    <n v="82"/>
    <x v="5"/>
    <s v="L"/>
    <s v="Red"/>
    <s v="Summer"/>
    <n v="4.0999999999999996"/>
    <s v="No"/>
    <s v="No"/>
    <n v="25"/>
    <s v="Debit Card"/>
    <s v="Weekly"/>
    <m/>
  </r>
  <r>
    <n v="2278"/>
    <x v="15"/>
    <x v="0"/>
    <s v="Hat"/>
    <s v="Accessories"/>
    <n v="56"/>
    <x v="15"/>
    <s v="M"/>
    <s v="Beige"/>
    <s v="Summer"/>
    <n v="4.5999999999999996"/>
    <s v="No"/>
    <s v="No"/>
    <n v="18"/>
    <s v="Credit Card"/>
    <s v="Quarterly"/>
    <m/>
  </r>
  <r>
    <n v="2279"/>
    <x v="12"/>
    <x v="0"/>
    <s v="Gloves"/>
    <s v="Accessories"/>
    <n v="25"/>
    <x v="33"/>
    <s v="M"/>
    <s v="Maroon"/>
    <s v="Fall"/>
    <n v="3.8"/>
    <s v="No"/>
    <s v="No"/>
    <n v="6"/>
    <s v="Cash"/>
    <s v="Every 3 Months"/>
    <m/>
  </r>
  <r>
    <n v="2280"/>
    <x v="10"/>
    <x v="0"/>
    <s v="Sneakers"/>
    <s v="Footwear"/>
    <n v="67"/>
    <x v="8"/>
    <s v="L"/>
    <s v="Indigo"/>
    <s v="Spring"/>
    <n v="2.9"/>
    <s v="No"/>
    <s v="No"/>
    <n v="35"/>
    <s v="Bank Transfer"/>
    <s v="Quarterly"/>
    <m/>
  </r>
  <r>
    <n v="2281"/>
    <x v="40"/>
    <x v="0"/>
    <s v="Shoes"/>
    <s v="Footwear"/>
    <n v="21"/>
    <x v="0"/>
    <s v="M"/>
    <s v="Red"/>
    <s v="Summer"/>
    <n v="2.8"/>
    <s v="No"/>
    <s v="No"/>
    <n v="31"/>
    <s v="Credit Card"/>
    <s v="Fortnightly"/>
    <m/>
  </r>
  <r>
    <n v="2282"/>
    <x v="48"/>
    <x v="0"/>
    <s v="Hoodie"/>
    <s v="Clothing"/>
    <n v="27"/>
    <x v="23"/>
    <s v="XL"/>
    <s v="Maroon"/>
    <s v="Summer"/>
    <n v="3"/>
    <s v="No"/>
    <s v="No"/>
    <n v="41"/>
    <s v="Bank Transfer"/>
    <s v="Annually"/>
    <m/>
  </r>
  <r>
    <n v="2283"/>
    <x v="20"/>
    <x v="0"/>
    <s v="Sneakers"/>
    <s v="Footwear"/>
    <n v="97"/>
    <x v="37"/>
    <s v="S"/>
    <s v="Red"/>
    <s v="Fall"/>
    <n v="4.2"/>
    <s v="No"/>
    <s v="No"/>
    <n v="8"/>
    <s v="Credit Card"/>
    <s v="Annually"/>
    <m/>
  </r>
  <r>
    <n v="2284"/>
    <x v="42"/>
    <x v="0"/>
    <s v="Handbag"/>
    <s v="Accessories"/>
    <n v="45"/>
    <x v="31"/>
    <s v="S"/>
    <s v="Black"/>
    <s v="Winter"/>
    <n v="4.0999999999999996"/>
    <s v="No"/>
    <s v="No"/>
    <n v="34"/>
    <s v="Credit Card"/>
    <s v="Fortnightly"/>
    <m/>
  </r>
  <r>
    <n v="2285"/>
    <x v="45"/>
    <x v="0"/>
    <s v="Blouse"/>
    <s v="Clothing"/>
    <n v="63"/>
    <x v="44"/>
    <s v="XL"/>
    <s v="Black"/>
    <s v="Fall"/>
    <n v="4.0999999999999996"/>
    <s v="No"/>
    <s v="No"/>
    <n v="20"/>
    <s v="Venmo"/>
    <s v="Annually"/>
    <m/>
  </r>
  <r>
    <n v="2286"/>
    <x v="50"/>
    <x v="0"/>
    <s v="Belt"/>
    <s v="Accessories"/>
    <n v="100"/>
    <x v="49"/>
    <s v="L"/>
    <s v="Pink"/>
    <s v="Summer"/>
    <n v="4.5999999999999996"/>
    <s v="No"/>
    <s v="No"/>
    <n v="38"/>
    <s v="PayPal"/>
    <s v="Every 3 Months"/>
    <m/>
  </r>
  <r>
    <n v="2287"/>
    <x v="29"/>
    <x v="0"/>
    <s v="Socks"/>
    <s v="Clothing"/>
    <n v="38"/>
    <x v="45"/>
    <s v="L"/>
    <s v="Blue"/>
    <s v="Spring"/>
    <n v="2.5"/>
    <s v="No"/>
    <s v="No"/>
    <n v="35"/>
    <s v="Venmo"/>
    <s v="Quarterly"/>
    <m/>
  </r>
  <r>
    <n v="2288"/>
    <x v="17"/>
    <x v="0"/>
    <s v="Blouse"/>
    <s v="Clothing"/>
    <n v="45"/>
    <x v="43"/>
    <s v="L"/>
    <s v="Green"/>
    <s v="Summer"/>
    <n v="3"/>
    <s v="No"/>
    <s v="No"/>
    <n v="6"/>
    <s v="Debit Card"/>
    <s v="Annually"/>
    <m/>
  </r>
  <r>
    <n v="2289"/>
    <x v="48"/>
    <x v="0"/>
    <s v="Jewelry"/>
    <s v="Accessories"/>
    <n v="91"/>
    <x v="18"/>
    <s v="M"/>
    <s v="Orange"/>
    <s v="Fall"/>
    <n v="3.8"/>
    <s v="No"/>
    <s v="No"/>
    <n v="50"/>
    <s v="PayPal"/>
    <s v="Weekly"/>
    <m/>
  </r>
  <r>
    <n v="2290"/>
    <x v="27"/>
    <x v="0"/>
    <s v="Shorts"/>
    <s v="Clothing"/>
    <n v="82"/>
    <x v="22"/>
    <s v="M"/>
    <s v="Orange"/>
    <s v="Fall"/>
    <n v="4.0999999999999996"/>
    <s v="No"/>
    <s v="No"/>
    <n v="47"/>
    <s v="Venmo"/>
    <s v="Weekly"/>
    <m/>
  </r>
  <r>
    <n v="2291"/>
    <x v="43"/>
    <x v="0"/>
    <s v="Boots"/>
    <s v="Footwear"/>
    <n v="48"/>
    <x v="23"/>
    <s v="L"/>
    <s v="Magenta"/>
    <s v="Winter"/>
    <n v="3.3"/>
    <s v="No"/>
    <s v="No"/>
    <n v="23"/>
    <s v="PayPal"/>
    <s v="Quarterly"/>
    <m/>
  </r>
  <r>
    <n v="2292"/>
    <x v="48"/>
    <x v="0"/>
    <s v="Coat"/>
    <s v="Outerwear"/>
    <n v="30"/>
    <x v="31"/>
    <s v="M"/>
    <s v="Indigo"/>
    <s v="Spring"/>
    <n v="5"/>
    <s v="No"/>
    <s v="No"/>
    <n v="13"/>
    <s v="Credit Card"/>
    <s v="Quarterly"/>
    <m/>
  </r>
  <r>
    <n v="2293"/>
    <x v="49"/>
    <x v="0"/>
    <s v="T-shirt"/>
    <s v="Clothing"/>
    <n v="34"/>
    <x v="34"/>
    <s v="S"/>
    <s v="Beige"/>
    <s v="Spring"/>
    <n v="3.8"/>
    <s v="No"/>
    <s v="No"/>
    <n v="31"/>
    <s v="Debit Card"/>
    <s v="Monthly"/>
    <m/>
  </r>
  <r>
    <n v="2294"/>
    <x v="43"/>
    <x v="0"/>
    <s v="Sweater"/>
    <s v="Clothing"/>
    <n v="68"/>
    <x v="42"/>
    <s v="L"/>
    <s v="Green"/>
    <s v="Fall"/>
    <n v="3.3"/>
    <s v="No"/>
    <s v="No"/>
    <n v="16"/>
    <s v="Debit Card"/>
    <s v="Every 3 Months"/>
    <m/>
  </r>
  <r>
    <n v="2295"/>
    <x v="22"/>
    <x v="0"/>
    <s v="Sunglasses"/>
    <s v="Accessories"/>
    <n v="95"/>
    <x v="33"/>
    <s v="M"/>
    <s v="Red"/>
    <s v="Winter"/>
    <n v="5"/>
    <s v="No"/>
    <s v="No"/>
    <n v="40"/>
    <s v="Debit Card"/>
    <s v="Annually"/>
    <m/>
  </r>
  <r>
    <n v="2296"/>
    <x v="2"/>
    <x v="0"/>
    <s v="Hat"/>
    <s v="Accessories"/>
    <n v="22"/>
    <x v="39"/>
    <s v="L"/>
    <s v="Beige"/>
    <s v="Spring"/>
    <n v="2.9"/>
    <s v="No"/>
    <s v="No"/>
    <n v="45"/>
    <s v="PayPal"/>
    <s v="Quarterly"/>
    <m/>
  </r>
  <r>
    <n v="2297"/>
    <x v="5"/>
    <x v="0"/>
    <s v="Gloves"/>
    <s v="Accessories"/>
    <n v="88"/>
    <x v="47"/>
    <s v="M"/>
    <s v="Green"/>
    <s v="Fall"/>
    <n v="2.5"/>
    <s v="No"/>
    <s v="No"/>
    <n v="50"/>
    <s v="Venmo"/>
    <s v="Every 3 Months"/>
    <m/>
  </r>
  <r>
    <n v="2298"/>
    <x v="52"/>
    <x v="0"/>
    <s v="Socks"/>
    <s v="Clothing"/>
    <n v="83"/>
    <x v="18"/>
    <s v="M"/>
    <s v="Orange"/>
    <s v="Summer"/>
    <n v="4.7"/>
    <s v="No"/>
    <s v="No"/>
    <n v="1"/>
    <s v="Bank Transfer"/>
    <s v="Quarterly"/>
    <m/>
  </r>
  <r>
    <n v="2299"/>
    <x v="37"/>
    <x v="0"/>
    <s v="Handbag"/>
    <s v="Accessories"/>
    <n v="87"/>
    <x v="6"/>
    <s v="L"/>
    <s v="Cyan"/>
    <s v="Spring"/>
    <n v="2.9"/>
    <s v="No"/>
    <s v="No"/>
    <n v="10"/>
    <s v="Cash"/>
    <s v="Every 3 Months"/>
    <m/>
  </r>
  <r>
    <n v="2300"/>
    <x v="14"/>
    <x v="0"/>
    <s v="Coat"/>
    <s v="Outerwear"/>
    <n v="57"/>
    <x v="37"/>
    <s v="M"/>
    <s v="Violet"/>
    <s v="Summer"/>
    <n v="3.7"/>
    <s v="No"/>
    <s v="No"/>
    <n v="48"/>
    <s v="Credit Card"/>
    <s v="Every 3 Months"/>
    <m/>
  </r>
  <r>
    <n v="2301"/>
    <x v="20"/>
    <x v="0"/>
    <s v="Coat"/>
    <s v="Outerwear"/>
    <n v="88"/>
    <x v="38"/>
    <s v="XL"/>
    <s v="Lavender"/>
    <s v="Summer"/>
    <n v="4.4000000000000004"/>
    <s v="No"/>
    <s v="No"/>
    <n v="38"/>
    <s v="Credit Card"/>
    <s v="Monthly"/>
    <m/>
  </r>
  <r>
    <n v="2302"/>
    <x v="43"/>
    <x v="0"/>
    <s v="Pants"/>
    <s v="Clothing"/>
    <n v="20"/>
    <x v="1"/>
    <s v="L"/>
    <s v="Turquoise"/>
    <s v="Winter"/>
    <n v="2.9"/>
    <s v="No"/>
    <s v="No"/>
    <n v="21"/>
    <s v="Debit Card"/>
    <s v="Annually"/>
    <m/>
  </r>
  <r>
    <n v="2303"/>
    <x v="24"/>
    <x v="0"/>
    <s v="Belt"/>
    <s v="Accessories"/>
    <n v="39"/>
    <x v="6"/>
    <s v="L"/>
    <s v="Pink"/>
    <s v="Summer"/>
    <n v="3.6"/>
    <s v="No"/>
    <s v="No"/>
    <n v="38"/>
    <s v="Venmo"/>
    <s v="Monthly"/>
    <m/>
  </r>
  <r>
    <n v="2304"/>
    <x v="47"/>
    <x v="0"/>
    <s v="Sunglasses"/>
    <s v="Accessories"/>
    <n v="71"/>
    <x v="32"/>
    <s v="S"/>
    <s v="Beige"/>
    <s v="Spring"/>
    <n v="4.8"/>
    <s v="No"/>
    <s v="No"/>
    <n v="31"/>
    <s v="Credit Card"/>
    <s v="Fortnightly"/>
    <m/>
  </r>
  <r>
    <n v="2305"/>
    <x v="8"/>
    <x v="0"/>
    <s v="Hoodie"/>
    <s v="Clothing"/>
    <n v="73"/>
    <x v="7"/>
    <s v="L"/>
    <s v="Silver"/>
    <s v="Winter"/>
    <n v="4.7"/>
    <s v="No"/>
    <s v="No"/>
    <n v="9"/>
    <s v="Debit Card"/>
    <s v="Fortnightly"/>
    <m/>
  </r>
  <r>
    <n v="2306"/>
    <x v="33"/>
    <x v="0"/>
    <s v="Handbag"/>
    <s v="Accessories"/>
    <n v="63"/>
    <x v="1"/>
    <s v="M"/>
    <s v="Gold"/>
    <s v="Summer"/>
    <n v="2.6"/>
    <s v="No"/>
    <s v="No"/>
    <n v="47"/>
    <s v="Cash"/>
    <s v="Weekly"/>
    <m/>
  </r>
  <r>
    <n v="2307"/>
    <x v="7"/>
    <x v="0"/>
    <s v="Gloves"/>
    <s v="Accessories"/>
    <n v="78"/>
    <x v="20"/>
    <s v="L"/>
    <s v="Silver"/>
    <s v="Winter"/>
    <n v="3.4"/>
    <s v="No"/>
    <s v="No"/>
    <n v="8"/>
    <s v="Cash"/>
    <s v="Bi-Weekly"/>
    <m/>
  </r>
  <r>
    <n v="2308"/>
    <x v="48"/>
    <x v="0"/>
    <s v="Skirt"/>
    <s v="Clothing"/>
    <n v="96"/>
    <x v="9"/>
    <s v="L"/>
    <s v="Green"/>
    <s v="Fall"/>
    <n v="3.5"/>
    <s v="No"/>
    <s v="No"/>
    <n v="30"/>
    <s v="Debit Card"/>
    <s v="Annually"/>
    <m/>
  </r>
  <r>
    <n v="2309"/>
    <x v="34"/>
    <x v="0"/>
    <s v="Sunglasses"/>
    <s v="Accessories"/>
    <n v="81"/>
    <x v="25"/>
    <s v="M"/>
    <s v="Teal"/>
    <s v="Winter"/>
    <n v="3.4"/>
    <s v="No"/>
    <s v="No"/>
    <n v="22"/>
    <s v="Bank Transfer"/>
    <s v="Quarterly"/>
    <m/>
  </r>
  <r>
    <n v="2310"/>
    <x v="27"/>
    <x v="0"/>
    <s v="Dress"/>
    <s v="Clothing"/>
    <n v="95"/>
    <x v="39"/>
    <s v="S"/>
    <s v="Gold"/>
    <s v="Fall"/>
    <n v="5"/>
    <s v="No"/>
    <s v="No"/>
    <n v="3"/>
    <s v="Bank Transfer"/>
    <s v="Quarterly"/>
    <m/>
  </r>
  <r>
    <n v="2311"/>
    <x v="11"/>
    <x v="0"/>
    <s v="Gloves"/>
    <s v="Accessories"/>
    <n v="68"/>
    <x v="41"/>
    <s v="M"/>
    <s v="Cyan"/>
    <s v="Spring"/>
    <n v="4.5999999999999996"/>
    <s v="No"/>
    <s v="No"/>
    <n v="15"/>
    <s v="PayPal"/>
    <s v="Monthly"/>
    <m/>
  </r>
  <r>
    <n v="2312"/>
    <x v="7"/>
    <x v="0"/>
    <s v="Sneakers"/>
    <s v="Footwear"/>
    <n v="28"/>
    <x v="6"/>
    <s v="L"/>
    <s v="Gold"/>
    <s v="Spring"/>
    <n v="4.8"/>
    <s v="No"/>
    <s v="No"/>
    <n v="10"/>
    <s v="Bank Transfer"/>
    <s v="Every 3 Months"/>
    <m/>
  </r>
  <r>
    <n v="2313"/>
    <x v="1"/>
    <x v="0"/>
    <s v="T-shirt"/>
    <s v="Clothing"/>
    <n v="30"/>
    <x v="34"/>
    <s v="L"/>
    <s v="Violet"/>
    <s v="Summer"/>
    <n v="3.7"/>
    <s v="No"/>
    <s v="No"/>
    <n v="19"/>
    <s v="Cash"/>
    <s v="Every 3 Months"/>
    <m/>
  </r>
  <r>
    <n v="2314"/>
    <x v="14"/>
    <x v="0"/>
    <s v="Dress"/>
    <s v="Clothing"/>
    <n v="31"/>
    <x v="42"/>
    <s v="M"/>
    <s v="Black"/>
    <s v="Summer"/>
    <n v="4.7"/>
    <s v="No"/>
    <s v="No"/>
    <n v="36"/>
    <s v="Bank Transfer"/>
    <s v="Fortnightly"/>
    <m/>
  </r>
  <r>
    <n v="2315"/>
    <x v="32"/>
    <x v="0"/>
    <s v="Handbag"/>
    <s v="Accessories"/>
    <n v="95"/>
    <x v="41"/>
    <s v="XL"/>
    <s v="Brown"/>
    <s v="Winter"/>
    <n v="4.4000000000000004"/>
    <s v="No"/>
    <s v="No"/>
    <n v="12"/>
    <s v="Bank Transfer"/>
    <s v="Every 3 Months"/>
    <m/>
  </r>
  <r>
    <n v="2316"/>
    <x v="28"/>
    <x v="0"/>
    <s v="Socks"/>
    <s v="Clothing"/>
    <n v="79"/>
    <x v="34"/>
    <s v="M"/>
    <s v="Indigo"/>
    <s v="Winter"/>
    <n v="3.5"/>
    <s v="No"/>
    <s v="No"/>
    <n v="49"/>
    <s v="Debit Card"/>
    <s v="Quarterly"/>
    <m/>
  </r>
  <r>
    <n v="2317"/>
    <x v="48"/>
    <x v="0"/>
    <s v="Sneakers"/>
    <s v="Footwear"/>
    <n v="39"/>
    <x v="6"/>
    <s v="L"/>
    <s v="Yellow"/>
    <s v="Winter"/>
    <n v="3.8"/>
    <s v="No"/>
    <s v="No"/>
    <n v="7"/>
    <s v="Debit Card"/>
    <s v="Annually"/>
    <m/>
  </r>
  <r>
    <n v="2318"/>
    <x v="36"/>
    <x v="0"/>
    <s v="Jacket"/>
    <s v="Outerwear"/>
    <n v="34"/>
    <x v="32"/>
    <s v="M"/>
    <s v="Purple"/>
    <s v="Summer"/>
    <n v="4.7"/>
    <s v="No"/>
    <s v="No"/>
    <n v="28"/>
    <s v="Bank Transfer"/>
    <s v="Monthly"/>
    <m/>
  </r>
  <r>
    <n v="2319"/>
    <x v="28"/>
    <x v="0"/>
    <s v="Hoodie"/>
    <s v="Clothing"/>
    <n v="28"/>
    <x v="5"/>
    <s v="L"/>
    <s v="White"/>
    <s v="Spring"/>
    <n v="3.1"/>
    <s v="No"/>
    <s v="No"/>
    <n v="30"/>
    <s v="Credit Card"/>
    <s v="Annually"/>
    <m/>
  </r>
  <r>
    <n v="2320"/>
    <x v="19"/>
    <x v="0"/>
    <s v="Sandals"/>
    <s v="Footwear"/>
    <n v="38"/>
    <x v="1"/>
    <s v="XL"/>
    <s v="Turquoise"/>
    <s v="Winter"/>
    <n v="5"/>
    <s v="No"/>
    <s v="No"/>
    <n v="29"/>
    <s v="PayPal"/>
    <s v="Monthly"/>
    <m/>
  </r>
  <r>
    <n v="2321"/>
    <x v="48"/>
    <x v="0"/>
    <s v="Shoes"/>
    <s v="Footwear"/>
    <n v="55"/>
    <x v="35"/>
    <s v="M"/>
    <s v="Olive"/>
    <s v="Spring"/>
    <n v="3.7"/>
    <s v="No"/>
    <s v="No"/>
    <n v="9"/>
    <s v="Debit Card"/>
    <s v="Every 3 Months"/>
    <m/>
  </r>
  <r>
    <n v="2322"/>
    <x v="2"/>
    <x v="0"/>
    <s v="Sandals"/>
    <s v="Footwear"/>
    <n v="31"/>
    <x v="24"/>
    <s v="M"/>
    <s v="Beige"/>
    <s v="Winter"/>
    <n v="3"/>
    <s v="No"/>
    <s v="No"/>
    <n v="27"/>
    <s v="Debit Card"/>
    <s v="Fortnightly"/>
    <m/>
  </r>
  <r>
    <n v="2323"/>
    <x v="31"/>
    <x v="0"/>
    <s v="Coat"/>
    <s v="Outerwear"/>
    <n v="84"/>
    <x v="39"/>
    <s v="S"/>
    <s v="Lavender"/>
    <s v="Spring"/>
    <n v="4.5"/>
    <s v="No"/>
    <s v="No"/>
    <n v="21"/>
    <s v="Venmo"/>
    <s v="Fortnightly"/>
    <m/>
  </r>
  <r>
    <n v="2324"/>
    <x v="25"/>
    <x v="0"/>
    <s v="Gloves"/>
    <s v="Accessories"/>
    <n v="93"/>
    <x v="33"/>
    <s v="L"/>
    <s v="White"/>
    <s v="Winter"/>
    <n v="4.7"/>
    <s v="No"/>
    <s v="No"/>
    <n v="36"/>
    <s v="Credit Card"/>
    <s v="Monthly"/>
    <m/>
  </r>
  <r>
    <n v="2325"/>
    <x v="35"/>
    <x v="0"/>
    <s v="Coat"/>
    <s v="Outerwear"/>
    <n v="28"/>
    <x v="4"/>
    <s v="L"/>
    <s v="Brown"/>
    <s v="Winter"/>
    <n v="3.5"/>
    <s v="No"/>
    <s v="No"/>
    <n v="19"/>
    <s v="Debit Card"/>
    <s v="Annually"/>
    <m/>
  </r>
  <r>
    <n v="2326"/>
    <x v="42"/>
    <x v="0"/>
    <s v="Boots"/>
    <s v="Footwear"/>
    <n v="55"/>
    <x v="14"/>
    <s v="M"/>
    <s v="Charcoal"/>
    <s v="Summer"/>
    <n v="4.4000000000000004"/>
    <s v="No"/>
    <s v="No"/>
    <n v="47"/>
    <s v="Cash"/>
    <s v="Weekly"/>
    <m/>
  </r>
  <r>
    <n v="2327"/>
    <x v="17"/>
    <x v="0"/>
    <s v="Skirt"/>
    <s v="Clothing"/>
    <n v="63"/>
    <x v="19"/>
    <s v="L"/>
    <s v="Maroon"/>
    <s v="Winter"/>
    <n v="2.6"/>
    <s v="No"/>
    <s v="No"/>
    <n v="38"/>
    <s v="Bank Transfer"/>
    <s v="Annually"/>
    <m/>
  </r>
  <r>
    <n v="2328"/>
    <x v="30"/>
    <x v="0"/>
    <s v="Skirt"/>
    <s v="Clothing"/>
    <n v="94"/>
    <x v="15"/>
    <s v="M"/>
    <s v="Red"/>
    <s v="Winter"/>
    <n v="4.2"/>
    <s v="No"/>
    <s v="No"/>
    <n v="22"/>
    <s v="Venmo"/>
    <s v="Bi-Weekly"/>
    <m/>
  </r>
  <r>
    <n v="2329"/>
    <x v="4"/>
    <x v="0"/>
    <s v="Pants"/>
    <s v="Clothing"/>
    <n v="36"/>
    <x v="25"/>
    <s v="M"/>
    <s v="Maroon"/>
    <s v="Fall"/>
    <n v="2.6"/>
    <s v="No"/>
    <s v="No"/>
    <n v="29"/>
    <s v="Venmo"/>
    <s v="Bi-Weekly"/>
    <m/>
  </r>
  <r>
    <n v="2330"/>
    <x v="34"/>
    <x v="0"/>
    <s v="Hat"/>
    <s v="Accessories"/>
    <n v="97"/>
    <x v="43"/>
    <s v="S"/>
    <s v="Teal"/>
    <s v="Spring"/>
    <n v="4.8"/>
    <s v="No"/>
    <s v="No"/>
    <n v="42"/>
    <s v="Bank Transfer"/>
    <s v="Annually"/>
    <m/>
  </r>
  <r>
    <n v="2331"/>
    <x v="52"/>
    <x v="0"/>
    <s v="Backpack"/>
    <s v="Accessories"/>
    <n v="63"/>
    <x v="28"/>
    <s v="L"/>
    <s v="Orange"/>
    <s v="Summer"/>
    <n v="2.9"/>
    <s v="No"/>
    <s v="No"/>
    <n v="47"/>
    <s v="PayPal"/>
    <s v="Every 3 Months"/>
    <m/>
  </r>
  <r>
    <n v="2332"/>
    <x v="12"/>
    <x v="0"/>
    <s v="Scarf"/>
    <s v="Accessories"/>
    <n v="77"/>
    <x v="26"/>
    <s v="S"/>
    <s v="Olive"/>
    <s v="Spring"/>
    <n v="4.3"/>
    <s v="No"/>
    <s v="No"/>
    <n v="10"/>
    <s v="Credit Card"/>
    <s v="Bi-Weekly"/>
    <m/>
  </r>
  <r>
    <n v="2333"/>
    <x v="24"/>
    <x v="0"/>
    <s v="Scarf"/>
    <s v="Accessories"/>
    <n v="53"/>
    <x v="36"/>
    <s v="XL"/>
    <s v="Olive"/>
    <s v="Fall"/>
    <n v="2.6"/>
    <s v="No"/>
    <s v="No"/>
    <n v="10"/>
    <s v="Venmo"/>
    <s v="Monthly"/>
    <m/>
  </r>
  <r>
    <n v="2334"/>
    <x v="23"/>
    <x v="0"/>
    <s v="Shirt"/>
    <s v="Clothing"/>
    <n v="77"/>
    <x v="23"/>
    <s v="M"/>
    <s v="Beige"/>
    <s v="Spring"/>
    <n v="3.8"/>
    <s v="No"/>
    <s v="No"/>
    <n v="1"/>
    <s v="PayPal"/>
    <s v="Every 3 Months"/>
    <m/>
  </r>
  <r>
    <n v="2335"/>
    <x v="34"/>
    <x v="0"/>
    <s v="Boots"/>
    <s v="Footwear"/>
    <n v="79"/>
    <x v="23"/>
    <s v="L"/>
    <s v="Green"/>
    <s v="Summer"/>
    <n v="4.2"/>
    <s v="No"/>
    <s v="No"/>
    <n v="7"/>
    <s v="Credit Card"/>
    <s v="Monthly"/>
    <m/>
  </r>
  <r>
    <n v="2336"/>
    <x v="18"/>
    <x v="0"/>
    <s v="Coat"/>
    <s v="Outerwear"/>
    <n v="37"/>
    <x v="37"/>
    <s v="M"/>
    <s v="Black"/>
    <s v="Summer"/>
    <n v="3.9"/>
    <s v="No"/>
    <s v="No"/>
    <n v="10"/>
    <s v="Venmo"/>
    <s v="Fortnightly"/>
    <m/>
  </r>
  <r>
    <n v="2337"/>
    <x v="1"/>
    <x v="0"/>
    <s v="Belt"/>
    <s v="Accessories"/>
    <n v="94"/>
    <x v="18"/>
    <s v="M"/>
    <s v="Green"/>
    <s v="Winter"/>
    <n v="3.1"/>
    <s v="No"/>
    <s v="No"/>
    <n v="11"/>
    <s v="Credit Card"/>
    <s v="Weekly"/>
    <m/>
  </r>
  <r>
    <n v="2338"/>
    <x v="31"/>
    <x v="0"/>
    <s v="Boots"/>
    <s v="Footwear"/>
    <n v="76"/>
    <x v="25"/>
    <s v="S"/>
    <s v="Violet"/>
    <s v="Fall"/>
    <n v="3.6"/>
    <s v="No"/>
    <s v="No"/>
    <n v="5"/>
    <s v="Cash"/>
    <s v="Annually"/>
    <m/>
  </r>
  <r>
    <n v="2339"/>
    <x v="17"/>
    <x v="0"/>
    <s v="Sneakers"/>
    <s v="Footwear"/>
    <n v="68"/>
    <x v="42"/>
    <s v="S"/>
    <s v="Silver"/>
    <s v="Fall"/>
    <n v="4"/>
    <s v="No"/>
    <s v="No"/>
    <n v="21"/>
    <s v="PayPal"/>
    <s v="Quarterly"/>
    <m/>
  </r>
  <r>
    <n v="2340"/>
    <x v="15"/>
    <x v="0"/>
    <s v="Shirt"/>
    <s v="Clothing"/>
    <n v="65"/>
    <x v="26"/>
    <s v="L"/>
    <s v="Maroon"/>
    <s v="Spring"/>
    <n v="3.4"/>
    <s v="No"/>
    <s v="No"/>
    <n v="24"/>
    <s v="Bank Transfer"/>
    <s v="Quarterly"/>
    <m/>
  </r>
  <r>
    <n v="2341"/>
    <x v="6"/>
    <x v="0"/>
    <s v="Blouse"/>
    <s v="Clothing"/>
    <n v="24"/>
    <x v="12"/>
    <s v="M"/>
    <s v="Cyan"/>
    <s v="Summer"/>
    <n v="2.6"/>
    <s v="No"/>
    <s v="No"/>
    <n v="37"/>
    <s v="Credit Card"/>
    <s v="Fortnightly"/>
    <m/>
  </r>
  <r>
    <n v="2342"/>
    <x v="19"/>
    <x v="0"/>
    <s v="Jacket"/>
    <s v="Outerwear"/>
    <n v="31"/>
    <x v="39"/>
    <s v="L"/>
    <s v="Teal"/>
    <s v="Summer"/>
    <n v="4.5"/>
    <s v="No"/>
    <s v="No"/>
    <n v="22"/>
    <s v="Venmo"/>
    <s v="Every 3 Months"/>
    <m/>
  </r>
  <r>
    <n v="2343"/>
    <x v="30"/>
    <x v="0"/>
    <s v="Skirt"/>
    <s v="Clothing"/>
    <n v="89"/>
    <x v="30"/>
    <s v="M"/>
    <s v="Olive"/>
    <s v="Fall"/>
    <n v="4.9000000000000004"/>
    <s v="No"/>
    <s v="No"/>
    <n v="16"/>
    <s v="Debit Card"/>
    <s v="Fortnightly"/>
    <m/>
  </r>
  <r>
    <n v="2344"/>
    <x v="44"/>
    <x v="0"/>
    <s v="Socks"/>
    <s v="Clothing"/>
    <n v="49"/>
    <x v="33"/>
    <s v="M"/>
    <s v="Red"/>
    <s v="Summer"/>
    <n v="4.4000000000000004"/>
    <s v="No"/>
    <s v="No"/>
    <n v="44"/>
    <s v="PayPal"/>
    <s v="Monthly"/>
    <m/>
  </r>
  <r>
    <n v="2345"/>
    <x v="50"/>
    <x v="0"/>
    <s v="Sandals"/>
    <s v="Footwear"/>
    <n v="92"/>
    <x v="3"/>
    <s v="XL"/>
    <s v="Lavender"/>
    <s v="Fall"/>
    <n v="3.5"/>
    <s v="No"/>
    <s v="No"/>
    <n v="14"/>
    <s v="Venmo"/>
    <s v="Bi-Weekly"/>
    <m/>
  </r>
  <r>
    <n v="2346"/>
    <x v="48"/>
    <x v="0"/>
    <s v="T-shirt"/>
    <s v="Clothing"/>
    <n v="32"/>
    <x v="14"/>
    <s v="S"/>
    <s v="Orange"/>
    <s v="Winter"/>
    <n v="3.3"/>
    <s v="No"/>
    <s v="No"/>
    <n v="23"/>
    <s v="Bank Transfer"/>
    <s v="Every 3 Months"/>
    <m/>
  </r>
  <r>
    <n v="2347"/>
    <x v="40"/>
    <x v="0"/>
    <s v="Jacket"/>
    <s v="Outerwear"/>
    <n v="67"/>
    <x v="35"/>
    <s v="L"/>
    <s v="Brown"/>
    <s v="Winter"/>
    <n v="3.1"/>
    <s v="No"/>
    <s v="No"/>
    <n v="46"/>
    <s v="Debit Card"/>
    <s v="Fortnightly"/>
    <m/>
  </r>
  <r>
    <n v="2348"/>
    <x v="43"/>
    <x v="0"/>
    <s v="Belt"/>
    <s v="Accessories"/>
    <n v="64"/>
    <x v="18"/>
    <s v="S"/>
    <s v="Gray"/>
    <s v="Fall"/>
    <n v="4.2"/>
    <s v="No"/>
    <s v="No"/>
    <n v="46"/>
    <s v="Cash"/>
    <s v="Every 3 Months"/>
    <m/>
  </r>
  <r>
    <n v="2349"/>
    <x v="22"/>
    <x v="0"/>
    <s v="Shoes"/>
    <s v="Footwear"/>
    <n v="84"/>
    <x v="1"/>
    <s v="M"/>
    <s v="Orange"/>
    <s v="Spring"/>
    <n v="4.9000000000000004"/>
    <s v="No"/>
    <s v="No"/>
    <n v="16"/>
    <s v="PayPal"/>
    <s v="Every 3 Months"/>
    <m/>
  </r>
  <r>
    <n v="2350"/>
    <x v="13"/>
    <x v="0"/>
    <s v="Blouse"/>
    <s v="Clothing"/>
    <n v="34"/>
    <x v="14"/>
    <s v="M"/>
    <s v="Orange"/>
    <s v="Fall"/>
    <n v="3.9"/>
    <s v="No"/>
    <s v="No"/>
    <n v="40"/>
    <s v="Credit Card"/>
    <s v="Every 3 Months"/>
    <m/>
  </r>
  <r>
    <n v="2351"/>
    <x v="9"/>
    <x v="0"/>
    <s v="Shoes"/>
    <s v="Footwear"/>
    <n v="26"/>
    <x v="11"/>
    <s v="M"/>
    <s v="Turquoise"/>
    <s v="Winter"/>
    <n v="4.2"/>
    <s v="No"/>
    <s v="No"/>
    <n v="21"/>
    <s v="Cash"/>
    <s v="Annually"/>
    <m/>
  </r>
  <r>
    <n v="2352"/>
    <x v="21"/>
    <x v="0"/>
    <s v="Sweater"/>
    <s v="Clothing"/>
    <n v="50"/>
    <x v="13"/>
    <s v="S"/>
    <s v="Cyan"/>
    <s v="Fall"/>
    <n v="4.9000000000000004"/>
    <s v="No"/>
    <s v="No"/>
    <n v="25"/>
    <s v="PayPal"/>
    <s v="Bi-Weekly"/>
    <m/>
  </r>
  <r>
    <n v="2353"/>
    <x v="27"/>
    <x v="0"/>
    <s v="Boots"/>
    <s v="Footwear"/>
    <n v="46"/>
    <x v="43"/>
    <s v="M"/>
    <s v="Yellow"/>
    <s v="Fall"/>
    <n v="2.8"/>
    <s v="No"/>
    <s v="No"/>
    <n v="25"/>
    <s v="Bank Transfer"/>
    <s v="Quarterly"/>
    <m/>
  </r>
  <r>
    <n v="2354"/>
    <x v="19"/>
    <x v="0"/>
    <s v="Handbag"/>
    <s v="Accessories"/>
    <n v="71"/>
    <x v="6"/>
    <s v="M"/>
    <s v="White"/>
    <s v="Fall"/>
    <n v="4.0999999999999996"/>
    <s v="No"/>
    <s v="No"/>
    <n v="25"/>
    <s v="Debit Card"/>
    <s v="Every 3 Months"/>
    <m/>
  </r>
  <r>
    <n v="2355"/>
    <x v="19"/>
    <x v="0"/>
    <s v="Blouse"/>
    <s v="Clothing"/>
    <n v="78"/>
    <x v="48"/>
    <s v="M"/>
    <s v="Blue"/>
    <s v="Summer"/>
    <n v="4.8"/>
    <s v="No"/>
    <s v="No"/>
    <n v="27"/>
    <s v="Venmo"/>
    <s v="Monthly"/>
    <m/>
  </r>
  <r>
    <n v="2356"/>
    <x v="40"/>
    <x v="0"/>
    <s v="Skirt"/>
    <s v="Clothing"/>
    <n v="35"/>
    <x v="30"/>
    <s v="S"/>
    <s v="Purple"/>
    <s v="Winter"/>
    <n v="4.0999999999999996"/>
    <s v="No"/>
    <s v="No"/>
    <n v="12"/>
    <s v="Cash"/>
    <s v="Monthly"/>
    <m/>
  </r>
  <r>
    <n v="2357"/>
    <x v="9"/>
    <x v="0"/>
    <s v="Backpack"/>
    <s v="Accessories"/>
    <n v="58"/>
    <x v="6"/>
    <s v="M"/>
    <s v="Gray"/>
    <s v="Summer"/>
    <n v="3"/>
    <s v="No"/>
    <s v="No"/>
    <n v="27"/>
    <s v="Debit Card"/>
    <s v="Quarterly"/>
    <m/>
  </r>
  <r>
    <n v="2358"/>
    <x v="10"/>
    <x v="0"/>
    <s v="Shirt"/>
    <s v="Clothing"/>
    <n v="67"/>
    <x v="49"/>
    <s v="L"/>
    <s v="Cyan"/>
    <s v="Fall"/>
    <n v="4.2"/>
    <s v="No"/>
    <s v="No"/>
    <n v="40"/>
    <s v="Credit Card"/>
    <s v="Bi-Weekly"/>
    <m/>
  </r>
  <r>
    <n v="2359"/>
    <x v="10"/>
    <x v="0"/>
    <s v="Sweater"/>
    <s v="Clothing"/>
    <n v="93"/>
    <x v="21"/>
    <s v="L"/>
    <s v="Pink"/>
    <s v="Spring"/>
    <n v="3.8"/>
    <s v="No"/>
    <s v="No"/>
    <n v="38"/>
    <s v="Credit Card"/>
    <s v="Quarterly"/>
    <m/>
  </r>
  <r>
    <n v="2360"/>
    <x v="1"/>
    <x v="0"/>
    <s v="Scarf"/>
    <s v="Accessories"/>
    <n v="81"/>
    <x v="38"/>
    <s v="S"/>
    <s v="Gold"/>
    <s v="Spring"/>
    <n v="3.3"/>
    <s v="No"/>
    <s v="No"/>
    <n v="44"/>
    <s v="Bank Transfer"/>
    <s v="Every 3 Months"/>
    <m/>
  </r>
  <r>
    <n v="2361"/>
    <x v="34"/>
    <x v="0"/>
    <s v="Handbag"/>
    <s v="Accessories"/>
    <n v="80"/>
    <x v="14"/>
    <s v="L"/>
    <s v="Silver"/>
    <s v="Fall"/>
    <n v="4.7"/>
    <s v="No"/>
    <s v="No"/>
    <n v="27"/>
    <s v="Venmo"/>
    <s v="Every 3 Months"/>
    <m/>
  </r>
  <r>
    <n v="2362"/>
    <x v="42"/>
    <x v="0"/>
    <s v="Scarf"/>
    <s v="Accessories"/>
    <n v="64"/>
    <x v="15"/>
    <s v="M"/>
    <s v="Gray"/>
    <s v="Spring"/>
    <n v="4.3"/>
    <s v="No"/>
    <s v="No"/>
    <n v="30"/>
    <s v="Credit Card"/>
    <s v="Every 3 Months"/>
    <m/>
  </r>
  <r>
    <n v="2363"/>
    <x v="7"/>
    <x v="0"/>
    <s v="Jeans"/>
    <s v="Clothing"/>
    <n v="41"/>
    <x v="41"/>
    <s v="M"/>
    <s v="Brown"/>
    <s v="Fall"/>
    <n v="2.7"/>
    <s v="No"/>
    <s v="No"/>
    <n v="24"/>
    <s v="Credit Card"/>
    <s v="Monthly"/>
    <m/>
  </r>
  <r>
    <n v="2364"/>
    <x v="52"/>
    <x v="0"/>
    <s v="Socks"/>
    <s v="Clothing"/>
    <n v="79"/>
    <x v="38"/>
    <s v="XL"/>
    <s v="Pink"/>
    <s v="Winter"/>
    <n v="4.2"/>
    <s v="No"/>
    <s v="No"/>
    <n v="38"/>
    <s v="Cash"/>
    <s v="Bi-Weekly"/>
    <m/>
  </r>
  <r>
    <n v="2365"/>
    <x v="46"/>
    <x v="0"/>
    <s v="Sunglasses"/>
    <s v="Accessories"/>
    <n v="60"/>
    <x v="16"/>
    <s v="L"/>
    <s v="Maroon"/>
    <s v="Winter"/>
    <n v="4.2"/>
    <s v="No"/>
    <s v="No"/>
    <n v="4"/>
    <s v="PayPal"/>
    <s v="Quarterly"/>
    <m/>
  </r>
  <r>
    <n v="2366"/>
    <x v="16"/>
    <x v="0"/>
    <s v="Sneakers"/>
    <s v="Footwear"/>
    <n v="91"/>
    <x v="5"/>
    <s v="S"/>
    <s v="Peach"/>
    <s v="Winter"/>
    <n v="2.5"/>
    <s v="No"/>
    <s v="No"/>
    <n v="32"/>
    <s v="Venmo"/>
    <s v="Monthly"/>
    <m/>
  </r>
  <r>
    <n v="2367"/>
    <x v="11"/>
    <x v="0"/>
    <s v="Shoes"/>
    <s v="Footwear"/>
    <n v="66"/>
    <x v="35"/>
    <s v="L"/>
    <s v="Brown"/>
    <s v="Winter"/>
    <n v="3.6"/>
    <s v="No"/>
    <s v="No"/>
    <n v="32"/>
    <s v="Credit Card"/>
    <s v="Fortnightly"/>
    <m/>
  </r>
  <r>
    <n v="2368"/>
    <x v="17"/>
    <x v="0"/>
    <s v="Socks"/>
    <s v="Clothing"/>
    <n v="85"/>
    <x v="25"/>
    <s v="L"/>
    <s v="Green"/>
    <s v="Winter"/>
    <n v="3.4"/>
    <s v="No"/>
    <s v="No"/>
    <n v="28"/>
    <s v="Bank Transfer"/>
    <s v="Bi-Weekly"/>
    <m/>
  </r>
  <r>
    <n v="2369"/>
    <x v="26"/>
    <x v="0"/>
    <s v="Sunglasses"/>
    <s v="Accessories"/>
    <n v="38"/>
    <x v="32"/>
    <s v="M"/>
    <s v="Lavender"/>
    <s v="Summer"/>
    <n v="3.3"/>
    <s v="No"/>
    <s v="No"/>
    <n v="6"/>
    <s v="Debit Card"/>
    <s v="Every 3 Months"/>
    <m/>
  </r>
  <r>
    <n v="2370"/>
    <x v="41"/>
    <x v="0"/>
    <s v="Sweater"/>
    <s v="Clothing"/>
    <n v="23"/>
    <x v="34"/>
    <s v="M"/>
    <s v="Cyan"/>
    <s v="Winter"/>
    <n v="4.5999999999999996"/>
    <s v="No"/>
    <s v="No"/>
    <n v="24"/>
    <s v="PayPal"/>
    <s v="Monthly"/>
    <m/>
  </r>
  <r>
    <n v="2371"/>
    <x v="47"/>
    <x v="0"/>
    <s v="Shoes"/>
    <s v="Footwear"/>
    <n v="71"/>
    <x v="29"/>
    <s v="M"/>
    <s v="Black"/>
    <s v="Spring"/>
    <n v="3.9"/>
    <s v="No"/>
    <s v="No"/>
    <n v="38"/>
    <s v="Venmo"/>
    <s v="Weekly"/>
    <m/>
  </r>
  <r>
    <n v="2372"/>
    <x v="29"/>
    <x v="0"/>
    <s v="Socks"/>
    <s v="Clothing"/>
    <n v="25"/>
    <x v="27"/>
    <s v="M"/>
    <s v="Charcoal"/>
    <s v="Winter"/>
    <n v="3.7"/>
    <s v="No"/>
    <s v="No"/>
    <n v="28"/>
    <s v="Debit Card"/>
    <s v="Annually"/>
    <m/>
  </r>
  <r>
    <n v="2373"/>
    <x v="2"/>
    <x v="0"/>
    <s v="Boots"/>
    <s v="Footwear"/>
    <n v="39"/>
    <x v="15"/>
    <s v="XL"/>
    <s v="Silver"/>
    <s v="Spring"/>
    <n v="3.1"/>
    <s v="No"/>
    <s v="No"/>
    <n v="9"/>
    <s v="PayPal"/>
    <s v="Fortnightly"/>
    <m/>
  </r>
  <r>
    <n v="2374"/>
    <x v="43"/>
    <x v="0"/>
    <s v="Hoodie"/>
    <s v="Clothing"/>
    <n v="20"/>
    <x v="49"/>
    <s v="M"/>
    <s v="Gray"/>
    <s v="Spring"/>
    <n v="4.9000000000000004"/>
    <s v="No"/>
    <s v="No"/>
    <n v="21"/>
    <s v="Debit Card"/>
    <s v="Every 3 Months"/>
    <m/>
  </r>
  <r>
    <n v="2375"/>
    <x v="28"/>
    <x v="0"/>
    <s v="Gloves"/>
    <s v="Accessories"/>
    <n v="73"/>
    <x v="47"/>
    <s v="L"/>
    <s v="Peach"/>
    <s v="Winter"/>
    <n v="4.7"/>
    <s v="No"/>
    <s v="No"/>
    <n v="31"/>
    <s v="Debit Card"/>
    <s v="Monthly"/>
    <m/>
  </r>
  <r>
    <n v="2376"/>
    <x v="52"/>
    <x v="0"/>
    <s v="Backpack"/>
    <s v="Accessories"/>
    <n v="63"/>
    <x v="41"/>
    <s v="L"/>
    <s v="Peach"/>
    <s v="Fall"/>
    <n v="2.9"/>
    <s v="No"/>
    <s v="No"/>
    <n v="18"/>
    <s v="Credit Card"/>
    <s v="Quarterly"/>
    <m/>
  </r>
  <r>
    <n v="2377"/>
    <x v="3"/>
    <x v="0"/>
    <s v="Gloves"/>
    <s v="Accessories"/>
    <n v="94"/>
    <x v="30"/>
    <s v="XL"/>
    <s v="Cyan"/>
    <s v="Spring"/>
    <n v="4.0999999999999996"/>
    <s v="No"/>
    <s v="No"/>
    <n v="5"/>
    <s v="Cash"/>
    <s v="Weekly"/>
    <m/>
  </r>
  <r>
    <n v="2378"/>
    <x v="42"/>
    <x v="0"/>
    <s v="Blouse"/>
    <s v="Clothing"/>
    <n v="94"/>
    <x v="45"/>
    <s v="L"/>
    <s v="Magenta"/>
    <s v="Fall"/>
    <n v="4"/>
    <s v="No"/>
    <s v="No"/>
    <n v="22"/>
    <s v="Cash"/>
    <s v="Annually"/>
    <m/>
  </r>
  <r>
    <n v="2379"/>
    <x v="8"/>
    <x v="0"/>
    <s v="Scarf"/>
    <s v="Accessories"/>
    <n v="71"/>
    <x v="13"/>
    <s v="L"/>
    <s v="Teal"/>
    <s v="Summer"/>
    <n v="2.7"/>
    <s v="No"/>
    <s v="No"/>
    <n v="37"/>
    <s v="PayPal"/>
    <s v="Bi-Weekly"/>
    <m/>
  </r>
  <r>
    <n v="2380"/>
    <x v="37"/>
    <x v="0"/>
    <s v="Hat"/>
    <s v="Accessories"/>
    <n v="77"/>
    <x v="45"/>
    <s v="M"/>
    <s v="Peach"/>
    <s v="Spring"/>
    <n v="4"/>
    <s v="No"/>
    <s v="No"/>
    <n v="22"/>
    <s v="Debit Card"/>
    <s v="Monthly"/>
    <m/>
  </r>
  <r>
    <n v="2381"/>
    <x v="38"/>
    <x v="0"/>
    <s v="Scarf"/>
    <s v="Accessories"/>
    <n v="66"/>
    <x v="38"/>
    <s v="M"/>
    <s v="Black"/>
    <s v="Fall"/>
    <n v="2.5"/>
    <s v="No"/>
    <s v="No"/>
    <n v="36"/>
    <s v="PayPal"/>
    <s v="Fortnightly"/>
    <m/>
  </r>
  <r>
    <n v="2382"/>
    <x v="46"/>
    <x v="0"/>
    <s v="Sandals"/>
    <s v="Footwear"/>
    <n v="23"/>
    <x v="48"/>
    <s v="M"/>
    <s v="Teal"/>
    <s v="Summer"/>
    <n v="4.5"/>
    <s v="No"/>
    <s v="No"/>
    <n v="23"/>
    <s v="PayPal"/>
    <s v="Annually"/>
    <m/>
  </r>
  <r>
    <n v="2383"/>
    <x v="31"/>
    <x v="0"/>
    <s v="Sweater"/>
    <s v="Clothing"/>
    <n v="60"/>
    <x v="18"/>
    <s v="M"/>
    <s v="Turquoise"/>
    <s v="Spring"/>
    <n v="3.9"/>
    <s v="No"/>
    <s v="No"/>
    <n v="44"/>
    <s v="Debit Card"/>
    <s v="Weekly"/>
    <m/>
  </r>
  <r>
    <n v="2384"/>
    <x v="10"/>
    <x v="0"/>
    <s v="Backpack"/>
    <s v="Accessories"/>
    <n v="72"/>
    <x v="3"/>
    <s v="L"/>
    <s v="Gold"/>
    <s v="Spring"/>
    <n v="4.9000000000000004"/>
    <s v="No"/>
    <s v="No"/>
    <n v="25"/>
    <s v="Bank Transfer"/>
    <s v="Annually"/>
    <m/>
  </r>
  <r>
    <n v="2385"/>
    <x v="41"/>
    <x v="0"/>
    <s v="Blouse"/>
    <s v="Clothing"/>
    <n v="35"/>
    <x v="15"/>
    <s v="L"/>
    <s v="Green"/>
    <s v="Winter"/>
    <n v="3.3"/>
    <s v="No"/>
    <s v="No"/>
    <n v="40"/>
    <s v="PayPal"/>
    <s v="Quarterly"/>
    <m/>
  </r>
  <r>
    <n v="2386"/>
    <x v="38"/>
    <x v="0"/>
    <s v="Scarf"/>
    <s v="Accessories"/>
    <n v="31"/>
    <x v="19"/>
    <s v="M"/>
    <s v="Brown"/>
    <s v="Fall"/>
    <n v="3.8"/>
    <s v="No"/>
    <s v="No"/>
    <n v="12"/>
    <s v="PayPal"/>
    <s v="Weekly"/>
    <m/>
  </r>
  <r>
    <n v="2387"/>
    <x v="1"/>
    <x v="0"/>
    <s v="Socks"/>
    <s v="Clothing"/>
    <n v="33"/>
    <x v="26"/>
    <s v="L"/>
    <s v="Blue"/>
    <s v="Summer"/>
    <n v="2.9"/>
    <s v="No"/>
    <s v="No"/>
    <n v="14"/>
    <s v="Venmo"/>
    <s v="Monthly"/>
    <m/>
  </r>
  <r>
    <n v="2388"/>
    <x v="24"/>
    <x v="0"/>
    <s v="Hat"/>
    <s v="Accessories"/>
    <n v="95"/>
    <x v="30"/>
    <s v="M"/>
    <s v="Gold"/>
    <s v="Summer"/>
    <n v="4"/>
    <s v="No"/>
    <s v="No"/>
    <n v="14"/>
    <s v="Debit Card"/>
    <s v="Monthly"/>
    <m/>
  </r>
  <r>
    <n v="2389"/>
    <x v="3"/>
    <x v="0"/>
    <s v="Dress"/>
    <s v="Clothing"/>
    <n v="68"/>
    <x v="15"/>
    <s v="M"/>
    <s v="Peach"/>
    <s v="Fall"/>
    <n v="4.0999999999999996"/>
    <s v="No"/>
    <s v="No"/>
    <n v="10"/>
    <s v="Debit Card"/>
    <s v="Annually"/>
    <m/>
  </r>
  <r>
    <n v="2390"/>
    <x v="15"/>
    <x v="0"/>
    <s v="Coat"/>
    <s v="Outerwear"/>
    <n v="87"/>
    <x v="23"/>
    <s v="M"/>
    <s v="Violet"/>
    <s v="Spring"/>
    <n v="3.1"/>
    <s v="No"/>
    <s v="No"/>
    <n v="17"/>
    <s v="Bank Transfer"/>
    <s v="Every 3 Months"/>
    <m/>
  </r>
  <r>
    <n v="2391"/>
    <x v="13"/>
    <x v="0"/>
    <s v="Shirt"/>
    <s v="Clothing"/>
    <n v="64"/>
    <x v="28"/>
    <s v="XL"/>
    <s v="Yellow"/>
    <s v="Winter"/>
    <n v="4.5999999999999996"/>
    <s v="No"/>
    <s v="No"/>
    <n v="24"/>
    <s v="Debit Card"/>
    <s v="Fortnightly"/>
    <m/>
  </r>
  <r>
    <n v="2392"/>
    <x v="32"/>
    <x v="0"/>
    <s v="Shirt"/>
    <s v="Clothing"/>
    <n v="74"/>
    <x v="49"/>
    <s v="M"/>
    <s v="Black"/>
    <s v="Winter"/>
    <n v="4.5999999999999996"/>
    <s v="No"/>
    <s v="No"/>
    <n v="31"/>
    <s v="Bank Transfer"/>
    <s v="Quarterly"/>
    <m/>
  </r>
  <r>
    <n v="2393"/>
    <x v="37"/>
    <x v="0"/>
    <s v="Jeans"/>
    <s v="Clothing"/>
    <n v="62"/>
    <x v="9"/>
    <s v="L"/>
    <s v="Silver"/>
    <s v="Spring"/>
    <n v="2.6"/>
    <s v="No"/>
    <s v="No"/>
    <n v="36"/>
    <s v="Cash"/>
    <s v="Annually"/>
    <m/>
  </r>
  <r>
    <n v="2394"/>
    <x v="44"/>
    <x v="0"/>
    <s v="Socks"/>
    <s v="Clothing"/>
    <n v="97"/>
    <x v="7"/>
    <s v="M"/>
    <s v="Brown"/>
    <s v="Winter"/>
    <n v="5"/>
    <s v="No"/>
    <s v="No"/>
    <n v="38"/>
    <s v="PayPal"/>
    <s v="Every 3 Months"/>
    <m/>
  </r>
  <r>
    <n v="2395"/>
    <x v="37"/>
    <x v="0"/>
    <s v="Sandals"/>
    <s v="Footwear"/>
    <n v="47"/>
    <x v="39"/>
    <s v="L"/>
    <s v="Peach"/>
    <s v="Fall"/>
    <n v="2.9"/>
    <s v="No"/>
    <s v="No"/>
    <n v="23"/>
    <s v="Debit Card"/>
    <s v="Fortnightly"/>
    <m/>
  </r>
  <r>
    <n v="2396"/>
    <x v="46"/>
    <x v="0"/>
    <s v="Blouse"/>
    <s v="Clothing"/>
    <n v="83"/>
    <x v="39"/>
    <s v="M"/>
    <s v="Cyan"/>
    <s v="Winter"/>
    <n v="3.5"/>
    <s v="No"/>
    <s v="No"/>
    <n v="47"/>
    <s v="PayPal"/>
    <s v="Bi-Weekly"/>
    <m/>
  </r>
  <r>
    <n v="2397"/>
    <x v="21"/>
    <x v="0"/>
    <s v="Shirt"/>
    <s v="Clothing"/>
    <n v="82"/>
    <x v="4"/>
    <s v="M"/>
    <s v="Olive"/>
    <s v="Spring"/>
    <n v="3.7"/>
    <s v="No"/>
    <s v="No"/>
    <n v="20"/>
    <s v="Venmo"/>
    <s v="Weekly"/>
    <m/>
  </r>
  <r>
    <n v="2398"/>
    <x v="43"/>
    <x v="0"/>
    <s v="Sunglasses"/>
    <s v="Accessories"/>
    <n v="26"/>
    <x v="8"/>
    <s v="L"/>
    <s v="Black"/>
    <s v="Fall"/>
    <n v="2.9"/>
    <s v="No"/>
    <s v="No"/>
    <n v="41"/>
    <s v="Venmo"/>
    <s v="Monthly"/>
    <m/>
  </r>
  <r>
    <n v="2399"/>
    <x v="13"/>
    <x v="0"/>
    <s v="Jacket"/>
    <s v="Outerwear"/>
    <n v="81"/>
    <x v="20"/>
    <s v="M"/>
    <s v="Orange"/>
    <s v="Winter"/>
    <n v="4.3"/>
    <s v="No"/>
    <s v="No"/>
    <n v="44"/>
    <s v="Bank Transfer"/>
    <s v="Fortnightly"/>
    <m/>
  </r>
  <r>
    <n v="2400"/>
    <x v="0"/>
    <x v="0"/>
    <s v="Dress"/>
    <s v="Clothing"/>
    <n v="44"/>
    <x v="13"/>
    <s v="L"/>
    <s v="Beige"/>
    <s v="Spring"/>
    <n v="3.2"/>
    <s v="No"/>
    <s v="No"/>
    <n v="31"/>
    <s v="Cash"/>
    <s v="Monthly"/>
    <m/>
  </r>
  <r>
    <n v="2401"/>
    <x v="49"/>
    <x v="0"/>
    <s v="Sunglasses"/>
    <s v="Accessories"/>
    <n v="88"/>
    <x v="4"/>
    <s v="M"/>
    <s v="Peach"/>
    <s v="Winter"/>
    <n v="4.2"/>
    <s v="No"/>
    <s v="No"/>
    <n v="11"/>
    <s v="Credit Card"/>
    <s v="Bi-Weekly"/>
    <m/>
  </r>
  <r>
    <n v="2402"/>
    <x v="49"/>
    <x v="0"/>
    <s v="Boots"/>
    <s v="Footwear"/>
    <n v="76"/>
    <x v="4"/>
    <s v="M"/>
    <s v="Pink"/>
    <s v="Winter"/>
    <n v="4.2"/>
    <s v="No"/>
    <s v="No"/>
    <n v="25"/>
    <s v="PayPal"/>
    <s v="Bi-Weekly"/>
    <m/>
  </r>
  <r>
    <n v="2403"/>
    <x v="4"/>
    <x v="0"/>
    <s v="Scarf"/>
    <s v="Accessories"/>
    <n v="89"/>
    <x v="40"/>
    <s v="M"/>
    <s v="Brown"/>
    <s v="Winter"/>
    <n v="3.8"/>
    <s v="No"/>
    <s v="No"/>
    <n v="31"/>
    <s v="Cash"/>
    <s v="Weekly"/>
    <m/>
  </r>
  <r>
    <n v="2404"/>
    <x v="14"/>
    <x v="0"/>
    <s v="Shorts"/>
    <s v="Clothing"/>
    <n v="22"/>
    <x v="9"/>
    <s v="M"/>
    <s v="Magenta"/>
    <s v="Fall"/>
    <n v="4.4000000000000004"/>
    <s v="No"/>
    <s v="No"/>
    <n v="40"/>
    <s v="Debit Card"/>
    <s v="Weekly"/>
    <m/>
  </r>
  <r>
    <n v="2405"/>
    <x v="48"/>
    <x v="0"/>
    <s v="Shorts"/>
    <s v="Clothing"/>
    <n v="33"/>
    <x v="8"/>
    <s v="L"/>
    <s v="Cyan"/>
    <s v="Winter"/>
    <n v="3.1"/>
    <s v="No"/>
    <s v="No"/>
    <n v="23"/>
    <s v="Credit Card"/>
    <s v="Bi-Weekly"/>
    <m/>
  </r>
  <r>
    <n v="2406"/>
    <x v="28"/>
    <x v="0"/>
    <s v="Jeans"/>
    <s v="Clothing"/>
    <n v="97"/>
    <x v="18"/>
    <s v="XL"/>
    <s v="Silver"/>
    <s v="Fall"/>
    <n v="5"/>
    <s v="No"/>
    <s v="No"/>
    <n v="5"/>
    <s v="Debit Card"/>
    <s v="Quarterly"/>
    <m/>
  </r>
  <r>
    <n v="2407"/>
    <x v="22"/>
    <x v="0"/>
    <s v="Scarf"/>
    <s v="Accessories"/>
    <n v="57"/>
    <x v="18"/>
    <s v="M"/>
    <s v="Indigo"/>
    <s v="Winter"/>
    <n v="4.7"/>
    <s v="No"/>
    <s v="No"/>
    <n v="26"/>
    <s v="PayPal"/>
    <s v="Weekly"/>
    <m/>
  </r>
  <r>
    <n v="2408"/>
    <x v="16"/>
    <x v="0"/>
    <s v="Shorts"/>
    <s v="Clothing"/>
    <n v="38"/>
    <x v="26"/>
    <s v="M"/>
    <s v="Beige"/>
    <s v="Summer"/>
    <n v="3"/>
    <s v="No"/>
    <s v="No"/>
    <n v="11"/>
    <s v="Credit Card"/>
    <s v="Bi-Weekly"/>
    <m/>
  </r>
  <r>
    <n v="2409"/>
    <x v="51"/>
    <x v="0"/>
    <s v="Sneakers"/>
    <s v="Footwear"/>
    <n v="55"/>
    <x v="11"/>
    <s v="XL"/>
    <s v="Black"/>
    <s v="Fall"/>
    <n v="4.2"/>
    <s v="No"/>
    <s v="No"/>
    <n v="44"/>
    <s v="Debit Card"/>
    <s v="Every 3 Months"/>
    <m/>
  </r>
  <r>
    <n v="2410"/>
    <x v="8"/>
    <x v="0"/>
    <s v="Jewelry"/>
    <s v="Accessories"/>
    <n v="37"/>
    <x v="47"/>
    <s v="L"/>
    <s v="Yellow"/>
    <s v="Spring"/>
    <n v="3"/>
    <s v="No"/>
    <s v="No"/>
    <n v="47"/>
    <s v="Cash"/>
    <s v="Every 3 Months"/>
    <m/>
  </r>
  <r>
    <n v="2411"/>
    <x v="39"/>
    <x v="0"/>
    <s v="Shoes"/>
    <s v="Footwear"/>
    <n v="43"/>
    <x v="48"/>
    <s v="M"/>
    <s v="Maroon"/>
    <s v="Summer"/>
    <n v="3.7"/>
    <s v="No"/>
    <s v="No"/>
    <n v="46"/>
    <s v="PayPal"/>
    <s v="Monthly"/>
    <m/>
  </r>
  <r>
    <n v="2412"/>
    <x v="34"/>
    <x v="0"/>
    <s v="Hoodie"/>
    <s v="Clothing"/>
    <n v="96"/>
    <x v="41"/>
    <s v="M"/>
    <s v="Cyan"/>
    <s v="Summer"/>
    <n v="2.7"/>
    <s v="No"/>
    <s v="No"/>
    <n v="35"/>
    <s v="Cash"/>
    <s v="Every 3 Months"/>
    <m/>
  </r>
  <r>
    <n v="2413"/>
    <x v="10"/>
    <x v="0"/>
    <s v="Jacket"/>
    <s v="Outerwear"/>
    <n v="51"/>
    <x v="4"/>
    <s v="M"/>
    <s v="Pink"/>
    <s v="Winter"/>
    <n v="4.3"/>
    <s v="No"/>
    <s v="No"/>
    <n v="8"/>
    <s v="Bank Transfer"/>
    <s v="Bi-Weekly"/>
    <m/>
  </r>
  <r>
    <n v="2414"/>
    <x v="28"/>
    <x v="0"/>
    <s v="Shorts"/>
    <s v="Clothing"/>
    <n v="95"/>
    <x v="38"/>
    <s v="XL"/>
    <s v="Violet"/>
    <s v="Fall"/>
    <n v="2.7"/>
    <s v="No"/>
    <s v="No"/>
    <n v="30"/>
    <s v="Bank Transfer"/>
    <s v="Weekly"/>
    <m/>
  </r>
  <r>
    <n v="2415"/>
    <x v="8"/>
    <x v="0"/>
    <s v="Socks"/>
    <s v="Clothing"/>
    <n v="26"/>
    <x v="41"/>
    <s v="M"/>
    <s v="Lavender"/>
    <s v="Summer"/>
    <n v="3.7"/>
    <s v="No"/>
    <s v="No"/>
    <n v="14"/>
    <s v="Credit Card"/>
    <s v="Bi-Weekly"/>
    <m/>
  </r>
  <r>
    <n v="2416"/>
    <x v="3"/>
    <x v="0"/>
    <s v="Coat"/>
    <s v="Outerwear"/>
    <n v="34"/>
    <x v="11"/>
    <s v="XL"/>
    <s v="Lavender"/>
    <s v="Fall"/>
    <n v="4.3"/>
    <s v="No"/>
    <s v="No"/>
    <n v="30"/>
    <s v="Bank Transfer"/>
    <s v="Weekly"/>
    <m/>
  </r>
  <r>
    <n v="2417"/>
    <x v="35"/>
    <x v="0"/>
    <s v="Sandals"/>
    <s v="Footwear"/>
    <n v="83"/>
    <x v="43"/>
    <s v="S"/>
    <s v="Black"/>
    <s v="Summer"/>
    <n v="4"/>
    <s v="No"/>
    <s v="No"/>
    <n v="26"/>
    <s v="Credit Card"/>
    <s v="Every 3 Months"/>
    <m/>
  </r>
  <r>
    <n v="2418"/>
    <x v="3"/>
    <x v="0"/>
    <s v="Backpack"/>
    <s v="Accessories"/>
    <n v="24"/>
    <x v="29"/>
    <s v="M"/>
    <s v="Olive"/>
    <s v="Fall"/>
    <n v="3.3"/>
    <s v="No"/>
    <s v="No"/>
    <n v="32"/>
    <s v="Venmo"/>
    <s v="Fortnightly"/>
    <m/>
  </r>
  <r>
    <n v="2419"/>
    <x v="40"/>
    <x v="0"/>
    <s v="Pants"/>
    <s v="Clothing"/>
    <n v="69"/>
    <x v="49"/>
    <s v="S"/>
    <s v="Indigo"/>
    <s v="Fall"/>
    <n v="4"/>
    <s v="No"/>
    <s v="No"/>
    <n v="47"/>
    <s v="Cash"/>
    <s v="Every 3 Months"/>
    <m/>
  </r>
  <r>
    <n v="2420"/>
    <x v="8"/>
    <x v="0"/>
    <s v="Sweater"/>
    <s v="Clothing"/>
    <n v="40"/>
    <x v="17"/>
    <s v="M"/>
    <s v="Blue"/>
    <s v="Fall"/>
    <n v="2.7"/>
    <s v="No"/>
    <s v="No"/>
    <n v="11"/>
    <s v="Credit Card"/>
    <s v="Every 3 Months"/>
    <m/>
  </r>
  <r>
    <n v="2421"/>
    <x v="38"/>
    <x v="0"/>
    <s v="Jacket"/>
    <s v="Outerwear"/>
    <n v="87"/>
    <x v="17"/>
    <s v="S"/>
    <s v="Green"/>
    <s v="Winter"/>
    <n v="4.2"/>
    <s v="No"/>
    <s v="No"/>
    <n v="28"/>
    <s v="PayPal"/>
    <s v="Annually"/>
    <m/>
  </r>
  <r>
    <n v="2422"/>
    <x v="43"/>
    <x v="0"/>
    <s v="Sneakers"/>
    <s v="Footwear"/>
    <n v="46"/>
    <x v="46"/>
    <s v="L"/>
    <s v="Pink"/>
    <s v="Spring"/>
    <n v="4.5999999999999996"/>
    <s v="No"/>
    <s v="No"/>
    <n v="2"/>
    <s v="Debit Card"/>
    <s v="Every 3 Months"/>
    <m/>
  </r>
  <r>
    <n v="2423"/>
    <x v="11"/>
    <x v="0"/>
    <s v="Jewelry"/>
    <s v="Accessories"/>
    <n v="82"/>
    <x v="42"/>
    <s v="M"/>
    <s v="Peach"/>
    <s v="Winter"/>
    <n v="4.8"/>
    <s v="No"/>
    <s v="No"/>
    <n v="45"/>
    <s v="Credit Card"/>
    <s v="Weekly"/>
    <m/>
  </r>
  <r>
    <n v="2424"/>
    <x v="34"/>
    <x v="0"/>
    <s v="Backpack"/>
    <s v="Accessories"/>
    <n v="81"/>
    <x v="8"/>
    <s v="M"/>
    <s v="Purple"/>
    <s v="Summer"/>
    <n v="2.8"/>
    <s v="No"/>
    <s v="No"/>
    <n v="7"/>
    <s v="Credit Card"/>
    <s v="Every 3 Months"/>
    <m/>
  </r>
  <r>
    <n v="2425"/>
    <x v="34"/>
    <x v="0"/>
    <s v="Jewelry"/>
    <s v="Accessories"/>
    <n v="57"/>
    <x v="12"/>
    <s v="M"/>
    <s v="Peach"/>
    <s v="Winter"/>
    <n v="4.5"/>
    <s v="No"/>
    <s v="No"/>
    <n v="28"/>
    <s v="Bank Transfer"/>
    <s v="Bi-Weekly"/>
    <m/>
  </r>
  <r>
    <n v="2426"/>
    <x v="44"/>
    <x v="0"/>
    <s v="Shoes"/>
    <s v="Footwear"/>
    <n v="49"/>
    <x v="25"/>
    <s v="S"/>
    <s v="Olive"/>
    <s v="Summer"/>
    <n v="3"/>
    <s v="No"/>
    <s v="No"/>
    <n v="34"/>
    <s v="Bank Transfer"/>
    <s v="Quarterly"/>
    <m/>
  </r>
  <r>
    <n v="2427"/>
    <x v="27"/>
    <x v="0"/>
    <s v="Jacket"/>
    <s v="Outerwear"/>
    <n v="42"/>
    <x v="20"/>
    <s v="M"/>
    <s v="Olive"/>
    <s v="Fall"/>
    <n v="4.5999999999999996"/>
    <s v="No"/>
    <s v="No"/>
    <n v="26"/>
    <s v="Debit Card"/>
    <s v="Every 3 Months"/>
    <m/>
  </r>
  <r>
    <n v="2428"/>
    <x v="7"/>
    <x v="0"/>
    <s v="Jacket"/>
    <s v="Outerwear"/>
    <n v="26"/>
    <x v="4"/>
    <s v="M"/>
    <s v="Purple"/>
    <s v="Spring"/>
    <n v="3.3"/>
    <s v="No"/>
    <s v="No"/>
    <n v="45"/>
    <s v="Cash"/>
    <s v="Quarterly"/>
    <m/>
  </r>
  <r>
    <n v="2429"/>
    <x v="13"/>
    <x v="0"/>
    <s v="T-shirt"/>
    <s v="Clothing"/>
    <n v="38"/>
    <x v="37"/>
    <s v="M"/>
    <s v="Violet"/>
    <s v="Spring"/>
    <n v="4.4000000000000004"/>
    <s v="No"/>
    <s v="No"/>
    <n v="34"/>
    <s v="Debit Card"/>
    <s v="Annually"/>
    <m/>
  </r>
  <r>
    <n v="2430"/>
    <x v="9"/>
    <x v="0"/>
    <s v="Sneakers"/>
    <s v="Footwear"/>
    <n v="57"/>
    <x v="41"/>
    <s v="XL"/>
    <s v="Maroon"/>
    <s v="Summer"/>
    <n v="4.4000000000000004"/>
    <s v="No"/>
    <s v="No"/>
    <n v="47"/>
    <s v="Credit Card"/>
    <s v="Fortnightly"/>
    <m/>
  </r>
  <r>
    <n v="2431"/>
    <x v="30"/>
    <x v="0"/>
    <s v="Jacket"/>
    <s v="Outerwear"/>
    <n v="100"/>
    <x v="25"/>
    <s v="XL"/>
    <s v="White"/>
    <s v="Summer"/>
    <n v="4.3"/>
    <s v="No"/>
    <s v="No"/>
    <n v="42"/>
    <s v="Cash"/>
    <s v="Quarterly"/>
    <m/>
  </r>
  <r>
    <n v="2432"/>
    <x v="50"/>
    <x v="0"/>
    <s v="Hoodie"/>
    <s v="Clothing"/>
    <n v="73"/>
    <x v="15"/>
    <s v="S"/>
    <s v="Olive"/>
    <s v="Fall"/>
    <n v="3.4"/>
    <s v="No"/>
    <s v="No"/>
    <n v="27"/>
    <s v="Bank Transfer"/>
    <s v="Every 3 Months"/>
    <m/>
  </r>
  <r>
    <n v="2433"/>
    <x v="35"/>
    <x v="0"/>
    <s v="Jacket"/>
    <s v="Outerwear"/>
    <n v="66"/>
    <x v="11"/>
    <s v="M"/>
    <s v="Peach"/>
    <s v="Winter"/>
    <n v="2.8"/>
    <s v="No"/>
    <s v="No"/>
    <n v="43"/>
    <s v="Venmo"/>
    <s v="Monthly"/>
    <m/>
  </r>
  <r>
    <n v="2434"/>
    <x v="22"/>
    <x v="0"/>
    <s v="T-shirt"/>
    <s v="Clothing"/>
    <n v="73"/>
    <x v="4"/>
    <s v="M"/>
    <s v="Blue"/>
    <s v="Spring"/>
    <n v="3.4"/>
    <s v="No"/>
    <s v="No"/>
    <n v="16"/>
    <s v="Cash"/>
    <s v="Bi-Weekly"/>
    <m/>
  </r>
  <r>
    <n v="2435"/>
    <x v="24"/>
    <x v="0"/>
    <s v="Gloves"/>
    <s v="Accessories"/>
    <n v="45"/>
    <x v="40"/>
    <s v="M"/>
    <s v="Brown"/>
    <s v="Spring"/>
    <n v="5"/>
    <s v="No"/>
    <s v="No"/>
    <n v="40"/>
    <s v="Credit Card"/>
    <s v="Monthly"/>
    <m/>
  </r>
  <r>
    <n v="2436"/>
    <x v="3"/>
    <x v="0"/>
    <s v="Sneakers"/>
    <s v="Footwear"/>
    <n v="27"/>
    <x v="11"/>
    <s v="S"/>
    <s v="Black"/>
    <s v="Fall"/>
    <n v="4.5"/>
    <s v="No"/>
    <s v="No"/>
    <n v="29"/>
    <s v="Cash"/>
    <s v="Bi-Weekly"/>
    <m/>
  </r>
  <r>
    <n v="2437"/>
    <x v="16"/>
    <x v="0"/>
    <s v="T-shirt"/>
    <s v="Clothing"/>
    <n v="24"/>
    <x v="39"/>
    <s v="M"/>
    <s v="Yellow"/>
    <s v="Fall"/>
    <n v="2.7"/>
    <s v="No"/>
    <s v="No"/>
    <n v="38"/>
    <s v="Credit Card"/>
    <s v="Quarterly"/>
    <m/>
  </r>
  <r>
    <n v="2438"/>
    <x v="49"/>
    <x v="0"/>
    <s v="Sneakers"/>
    <s v="Footwear"/>
    <n v="59"/>
    <x v="5"/>
    <s v="XL"/>
    <s v="Magenta"/>
    <s v="Winter"/>
    <n v="3.4"/>
    <s v="No"/>
    <s v="No"/>
    <n v="34"/>
    <s v="Credit Card"/>
    <s v="Weekly"/>
    <m/>
  </r>
  <r>
    <n v="2439"/>
    <x v="45"/>
    <x v="0"/>
    <s v="Jeans"/>
    <s v="Clothing"/>
    <n v="20"/>
    <x v="12"/>
    <s v="S"/>
    <s v="Cyan"/>
    <s v="Winter"/>
    <n v="3.4"/>
    <s v="No"/>
    <s v="No"/>
    <n v="30"/>
    <s v="Venmo"/>
    <s v="Weekly"/>
    <m/>
  </r>
  <r>
    <n v="2440"/>
    <x v="0"/>
    <x v="0"/>
    <s v="Handbag"/>
    <s v="Accessories"/>
    <n v="44"/>
    <x v="10"/>
    <s v="M"/>
    <s v="Maroon"/>
    <s v="Summer"/>
    <n v="2.8"/>
    <s v="No"/>
    <s v="No"/>
    <n v="45"/>
    <s v="Bank Transfer"/>
    <s v="Annually"/>
    <m/>
  </r>
  <r>
    <n v="2441"/>
    <x v="18"/>
    <x v="0"/>
    <s v="Socks"/>
    <s v="Clothing"/>
    <n v="90"/>
    <x v="27"/>
    <s v="M"/>
    <s v="Red"/>
    <s v="Spring"/>
    <n v="4.7"/>
    <s v="No"/>
    <s v="No"/>
    <n v="47"/>
    <s v="Bank Transfer"/>
    <s v="Annually"/>
    <m/>
  </r>
  <r>
    <n v="2442"/>
    <x v="4"/>
    <x v="0"/>
    <s v="Jewelry"/>
    <s v="Accessories"/>
    <n v="36"/>
    <x v="18"/>
    <s v="M"/>
    <s v="Black"/>
    <s v="Fall"/>
    <n v="4.7"/>
    <s v="No"/>
    <s v="No"/>
    <n v="5"/>
    <s v="Credit Card"/>
    <s v="Monthly"/>
    <m/>
  </r>
  <r>
    <n v="2443"/>
    <x v="10"/>
    <x v="0"/>
    <s v="Blouse"/>
    <s v="Clothing"/>
    <n v="95"/>
    <x v="5"/>
    <s v="L"/>
    <s v="Violet"/>
    <s v="Winter"/>
    <n v="4.7"/>
    <s v="No"/>
    <s v="No"/>
    <n v="50"/>
    <s v="Debit Card"/>
    <s v="Bi-Weekly"/>
    <m/>
  </r>
  <r>
    <n v="2444"/>
    <x v="41"/>
    <x v="0"/>
    <s v="Backpack"/>
    <s v="Accessories"/>
    <n v="30"/>
    <x v="45"/>
    <s v="M"/>
    <s v="Green"/>
    <s v="Spring"/>
    <n v="3.4"/>
    <s v="No"/>
    <s v="No"/>
    <n v="24"/>
    <s v="Bank Transfer"/>
    <s v="Bi-Weekly"/>
    <m/>
  </r>
  <r>
    <n v="2445"/>
    <x v="36"/>
    <x v="0"/>
    <s v="Scarf"/>
    <s v="Accessories"/>
    <n v="65"/>
    <x v="8"/>
    <s v="S"/>
    <s v="Gold"/>
    <s v="Fall"/>
    <n v="3.7"/>
    <s v="No"/>
    <s v="No"/>
    <n v="15"/>
    <s v="Debit Card"/>
    <s v="Bi-Weekly"/>
    <m/>
  </r>
  <r>
    <n v="2446"/>
    <x v="6"/>
    <x v="0"/>
    <s v="Scarf"/>
    <s v="Accessories"/>
    <n v="96"/>
    <x v="30"/>
    <s v="M"/>
    <s v="Brown"/>
    <s v="Summer"/>
    <n v="4.0999999999999996"/>
    <s v="No"/>
    <s v="No"/>
    <n v="50"/>
    <s v="Cash"/>
    <s v="Weekly"/>
    <m/>
  </r>
  <r>
    <n v="2447"/>
    <x v="21"/>
    <x v="0"/>
    <s v="Shirt"/>
    <s v="Clothing"/>
    <n v="65"/>
    <x v="29"/>
    <s v="L"/>
    <s v="Peach"/>
    <s v="Spring"/>
    <n v="2.9"/>
    <s v="No"/>
    <s v="No"/>
    <n v="7"/>
    <s v="Credit Card"/>
    <s v="Monthly"/>
    <m/>
  </r>
  <r>
    <n v="2448"/>
    <x v="35"/>
    <x v="0"/>
    <s v="Pants"/>
    <s v="Clothing"/>
    <n v="47"/>
    <x v="45"/>
    <s v="L"/>
    <s v="Peach"/>
    <s v="Fall"/>
    <n v="3.2"/>
    <s v="No"/>
    <s v="No"/>
    <n v="10"/>
    <s v="Venmo"/>
    <s v="Fortnightly"/>
    <m/>
  </r>
  <r>
    <n v="2449"/>
    <x v="22"/>
    <x v="0"/>
    <s v="Hat"/>
    <s v="Accessories"/>
    <n v="25"/>
    <x v="30"/>
    <s v="S"/>
    <s v="Violet"/>
    <s v="Fall"/>
    <n v="3"/>
    <s v="No"/>
    <s v="No"/>
    <n v="38"/>
    <s v="PayPal"/>
    <s v="Bi-Weekly"/>
    <m/>
  </r>
  <r>
    <n v="2450"/>
    <x v="8"/>
    <x v="0"/>
    <s v="Coat"/>
    <s v="Outerwear"/>
    <n v="56"/>
    <x v="15"/>
    <s v="S"/>
    <s v="Violet"/>
    <s v="Fall"/>
    <n v="4.0999999999999996"/>
    <s v="No"/>
    <s v="No"/>
    <n v="31"/>
    <s v="Venmo"/>
    <s v="Fortnightly"/>
    <m/>
  </r>
  <r>
    <n v="2451"/>
    <x v="33"/>
    <x v="0"/>
    <s v="T-shirt"/>
    <s v="Clothing"/>
    <n v="76"/>
    <x v="17"/>
    <s v="M"/>
    <s v="Magenta"/>
    <s v="Fall"/>
    <n v="4.5"/>
    <s v="No"/>
    <s v="No"/>
    <n v="7"/>
    <s v="Venmo"/>
    <s v="Quarterly"/>
    <m/>
  </r>
  <r>
    <n v="2452"/>
    <x v="38"/>
    <x v="0"/>
    <s v="Socks"/>
    <s v="Clothing"/>
    <n v="60"/>
    <x v="19"/>
    <s v="M"/>
    <s v="Purple"/>
    <s v="Fall"/>
    <n v="3.4"/>
    <s v="No"/>
    <s v="No"/>
    <n v="27"/>
    <s v="Venmo"/>
    <s v="Monthly"/>
    <m/>
  </r>
  <r>
    <n v="2453"/>
    <x v="33"/>
    <x v="0"/>
    <s v="Shirt"/>
    <s v="Clothing"/>
    <n v="67"/>
    <x v="14"/>
    <s v="L"/>
    <s v="Purple"/>
    <s v="Winter"/>
    <n v="4.0999999999999996"/>
    <s v="No"/>
    <s v="No"/>
    <n v="45"/>
    <s v="Bank Transfer"/>
    <s v="Every 3 Months"/>
    <m/>
  </r>
  <r>
    <n v="2454"/>
    <x v="3"/>
    <x v="0"/>
    <s v="Sweater"/>
    <s v="Clothing"/>
    <n v="95"/>
    <x v="44"/>
    <s v="XL"/>
    <s v="Cyan"/>
    <s v="Spring"/>
    <n v="4.5999999999999996"/>
    <s v="No"/>
    <s v="No"/>
    <n v="13"/>
    <s v="Cash"/>
    <s v="Annually"/>
    <m/>
  </r>
  <r>
    <n v="2455"/>
    <x v="45"/>
    <x v="0"/>
    <s v="Gloves"/>
    <s v="Accessories"/>
    <n v="72"/>
    <x v="29"/>
    <s v="M"/>
    <s v="Magenta"/>
    <s v="Winter"/>
    <n v="4.5999999999999996"/>
    <s v="No"/>
    <s v="No"/>
    <n v="33"/>
    <s v="Venmo"/>
    <s v="Annually"/>
    <m/>
  </r>
  <r>
    <n v="2456"/>
    <x v="30"/>
    <x v="0"/>
    <s v="Belt"/>
    <s v="Accessories"/>
    <n v="98"/>
    <x v="29"/>
    <s v="L"/>
    <s v="Lavender"/>
    <s v="Spring"/>
    <n v="3.4"/>
    <s v="No"/>
    <s v="No"/>
    <n v="25"/>
    <s v="Cash"/>
    <s v="Every 3 Months"/>
    <m/>
  </r>
  <r>
    <n v="2457"/>
    <x v="35"/>
    <x v="0"/>
    <s v="Jeans"/>
    <s v="Clothing"/>
    <n v="83"/>
    <x v="43"/>
    <s v="M"/>
    <s v="Green"/>
    <s v="Winter"/>
    <n v="3.3"/>
    <s v="No"/>
    <s v="No"/>
    <n v="5"/>
    <s v="PayPal"/>
    <s v="Monthly"/>
    <m/>
  </r>
  <r>
    <n v="2458"/>
    <x v="10"/>
    <x v="0"/>
    <s v="Handbag"/>
    <s v="Accessories"/>
    <n v="37"/>
    <x v="12"/>
    <s v="M"/>
    <s v="Maroon"/>
    <s v="Fall"/>
    <n v="3.6"/>
    <s v="No"/>
    <s v="No"/>
    <n v="23"/>
    <s v="Cash"/>
    <s v="Quarterly"/>
    <m/>
  </r>
  <r>
    <n v="2459"/>
    <x v="17"/>
    <x v="0"/>
    <s v="T-shirt"/>
    <s v="Clothing"/>
    <n v="85"/>
    <x v="21"/>
    <s v="L"/>
    <s v="Turquoise"/>
    <s v="Fall"/>
    <n v="4.5999999999999996"/>
    <s v="No"/>
    <s v="No"/>
    <n v="17"/>
    <s v="Bank Transfer"/>
    <s v="Weekly"/>
    <m/>
  </r>
  <r>
    <n v="2460"/>
    <x v="36"/>
    <x v="0"/>
    <s v="Socks"/>
    <s v="Clothing"/>
    <n v="36"/>
    <x v="9"/>
    <s v="L"/>
    <s v="Violet"/>
    <s v="Fall"/>
    <n v="4.3"/>
    <s v="No"/>
    <s v="No"/>
    <n v="14"/>
    <s v="Cash"/>
    <s v="Weekly"/>
    <m/>
  </r>
  <r>
    <n v="2461"/>
    <x v="44"/>
    <x v="0"/>
    <s v="Jeans"/>
    <s v="Clothing"/>
    <n v="36"/>
    <x v="1"/>
    <s v="S"/>
    <s v="Lavender"/>
    <s v="Winter"/>
    <n v="4"/>
    <s v="No"/>
    <s v="No"/>
    <n v="28"/>
    <s v="Credit Card"/>
    <s v="Annually"/>
    <m/>
  </r>
  <r>
    <n v="2462"/>
    <x v="48"/>
    <x v="0"/>
    <s v="Scarf"/>
    <s v="Accessories"/>
    <n v="86"/>
    <x v="38"/>
    <s v="L"/>
    <s v="Red"/>
    <s v="Summer"/>
    <n v="4.8"/>
    <s v="No"/>
    <s v="No"/>
    <n v="19"/>
    <s v="Credit Card"/>
    <s v="Weekly"/>
    <m/>
  </r>
  <r>
    <n v="2463"/>
    <x v="33"/>
    <x v="0"/>
    <s v="Pants"/>
    <s v="Clothing"/>
    <n v="99"/>
    <x v="9"/>
    <s v="XL"/>
    <s v="Orange"/>
    <s v="Spring"/>
    <n v="4.3"/>
    <s v="No"/>
    <s v="No"/>
    <n v="31"/>
    <s v="Bank Transfer"/>
    <s v="Bi-Weekly"/>
    <m/>
  </r>
  <r>
    <n v="2464"/>
    <x v="52"/>
    <x v="0"/>
    <s v="Blouse"/>
    <s v="Clothing"/>
    <n v="21"/>
    <x v="16"/>
    <s v="XL"/>
    <s v="Indigo"/>
    <s v="Summer"/>
    <n v="3.3"/>
    <s v="No"/>
    <s v="No"/>
    <n v="25"/>
    <s v="Cash"/>
    <s v="Bi-Weekly"/>
    <m/>
  </r>
  <r>
    <n v="2465"/>
    <x v="36"/>
    <x v="0"/>
    <s v="Jacket"/>
    <s v="Outerwear"/>
    <n v="84"/>
    <x v="11"/>
    <s v="L"/>
    <s v="Teal"/>
    <s v="Winter"/>
    <n v="2.8"/>
    <s v="No"/>
    <s v="No"/>
    <n v="4"/>
    <s v="Cash"/>
    <s v="Bi-Weekly"/>
    <m/>
  </r>
  <r>
    <n v="2466"/>
    <x v="20"/>
    <x v="0"/>
    <s v="Sandals"/>
    <s v="Footwear"/>
    <n v="63"/>
    <x v="21"/>
    <s v="M"/>
    <s v="Brown"/>
    <s v="Spring"/>
    <n v="4.4000000000000004"/>
    <s v="No"/>
    <s v="No"/>
    <n v="20"/>
    <s v="Bank Transfer"/>
    <s v="Weekly"/>
    <m/>
  </r>
  <r>
    <n v="2467"/>
    <x v="45"/>
    <x v="0"/>
    <s v="Shorts"/>
    <s v="Clothing"/>
    <n v="84"/>
    <x v="45"/>
    <s v="S"/>
    <s v="Pink"/>
    <s v="Summer"/>
    <n v="3.7"/>
    <s v="No"/>
    <s v="No"/>
    <n v="37"/>
    <s v="Cash"/>
    <s v="Annually"/>
    <m/>
  </r>
  <r>
    <n v="2468"/>
    <x v="7"/>
    <x v="0"/>
    <s v="Shorts"/>
    <s v="Clothing"/>
    <n v="72"/>
    <x v="32"/>
    <s v="M"/>
    <s v="Lavender"/>
    <s v="Spring"/>
    <n v="3.6"/>
    <s v="No"/>
    <s v="No"/>
    <n v="28"/>
    <s v="Credit Card"/>
    <s v="Annually"/>
    <m/>
  </r>
  <r>
    <n v="2469"/>
    <x v="13"/>
    <x v="0"/>
    <s v="Skirt"/>
    <s v="Clothing"/>
    <n v="21"/>
    <x v="39"/>
    <s v="L"/>
    <s v="Cyan"/>
    <s v="Winter"/>
    <n v="3.7"/>
    <s v="No"/>
    <s v="No"/>
    <n v="6"/>
    <s v="Venmo"/>
    <s v="Weekly"/>
    <m/>
  </r>
  <r>
    <n v="2470"/>
    <x v="33"/>
    <x v="0"/>
    <s v="Sandals"/>
    <s v="Footwear"/>
    <n v="92"/>
    <x v="33"/>
    <s v="M"/>
    <s v="Yellow"/>
    <s v="Fall"/>
    <n v="5"/>
    <s v="No"/>
    <s v="No"/>
    <n v="27"/>
    <s v="PayPal"/>
    <s v="Annually"/>
    <m/>
  </r>
  <r>
    <n v="2471"/>
    <x v="0"/>
    <x v="0"/>
    <s v="Blouse"/>
    <s v="Clothing"/>
    <n v="72"/>
    <x v="28"/>
    <s v="XL"/>
    <s v="Pink"/>
    <s v="Fall"/>
    <n v="2.7"/>
    <s v="No"/>
    <s v="No"/>
    <n v="29"/>
    <s v="Credit Card"/>
    <s v="Fortnightly"/>
    <m/>
  </r>
  <r>
    <n v="2472"/>
    <x v="11"/>
    <x v="0"/>
    <s v="Sandals"/>
    <s v="Footwear"/>
    <n v="83"/>
    <x v="19"/>
    <s v="M"/>
    <s v="Gray"/>
    <s v="Spring"/>
    <n v="4.3"/>
    <s v="No"/>
    <s v="No"/>
    <n v="1"/>
    <s v="Cash"/>
    <s v="Annually"/>
    <m/>
  </r>
  <r>
    <n v="2473"/>
    <x v="41"/>
    <x v="0"/>
    <s v="Shirt"/>
    <s v="Clothing"/>
    <n v="73"/>
    <x v="40"/>
    <s v="M"/>
    <s v="Peach"/>
    <s v="Summer"/>
    <n v="4.0999999999999996"/>
    <s v="No"/>
    <s v="No"/>
    <n v="31"/>
    <s v="Credit Card"/>
    <s v="Annually"/>
    <m/>
  </r>
  <r>
    <n v="2474"/>
    <x v="9"/>
    <x v="0"/>
    <s v="Socks"/>
    <s v="Clothing"/>
    <n v="98"/>
    <x v="10"/>
    <s v="M"/>
    <s v="Red"/>
    <s v="Winter"/>
    <n v="2.6"/>
    <s v="No"/>
    <s v="No"/>
    <n v="28"/>
    <s v="Cash"/>
    <s v="Quarterly"/>
    <m/>
  </r>
  <r>
    <n v="2475"/>
    <x v="51"/>
    <x v="0"/>
    <s v="T-shirt"/>
    <s v="Clothing"/>
    <n v="76"/>
    <x v="17"/>
    <s v="M"/>
    <s v="Olive"/>
    <s v="Fall"/>
    <n v="3.2"/>
    <s v="No"/>
    <s v="No"/>
    <n v="19"/>
    <s v="Bank Transfer"/>
    <s v="Quarterly"/>
    <m/>
  </r>
  <r>
    <n v="2476"/>
    <x v="28"/>
    <x v="0"/>
    <s v="Dress"/>
    <s v="Clothing"/>
    <n v="43"/>
    <x v="18"/>
    <s v="S"/>
    <s v="Lavender"/>
    <s v="Summer"/>
    <n v="3.5"/>
    <s v="No"/>
    <s v="No"/>
    <n v="36"/>
    <s v="Venmo"/>
    <s v="Monthly"/>
    <m/>
  </r>
  <r>
    <n v="2477"/>
    <x v="52"/>
    <x v="0"/>
    <s v="Hat"/>
    <s v="Accessories"/>
    <n v="60"/>
    <x v="24"/>
    <s v="M"/>
    <s v="Turquoise"/>
    <s v="Summer"/>
    <n v="3.7"/>
    <s v="No"/>
    <s v="No"/>
    <n v="28"/>
    <s v="Cash"/>
    <s v="Monthly"/>
    <m/>
  </r>
  <r>
    <n v="2478"/>
    <x v="15"/>
    <x v="0"/>
    <s v="Gloves"/>
    <s v="Accessories"/>
    <n v="40"/>
    <x v="18"/>
    <s v="L"/>
    <s v="Turquoise"/>
    <s v="Spring"/>
    <n v="3.8"/>
    <s v="No"/>
    <s v="No"/>
    <n v="29"/>
    <s v="PayPal"/>
    <s v="Weekly"/>
    <m/>
  </r>
  <r>
    <n v="2479"/>
    <x v="20"/>
    <x v="0"/>
    <s v="Socks"/>
    <s v="Clothing"/>
    <n v="93"/>
    <x v="34"/>
    <s v="S"/>
    <s v="Maroon"/>
    <s v="Winter"/>
    <n v="4.8"/>
    <s v="No"/>
    <s v="No"/>
    <n v="9"/>
    <s v="Bank Transfer"/>
    <s v="Every 3 Months"/>
    <m/>
  </r>
  <r>
    <n v="2480"/>
    <x v="43"/>
    <x v="0"/>
    <s v="Dress"/>
    <s v="Clothing"/>
    <n v="98"/>
    <x v="23"/>
    <s v="S"/>
    <s v="Olive"/>
    <s v="Fall"/>
    <n v="4.2"/>
    <s v="No"/>
    <s v="No"/>
    <n v="26"/>
    <s v="Credit Card"/>
    <s v="Every 3 Months"/>
    <m/>
  </r>
  <r>
    <n v="2481"/>
    <x v="12"/>
    <x v="0"/>
    <s v="Socks"/>
    <s v="Clothing"/>
    <n v="91"/>
    <x v="31"/>
    <s v="XL"/>
    <s v="Maroon"/>
    <s v="Summer"/>
    <n v="2.9"/>
    <s v="No"/>
    <s v="No"/>
    <n v="7"/>
    <s v="Credit Card"/>
    <s v="Fortnightly"/>
    <m/>
  </r>
  <r>
    <n v="2482"/>
    <x v="38"/>
    <x v="0"/>
    <s v="Belt"/>
    <s v="Accessories"/>
    <n v="92"/>
    <x v="32"/>
    <s v="XL"/>
    <s v="Cyan"/>
    <s v="Fall"/>
    <n v="2.9"/>
    <s v="No"/>
    <s v="No"/>
    <n v="35"/>
    <s v="Debit Card"/>
    <s v="Weekly"/>
    <m/>
  </r>
  <r>
    <n v="2483"/>
    <x v="28"/>
    <x v="0"/>
    <s v="Handbag"/>
    <s v="Accessories"/>
    <n v="87"/>
    <x v="28"/>
    <s v="S"/>
    <s v="Peach"/>
    <s v="Winter"/>
    <n v="4.8"/>
    <s v="No"/>
    <s v="No"/>
    <n v="46"/>
    <s v="Credit Card"/>
    <s v="Every 3 Months"/>
    <m/>
  </r>
  <r>
    <n v="2484"/>
    <x v="45"/>
    <x v="0"/>
    <s v="Skirt"/>
    <s v="Clothing"/>
    <n v="96"/>
    <x v="28"/>
    <s v="S"/>
    <s v="Teal"/>
    <s v="Fall"/>
    <n v="2.9"/>
    <s v="No"/>
    <s v="No"/>
    <n v="8"/>
    <s v="Debit Card"/>
    <s v="Monthly"/>
    <m/>
  </r>
  <r>
    <n v="2485"/>
    <x v="52"/>
    <x v="0"/>
    <s v="Hoodie"/>
    <s v="Clothing"/>
    <n v="97"/>
    <x v="13"/>
    <s v="M"/>
    <s v="Green"/>
    <s v="Summer"/>
    <n v="4.8"/>
    <s v="No"/>
    <s v="No"/>
    <n v="50"/>
    <s v="Cash"/>
    <s v="Every 3 Months"/>
    <m/>
  </r>
  <r>
    <n v="2486"/>
    <x v="49"/>
    <x v="0"/>
    <s v="Blouse"/>
    <s v="Clothing"/>
    <n v="55"/>
    <x v="7"/>
    <s v="M"/>
    <s v="Beige"/>
    <s v="Spring"/>
    <n v="4.5999999999999996"/>
    <s v="No"/>
    <s v="No"/>
    <n v="37"/>
    <s v="Bank Transfer"/>
    <s v="Annually"/>
    <m/>
  </r>
  <r>
    <n v="2487"/>
    <x v="12"/>
    <x v="0"/>
    <s v="Jeans"/>
    <s v="Clothing"/>
    <n v="58"/>
    <x v="21"/>
    <s v="L"/>
    <s v="Magenta"/>
    <s v="Spring"/>
    <n v="4.4000000000000004"/>
    <s v="No"/>
    <s v="No"/>
    <n v="6"/>
    <s v="Credit Card"/>
    <s v="Fortnightly"/>
    <m/>
  </r>
  <r>
    <n v="2488"/>
    <x v="9"/>
    <x v="0"/>
    <s v="Boots"/>
    <s v="Footwear"/>
    <n v="21"/>
    <x v="6"/>
    <s v="L"/>
    <s v="Violet"/>
    <s v="Spring"/>
    <n v="3"/>
    <s v="No"/>
    <s v="No"/>
    <n v="16"/>
    <s v="PayPal"/>
    <s v="Bi-Weekly"/>
    <m/>
  </r>
  <r>
    <n v="2489"/>
    <x v="19"/>
    <x v="0"/>
    <s v="Handbag"/>
    <s v="Accessories"/>
    <n v="82"/>
    <x v="13"/>
    <s v="XL"/>
    <s v="Charcoal"/>
    <s v="Summer"/>
    <n v="4.4000000000000004"/>
    <s v="No"/>
    <s v="No"/>
    <n v="30"/>
    <s v="PayPal"/>
    <s v="Monthly"/>
    <m/>
  </r>
  <r>
    <n v="2490"/>
    <x v="17"/>
    <x v="0"/>
    <s v="Coat"/>
    <s v="Outerwear"/>
    <n v="34"/>
    <x v="45"/>
    <s v="M"/>
    <s v="Green"/>
    <s v="Winter"/>
    <n v="3.9"/>
    <s v="No"/>
    <s v="No"/>
    <n v="50"/>
    <s v="Venmo"/>
    <s v="Quarterly"/>
    <m/>
  </r>
  <r>
    <n v="2491"/>
    <x v="16"/>
    <x v="0"/>
    <s v="Blouse"/>
    <s v="Clothing"/>
    <n v="78"/>
    <x v="6"/>
    <s v="M"/>
    <s v="Gray"/>
    <s v="Spring"/>
    <n v="4"/>
    <s v="No"/>
    <s v="No"/>
    <n v="5"/>
    <s v="Cash"/>
    <s v="Every 3 Months"/>
    <m/>
  </r>
  <r>
    <n v="2492"/>
    <x v="6"/>
    <x v="0"/>
    <s v="Handbag"/>
    <s v="Accessories"/>
    <n v="47"/>
    <x v="17"/>
    <s v="M"/>
    <s v="Magenta"/>
    <s v="Spring"/>
    <n v="2.5"/>
    <s v="No"/>
    <s v="No"/>
    <n v="15"/>
    <s v="Bank Transfer"/>
    <s v="Monthly"/>
    <m/>
  </r>
  <r>
    <n v="2493"/>
    <x v="2"/>
    <x v="0"/>
    <s v="Sunglasses"/>
    <s v="Accessories"/>
    <n v="96"/>
    <x v="45"/>
    <s v="S"/>
    <s v="Silver"/>
    <s v="Summer"/>
    <n v="4.0999999999999996"/>
    <s v="No"/>
    <s v="No"/>
    <n v="34"/>
    <s v="Bank Transfer"/>
    <s v="Bi-Weekly"/>
    <m/>
  </r>
  <r>
    <n v="2494"/>
    <x v="3"/>
    <x v="0"/>
    <s v="Socks"/>
    <s v="Clothing"/>
    <n v="23"/>
    <x v="1"/>
    <s v="S"/>
    <s v="Beige"/>
    <s v="Fall"/>
    <n v="4.8"/>
    <s v="No"/>
    <s v="No"/>
    <n v="6"/>
    <s v="Venmo"/>
    <s v="Every 3 Months"/>
    <m/>
  </r>
  <r>
    <n v="2495"/>
    <x v="32"/>
    <x v="0"/>
    <s v="Shoes"/>
    <s v="Footwear"/>
    <n v="27"/>
    <x v="19"/>
    <s v="S"/>
    <s v="Peach"/>
    <s v="Winter"/>
    <n v="2.6"/>
    <s v="No"/>
    <s v="No"/>
    <n v="26"/>
    <s v="Debit Card"/>
    <s v="Annually"/>
    <m/>
  </r>
  <r>
    <n v="2496"/>
    <x v="37"/>
    <x v="0"/>
    <s v="Backpack"/>
    <s v="Accessories"/>
    <n v="37"/>
    <x v="43"/>
    <s v="XL"/>
    <s v="Orange"/>
    <s v="Spring"/>
    <n v="3.1"/>
    <s v="No"/>
    <s v="No"/>
    <n v="34"/>
    <s v="Credit Card"/>
    <s v="Every 3 Months"/>
    <m/>
  </r>
  <r>
    <n v="2497"/>
    <x v="29"/>
    <x v="0"/>
    <s v="Scarf"/>
    <s v="Accessories"/>
    <n v="79"/>
    <x v="26"/>
    <s v="S"/>
    <s v="Yellow"/>
    <s v="Summer"/>
    <n v="3.2"/>
    <s v="No"/>
    <s v="No"/>
    <n v="37"/>
    <s v="Credit Card"/>
    <s v="Weekly"/>
    <m/>
  </r>
  <r>
    <n v="2498"/>
    <x v="25"/>
    <x v="0"/>
    <s v="Backpack"/>
    <s v="Accessories"/>
    <n v="40"/>
    <x v="24"/>
    <s v="M"/>
    <s v="Violet"/>
    <s v="Summer"/>
    <n v="4.2"/>
    <s v="No"/>
    <s v="No"/>
    <n v="28"/>
    <s v="Bank Transfer"/>
    <s v="Annually"/>
    <m/>
  </r>
  <r>
    <n v="2499"/>
    <x v="20"/>
    <x v="0"/>
    <s v="Coat"/>
    <s v="Outerwear"/>
    <n v="39"/>
    <x v="2"/>
    <s v="S"/>
    <s v="Green"/>
    <s v="Fall"/>
    <n v="2.6"/>
    <s v="No"/>
    <s v="No"/>
    <n v="38"/>
    <s v="Cash"/>
    <s v="Fortnightly"/>
    <m/>
  </r>
  <r>
    <n v="2500"/>
    <x v="16"/>
    <x v="0"/>
    <s v="Hoodie"/>
    <s v="Clothing"/>
    <n v="73"/>
    <x v="7"/>
    <s v="L"/>
    <s v="Pink"/>
    <s v="Summer"/>
    <n v="3.1"/>
    <s v="No"/>
    <s v="No"/>
    <n v="2"/>
    <s v="Cash"/>
    <s v="Quarterly"/>
    <m/>
  </r>
  <r>
    <n v="2501"/>
    <x v="35"/>
    <x v="0"/>
    <s v="Gloves"/>
    <s v="Accessories"/>
    <n v="84"/>
    <x v="2"/>
    <s v="M"/>
    <s v="Violet"/>
    <s v="Fall"/>
    <n v="2.9"/>
    <s v="No"/>
    <s v="No"/>
    <n v="32"/>
    <s v="Cash"/>
    <s v="Bi-Weekly"/>
    <m/>
  </r>
  <r>
    <n v="2502"/>
    <x v="34"/>
    <x v="0"/>
    <s v="Shorts"/>
    <s v="Clothing"/>
    <n v="94"/>
    <x v="8"/>
    <s v="M"/>
    <s v="Violet"/>
    <s v="Fall"/>
    <n v="4.5999999999999996"/>
    <s v="No"/>
    <s v="No"/>
    <n v="30"/>
    <s v="Venmo"/>
    <s v="Bi-Weekly"/>
    <m/>
  </r>
  <r>
    <n v="2503"/>
    <x v="5"/>
    <x v="0"/>
    <s v="Skirt"/>
    <s v="Clothing"/>
    <n v="47"/>
    <x v="37"/>
    <s v="L"/>
    <s v="Pink"/>
    <s v="Spring"/>
    <n v="4.0999999999999996"/>
    <s v="No"/>
    <s v="No"/>
    <n v="17"/>
    <s v="PayPal"/>
    <s v="Every 3 Months"/>
    <m/>
  </r>
  <r>
    <n v="2504"/>
    <x v="28"/>
    <x v="0"/>
    <s v="Boots"/>
    <s v="Footwear"/>
    <n v="77"/>
    <x v="31"/>
    <s v="M"/>
    <s v="Violet"/>
    <s v="Summer"/>
    <n v="2.5"/>
    <s v="No"/>
    <s v="No"/>
    <n v="5"/>
    <s v="Debit Card"/>
    <s v="Bi-Weekly"/>
    <m/>
  </r>
  <r>
    <n v="2505"/>
    <x v="19"/>
    <x v="0"/>
    <s v="Shorts"/>
    <s v="Clothing"/>
    <n v="94"/>
    <x v="3"/>
    <s v="M"/>
    <s v="Turquoise"/>
    <s v="Winter"/>
    <n v="4"/>
    <s v="No"/>
    <s v="No"/>
    <n v="31"/>
    <s v="Cash"/>
    <s v="Bi-Weekly"/>
    <m/>
  </r>
  <r>
    <n v="2506"/>
    <x v="7"/>
    <x v="0"/>
    <s v="Handbag"/>
    <s v="Accessories"/>
    <n v="75"/>
    <x v="26"/>
    <s v="M"/>
    <s v="Cyan"/>
    <s v="Summer"/>
    <n v="3.5"/>
    <s v="No"/>
    <s v="No"/>
    <n v="43"/>
    <s v="PayPal"/>
    <s v="Quarterly"/>
    <m/>
  </r>
  <r>
    <n v="2507"/>
    <x v="9"/>
    <x v="0"/>
    <s v="Dress"/>
    <s v="Clothing"/>
    <n v="82"/>
    <x v="14"/>
    <s v="XL"/>
    <s v="Orange"/>
    <s v="Spring"/>
    <n v="4.4000000000000004"/>
    <s v="No"/>
    <s v="No"/>
    <n v="19"/>
    <s v="Venmo"/>
    <s v="Annually"/>
    <m/>
  </r>
  <r>
    <n v="2508"/>
    <x v="44"/>
    <x v="0"/>
    <s v="Shoes"/>
    <s v="Footwear"/>
    <n v="36"/>
    <x v="7"/>
    <s v="M"/>
    <s v="Cyan"/>
    <s v="Fall"/>
    <n v="2.9"/>
    <s v="No"/>
    <s v="No"/>
    <n v="32"/>
    <s v="Credit Card"/>
    <s v="Every 3 Months"/>
    <m/>
  </r>
  <r>
    <n v="2509"/>
    <x v="51"/>
    <x v="0"/>
    <s v="Sneakers"/>
    <s v="Footwear"/>
    <n v="90"/>
    <x v="18"/>
    <s v="XL"/>
    <s v="Indigo"/>
    <s v="Spring"/>
    <n v="3.1"/>
    <s v="No"/>
    <s v="No"/>
    <n v="5"/>
    <s v="Debit Card"/>
    <s v="Bi-Weekly"/>
    <m/>
  </r>
  <r>
    <n v="2510"/>
    <x v="1"/>
    <x v="0"/>
    <s v="Socks"/>
    <s v="Clothing"/>
    <n v="48"/>
    <x v="47"/>
    <s v="M"/>
    <s v="Black"/>
    <s v="Spring"/>
    <n v="4.4000000000000004"/>
    <s v="No"/>
    <s v="No"/>
    <n v="9"/>
    <s v="Bank Transfer"/>
    <s v="Quarterly"/>
    <m/>
  </r>
  <r>
    <n v="2511"/>
    <x v="37"/>
    <x v="0"/>
    <s v="Jacket"/>
    <s v="Outerwear"/>
    <n v="42"/>
    <x v="45"/>
    <s v="L"/>
    <s v="Purple"/>
    <s v="Winter"/>
    <n v="4.4000000000000004"/>
    <s v="No"/>
    <s v="No"/>
    <n v="48"/>
    <s v="Credit Card"/>
    <s v="Weekly"/>
    <m/>
  </r>
  <r>
    <n v="2512"/>
    <x v="22"/>
    <x v="0"/>
    <s v="Backpack"/>
    <s v="Accessories"/>
    <n v="33"/>
    <x v="37"/>
    <s v="M"/>
    <s v="Cyan"/>
    <s v="Summer"/>
    <n v="2.7"/>
    <s v="No"/>
    <s v="No"/>
    <n v="1"/>
    <s v="PayPal"/>
    <s v="Quarterly"/>
    <m/>
  </r>
  <r>
    <n v="2513"/>
    <x v="2"/>
    <x v="0"/>
    <s v="Socks"/>
    <s v="Clothing"/>
    <n v="63"/>
    <x v="25"/>
    <s v="M"/>
    <s v="Green"/>
    <s v="Summer"/>
    <n v="4.9000000000000004"/>
    <s v="No"/>
    <s v="No"/>
    <n v="20"/>
    <s v="Credit Card"/>
    <s v="Monthly"/>
    <m/>
  </r>
  <r>
    <n v="2514"/>
    <x v="28"/>
    <x v="0"/>
    <s v="Handbag"/>
    <s v="Accessories"/>
    <n v="53"/>
    <x v="47"/>
    <s v="L"/>
    <s v="Teal"/>
    <s v="Winter"/>
    <n v="3.5"/>
    <s v="No"/>
    <s v="No"/>
    <n v="42"/>
    <s v="Cash"/>
    <s v="Annually"/>
    <m/>
  </r>
  <r>
    <n v="2515"/>
    <x v="32"/>
    <x v="0"/>
    <s v="Hat"/>
    <s v="Accessories"/>
    <n v="37"/>
    <x v="29"/>
    <s v="L"/>
    <s v="Teal"/>
    <s v="Spring"/>
    <n v="4.8"/>
    <s v="No"/>
    <s v="No"/>
    <n v="45"/>
    <s v="PayPal"/>
    <s v="Bi-Weekly"/>
    <m/>
  </r>
  <r>
    <n v="2516"/>
    <x v="43"/>
    <x v="0"/>
    <s v="Blouse"/>
    <s v="Clothing"/>
    <n v="92"/>
    <x v="23"/>
    <s v="M"/>
    <s v="Magenta"/>
    <s v="Summer"/>
    <n v="4.2"/>
    <s v="No"/>
    <s v="No"/>
    <n v="41"/>
    <s v="Cash"/>
    <s v="Monthly"/>
    <m/>
  </r>
  <r>
    <n v="2517"/>
    <x v="5"/>
    <x v="0"/>
    <s v="Shorts"/>
    <s v="Clothing"/>
    <n v="73"/>
    <x v="40"/>
    <s v="XL"/>
    <s v="Brown"/>
    <s v="Spring"/>
    <n v="4.5999999999999996"/>
    <s v="No"/>
    <s v="No"/>
    <n v="36"/>
    <s v="Debit Card"/>
    <s v="Quarterly"/>
    <m/>
  </r>
  <r>
    <n v="2518"/>
    <x v="14"/>
    <x v="0"/>
    <s v="Shirt"/>
    <s v="Clothing"/>
    <n v="38"/>
    <x v="5"/>
    <s v="L"/>
    <s v="Orange"/>
    <s v="Spring"/>
    <n v="2.9"/>
    <s v="No"/>
    <s v="No"/>
    <n v="10"/>
    <s v="Venmo"/>
    <s v="Annually"/>
    <m/>
  </r>
  <r>
    <n v="2519"/>
    <x v="30"/>
    <x v="0"/>
    <s v="Boots"/>
    <s v="Footwear"/>
    <n v="51"/>
    <x v="1"/>
    <s v="XL"/>
    <s v="Blue"/>
    <s v="Fall"/>
    <n v="4"/>
    <s v="No"/>
    <s v="No"/>
    <n v="31"/>
    <s v="Venmo"/>
    <s v="Annually"/>
    <m/>
  </r>
  <r>
    <n v="2520"/>
    <x v="37"/>
    <x v="0"/>
    <s v="Jacket"/>
    <s v="Outerwear"/>
    <n v="90"/>
    <x v="49"/>
    <s v="L"/>
    <s v="Magenta"/>
    <s v="Spring"/>
    <n v="4.9000000000000004"/>
    <s v="No"/>
    <s v="No"/>
    <n v="21"/>
    <s v="Credit Card"/>
    <s v="Quarterly"/>
    <m/>
  </r>
  <r>
    <n v="2521"/>
    <x v="14"/>
    <x v="0"/>
    <s v="Jacket"/>
    <s v="Outerwear"/>
    <n v="56"/>
    <x v="26"/>
    <s v="L"/>
    <s v="Magenta"/>
    <s v="Summer"/>
    <n v="3.1"/>
    <s v="No"/>
    <s v="No"/>
    <n v="16"/>
    <s v="Cash"/>
    <s v="Every 3 Months"/>
    <m/>
  </r>
  <r>
    <n v="2522"/>
    <x v="26"/>
    <x v="0"/>
    <s v="Handbag"/>
    <s v="Accessories"/>
    <n v="33"/>
    <x v="46"/>
    <s v="M"/>
    <s v="Magenta"/>
    <s v="Fall"/>
    <n v="4.4000000000000004"/>
    <s v="No"/>
    <s v="No"/>
    <n v="18"/>
    <s v="PayPal"/>
    <s v="Every 3 Months"/>
    <m/>
  </r>
  <r>
    <n v="2523"/>
    <x v="30"/>
    <x v="0"/>
    <s v="Belt"/>
    <s v="Accessories"/>
    <n v="53"/>
    <x v="2"/>
    <s v="S"/>
    <s v="Olive"/>
    <s v="Winter"/>
    <n v="2.5"/>
    <s v="No"/>
    <s v="No"/>
    <n v="20"/>
    <s v="Debit Card"/>
    <s v="Weekly"/>
    <m/>
  </r>
  <r>
    <n v="2524"/>
    <x v="49"/>
    <x v="0"/>
    <s v="Handbag"/>
    <s v="Accessories"/>
    <n v="24"/>
    <x v="32"/>
    <s v="S"/>
    <s v="Cyan"/>
    <s v="Spring"/>
    <n v="3.4"/>
    <s v="No"/>
    <s v="No"/>
    <n v="21"/>
    <s v="Bank Transfer"/>
    <s v="Annually"/>
    <m/>
  </r>
  <r>
    <n v="2525"/>
    <x v="52"/>
    <x v="0"/>
    <s v="Coat"/>
    <s v="Outerwear"/>
    <n v="59"/>
    <x v="23"/>
    <s v="M"/>
    <s v="Purple"/>
    <s v="Spring"/>
    <n v="3.7"/>
    <s v="No"/>
    <s v="No"/>
    <n v="23"/>
    <s v="Credit Card"/>
    <s v="Quarterly"/>
    <m/>
  </r>
  <r>
    <n v="2526"/>
    <x v="31"/>
    <x v="0"/>
    <s v="Sweater"/>
    <s v="Clothing"/>
    <n v="72"/>
    <x v="0"/>
    <s v="M"/>
    <s v="Purple"/>
    <s v="Winter"/>
    <n v="4.2"/>
    <s v="No"/>
    <s v="No"/>
    <n v="20"/>
    <s v="PayPal"/>
    <s v="Weekly"/>
    <m/>
  </r>
  <r>
    <n v="2527"/>
    <x v="36"/>
    <x v="0"/>
    <s v="Shorts"/>
    <s v="Clothing"/>
    <n v="28"/>
    <x v="3"/>
    <s v="S"/>
    <s v="Peach"/>
    <s v="Spring"/>
    <n v="3.4"/>
    <s v="No"/>
    <s v="No"/>
    <n v="30"/>
    <s v="PayPal"/>
    <s v="Bi-Weekly"/>
    <m/>
  </r>
  <r>
    <n v="2528"/>
    <x v="1"/>
    <x v="0"/>
    <s v="Pants"/>
    <s v="Clothing"/>
    <n v="36"/>
    <x v="26"/>
    <s v="M"/>
    <s v="Gold"/>
    <s v="Fall"/>
    <n v="3.6"/>
    <s v="No"/>
    <s v="No"/>
    <n v="33"/>
    <s v="Bank Transfer"/>
    <s v="Every 3 Months"/>
    <m/>
  </r>
  <r>
    <n v="2529"/>
    <x v="16"/>
    <x v="0"/>
    <s v="Jewelry"/>
    <s v="Accessories"/>
    <n v="47"/>
    <x v="15"/>
    <s v="S"/>
    <s v="Peach"/>
    <s v="Fall"/>
    <n v="4.7"/>
    <s v="No"/>
    <s v="No"/>
    <n v="31"/>
    <s v="Debit Card"/>
    <s v="Monthly"/>
    <m/>
  </r>
  <r>
    <n v="2530"/>
    <x v="50"/>
    <x v="0"/>
    <s v="Gloves"/>
    <s v="Accessories"/>
    <n v="62"/>
    <x v="30"/>
    <s v="M"/>
    <s v="Magenta"/>
    <s v="Spring"/>
    <n v="4.7"/>
    <s v="No"/>
    <s v="No"/>
    <n v="48"/>
    <s v="Bank Transfer"/>
    <s v="Monthly"/>
    <m/>
  </r>
  <r>
    <n v="2531"/>
    <x v="15"/>
    <x v="0"/>
    <s v="Skirt"/>
    <s v="Clothing"/>
    <n v="98"/>
    <x v="2"/>
    <s v="S"/>
    <s v="Cyan"/>
    <s v="Spring"/>
    <n v="3.6"/>
    <s v="No"/>
    <s v="No"/>
    <n v="28"/>
    <s v="Debit Card"/>
    <s v="Weekly"/>
    <m/>
  </r>
  <r>
    <n v="2532"/>
    <x v="49"/>
    <x v="0"/>
    <s v="Sandals"/>
    <s v="Footwear"/>
    <n v="28"/>
    <x v="21"/>
    <s v="M"/>
    <s v="Violet"/>
    <s v="Summer"/>
    <n v="4.5999999999999996"/>
    <s v="No"/>
    <s v="No"/>
    <n v="7"/>
    <s v="Cash"/>
    <s v="Every 3 Months"/>
    <m/>
  </r>
  <r>
    <n v="2533"/>
    <x v="0"/>
    <x v="0"/>
    <s v="Socks"/>
    <s v="Clothing"/>
    <n v="86"/>
    <x v="43"/>
    <s v="S"/>
    <s v="Charcoal"/>
    <s v="Summer"/>
    <n v="2.6"/>
    <s v="No"/>
    <s v="No"/>
    <n v="4"/>
    <s v="Debit Card"/>
    <s v="Weekly"/>
    <m/>
  </r>
  <r>
    <n v="2534"/>
    <x v="17"/>
    <x v="0"/>
    <s v="Jewelry"/>
    <s v="Accessories"/>
    <n v="46"/>
    <x v="38"/>
    <s v="S"/>
    <s v="Blue"/>
    <s v="Summer"/>
    <n v="3.1"/>
    <s v="No"/>
    <s v="No"/>
    <n v="49"/>
    <s v="Cash"/>
    <s v="Bi-Weekly"/>
    <m/>
  </r>
  <r>
    <n v="2535"/>
    <x v="38"/>
    <x v="0"/>
    <s v="Sunglasses"/>
    <s v="Accessories"/>
    <n v="42"/>
    <x v="41"/>
    <s v="XL"/>
    <s v="Red"/>
    <s v="Fall"/>
    <n v="3.2"/>
    <s v="No"/>
    <s v="No"/>
    <n v="22"/>
    <s v="Cash"/>
    <s v="Weekly"/>
    <m/>
  </r>
  <r>
    <n v="2536"/>
    <x v="36"/>
    <x v="0"/>
    <s v="Coat"/>
    <s v="Outerwear"/>
    <n v="80"/>
    <x v="34"/>
    <s v="S"/>
    <s v="Purple"/>
    <s v="Winter"/>
    <n v="3.9"/>
    <s v="No"/>
    <s v="No"/>
    <n v="39"/>
    <s v="Bank Transfer"/>
    <s v="Fortnightly"/>
    <m/>
  </r>
  <r>
    <n v="2537"/>
    <x v="47"/>
    <x v="0"/>
    <s v="Belt"/>
    <s v="Accessories"/>
    <n v="39"/>
    <x v="19"/>
    <s v="L"/>
    <s v="Gray"/>
    <s v="Spring"/>
    <n v="4.9000000000000004"/>
    <s v="No"/>
    <s v="No"/>
    <n v="45"/>
    <s v="PayPal"/>
    <s v="Every 3 Months"/>
    <m/>
  </r>
  <r>
    <n v="2538"/>
    <x v="42"/>
    <x v="0"/>
    <s v="Coat"/>
    <s v="Outerwear"/>
    <n v="49"/>
    <x v="1"/>
    <s v="M"/>
    <s v="Purple"/>
    <s v="Summer"/>
    <n v="4.0999999999999996"/>
    <s v="No"/>
    <s v="No"/>
    <n v="30"/>
    <s v="PayPal"/>
    <s v="Fortnightly"/>
    <m/>
  </r>
  <r>
    <n v="2539"/>
    <x v="20"/>
    <x v="0"/>
    <s v="Scarf"/>
    <s v="Accessories"/>
    <n v="32"/>
    <x v="32"/>
    <s v="M"/>
    <s v="Silver"/>
    <s v="Summer"/>
    <n v="4.2"/>
    <s v="No"/>
    <s v="No"/>
    <n v="33"/>
    <s v="Credit Card"/>
    <s v="Bi-Weekly"/>
    <m/>
  </r>
  <r>
    <n v="2540"/>
    <x v="23"/>
    <x v="0"/>
    <s v="Sandals"/>
    <s v="Footwear"/>
    <n v="73"/>
    <x v="2"/>
    <s v="M"/>
    <s v="Purple"/>
    <s v="Fall"/>
    <n v="4.0999999999999996"/>
    <s v="No"/>
    <s v="No"/>
    <n v="24"/>
    <s v="Cash"/>
    <s v="Bi-Weekly"/>
    <m/>
  </r>
  <r>
    <n v="2541"/>
    <x v="41"/>
    <x v="0"/>
    <s v="Belt"/>
    <s v="Accessories"/>
    <n v="42"/>
    <x v="32"/>
    <s v="M"/>
    <s v="Charcoal"/>
    <s v="Summer"/>
    <n v="3.9"/>
    <s v="No"/>
    <s v="No"/>
    <n v="11"/>
    <s v="Debit Card"/>
    <s v="Quarterly"/>
    <m/>
  </r>
  <r>
    <n v="2542"/>
    <x v="23"/>
    <x v="0"/>
    <s v="Scarf"/>
    <s v="Accessories"/>
    <n v="58"/>
    <x v="47"/>
    <s v="M"/>
    <s v="Silver"/>
    <s v="Spring"/>
    <n v="2.7"/>
    <s v="No"/>
    <s v="No"/>
    <n v="13"/>
    <s v="Venmo"/>
    <s v="Every 3 Months"/>
    <m/>
  </r>
  <r>
    <n v="2543"/>
    <x v="12"/>
    <x v="0"/>
    <s v="Jewelry"/>
    <s v="Accessories"/>
    <n v="22"/>
    <x v="10"/>
    <s v="M"/>
    <s v="White"/>
    <s v="Winter"/>
    <n v="3.7"/>
    <s v="No"/>
    <s v="No"/>
    <n v="27"/>
    <s v="PayPal"/>
    <s v="Annually"/>
    <m/>
  </r>
  <r>
    <n v="2544"/>
    <x v="7"/>
    <x v="0"/>
    <s v="Scarf"/>
    <s v="Accessories"/>
    <n v="56"/>
    <x v="8"/>
    <s v="L"/>
    <s v="Peach"/>
    <s v="Spring"/>
    <n v="2.7"/>
    <s v="No"/>
    <s v="No"/>
    <n v="30"/>
    <s v="PayPal"/>
    <s v="Bi-Weekly"/>
    <m/>
  </r>
  <r>
    <n v="2545"/>
    <x v="5"/>
    <x v="0"/>
    <s v="Pants"/>
    <s v="Clothing"/>
    <n v="70"/>
    <x v="12"/>
    <s v="M"/>
    <s v="Red"/>
    <s v="Spring"/>
    <n v="2.5"/>
    <s v="No"/>
    <s v="No"/>
    <n v="39"/>
    <s v="Venmo"/>
    <s v="Quarterly"/>
    <m/>
  </r>
  <r>
    <n v="2546"/>
    <x v="21"/>
    <x v="0"/>
    <s v="Shoes"/>
    <s v="Footwear"/>
    <n v="50"/>
    <x v="21"/>
    <s v="L"/>
    <s v="Olive"/>
    <s v="Spring"/>
    <n v="3.9"/>
    <s v="No"/>
    <s v="No"/>
    <n v="10"/>
    <s v="Debit Card"/>
    <s v="Annually"/>
    <m/>
  </r>
  <r>
    <n v="2547"/>
    <x v="6"/>
    <x v="0"/>
    <s v="Boots"/>
    <s v="Footwear"/>
    <n v="21"/>
    <x v="21"/>
    <s v="L"/>
    <s v="Gray"/>
    <s v="Summer"/>
    <n v="3"/>
    <s v="No"/>
    <s v="No"/>
    <n v="4"/>
    <s v="Credit Card"/>
    <s v="Quarterly"/>
    <m/>
  </r>
  <r>
    <n v="2548"/>
    <x v="36"/>
    <x v="0"/>
    <s v="Jacket"/>
    <s v="Outerwear"/>
    <n v="97"/>
    <x v="16"/>
    <s v="M"/>
    <s v="Beige"/>
    <s v="Summer"/>
    <n v="3.2"/>
    <s v="No"/>
    <s v="No"/>
    <n v="16"/>
    <s v="Cash"/>
    <s v="Weekly"/>
    <m/>
  </r>
  <r>
    <n v="2549"/>
    <x v="32"/>
    <x v="0"/>
    <s v="Backpack"/>
    <s v="Accessories"/>
    <n v="63"/>
    <x v="21"/>
    <s v="L"/>
    <s v="Pink"/>
    <s v="Winter"/>
    <n v="3.8"/>
    <s v="No"/>
    <s v="No"/>
    <n v="34"/>
    <s v="Credit Card"/>
    <s v="Monthly"/>
    <m/>
  </r>
  <r>
    <n v="2550"/>
    <x v="38"/>
    <x v="0"/>
    <s v="Jacket"/>
    <s v="Outerwear"/>
    <n v="60"/>
    <x v="41"/>
    <s v="M"/>
    <s v="Red"/>
    <s v="Fall"/>
    <n v="2.7"/>
    <s v="No"/>
    <s v="No"/>
    <n v="11"/>
    <s v="Debit Card"/>
    <s v="Every 3 Months"/>
    <m/>
  </r>
  <r>
    <n v="2551"/>
    <x v="10"/>
    <x v="0"/>
    <s v="Boots"/>
    <s v="Footwear"/>
    <n v="52"/>
    <x v="13"/>
    <s v="XL"/>
    <s v="Peach"/>
    <s v="Fall"/>
    <n v="3"/>
    <s v="No"/>
    <s v="No"/>
    <n v="30"/>
    <s v="Debit Card"/>
    <s v="Fortnightly"/>
    <m/>
  </r>
  <r>
    <n v="2552"/>
    <x v="26"/>
    <x v="0"/>
    <s v="Shoes"/>
    <s v="Footwear"/>
    <n v="32"/>
    <x v="46"/>
    <s v="M"/>
    <s v="Maroon"/>
    <s v="Winter"/>
    <n v="4.0999999999999996"/>
    <s v="No"/>
    <s v="No"/>
    <n v="40"/>
    <s v="Debit Card"/>
    <s v="Annually"/>
    <m/>
  </r>
  <r>
    <n v="2553"/>
    <x v="12"/>
    <x v="0"/>
    <s v="Belt"/>
    <s v="Accessories"/>
    <n v="48"/>
    <x v="33"/>
    <s v="XL"/>
    <s v="Purple"/>
    <s v="Spring"/>
    <n v="3.2"/>
    <s v="No"/>
    <s v="No"/>
    <n v="13"/>
    <s v="Credit Card"/>
    <s v="Annually"/>
    <m/>
  </r>
  <r>
    <n v="2554"/>
    <x v="28"/>
    <x v="0"/>
    <s v="Jewelry"/>
    <s v="Accessories"/>
    <n v="25"/>
    <x v="34"/>
    <s v="M"/>
    <s v="Maroon"/>
    <s v="Summer"/>
    <n v="4.5"/>
    <s v="No"/>
    <s v="No"/>
    <n v="28"/>
    <s v="Venmo"/>
    <s v="Every 3 Months"/>
    <m/>
  </r>
  <r>
    <n v="2555"/>
    <x v="47"/>
    <x v="0"/>
    <s v="Jewelry"/>
    <s v="Accessories"/>
    <n v="68"/>
    <x v="23"/>
    <s v="M"/>
    <s v="Gray"/>
    <s v="Summer"/>
    <n v="4.3"/>
    <s v="No"/>
    <s v="No"/>
    <n v="49"/>
    <s v="Debit Card"/>
    <s v="Bi-Weekly"/>
    <m/>
  </r>
  <r>
    <n v="2556"/>
    <x v="41"/>
    <x v="0"/>
    <s v="Pants"/>
    <s v="Clothing"/>
    <n v="74"/>
    <x v="37"/>
    <s v="M"/>
    <s v="Gray"/>
    <s v="Fall"/>
    <n v="3.5"/>
    <s v="No"/>
    <s v="No"/>
    <n v="23"/>
    <s v="Credit Card"/>
    <s v="Weekly"/>
    <m/>
  </r>
  <r>
    <n v="2557"/>
    <x v="41"/>
    <x v="0"/>
    <s v="T-shirt"/>
    <s v="Clothing"/>
    <n v="88"/>
    <x v="6"/>
    <s v="XL"/>
    <s v="Magenta"/>
    <s v="Fall"/>
    <n v="3.1"/>
    <s v="No"/>
    <s v="No"/>
    <n v="4"/>
    <s v="Bank Transfer"/>
    <s v="Quarterly"/>
    <m/>
  </r>
  <r>
    <n v="2558"/>
    <x v="27"/>
    <x v="0"/>
    <s v="Shorts"/>
    <s v="Clothing"/>
    <n v="23"/>
    <x v="19"/>
    <s v="L"/>
    <s v="Cyan"/>
    <s v="Spring"/>
    <n v="3.9"/>
    <s v="No"/>
    <s v="No"/>
    <n v="17"/>
    <s v="PayPal"/>
    <s v="Fortnightly"/>
    <m/>
  </r>
  <r>
    <n v="2559"/>
    <x v="34"/>
    <x v="0"/>
    <s v="Hoodie"/>
    <s v="Clothing"/>
    <n v="32"/>
    <x v="18"/>
    <s v="M"/>
    <s v="Silver"/>
    <s v="Fall"/>
    <n v="2.7"/>
    <s v="No"/>
    <s v="No"/>
    <n v="24"/>
    <s v="PayPal"/>
    <s v="Fortnightly"/>
    <m/>
  </r>
  <r>
    <n v="2560"/>
    <x v="39"/>
    <x v="0"/>
    <s v="Belt"/>
    <s v="Accessories"/>
    <n v="71"/>
    <x v="16"/>
    <s v="S"/>
    <s v="Green"/>
    <s v="Winter"/>
    <n v="4"/>
    <s v="No"/>
    <s v="No"/>
    <n v="21"/>
    <s v="Debit Card"/>
    <s v="Every 3 Months"/>
    <m/>
  </r>
  <r>
    <n v="2561"/>
    <x v="44"/>
    <x v="0"/>
    <s v="Boots"/>
    <s v="Footwear"/>
    <n v="62"/>
    <x v="18"/>
    <s v="M"/>
    <s v="Violet"/>
    <s v="Spring"/>
    <n v="2.7"/>
    <s v="No"/>
    <s v="No"/>
    <n v="17"/>
    <s v="Debit Card"/>
    <s v="Bi-Weekly"/>
    <m/>
  </r>
  <r>
    <n v="2562"/>
    <x v="45"/>
    <x v="0"/>
    <s v="Hoodie"/>
    <s v="Clothing"/>
    <n v="20"/>
    <x v="14"/>
    <s v="L"/>
    <s v="Magenta"/>
    <s v="Spring"/>
    <n v="2.7"/>
    <s v="No"/>
    <s v="No"/>
    <n v="22"/>
    <s v="Debit Card"/>
    <s v="Quarterly"/>
    <m/>
  </r>
  <r>
    <n v="2563"/>
    <x v="9"/>
    <x v="0"/>
    <s v="Shorts"/>
    <s v="Clothing"/>
    <n v="62"/>
    <x v="28"/>
    <s v="XL"/>
    <s v="Yellow"/>
    <s v="Spring"/>
    <n v="4.7"/>
    <s v="No"/>
    <s v="No"/>
    <n v="27"/>
    <s v="Cash"/>
    <s v="Fortnightly"/>
    <m/>
  </r>
  <r>
    <n v="2564"/>
    <x v="28"/>
    <x v="0"/>
    <s v="Backpack"/>
    <s v="Accessories"/>
    <n v="81"/>
    <x v="2"/>
    <s v="XL"/>
    <s v="Gray"/>
    <s v="Winter"/>
    <n v="4.5"/>
    <s v="No"/>
    <s v="No"/>
    <n v="1"/>
    <s v="Venmo"/>
    <s v="Every 3 Months"/>
    <m/>
  </r>
  <r>
    <n v="2565"/>
    <x v="32"/>
    <x v="0"/>
    <s v="Scarf"/>
    <s v="Accessories"/>
    <n v="90"/>
    <x v="0"/>
    <s v="L"/>
    <s v="Indigo"/>
    <s v="Winter"/>
    <n v="3"/>
    <s v="No"/>
    <s v="No"/>
    <n v="27"/>
    <s v="Bank Transfer"/>
    <s v="Weekly"/>
    <m/>
  </r>
  <r>
    <n v="2566"/>
    <x v="11"/>
    <x v="0"/>
    <s v="Socks"/>
    <s v="Clothing"/>
    <n v="43"/>
    <x v="34"/>
    <s v="S"/>
    <s v="Indigo"/>
    <s v="Fall"/>
    <n v="3.6"/>
    <s v="No"/>
    <s v="No"/>
    <n v="8"/>
    <s v="Venmo"/>
    <s v="Quarterly"/>
    <m/>
  </r>
  <r>
    <n v="2567"/>
    <x v="25"/>
    <x v="0"/>
    <s v="Handbag"/>
    <s v="Accessories"/>
    <n v="38"/>
    <x v="9"/>
    <s v="S"/>
    <s v="Yellow"/>
    <s v="Fall"/>
    <n v="3.3"/>
    <s v="No"/>
    <s v="No"/>
    <n v="43"/>
    <s v="PayPal"/>
    <s v="Quarterly"/>
    <m/>
  </r>
  <r>
    <n v="2568"/>
    <x v="1"/>
    <x v="0"/>
    <s v="Sunglasses"/>
    <s v="Accessories"/>
    <n v="25"/>
    <x v="49"/>
    <s v="XL"/>
    <s v="Gold"/>
    <s v="Spring"/>
    <n v="4.3"/>
    <s v="No"/>
    <s v="No"/>
    <n v="24"/>
    <s v="Cash"/>
    <s v="Fortnightly"/>
    <m/>
  </r>
  <r>
    <n v="2569"/>
    <x v="16"/>
    <x v="0"/>
    <s v="T-shirt"/>
    <s v="Clothing"/>
    <n v="98"/>
    <x v="21"/>
    <s v="XL"/>
    <s v="Green"/>
    <s v="Winter"/>
    <n v="4.3"/>
    <s v="No"/>
    <s v="No"/>
    <n v="29"/>
    <s v="PayPal"/>
    <s v="Fortnightly"/>
    <m/>
  </r>
  <r>
    <n v="2570"/>
    <x v="32"/>
    <x v="0"/>
    <s v="Dress"/>
    <s v="Clothing"/>
    <n v="75"/>
    <x v="14"/>
    <s v="M"/>
    <s v="Charcoal"/>
    <s v="Spring"/>
    <n v="4.8"/>
    <s v="No"/>
    <s v="No"/>
    <n v="10"/>
    <s v="Bank Transfer"/>
    <s v="Bi-Weekly"/>
    <m/>
  </r>
  <r>
    <n v="2571"/>
    <x v="24"/>
    <x v="0"/>
    <s v="Sneakers"/>
    <s v="Footwear"/>
    <n v="27"/>
    <x v="35"/>
    <s v="XL"/>
    <s v="Olive"/>
    <s v="Spring"/>
    <n v="4"/>
    <s v="No"/>
    <s v="No"/>
    <n v="12"/>
    <s v="PayPal"/>
    <s v="Fortnightly"/>
    <m/>
  </r>
  <r>
    <n v="2572"/>
    <x v="4"/>
    <x v="0"/>
    <s v="Sunglasses"/>
    <s v="Accessories"/>
    <n v="27"/>
    <x v="16"/>
    <s v="L"/>
    <s v="Black"/>
    <s v="Winter"/>
    <n v="3.5"/>
    <s v="No"/>
    <s v="No"/>
    <n v="48"/>
    <s v="Cash"/>
    <s v="Fortnightly"/>
    <m/>
  </r>
  <r>
    <n v="2573"/>
    <x v="22"/>
    <x v="0"/>
    <s v="Blouse"/>
    <s v="Clothing"/>
    <n v="42"/>
    <x v="47"/>
    <s v="M"/>
    <s v="Silver"/>
    <s v="Fall"/>
    <n v="3.9"/>
    <s v="No"/>
    <s v="No"/>
    <n v="40"/>
    <s v="Bank Transfer"/>
    <s v="Quarterly"/>
    <m/>
  </r>
  <r>
    <n v="2574"/>
    <x v="22"/>
    <x v="0"/>
    <s v="T-shirt"/>
    <s v="Clothing"/>
    <n v="90"/>
    <x v="35"/>
    <s v="M"/>
    <s v="Red"/>
    <s v="Summer"/>
    <n v="4.4000000000000004"/>
    <s v="No"/>
    <s v="No"/>
    <n v="1"/>
    <s v="Bank Transfer"/>
    <s v="Annually"/>
    <m/>
  </r>
  <r>
    <n v="2575"/>
    <x v="7"/>
    <x v="0"/>
    <s v="Hat"/>
    <s v="Accessories"/>
    <n v="63"/>
    <x v="20"/>
    <s v="M"/>
    <s v="Brown"/>
    <s v="Summer"/>
    <n v="4.5999999999999996"/>
    <s v="No"/>
    <s v="No"/>
    <n v="26"/>
    <s v="Credit Card"/>
    <s v="Fortnightly"/>
    <m/>
  </r>
  <r>
    <n v="2576"/>
    <x v="10"/>
    <x v="0"/>
    <s v="Shorts"/>
    <s v="Clothing"/>
    <n v="96"/>
    <x v="46"/>
    <s v="M"/>
    <s v="Silver"/>
    <s v="Fall"/>
    <n v="4"/>
    <s v="No"/>
    <s v="No"/>
    <n v="9"/>
    <s v="PayPal"/>
    <s v="Annually"/>
    <m/>
  </r>
  <r>
    <n v="2577"/>
    <x v="30"/>
    <x v="0"/>
    <s v="Hoodie"/>
    <s v="Clothing"/>
    <n v="40"/>
    <x v="13"/>
    <s v="M"/>
    <s v="Silver"/>
    <s v="Winter"/>
    <n v="4.2"/>
    <s v="No"/>
    <s v="No"/>
    <n v="19"/>
    <s v="Debit Card"/>
    <s v="Quarterly"/>
    <m/>
  </r>
  <r>
    <n v="2578"/>
    <x v="16"/>
    <x v="0"/>
    <s v="Socks"/>
    <s v="Clothing"/>
    <n v="39"/>
    <x v="46"/>
    <s v="L"/>
    <s v="Black"/>
    <s v="Fall"/>
    <n v="4.5"/>
    <s v="No"/>
    <s v="No"/>
    <n v="37"/>
    <s v="Bank Transfer"/>
    <s v="Monthly"/>
    <m/>
  </r>
  <r>
    <n v="2579"/>
    <x v="22"/>
    <x v="0"/>
    <s v="Sunglasses"/>
    <s v="Accessories"/>
    <n v="48"/>
    <x v="34"/>
    <s v="M"/>
    <s v="Purple"/>
    <s v="Fall"/>
    <n v="3.9"/>
    <s v="No"/>
    <s v="No"/>
    <n v="3"/>
    <s v="Cash"/>
    <s v="Quarterly"/>
    <m/>
  </r>
  <r>
    <n v="2580"/>
    <x v="13"/>
    <x v="0"/>
    <s v="Blouse"/>
    <s v="Clothing"/>
    <n v="20"/>
    <x v="46"/>
    <s v="M"/>
    <s v="Purple"/>
    <s v="Summer"/>
    <n v="3.7"/>
    <s v="No"/>
    <s v="No"/>
    <n v="40"/>
    <s v="Venmo"/>
    <s v="Weekly"/>
    <m/>
  </r>
  <r>
    <n v="2581"/>
    <x v="49"/>
    <x v="0"/>
    <s v="Jeans"/>
    <s v="Clothing"/>
    <n v="29"/>
    <x v="2"/>
    <s v="S"/>
    <s v="Turquoise"/>
    <s v="Summer"/>
    <n v="3.6"/>
    <s v="No"/>
    <s v="No"/>
    <n v="13"/>
    <s v="Bank Transfer"/>
    <s v="Quarterly"/>
    <m/>
  </r>
  <r>
    <n v="2582"/>
    <x v="9"/>
    <x v="0"/>
    <s v="Dress"/>
    <s v="Clothing"/>
    <n v="81"/>
    <x v="5"/>
    <s v="M"/>
    <s v="Gold"/>
    <s v="Winter"/>
    <n v="4.7"/>
    <s v="No"/>
    <s v="No"/>
    <n v="48"/>
    <s v="Credit Card"/>
    <s v="Monthly"/>
    <m/>
  </r>
  <r>
    <n v="2583"/>
    <x v="1"/>
    <x v="0"/>
    <s v="Dress"/>
    <s v="Clothing"/>
    <n v="98"/>
    <x v="45"/>
    <s v="S"/>
    <s v="Indigo"/>
    <s v="Fall"/>
    <n v="3.6"/>
    <s v="No"/>
    <s v="No"/>
    <n v="4"/>
    <s v="Venmo"/>
    <s v="Every 3 Months"/>
    <m/>
  </r>
  <r>
    <n v="2584"/>
    <x v="28"/>
    <x v="0"/>
    <s v="Jeans"/>
    <s v="Clothing"/>
    <n v="93"/>
    <x v="19"/>
    <s v="M"/>
    <s v="Lavender"/>
    <s v="Fall"/>
    <n v="2.5"/>
    <s v="No"/>
    <s v="No"/>
    <n v="9"/>
    <s v="Cash"/>
    <s v="Weekly"/>
    <m/>
  </r>
  <r>
    <n v="2585"/>
    <x v="8"/>
    <x v="0"/>
    <s v="Socks"/>
    <s v="Clothing"/>
    <n v="30"/>
    <x v="20"/>
    <s v="L"/>
    <s v="Blue"/>
    <s v="Summer"/>
    <n v="2.9"/>
    <s v="No"/>
    <s v="No"/>
    <n v="26"/>
    <s v="Bank Transfer"/>
    <s v="Bi-Weekly"/>
    <m/>
  </r>
  <r>
    <n v="2586"/>
    <x v="9"/>
    <x v="0"/>
    <s v="Sunglasses"/>
    <s v="Accessories"/>
    <n v="37"/>
    <x v="48"/>
    <s v="L"/>
    <s v="Maroon"/>
    <s v="Fall"/>
    <n v="4.4000000000000004"/>
    <s v="No"/>
    <s v="No"/>
    <n v="19"/>
    <s v="Debit Card"/>
    <s v="Weekly"/>
    <m/>
  </r>
  <r>
    <n v="2587"/>
    <x v="30"/>
    <x v="0"/>
    <s v="Coat"/>
    <s v="Outerwear"/>
    <n v="28"/>
    <x v="1"/>
    <s v="L"/>
    <s v="Yellow"/>
    <s v="Winter"/>
    <n v="4.5999999999999996"/>
    <s v="No"/>
    <s v="No"/>
    <n v="1"/>
    <s v="Credit Card"/>
    <s v="Every 3 Months"/>
    <m/>
  </r>
  <r>
    <n v="2588"/>
    <x v="0"/>
    <x v="0"/>
    <s v="Scarf"/>
    <s v="Accessories"/>
    <n v="29"/>
    <x v="39"/>
    <s v="M"/>
    <s v="Purple"/>
    <s v="Winter"/>
    <n v="3.7"/>
    <s v="No"/>
    <s v="No"/>
    <n v="29"/>
    <s v="PayPal"/>
    <s v="Every 3 Months"/>
    <m/>
  </r>
  <r>
    <n v="2589"/>
    <x v="42"/>
    <x v="0"/>
    <s v="Backpack"/>
    <s v="Accessories"/>
    <n v="49"/>
    <x v="12"/>
    <s v="M"/>
    <s v="Peach"/>
    <s v="Summer"/>
    <n v="3.2"/>
    <s v="No"/>
    <s v="No"/>
    <n v="38"/>
    <s v="Venmo"/>
    <s v="Bi-Weekly"/>
    <m/>
  </r>
  <r>
    <n v="2590"/>
    <x v="16"/>
    <x v="0"/>
    <s v="Pants"/>
    <s v="Clothing"/>
    <n v="53"/>
    <x v="25"/>
    <s v="M"/>
    <s v="Silver"/>
    <s v="Winter"/>
    <n v="4.9000000000000004"/>
    <s v="No"/>
    <s v="No"/>
    <n v="31"/>
    <s v="PayPal"/>
    <s v="Annually"/>
    <m/>
  </r>
  <r>
    <n v="2591"/>
    <x v="9"/>
    <x v="0"/>
    <s v="Gloves"/>
    <s v="Accessories"/>
    <n v="66"/>
    <x v="18"/>
    <s v="M"/>
    <s v="Turquoise"/>
    <s v="Summer"/>
    <n v="5"/>
    <s v="No"/>
    <s v="No"/>
    <n v="35"/>
    <s v="Venmo"/>
    <s v="Annually"/>
    <m/>
  </r>
  <r>
    <n v="2592"/>
    <x v="37"/>
    <x v="0"/>
    <s v="Jacket"/>
    <s v="Outerwear"/>
    <n v="61"/>
    <x v="35"/>
    <s v="S"/>
    <s v="Olive"/>
    <s v="Spring"/>
    <n v="3.3"/>
    <s v="No"/>
    <s v="No"/>
    <n v="40"/>
    <s v="Cash"/>
    <s v="Quarterly"/>
    <m/>
  </r>
  <r>
    <n v="2593"/>
    <x v="51"/>
    <x v="0"/>
    <s v="Shorts"/>
    <s v="Clothing"/>
    <n v="23"/>
    <x v="44"/>
    <s v="XL"/>
    <s v="Peach"/>
    <s v="Summer"/>
    <n v="4.4000000000000004"/>
    <s v="No"/>
    <s v="No"/>
    <n v="13"/>
    <s v="Venmo"/>
    <s v="Quarterly"/>
    <m/>
  </r>
  <r>
    <n v="2594"/>
    <x v="24"/>
    <x v="0"/>
    <s v="Pants"/>
    <s v="Clothing"/>
    <n v="36"/>
    <x v="24"/>
    <s v="S"/>
    <s v="Indigo"/>
    <s v="Fall"/>
    <n v="4.7"/>
    <s v="No"/>
    <s v="No"/>
    <n v="9"/>
    <s v="Bank Transfer"/>
    <s v="Every 3 Months"/>
    <m/>
  </r>
  <r>
    <n v="2595"/>
    <x v="35"/>
    <x v="0"/>
    <s v="Skirt"/>
    <s v="Clothing"/>
    <n v="81"/>
    <x v="6"/>
    <s v="L"/>
    <s v="Indigo"/>
    <s v="Fall"/>
    <n v="3.6"/>
    <s v="No"/>
    <s v="No"/>
    <n v="25"/>
    <s v="Cash"/>
    <s v="Every 3 Months"/>
    <m/>
  </r>
  <r>
    <n v="2596"/>
    <x v="26"/>
    <x v="0"/>
    <s v="Blouse"/>
    <s v="Clothing"/>
    <n v="56"/>
    <x v="44"/>
    <s v="XL"/>
    <s v="Maroon"/>
    <s v="Summer"/>
    <n v="3.2"/>
    <s v="No"/>
    <s v="No"/>
    <n v="3"/>
    <s v="Bank Transfer"/>
    <s v="Bi-Weekly"/>
    <m/>
  </r>
  <r>
    <n v="2597"/>
    <x v="6"/>
    <x v="0"/>
    <s v="Shirt"/>
    <s v="Clothing"/>
    <n v="78"/>
    <x v="7"/>
    <s v="L"/>
    <s v="Black"/>
    <s v="Spring"/>
    <n v="3"/>
    <s v="No"/>
    <s v="No"/>
    <n v="35"/>
    <s v="Credit Card"/>
    <s v="Monthly"/>
    <m/>
  </r>
  <r>
    <n v="2598"/>
    <x v="52"/>
    <x v="0"/>
    <s v="Jewelry"/>
    <s v="Accessories"/>
    <n v="25"/>
    <x v="15"/>
    <s v="XL"/>
    <s v="Teal"/>
    <s v="Summer"/>
    <n v="4.4000000000000004"/>
    <s v="No"/>
    <s v="No"/>
    <n v="13"/>
    <s v="Venmo"/>
    <s v="Bi-Weekly"/>
    <m/>
  </r>
  <r>
    <n v="2599"/>
    <x v="14"/>
    <x v="0"/>
    <s v="Backpack"/>
    <s v="Accessories"/>
    <n v="86"/>
    <x v="22"/>
    <s v="XL"/>
    <s v="Olive"/>
    <s v="Fall"/>
    <n v="3.3"/>
    <s v="No"/>
    <s v="No"/>
    <n v="31"/>
    <s v="Debit Card"/>
    <s v="Annually"/>
    <m/>
  </r>
  <r>
    <n v="2600"/>
    <x v="6"/>
    <x v="0"/>
    <s v="Jewelry"/>
    <s v="Accessories"/>
    <n v="99"/>
    <x v="34"/>
    <s v="M"/>
    <s v="Gold"/>
    <s v="Winter"/>
    <n v="3.4"/>
    <s v="No"/>
    <s v="No"/>
    <n v="48"/>
    <s v="Credit Card"/>
    <s v="Monthly"/>
    <m/>
  </r>
  <r>
    <n v="2601"/>
    <x v="3"/>
    <x v="0"/>
    <s v="Belt"/>
    <s v="Accessories"/>
    <n v="83"/>
    <x v="14"/>
    <s v="M"/>
    <s v="Gray"/>
    <s v="Fall"/>
    <n v="3.9"/>
    <s v="No"/>
    <s v="No"/>
    <n v="6"/>
    <s v="Bank Transfer"/>
    <s v="Bi-Weekly"/>
    <m/>
  </r>
  <r>
    <n v="2602"/>
    <x v="12"/>
    <x v="0"/>
    <s v="Dress"/>
    <s v="Clothing"/>
    <n v="33"/>
    <x v="16"/>
    <s v="L"/>
    <s v="Orange"/>
    <s v="Winter"/>
    <n v="2.9"/>
    <s v="No"/>
    <s v="No"/>
    <n v="43"/>
    <s v="Cash"/>
    <s v="Monthly"/>
    <m/>
  </r>
  <r>
    <n v="2603"/>
    <x v="13"/>
    <x v="0"/>
    <s v="Coat"/>
    <s v="Outerwear"/>
    <n v="44"/>
    <x v="36"/>
    <s v="M"/>
    <s v="Black"/>
    <s v="Fall"/>
    <n v="2.9"/>
    <s v="No"/>
    <s v="No"/>
    <n v="1"/>
    <s v="Venmo"/>
    <s v="Quarterly"/>
    <m/>
  </r>
  <r>
    <n v="2604"/>
    <x v="28"/>
    <x v="0"/>
    <s v="Dress"/>
    <s v="Clothing"/>
    <n v="58"/>
    <x v="47"/>
    <s v="M"/>
    <s v="Teal"/>
    <s v="Spring"/>
    <n v="2.7"/>
    <s v="No"/>
    <s v="No"/>
    <n v="8"/>
    <s v="Cash"/>
    <s v="Annually"/>
    <m/>
  </r>
  <r>
    <n v="2605"/>
    <x v="36"/>
    <x v="0"/>
    <s v="Sweater"/>
    <s v="Clothing"/>
    <n v="54"/>
    <x v="24"/>
    <s v="M"/>
    <s v="Beige"/>
    <s v="Spring"/>
    <n v="3.4"/>
    <s v="No"/>
    <s v="No"/>
    <n v="6"/>
    <s v="Debit Card"/>
    <s v="Weekly"/>
    <m/>
  </r>
  <r>
    <n v="2606"/>
    <x v="38"/>
    <x v="0"/>
    <s v="Hoodie"/>
    <s v="Clothing"/>
    <n v="93"/>
    <x v="22"/>
    <s v="M"/>
    <s v="White"/>
    <s v="Spring"/>
    <n v="3.7"/>
    <s v="No"/>
    <s v="No"/>
    <n v="32"/>
    <s v="Venmo"/>
    <s v="Fortnightly"/>
    <m/>
  </r>
  <r>
    <n v="2607"/>
    <x v="33"/>
    <x v="0"/>
    <s v="Shoes"/>
    <s v="Footwear"/>
    <n v="98"/>
    <x v="22"/>
    <s v="L"/>
    <s v="Turquoise"/>
    <s v="Spring"/>
    <n v="4.7"/>
    <s v="No"/>
    <s v="No"/>
    <n v="46"/>
    <s v="Bank Transfer"/>
    <s v="Bi-Weekly"/>
    <m/>
  </r>
  <r>
    <n v="2608"/>
    <x v="38"/>
    <x v="0"/>
    <s v="Shoes"/>
    <s v="Footwear"/>
    <n v="36"/>
    <x v="19"/>
    <s v="XL"/>
    <s v="Teal"/>
    <s v="Spring"/>
    <n v="3.1"/>
    <s v="No"/>
    <s v="No"/>
    <n v="38"/>
    <s v="PayPal"/>
    <s v="Every 3 Months"/>
    <m/>
  </r>
  <r>
    <n v="2609"/>
    <x v="32"/>
    <x v="0"/>
    <s v="Jacket"/>
    <s v="Outerwear"/>
    <n v="68"/>
    <x v="16"/>
    <s v="L"/>
    <s v="Orange"/>
    <s v="Fall"/>
    <n v="4.2"/>
    <s v="No"/>
    <s v="No"/>
    <n v="48"/>
    <s v="Credit Card"/>
    <s v="Fortnightly"/>
    <m/>
  </r>
  <r>
    <n v="2610"/>
    <x v="17"/>
    <x v="0"/>
    <s v="Backpack"/>
    <s v="Accessories"/>
    <n v="95"/>
    <x v="10"/>
    <s v="M"/>
    <s v="Black"/>
    <s v="Summer"/>
    <n v="3"/>
    <s v="No"/>
    <s v="No"/>
    <n v="18"/>
    <s v="Debit Card"/>
    <s v="Bi-Weekly"/>
    <m/>
  </r>
  <r>
    <n v="2611"/>
    <x v="17"/>
    <x v="0"/>
    <s v="Jeans"/>
    <s v="Clothing"/>
    <n v="93"/>
    <x v="8"/>
    <s v="M"/>
    <s v="Violet"/>
    <s v="Spring"/>
    <n v="3.1"/>
    <s v="No"/>
    <s v="No"/>
    <n v="25"/>
    <s v="Cash"/>
    <s v="Quarterly"/>
    <m/>
  </r>
  <r>
    <n v="2612"/>
    <x v="23"/>
    <x v="0"/>
    <s v="Jacket"/>
    <s v="Outerwear"/>
    <n v="99"/>
    <x v="49"/>
    <s v="L"/>
    <s v="Maroon"/>
    <s v="Fall"/>
    <n v="4.2"/>
    <s v="No"/>
    <s v="No"/>
    <n v="4"/>
    <s v="Cash"/>
    <s v="Fortnightly"/>
    <m/>
  </r>
  <r>
    <n v="2613"/>
    <x v="0"/>
    <x v="0"/>
    <s v="Sunglasses"/>
    <s v="Accessories"/>
    <n v="22"/>
    <x v="7"/>
    <s v="M"/>
    <s v="Turquoise"/>
    <s v="Winter"/>
    <n v="3.8"/>
    <s v="No"/>
    <s v="No"/>
    <n v="27"/>
    <s v="Venmo"/>
    <s v="Quarterly"/>
    <m/>
  </r>
  <r>
    <n v="2614"/>
    <x v="44"/>
    <x v="0"/>
    <s v="Gloves"/>
    <s v="Accessories"/>
    <n v="88"/>
    <x v="45"/>
    <s v="M"/>
    <s v="Gold"/>
    <s v="Fall"/>
    <n v="2.9"/>
    <s v="No"/>
    <s v="No"/>
    <n v="14"/>
    <s v="Bank Transfer"/>
    <s v="Monthly"/>
    <m/>
  </r>
  <r>
    <n v="2615"/>
    <x v="20"/>
    <x v="0"/>
    <s v="Jacket"/>
    <s v="Outerwear"/>
    <n v="65"/>
    <x v="25"/>
    <s v="M"/>
    <s v="Turquoise"/>
    <s v="Spring"/>
    <n v="4.2"/>
    <s v="No"/>
    <s v="No"/>
    <n v="36"/>
    <s v="Bank Transfer"/>
    <s v="Fortnightly"/>
    <m/>
  </r>
  <r>
    <n v="2616"/>
    <x v="34"/>
    <x v="0"/>
    <s v="T-shirt"/>
    <s v="Clothing"/>
    <n v="62"/>
    <x v="28"/>
    <s v="M"/>
    <s v="Maroon"/>
    <s v="Fall"/>
    <n v="3.1"/>
    <s v="No"/>
    <s v="No"/>
    <n v="6"/>
    <s v="Debit Card"/>
    <s v="Quarterly"/>
    <m/>
  </r>
  <r>
    <n v="2617"/>
    <x v="12"/>
    <x v="0"/>
    <s v="Sandals"/>
    <s v="Footwear"/>
    <n v="55"/>
    <x v="42"/>
    <s v="XL"/>
    <s v="Purple"/>
    <s v="Spring"/>
    <n v="3.6"/>
    <s v="No"/>
    <s v="No"/>
    <n v="46"/>
    <s v="Cash"/>
    <s v="Annually"/>
    <m/>
  </r>
  <r>
    <n v="2618"/>
    <x v="18"/>
    <x v="0"/>
    <s v="Shorts"/>
    <s v="Clothing"/>
    <n v="97"/>
    <x v="37"/>
    <s v="S"/>
    <s v="Maroon"/>
    <s v="Spring"/>
    <n v="4.8"/>
    <s v="No"/>
    <s v="No"/>
    <n v="29"/>
    <s v="Bank Transfer"/>
    <s v="Annually"/>
    <m/>
  </r>
  <r>
    <n v="2619"/>
    <x v="27"/>
    <x v="0"/>
    <s v="Handbag"/>
    <s v="Accessories"/>
    <n v="77"/>
    <x v="7"/>
    <s v="L"/>
    <s v="Brown"/>
    <s v="Fall"/>
    <n v="4.0999999999999996"/>
    <s v="No"/>
    <s v="No"/>
    <n v="12"/>
    <s v="Venmo"/>
    <s v="Monthly"/>
    <m/>
  </r>
  <r>
    <n v="2620"/>
    <x v="33"/>
    <x v="0"/>
    <s v="Pants"/>
    <s v="Clothing"/>
    <n v="40"/>
    <x v="39"/>
    <s v="L"/>
    <s v="Indigo"/>
    <s v="Winter"/>
    <n v="3.9"/>
    <s v="No"/>
    <s v="No"/>
    <n v="47"/>
    <s v="Credit Card"/>
    <s v="Weekly"/>
    <m/>
  </r>
  <r>
    <n v="2621"/>
    <x v="7"/>
    <x v="0"/>
    <s v="Blouse"/>
    <s v="Clothing"/>
    <n v="23"/>
    <x v="31"/>
    <s v="S"/>
    <s v="Lavender"/>
    <s v="Winter"/>
    <n v="3"/>
    <s v="No"/>
    <s v="No"/>
    <n v="28"/>
    <s v="Debit Card"/>
    <s v="Annually"/>
    <m/>
  </r>
  <r>
    <n v="2622"/>
    <x v="39"/>
    <x v="0"/>
    <s v="Shoes"/>
    <s v="Footwear"/>
    <n v="46"/>
    <x v="1"/>
    <s v="M"/>
    <s v="Beige"/>
    <s v="Winter"/>
    <n v="3"/>
    <s v="No"/>
    <s v="No"/>
    <n v="21"/>
    <s v="Bank Transfer"/>
    <s v="Annually"/>
    <m/>
  </r>
  <r>
    <n v="2623"/>
    <x v="6"/>
    <x v="0"/>
    <s v="Backpack"/>
    <s v="Accessories"/>
    <n v="75"/>
    <x v="13"/>
    <s v="M"/>
    <s v="Yellow"/>
    <s v="Spring"/>
    <n v="4.9000000000000004"/>
    <s v="No"/>
    <s v="No"/>
    <n v="15"/>
    <s v="Credit Card"/>
    <s v="Annually"/>
    <m/>
  </r>
  <r>
    <n v="2624"/>
    <x v="34"/>
    <x v="0"/>
    <s v="Shoes"/>
    <s v="Footwear"/>
    <n v="76"/>
    <x v="2"/>
    <s v="M"/>
    <s v="Gold"/>
    <s v="Fall"/>
    <n v="4.8"/>
    <s v="No"/>
    <s v="No"/>
    <n v="38"/>
    <s v="Cash"/>
    <s v="Annually"/>
    <m/>
  </r>
  <r>
    <n v="2625"/>
    <x v="1"/>
    <x v="0"/>
    <s v="Dress"/>
    <s v="Clothing"/>
    <n v="59"/>
    <x v="45"/>
    <s v="M"/>
    <s v="Indigo"/>
    <s v="Summer"/>
    <n v="3.3"/>
    <s v="No"/>
    <s v="No"/>
    <n v="19"/>
    <s v="Credit Card"/>
    <s v="Annually"/>
    <m/>
  </r>
  <r>
    <n v="2626"/>
    <x v="11"/>
    <x v="0"/>
    <s v="Skirt"/>
    <s v="Clothing"/>
    <n v="51"/>
    <x v="24"/>
    <s v="L"/>
    <s v="Cyan"/>
    <s v="Summer"/>
    <n v="2.7"/>
    <s v="No"/>
    <s v="No"/>
    <n v="31"/>
    <s v="Credit Card"/>
    <s v="Weekly"/>
    <m/>
  </r>
  <r>
    <n v="2627"/>
    <x v="2"/>
    <x v="0"/>
    <s v="Jacket"/>
    <s v="Outerwear"/>
    <n v="46"/>
    <x v="3"/>
    <s v="XL"/>
    <s v="Silver"/>
    <s v="Fall"/>
    <n v="4.2"/>
    <s v="No"/>
    <s v="No"/>
    <n v="30"/>
    <s v="Credit Card"/>
    <s v="Every 3 Months"/>
    <m/>
  </r>
  <r>
    <n v="2628"/>
    <x v="17"/>
    <x v="0"/>
    <s v="Shirt"/>
    <s v="Clothing"/>
    <n v="26"/>
    <x v="9"/>
    <s v="L"/>
    <s v="Silver"/>
    <s v="Fall"/>
    <n v="3.6"/>
    <s v="No"/>
    <s v="No"/>
    <n v="40"/>
    <s v="Bank Transfer"/>
    <s v="Quarterly"/>
    <m/>
  </r>
  <r>
    <n v="2629"/>
    <x v="15"/>
    <x v="0"/>
    <s v="Hoodie"/>
    <s v="Clothing"/>
    <n v="51"/>
    <x v="5"/>
    <s v="M"/>
    <s v="Silver"/>
    <s v="Summer"/>
    <n v="3.8"/>
    <s v="No"/>
    <s v="No"/>
    <n v="42"/>
    <s v="Credit Card"/>
    <s v="Bi-Weekly"/>
    <m/>
  </r>
  <r>
    <n v="2630"/>
    <x v="12"/>
    <x v="0"/>
    <s v="Scarf"/>
    <s v="Accessories"/>
    <n v="44"/>
    <x v="13"/>
    <s v="M"/>
    <s v="Peach"/>
    <s v="Winter"/>
    <n v="3.8"/>
    <s v="No"/>
    <s v="No"/>
    <n v="25"/>
    <s v="Venmo"/>
    <s v="Annually"/>
    <m/>
  </r>
  <r>
    <n v="2631"/>
    <x v="26"/>
    <x v="0"/>
    <s v="Skirt"/>
    <s v="Clothing"/>
    <n v="82"/>
    <x v="1"/>
    <s v="S"/>
    <s v="Pink"/>
    <s v="Spring"/>
    <n v="4.2"/>
    <s v="No"/>
    <s v="No"/>
    <n v="20"/>
    <s v="Cash"/>
    <s v="Quarterly"/>
    <m/>
  </r>
  <r>
    <n v="2632"/>
    <x v="10"/>
    <x v="0"/>
    <s v="Skirt"/>
    <s v="Clothing"/>
    <n v="44"/>
    <x v="39"/>
    <s v="S"/>
    <s v="Violet"/>
    <s v="Summer"/>
    <n v="2.7"/>
    <s v="No"/>
    <s v="No"/>
    <n v="3"/>
    <s v="Cash"/>
    <s v="Weekly"/>
    <m/>
  </r>
  <r>
    <n v="2633"/>
    <x v="41"/>
    <x v="0"/>
    <s v="Scarf"/>
    <s v="Accessories"/>
    <n v="27"/>
    <x v="29"/>
    <s v="M"/>
    <s v="Black"/>
    <s v="Fall"/>
    <n v="5"/>
    <s v="No"/>
    <s v="No"/>
    <n v="14"/>
    <s v="Cash"/>
    <s v="Annually"/>
    <m/>
  </r>
  <r>
    <n v="2634"/>
    <x v="47"/>
    <x v="0"/>
    <s v="Sunglasses"/>
    <s v="Accessories"/>
    <n v="90"/>
    <x v="29"/>
    <s v="M"/>
    <s v="Purple"/>
    <s v="Fall"/>
    <n v="4.7"/>
    <s v="No"/>
    <s v="No"/>
    <n v="32"/>
    <s v="Credit Card"/>
    <s v="Fortnightly"/>
    <m/>
  </r>
  <r>
    <n v="2635"/>
    <x v="8"/>
    <x v="0"/>
    <s v="Sandals"/>
    <s v="Footwear"/>
    <n v="58"/>
    <x v="17"/>
    <s v="S"/>
    <s v="Black"/>
    <s v="Summer"/>
    <n v="3.2"/>
    <s v="No"/>
    <s v="No"/>
    <n v="20"/>
    <s v="PayPal"/>
    <s v="Every 3 Months"/>
    <m/>
  </r>
  <r>
    <n v="2636"/>
    <x v="35"/>
    <x v="0"/>
    <s v="Hoodie"/>
    <s v="Clothing"/>
    <n v="80"/>
    <x v="24"/>
    <s v="XL"/>
    <s v="Peach"/>
    <s v="Spring"/>
    <n v="2.9"/>
    <s v="No"/>
    <s v="No"/>
    <n v="34"/>
    <s v="PayPal"/>
    <s v="Fortnightly"/>
    <m/>
  </r>
  <r>
    <n v="2637"/>
    <x v="38"/>
    <x v="0"/>
    <s v="Jacket"/>
    <s v="Outerwear"/>
    <n v="40"/>
    <x v="40"/>
    <s v="S"/>
    <s v="Magenta"/>
    <s v="Winter"/>
    <n v="4.2"/>
    <s v="No"/>
    <s v="No"/>
    <n v="6"/>
    <s v="Venmo"/>
    <s v="Annually"/>
    <m/>
  </r>
  <r>
    <n v="2638"/>
    <x v="30"/>
    <x v="0"/>
    <s v="Pants"/>
    <s v="Clothing"/>
    <n v="23"/>
    <x v="15"/>
    <s v="M"/>
    <s v="Magenta"/>
    <s v="Spring"/>
    <n v="3.7"/>
    <s v="No"/>
    <s v="No"/>
    <n v="2"/>
    <s v="PayPal"/>
    <s v="Annually"/>
    <m/>
  </r>
  <r>
    <n v="2639"/>
    <x v="40"/>
    <x v="0"/>
    <s v="Shirt"/>
    <s v="Clothing"/>
    <n v="34"/>
    <x v="11"/>
    <s v="S"/>
    <s v="Black"/>
    <s v="Spring"/>
    <n v="4.2"/>
    <s v="No"/>
    <s v="No"/>
    <n v="35"/>
    <s v="Credit Card"/>
    <s v="Annually"/>
    <m/>
  </r>
  <r>
    <n v="2640"/>
    <x v="20"/>
    <x v="0"/>
    <s v="Blouse"/>
    <s v="Clothing"/>
    <n v="35"/>
    <x v="13"/>
    <s v="XL"/>
    <s v="Pink"/>
    <s v="Winter"/>
    <n v="2.6"/>
    <s v="No"/>
    <s v="No"/>
    <n v="33"/>
    <s v="Debit Card"/>
    <s v="Quarterly"/>
    <m/>
  </r>
  <r>
    <n v="2641"/>
    <x v="11"/>
    <x v="0"/>
    <s v="Skirt"/>
    <s v="Clothing"/>
    <n v="75"/>
    <x v="27"/>
    <s v="L"/>
    <s v="Olive"/>
    <s v="Summer"/>
    <n v="4"/>
    <s v="No"/>
    <s v="No"/>
    <n v="45"/>
    <s v="Venmo"/>
    <s v="Bi-Weekly"/>
    <m/>
  </r>
  <r>
    <n v="2642"/>
    <x v="15"/>
    <x v="0"/>
    <s v="Sunglasses"/>
    <s v="Accessories"/>
    <n v="60"/>
    <x v="34"/>
    <s v="XL"/>
    <s v="Olive"/>
    <s v="Winter"/>
    <n v="2.7"/>
    <s v="No"/>
    <s v="No"/>
    <n v="20"/>
    <s v="Bank Transfer"/>
    <s v="Every 3 Months"/>
    <m/>
  </r>
  <r>
    <n v="2643"/>
    <x v="31"/>
    <x v="0"/>
    <s v="Belt"/>
    <s v="Accessories"/>
    <n v="87"/>
    <x v="44"/>
    <s v="L"/>
    <s v="Peach"/>
    <s v="Summer"/>
    <n v="4"/>
    <s v="No"/>
    <s v="No"/>
    <n v="48"/>
    <s v="Bank Transfer"/>
    <s v="Annually"/>
    <m/>
  </r>
  <r>
    <n v="2644"/>
    <x v="34"/>
    <x v="0"/>
    <s v="Gloves"/>
    <s v="Accessories"/>
    <n v="41"/>
    <x v="33"/>
    <s v="S"/>
    <s v="Silver"/>
    <s v="Spring"/>
    <n v="2.9"/>
    <s v="No"/>
    <s v="No"/>
    <n v="37"/>
    <s v="Cash"/>
    <s v="Monthly"/>
    <m/>
  </r>
  <r>
    <n v="2645"/>
    <x v="15"/>
    <x v="0"/>
    <s v="Pants"/>
    <s v="Clothing"/>
    <n v="83"/>
    <x v="35"/>
    <s v="M"/>
    <s v="Turquoise"/>
    <s v="Spring"/>
    <n v="3.3"/>
    <s v="No"/>
    <s v="No"/>
    <n v="4"/>
    <s v="Bank Transfer"/>
    <s v="Every 3 Months"/>
    <m/>
  </r>
  <r>
    <n v="2646"/>
    <x v="51"/>
    <x v="0"/>
    <s v="Scarf"/>
    <s v="Accessories"/>
    <n v="81"/>
    <x v="7"/>
    <s v="L"/>
    <s v="Olive"/>
    <s v="Spring"/>
    <n v="4"/>
    <s v="No"/>
    <s v="No"/>
    <n v="24"/>
    <s v="Bank Transfer"/>
    <s v="Bi-Weekly"/>
    <m/>
  </r>
  <r>
    <n v="2647"/>
    <x v="23"/>
    <x v="0"/>
    <s v="T-shirt"/>
    <s v="Clothing"/>
    <n v="56"/>
    <x v="35"/>
    <s v="S"/>
    <s v="Lavender"/>
    <s v="Summer"/>
    <n v="3.9"/>
    <s v="No"/>
    <s v="No"/>
    <n v="4"/>
    <s v="Debit Card"/>
    <s v="Every 3 Months"/>
    <m/>
  </r>
  <r>
    <n v="2648"/>
    <x v="52"/>
    <x v="0"/>
    <s v="Shoes"/>
    <s v="Footwear"/>
    <n v="58"/>
    <x v="36"/>
    <s v="M"/>
    <s v="Red"/>
    <s v="Summer"/>
    <n v="3.3"/>
    <s v="No"/>
    <s v="No"/>
    <n v="25"/>
    <s v="Debit Card"/>
    <s v="Annually"/>
    <m/>
  </r>
  <r>
    <n v="2649"/>
    <x v="47"/>
    <x v="0"/>
    <s v="Pants"/>
    <s v="Clothing"/>
    <n v="84"/>
    <x v="26"/>
    <s v="M"/>
    <s v="Gray"/>
    <s v="Spring"/>
    <n v="3.9"/>
    <s v="No"/>
    <s v="No"/>
    <n v="14"/>
    <s v="PayPal"/>
    <s v="Bi-Weekly"/>
    <m/>
  </r>
  <r>
    <n v="2650"/>
    <x v="51"/>
    <x v="0"/>
    <s v="Gloves"/>
    <s v="Accessories"/>
    <n v="21"/>
    <x v="46"/>
    <s v="M"/>
    <s v="Magenta"/>
    <s v="Fall"/>
    <n v="3.9"/>
    <s v="No"/>
    <s v="No"/>
    <n v="14"/>
    <s v="Bank Transfer"/>
    <s v="Fortnightly"/>
    <m/>
  </r>
  <r>
    <n v="2651"/>
    <x v="30"/>
    <x v="0"/>
    <s v="Socks"/>
    <s v="Clothing"/>
    <n v="35"/>
    <x v="4"/>
    <s v="L"/>
    <s v="Maroon"/>
    <s v="Summer"/>
    <n v="4.2"/>
    <s v="No"/>
    <s v="No"/>
    <n v="46"/>
    <s v="Credit Card"/>
    <s v="Every 3 Months"/>
    <m/>
  </r>
  <r>
    <n v="2652"/>
    <x v="47"/>
    <x v="0"/>
    <s v="Sneakers"/>
    <s v="Footwear"/>
    <n v="43"/>
    <x v="30"/>
    <s v="M"/>
    <s v="Cyan"/>
    <s v="Summer"/>
    <n v="4.5999999999999996"/>
    <s v="No"/>
    <s v="No"/>
    <n v="27"/>
    <s v="PayPal"/>
    <s v="Quarterly"/>
    <m/>
  </r>
  <r>
    <n v="2653"/>
    <x v="51"/>
    <x v="1"/>
    <s v="Shorts"/>
    <s v="Clothing"/>
    <n v="20"/>
    <x v="33"/>
    <s v="L"/>
    <s v="Cyan"/>
    <s v="Summer"/>
    <n v="3.3"/>
    <s v="No"/>
    <s v="No"/>
    <n v="46"/>
    <s v="Credit Card"/>
    <s v="Monthly"/>
    <m/>
  </r>
  <r>
    <n v="2654"/>
    <x v="29"/>
    <x v="1"/>
    <s v="Blouse"/>
    <s v="Clothing"/>
    <n v="36"/>
    <x v="48"/>
    <s v="L"/>
    <s v="Lavender"/>
    <s v="Fall"/>
    <n v="4.8"/>
    <s v="No"/>
    <s v="No"/>
    <n v="24"/>
    <s v="Venmo"/>
    <s v="Every 3 Months"/>
    <m/>
  </r>
  <r>
    <n v="2655"/>
    <x v="51"/>
    <x v="1"/>
    <s v="Coat"/>
    <s v="Outerwear"/>
    <n v="70"/>
    <x v="37"/>
    <s v="S"/>
    <s v="Pink"/>
    <s v="Fall"/>
    <n v="4.0999999999999996"/>
    <s v="No"/>
    <s v="No"/>
    <n v="4"/>
    <s v="PayPal"/>
    <s v="Annually"/>
    <m/>
  </r>
  <r>
    <n v="2656"/>
    <x v="8"/>
    <x v="1"/>
    <s v="Sunglasses"/>
    <s v="Accessories"/>
    <n v="83"/>
    <x v="5"/>
    <s v="M"/>
    <s v="Gray"/>
    <s v="Summer"/>
    <n v="3.4"/>
    <s v="No"/>
    <s v="No"/>
    <n v="2"/>
    <s v="Credit Card"/>
    <s v="Fortnightly"/>
    <m/>
  </r>
  <r>
    <n v="2657"/>
    <x v="16"/>
    <x v="1"/>
    <s v="Shorts"/>
    <s v="Clothing"/>
    <n v="76"/>
    <x v="27"/>
    <s v="L"/>
    <s v="Yellow"/>
    <s v="Winter"/>
    <n v="3.6"/>
    <s v="No"/>
    <s v="No"/>
    <n v="29"/>
    <s v="Bank Transfer"/>
    <s v="Fortnightly"/>
    <m/>
  </r>
  <r>
    <n v="2658"/>
    <x v="16"/>
    <x v="1"/>
    <s v="Dress"/>
    <s v="Clothing"/>
    <n v="81"/>
    <x v="21"/>
    <s v="M"/>
    <s v="Pink"/>
    <s v="Summer"/>
    <n v="2.7"/>
    <s v="No"/>
    <s v="No"/>
    <n v="7"/>
    <s v="Credit Card"/>
    <s v="Fortnightly"/>
    <m/>
  </r>
  <r>
    <n v="2659"/>
    <x v="16"/>
    <x v="1"/>
    <s v="Handbag"/>
    <s v="Accessories"/>
    <n v="47"/>
    <x v="31"/>
    <s v="XL"/>
    <s v="Indigo"/>
    <s v="Summer"/>
    <n v="3.2"/>
    <s v="No"/>
    <s v="No"/>
    <n v="39"/>
    <s v="PayPal"/>
    <s v="Monthly"/>
    <m/>
  </r>
  <r>
    <n v="2660"/>
    <x v="25"/>
    <x v="1"/>
    <s v="Boots"/>
    <s v="Footwear"/>
    <n v="35"/>
    <x v="23"/>
    <s v="L"/>
    <s v="Gray"/>
    <s v="Summer"/>
    <n v="4.4000000000000004"/>
    <s v="No"/>
    <s v="No"/>
    <n v="46"/>
    <s v="Credit Card"/>
    <s v="Fortnightly"/>
    <m/>
  </r>
  <r>
    <n v="2661"/>
    <x v="41"/>
    <x v="1"/>
    <s v="Pants"/>
    <s v="Clothing"/>
    <n v="85"/>
    <x v="36"/>
    <s v="L"/>
    <s v="Yellow"/>
    <s v="Spring"/>
    <n v="4.9000000000000004"/>
    <s v="No"/>
    <s v="No"/>
    <n v="44"/>
    <s v="Venmo"/>
    <s v="Annually"/>
    <m/>
  </r>
  <r>
    <n v="2662"/>
    <x v="49"/>
    <x v="1"/>
    <s v="Boots"/>
    <s v="Footwear"/>
    <n v="96"/>
    <x v="49"/>
    <s v="XL"/>
    <s v="Olive"/>
    <s v="Fall"/>
    <n v="4.8"/>
    <s v="No"/>
    <s v="No"/>
    <n v="20"/>
    <s v="Bank Transfer"/>
    <s v="Annually"/>
    <m/>
  </r>
  <r>
    <n v="2663"/>
    <x v="15"/>
    <x v="1"/>
    <s v="Skirt"/>
    <s v="Clothing"/>
    <n v="98"/>
    <x v="43"/>
    <s v="M"/>
    <s v="Cyan"/>
    <s v="Summer"/>
    <n v="2.8"/>
    <s v="No"/>
    <s v="No"/>
    <n v="44"/>
    <s v="PayPal"/>
    <s v="Fortnightly"/>
    <m/>
  </r>
  <r>
    <n v="2664"/>
    <x v="5"/>
    <x v="1"/>
    <s v="Sneakers"/>
    <s v="Footwear"/>
    <n v="52"/>
    <x v="48"/>
    <s v="L"/>
    <s v="Silver"/>
    <s v="Fall"/>
    <n v="2.9"/>
    <s v="No"/>
    <s v="No"/>
    <n v="23"/>
    <s v="Bank Transfer"/>
    <s v="Annually"/>
    <m/>
  </r>
  <r>
    <n v="2665"/>
    <x v="40"/>
    <x v="1"/>
    <s v="Jewelry"/>
    <s v="Accessories"/>
    <n v="84"/>
    <x v="26"/>
    <s v="L"/>
    <s v="Silver"/>
    <s v="Winter"/>
    <n v="3.2"/>
    <s v="No"/>
    <s v="No"/>
    <n v="37"/>
    <s v="PayPal"/>
    <s v="Weekly"/>
    <m/>
  </r>
  <r>
    <n v="2666"/>
    <x v="27"/>
    <x v="1"/>
    <s v="T-shirt"/>
    <s v="Clothing"/>
    <n v="71"/>
    <x v="7"/>
    <s v="L"/>
    <s v="Red"/>
    <s v="Winter"/>
    <n v="3.5"/>
    <s v="No"/>
    <s v="No"/>
    <n v="4"/>
    <s v="Venmo"/>
    <s v="Weekly"/>
    <m/>
  </r>
  <r>
    <n v="2667"/>
    <x v="34"/>
    <x v="1"/>
    <s v="Sandals"/>
    <s v="Footwear"/>
    <n v="95"/>
    <x v="31"/>
    <s v="S"/>
    <s v="Brown"/>
    <s v="Winter"/>
    <n v="4.0999999999999996"/>
    <s v="No"/>
    <s v="No"/>
    <n v="14"/>
    <s v="Venmo"/>
    <s v="Fortnightly"/>
    <m/>
  </r>
  <r>
    <n v="2668"/>
    <x v="39"/>
    <x v="1"/>
    <s v="Boots"/>
    <s v="Footwear"/>
    <n v="47"/>
    <x v="33"/>
    <s v="M"/>
    <s v="Orange"/>
    <s v="Summer"/>
    <n v="4.0999999999999996"/>
    <s v="No"/>
    <s v="No"/>
    <n v="31"/>
    <s v="Cash"/>
    <s v="Fortnightly"/>
    <m/>
  </r>
  <r>
    <n v="2669"/>
    <x v="35"/>
    <x v="1"/>
    <s v="Coat"/>
    <s v="Outerwear"/>
    <n v="75"/>
    <x v="21"/>
    <s v="M"/>
    <s v="Black"/>
    <s v="Summer"/>
    <n v="4.8"/>
    <s v="No"/>
    <s v="No"/>
    <n v="9"/>
    <s v="PayPal"/>
    <s v="Quarterly"/>
    <m/>
  </r>
  <r>
    <n v="2670"/>
    <x v="31"/>
    <x v="1"/>
    <s v="Belt"/>
    <s v="Accessories"/>
    <n v="28"/>
    <x v="26"/>
    <s v="L"/>
    <s v="Teal"/>
    <s v="Spring"/>
    <n v="2.8"/>
    <s v="No"/>
    <s v="No"/>
    <n v="31"/>
    <s v="Credit Card"/>
    <s v="Weekly"/>
    <m/>
  </r>
  <r>
    <n v="2671"/>
    <x v="11"/>
    <x v="1"/>
    <s v="Sunglasses"/>
    <s v="Accessories"/>
    <n v="44"/>
    <x v="38"/>
    <s v="M"/>
    <s v="Yellow"/>
    <s v="Fall"/>
    <n v="4.7"/>
    <s v="No"/>
    <s v="No"/>
    <n v="26"/>
    <s v="Bank Transfer"/>
    <s v="Bi-Weekly"/>
    <m/>
  </r>
  <r>
    <n v="2672"/>
    <x v="43"/>
    <x v="1"/>
    <s v="Sandals"/>
    <s v="Footwear"/>
    <n v="64"/>
    <x v="15"/>
    <s v="XL"/>
    <s v="Gray"/>
    <s v="Winter"/>
    <n v="4.8"/>
    <s v="No"/>
    <s v="No"/>
    <n v="41"/>
    <s v="PayPal"/>
    <s v="Every 3 Months"/>
    <m/>
  </r>
  <r>
    <n v="2673"/>
    <x v="19"/>
    <x v="1"/>
    <s v="Boots"/>
    <s v="Footwear"/>
    <n v="28"/>
    <x v="8"/>
    <s v="M"/>
    <s v="Maroon"/>
    <s v="Spring"/>
    <n v="2.9"/>
    <s v="No"/>
    <s v="No"/>
    <n v="13"/>
    <s v="Cash"/>
    <s v="Annually"/>
    <m/>
  </r>
  <r>
    <n v="2674"/>
    <x v="29"/>
    <x v="1"/>
    <s v="Hoodie"/>
    <s v="Clothing"/>
    <n v="21"/>
    <x v="22"/>
    <s v="M"/>
    <s v="Olive"/>
    <s v="Summer"/>
    <n v="2.6"/>
    <s v="No"/>
    <s v="No"/>
    <n v="4"/>
    <s v="Cash"/>
    <s v="Monthly"/>
    <m/>
  </r>
  <r>
    <n v="2675"/>
    <x v="37"/>
    <x v="1"/>
    <s v="Hat"/>
    <s v="Accessories"/>
    <n v="41"/>
    <x v="20"/>
    <s v="S"/>
    <s v="Charcoal"/>
    <s v="Fall"/>
    <n v="3.3"/>
    <s v="No"/>
    <s v="No"/>
    <n v="15"/>
    <s v="Cash"/>
    <s v="Every 3 Months"/>
    <m/>
  </r>
  <r>
    <n v="2676"/>
    <x v="41"/>
    <x v="1"/>
    <s v="Shorts"/>
    <s v="Clothing"/>
    <n v="38"/>
    <x v="41"/>
    <s v="M"/>
    <s v="Peach"/>
    <s v="Winter"/>
    <n v="3.4"/>
    <s v="No"/>
    <s v="No"/>
    <n v="38"/>
    <s v="Cash"/>
    <s v="Bi-Weekly"/>
    <m/>
  </r>
  <r>
    <n v="2677"/>
    <x v="49"/>
    <x v="1"/>
    <s v="Backpack"/>
    <s v="Accessories"/>
    <n v="77"/>
    <x v="0"/>
    <s v="M"/>
    <s v="Maroon"/>
    <s v="Spring"/>
    <n v="3.6"/>
    <s v="No"/>
    <s v="No"/>
    <n v="3"/>
    <s v="Cash"/>
    <s v="Fortnightly"/>
    <m/>
  </r>
  <r>
    <n v="2678"/>
    <x v="4"/>
    <x v="1"/>
    <s v="Shorts"/>
    <s v="Clothing"/>
    <n v="43"/>
    <x v="39"/>
    <s v="L"/>
    <s v="Olive"/>
    <s v="Spring"/>
    <n v="3.8"/>
    <s v="No"/>
    <s v="No"/>
    <n v="6"/>
    <s v="PayPal"/>
    <s v="Every 3 Months"/>
    <m/>
  </r>
  <r>
    <n v="2679"/>
    <x v="23"/>
    <x v="1"/>
    <s v="Belt"/>
    <s v="Accessories"/>
    <n v="91"/>
    <x v="6"/>
    <s v="M"/>
    <s v="Magenta"/>
    <s v="Spring"/>
    <n v="3.4"/>
    <s v="No"/>
    <s v="No"/>
    <n v="34"/>
    <s v="Credit Card"/>
    <s v="Bi-Weekly"/>
    <m/>
  </r>
  <r>
    <n v="2680"/>
    <x v="10"/>
    <x v="1"/>
    <s v="Shorts"/>
    <s v="Clothing"/>
    <n v="68"/>
    <x v="6"/>
    <s v="S"/>
    <s v="Yellow"/>
    <s v="Spring"/>
    <n v="3.8"/>
    <s v="No"/>
    <s v="No"/>
    <n v="7"/>
    <s v="Debit Card"/>
    <s v="Quarterly"/>
    <m/>
  </r>
  <r>
    <n v="2681"/>
    <x v="42"/>
    <x v="1"/>
    <s v="Socks"/>
    <s v="Clothing"/>
    <n v="37"/>
    <x v="43"/>
    <s v="L"/>
    <s v="Indigo"/>
    <s v="Fall"/>
    <n v="3.3"/>
    <s v="No"/>
    <s v="No"/>
    <n v="21"/>
    <s v="Venmo"/>
    <s v="Annually"/>
    <m/>
  </r>
  <r>
    <n v="2682"/>
    <x v="51"/>
    <x v="1"/>
    <s v="Shoes"/>
    <s v="Footwear"/>
    <n v="23"/>
    <x v="2"/>
    <s v="L"/>
    <s v="Olive"/>
    <s v="Summer"/>
    <n v="4.8"/>
    <s v="No"/>
    <s v="No"/>
    <n v="17"/>
    <s v="Debit Card"/>
    <s v="Monthly"/>
    <m/>
  </r>
  <r>
    <n v="2683"/>
    <x v="35"/>
    <x v="1"/>
    <s v="Sneakers"/>
    <s v="Footwear"/>
    <n v="65"/>
    <x v="17"/>
    <s v="L"/>
    <s v="Maroon"/>
    <s v="Winter"/>
    <n v="3.9"/>
    <s v="No"/>
    <s v="No"/>
    <n v="5"/>
    <s v="Venmo"/>
    <s v="Every 3 Months"/>
    <m/>
  </r>
  <r>
    <n v="2684"/>
    <x v="33"/>
    <x v="1"/>
    <s v="Backpack"/>
    <s v="Accessories"/>
    <n v="30"/>
    <x v="6"/>
    <s v="M"/>
    <s v="Indigo"/>
    <s v="Summer"/>
    <n v="4.2"/>
    <s v="No"/>
    <s v="No"/>
    <n v="21"/>
    <s v="Cash"/>
    <s v="Fortnightly"/>
    <m/>
  </r>
  <r>
    <n v="2685"/>
    <x v="5"/>
    <x v="1"/>
    <s v="Dress"/>
    <s v="Clothing"/>
    <n v="45"/>
    <x v="47"/>
    <s v="M"/>
    <s v="Gray"/>
    <s v="Summer"/>
    <n v="4.7"/>
    <s v="No"/>
    <s v="No"/>
    <n v="42"/>
    <s v="Credit Card"/>
    <s v="Bi-Weekly"/>
    <m/>
  </r>
  <r>
    <n v="2686"/>
    <x v="19"/>
    <x v="1"/>
    <s v="Boots"/>
    <s v="Footwear"/>
    <n v="25"/>
    <x v="41"/>
    <s v="M"/>
    <s v="Gray"/>
    <s v="Winter"/>
    <n v="2.7"/>
    <s v="No"/>
    <s v="No"/>
    <n v="49"/>
    <s v="Credit Card"/>
    <s v="Quarterly"/>
    <m/>
  </r>
  <r>
    <n v="2687"/>
    <x v="37"/>
    <x v="1"/>
    <s v="Socks"/>
    <s v="Clothing"/>
    <n v="72"/>
    <x v="42"/>
    <s v="M"/>
    <s v="Black"/>
    <s v="Winter"/>
    <n v="3.8"/>
    <s v="No"/>
    <s v="No"/>
    <n v="33"/>
    <s v="Cash"/>
    <s v="Fortnightly"/>
    <m/>
  </r>
  <r>
    <n v="2688"/>
    <x v="12"/>
    <x v="1"/>
    <s v="Dress"/>
    <s v="Clothing"/>
    <n v="75"/>
    <x v="12"/>
    <s v="M"/>
    <s v="White"/>
    <s v="Fall"/>
    <n v="3.6"/>
    <s v="No"/>
    <s v="No"/>
    <n v="12"/>
    <s v="Debit Card"/>
    <s v="Bi-Weekly"/>
    <m/>
  </r>
  <r>
    <n v="2689"/>
    <x v="10"/>
    <x v="1"/>
    <s v="Handbag"/>
    <s v="Accessories"/>
    <n v="63"/>
    <x v="8"/>
    <s v="XL"/>
    <s v="Turquoise"/>
    <s v="Spring"/>
    <n v="2.9"/>
    <s v="No"/>
    <s v="No"/>
    <n v="18"/>
    <s v="Credit Card"/>
    <s v="Every 3 Months"/>
    <m/>
  </r>
  <r>
    <n v="2690"/>
    <x v="26"/>
    <x v="1"/>
    <s v="Blouse"/>
    <s v="Clothing"/>
    <n v="35"/>
    <x v="5"/>
    <s v="M"/>
    <s v="Orange"/>
    <s v="Fall"/>
    <n v="3.9"/>
    <s v="No"/>
    <s v="No"/>
    <n v="47"/>
    <s v="PayPal"/>
    <s v="Quarterly"/>
    <m/>
  </r>
  <r>
    <n v="2691"/>
    <x v="42"/>
    <x v="1"/>
    <s v="Belt"/>
    <s v="Accessories"/>
    <n v="32"/>
    <x v="35"/>
    <s v="L"/>
    <s v="Yellow"/>
    <s v="Summer"/>
    <n v="4.7"/>
    <s v="No"/>
    <s v="No"/>
    <n v="18"/>
    <s v="Bank Transfer"/>
    <s v="Weekly"/>
    <m/>
  </r>
  <r>
    <n v="2692"/>
    <x v="49"/>
    <x v="1"/>
    <s v="Pants"/>
    <s v="Clothing"/>
    <n v="25"/>
    <x v="43"/>
    <s v="L"/>
    <s v="Blue"/>
    <s v="Winter"/>
    <n v="3.3"/>
    <s v="No"/>
    <s v="No"/>
    <n v="48"/>
    <s v="Cash"/>
    <s v="Monthly"/>
    <m/>
  </r>
  <r>
    <n v="2693"/>
    <x v="37"/>
    <x v="1"/>
    <s v="Sneakers"/>
    <s v="Footwear"/>
    <n v="90"/>
    <x v="47"/>
    <s v="XL"/>
    <s v="Violet"/>
    <s v="Spring"/>
    <n v="4.2"/>
    <s v="No"/>
    <s v="No"/>
    <n v="18"/>
    <s v="Debit Card"/>
    <s v="Every 3 Months"/>
    <m/>
  </r>
  <r>
    <n v="2694"/>
    <x v="0"/>
    <x v="1"/>
    <s v="Boots"/>
    <s v="Footwear"/>
    <n v="70"/>
    <x v="11"/>
    <s v="L"/>
    <s v="Lavender"/>
    <s v="Summer"/>
    <n v="2.6"/>
    <s v="No"/>
    <s v="No"/>
    <n v="46"/>
    <s v="Cash"/>
    <s v="Quarterly"/>
    <m/>
  </r>
  <r>
    <n v="2695"/>
    <x v="17"/>
    <x v="1"/>
    <s v="Sunglasses"/>
    <s v="Accessories"/>
    <n v="27"/>
    <x v="7"/>
    <s v="M"/>
    <s v="Olive"/>
    <s v="Spring"/>
    <n v="4.9000000000000004"/>
    <s v="No"/>
    <s v="No"/>
    <n v="34"/>
    <s v="Credit Card"/>
    <s v="Every 3 Months"/>
    <m/>
  </r>
  <r>
    <n v="2696"/>
    <x v="2"/>
    <x v="1"/>
    <s v="Hat"/>
    <s v="Accessories"/>
    <n v="92"/>
    <x v="30"/>
    <s v="M"/>
    <s v="Orange"/>
    <s v="Fall"/>
    <n v="3.6"/>
    <s v="No"/>
    <s v="No"/>
    <n v="10"/>
    <s v="PayPal"/>
    <s v="Bi-Weekly"/>
    <m/>
  </r>
  <r>
    <n v="2697"/>
    <x v="9"/>
    <x v="1"/>
    <s v="Coat"/>
    <s v="Outerwear"/>
    <n v="20"/>
    <x v="45"/>
    <s v="M"/>
    <s v="White"/>
    <s v="Spring"/>
    <n v="4.7"/>
    <s v="No"/>
    <s v="No"/>
    <n v="12"/>
    <s v="Debit Card"/>
    <s v="Monthly"/>
    <m/>
  </r>
  <r>
    <n v="2698"/>
    <x v="32"/>
    <x v="1"/>
    <s v="Jacket"/>
    <s v="Outerwear"/>
    <n v="52"/>
    <x v="12"/>
    <s v="L"/>
    <s v="Red"/>
    <s v="Winter"/>
    <n v="3.2"/>
    <s v="No"/>
    <s v="No"/>
    <n v="36"/>
    <s v="Bank Transfer"/>
    <s v="Quarterly"/>
    <m/>
  </r>
  <r>
    <n v="2699"/>
    <x v="0"/>
    <x v="1"/>
    <s v="Hoodie"/>
    <s v="Clothing"/>
    <n v="57"/>
    <x v="41"/>
    <s v="M"/>
    <s v="Magenta"/>
    <s v="Summer"/>
    <n v="3.6"/>
    <s v="No"/>
    <s v="No"/>
    <n v="34"/>
    <s v="Venmo"/>
    <s v="Quarterly"/>
    <m/>
  </r>
  <r>
    <n v="2700"/>
    <x v="15"/>
    <x v="1"/>
    <s v="Boots"/>
    <s v="Footwear"/>
    <n v="96"/>
    <x v="40"/>
    <s v="M"/>
    <s v="Violet"/>
    <s v="Fall"/>
    <n v="3.6"/>
    <s v="No"/>
    <s v="No"/>
    <n v="49"/>
    <s v="Debit Card"/>
    <s v="Annually"/>
    <m/>
  </r>
  <r>
    <n v="2701"/>
    <x v="40"/>
    <x v="1"/>
    <s v="T-shirt"/>
    <s v="Clothing"/>
    <n v="68"/>
    <x v="18"/>
    <s v="XL"/>
    <s v="Olive"/>
    <s v="Winter"/>
    <n v="3.2"/>
    <s v="No"/>
    <s v="No"/>
    <n v="36"/>
    <s v="Cash"/>
    <s v="Weekly"/>
    <m/>
  </r>
  <r>
    <n v="2702"/>
    <x v="34"/>
    <x v="1"/>
    <s v="Sweater"/>
    <s v="Clothing"/>
    <n v="30"/>
    <x v="37"/>
    <s v="L"/>
    <s v="Silver"/>
    <s v="Summer"/>
    <n v="2.8"/>
    <s v="No"/>
    <s v="No"/>
    <n v="18"/>
    <s v="Bank Transfer"/>
    <s v="Fortnightly"/>
    <m/>
  </r>
  <r>
    <n v="2703"/>
    <x v="27"/>
    <x v="1"/>
    <s v="Shoes"/>
    <s v="Footwear"/>
    <n v="37"/>
    <x v="21"/>
    <s v="L"/>
    <s v="Gray"/>
    <s v="Fall"/>
    <n v="4"/>
    <s v="No"/>
    <s v="No"/>
    <n v="39"/>
    <s v="Debit Card"/>
    <s v="Fortnightly"/>
    <m/>
  </r>
  <r>
    <n v="2704"/>
    <x v="19"/>
    <x v="1"/>
    <s v="Scarf"/>
    <s v="Accessories"/>
    <n v="42"/>
    <x v="30"/>
    <s v="XL"/>
    <s v="Olive"/>
    <s v="Winter"/>
    <n v="4.4000000000000004"/>
    <s v="No"/>
    <s v="No"/>
    <n v="34"/>
    <s v="PayPal"/>
    <s v="Weekly"/>
    <m/>
  </r>
  <r>
    <n v="2705"/>
    <x v="16"/>
    <x v="1"/>
    <s v="Dress"/>
    <s v="Clothing"/>
    <n v="54"/>
    <x v="30"/>
    <s v="L"/>
    <s v="Beige"/>
    <s v="Spring"/>
    <n v="3.4"/>
    <s v="No"/>
    <s v="No"/>
    <n v="35"/>
    <s v="Debit Card"/>
    <s v="Weekly"/>
    <m/>
  </r>
  <r>
    <n v="2706"/>
    <x v="13"/>
    <x v="1"/>
    <s v="Jacket"/>
    <s v="Outerwear"/>
    <n v="81"/>
    <x v="47"/>
    <s v="S"/>
    <s v="Turquoise"/>
    <s v="Spring"/>
    <n v="5"/>
    <s v="No"/>
    <s v="No"/>
    <n v="1"/>
    <s v="Credit Card"/>
    <s v="Bi-Weekly"/>
    <m/>
  </r>
  <r>
    <n v="2707"/>
    <x v="41"/>
    <x v="1"/>
    <s v="Shoes"/>
    <s v="Footwear"/>
    <n v="40"/>
    <x v="15"/>
    <s v="S"/>
    <s v="Blue"/>
    <s v="Spring"/>
    <n v="3.1"/>
    <s v="No"/>
    <s v="No"/>
    <n v="48"/>
    <s v="Debit Card"/>
    <s v="Quarterly"/>
    <m/>
  </r>
  <r>
    <n v="2708"/>
    <x v="45"/>
    <x v="1"/>
    <s v="Backpack"/>
    <s v="Accessories"/>
    <n v="88"/>
    <x v="43"/>
    <s v="M"/>
    <s v="Pink"/>
    <s v="Fall"/>
    <n v="4.2"/>
    <s v="No"/>
    <s v="No"/>
    <n v="19"/>
    <s v="Cash"/>
    <s v="Weekly"/>
    <m/>
  </r>
  <r>
    <n v="2709"/>
    <x v="9"/>
    <x v="1"/>
    <s v="Dress"/>
    <s v="Clothing"/>
    <n v="94"/>
    <x v="15"/>
    <s v="M"/>
    <s v="Teal"/>
    <s v="Summer"/>
    <n v="3.3"/>
    <s v="No"/>
    <s v="No"/>
    <n v="44"/>
    <s v="Debit Card"/>
    <s v="Weekly"/>
    <m/>
  </r>
  <r>
    <n v="2710"/>
    <x v="25"/>
    <x v="1"/>
    <s v="Shirt"/>
    <s v="Clothing"/>
    <n v="54"/>
    <x v="26"/>
    <s v="S"/>
    <s v="Cyan"/>
    <s v="Winter"/>
    <n v="2.9"/>
    <s v="No"/>
    <s v="No"/>
    <n v="9"/>
    <s v="Credit Card"/>
    <s v="Bi-Weekly"/>
    <m/>
  </r>
  <r>
    <n v="2711"/>
    <x v="28"/>
    <x v="1"/>
    <s v="Jacket"/>
    <s v="Outerwear"/>
    <n v="51"/>
    <x v="48"/>
    <s v="L"/>
    <s v="Purple"/>
    <s v="Summer"/>
    <n v="4.7"/>
    <s v="No"/>
    <s v="No"/>
    <n v="3"/>
    <s v="Bank Transfer"/>
    <s v="Fortnightly"/>
    <m/>
  </r>
  <r>
    <n v="2712"/>
    <x v="11"/>
    <x v="1"/>
    <s v="Sunglasses"/>
    <s v="Accessories"/>
    <n v="22"/>
    <x v="43"/>
    <s v="L"/>
    <s v="Red"/>
    <s v="Spring"/>
    <n v="4"/>
    <s v="No"/>
    <s v="No"/>
    <n v="50"/>
    <s v="Venmo"/>
    <s v="Monthly"/>
    <m/>
  </r>
  <r>
    <n v="2713"/>
    <x v="43"/>
    <x v="1"/>
    <s v="Jacket"/>
    <s v="Outerwear"/>
    <n v="95"/>
    <x v="25"/>
    <s v="L"/>
    <s v="Brown"/>
    <s v="Fall"/>
    <n v="4.5999999999999996"/>
    <s v="No"/>
    <s v="No"/>
    <n v="7"/>
    <s v="Debit Card"/>
    <s v="Quarterly"/>
    <m/>
  </r>
  <r>
    <n v="2714"/>
    <x v="1"/>
    <x v="1"/>
    <s v="Coat"/>
    <s v="Outerwear"/>
    <n v="57"/>
    <x v="16"/>
    <s v="M"/>
    <s v="Magenta"/>
    <s v="Fall"/>
    <n v="3.8"/>
    <s v="No"/>
    <s v="No"/>
    <n v="20"/>
    <s v="Debit Card"/>
    <s v="Annually"/>
    <m/>
  </r>
  <r>
    <n v="2715"/>
    <x v="10"/>
    <x v="1"/>
    <s v="Sweater"/>
    <s v="Clothing"/>
    <n v="45"/>
    <x v="44"/>
    <s v="S"/>
    <s v="Olive"/>
    <s v="Winter"/>
    <n v="3.6"/>
    <s v="No"/>
    <s v="No"/>
    <n v="16"/>
    <s v="Credit Card"/>
    <s v="Bi-Weekly"/>
    <m/>
  </r>
  <r>
    <n v="2716"/>
    <x v="15"/>
    <x v="1"/>
    <s v="Sneakers"/>
    <s v="Footwear"/>
    <n v="92"/>
    <x v="16"/>
    <s v="XL"/>
    <s v="Pink"/>
    <s v="Winter"/>
    <n v="4.0999999999999996"/>
    <s v="No"/>
    <s v="No"/>
    <n v="29"/>
    <s v="PayPal"/>
    <s v="Fortnightly"/>
    <m/>
  </r>
  <r>
    <n v="2717"/>
    <x v="36"/>
    <x v="1"/>
    <s v="Shoes"/>
    <s v="Footwear"/>
    <n v="40"/>
    <x v="24"/>
    <s v="L"/>
    <s v="Black"/>
    <s v="Spring"/>
    <n v="2.7"/>
    <s v="No"/>
    <s v="No"/>
    <n v="21"/>
    <s v="Debit Card"/>
    <s v="Weekly"/>
    <m/>
  </r>
  <r>
    <n v="2718"/>
    <x v="20"/>
    <x v="1"/>
    <s v="Sunglasses"/>
    <s v="Accessories"/>
    <n v="62"/>
    <x v="43"/>
    <s v="XL"/>
    <s v="Beige"/>
    <s v="Winter"/>
    <n v="4.3"/>
    <s v="No"/>
    <s v="No"/>
    <n v="19"/>
    <s v="Credit Card"/>
    <s v="Every 3 Months"/>
    <m/>
  </r>
  <r>
    <n v="2719"/>
    <x v="40"/>
    <x v="1"/>
    <s v="Shorts"/>
    <s v="Clothing"/>
    <n v="90"/>
    <x v="41"/>
    <s v="M"/>
    <s v="Peach"/>
    <s v="Winter"/>
    <n v="4.9000000000000004"/>
    <s v="No"/>
    <s v="No"/>
    <n v="10"/>
    <s v="Venmo"/>
    <s v="Bi-Weekly"/>
    <m/>
  </r>
  <r>
    <n v="2720"/>
    <x v="28"/>
    <x v="1"/>
    <s v="Hoodie"/>
    <s v="Clothing"/>
    <n v="82"/>
    <x v="7"/>
    <s v="S"/>
    <s v="Peach"/>
    <s v="Fall"/>
    <n v="4.2"/>
    <s v="No"/>
    <s v="No"/>
    <n v="4"/>
    <s v="Bank Transfer"/>
    <s v="Monthly"/>
    <m/>
  </r>
  <r>
    <n v="2721"/>
    <x v="0"/>
    <x v="1"/>
    <s v="Scarf"/>
    <s v="Accessories"/>
    <n v="52"/>
    <x v="33"/>
    <s v="M"/>
    <s v="Peach"/>
    <s v="Spring"/>
    <n v="2.8"/>
    <s v="No"/>
    <s v="No"/>
    <n v="45"/>
    <s v="Bank Transfer"/>
    <s v="Quarterly"/>
    <m/>
  </r>
  <r>
    <n v="2722"/>
    <x v="1"/>
    <x v="1"/>
    <s v="Sandals"/>
    <s v="Footwear"/>
    <n v="70"/>
    <x v="46"/>
    <s v="S"/>
    <s v="Teal"/>
    <s v="Spring"/>
    <n v="4.9000000000000004"/>
    <s v="No"/>
    <s v="No"/>
    <n v="17"/>
    <s v="PayPal"/>
    <s v="Fortnightly"/>
    <m/>
  </r>
  <r>
    <n v="2723"/>
    <x v="51"/>
    <x v="1"/>
    <s v="Hat"/>
    <s v="Accessories"/>
    <n v="83"/>
    <x v="1"/>
    <s v="M"/>
    <s v="Green"/>
    <s v="Spring"/>
    <n v="2.8"/>
    <s v="No"/>
    <s v="No"/>
    <n v="22"/>
    <s v="PayPal"/>
    <s v="Fortnightly"/>
    <m/>
  </r>
  <r>
    <n v="2724"/>
    <x v="22"/>
    <x v="1"/>
    <s v="Shoes"/>
    <s v="Footwear"/>
    <n v="49"/>
    <x v="21"/>
    <s v="XL"/>
    <s v="Brown"/>
    <s v="Summer"/>
    <n v="2.9"/>
    <s v="No"/>
    <s v="No"/>
    <n v="3"/>
    <s v="PayPal"/>
    <s v="Every 3 Months"/>
    <m/>
  </r>
  <r>
    <n v="2725"/>
    <x v="16"/>
    <x v="1"/>
    <s v="Sneakers"/>
    <s v="Footwear"/>
    <n v="91"/>
    <x v="9"/>
    <s v="M"/>
    <s v="Brown"/>
    <s v="Spring"/>
    <n v="2.5"/>
    <s v="No"/>
    <s v="No"/>
    <n v="11"/>
    <s v="Debit Card"/>
    <s v="Fortnightly"/>
    <m/>
  </r>
  <r>
    <n v="2726"/>
    <x v="14"/>
    <x v="1"/>
    <s v="Backpack"/>
    <s v="Accessories"/>
    <n v="99"/>
    <x v="16"/>
    <s v="S"/>
    <s v="Violet"/>
    <s v="Summer"/>
    <n v="2.7"/>
    <s v="No"/>
    <s v="No"/>
    <n v="4"/>
    <s v="Debit Card"/>
    <s v="Annually"/>
    <m/>
  </r>
  <r>
    <n v="2727"/>
    <x v="23"/>
    <x v="1"/>
    <s v="Belt"/>
    <s v="Accessories"/>
    <n v="92"/>
    <x v="49"/>
    <s v="L"/>
    <s v="Blue"/>
    <s v="Winter"/>
    <n v="3.3"/>
    <s v="No"/>
    <s v="No"/>
    <n v="11"/>
    <s v="PayPal"/>
    <s v="Bi-Weekly"/>
    <m/>
  </r>
  <r>
    <n v="2728"/>
    <x v="37"/>
    <x v="1"/>
    <s v="Shirt"/>
    <s v="Clothing"/>
    <n v="87"/>
    <x v="24"/>
    <s v="L"/>
    <s v="Charcoal"/>
    <s v="Winter"/>
    <n v="3.7"/>
    <s v="No"/>
    <s v="No"/>
    <n v="47"/>
    <s v="Credit Card"/>
    <s v="Fortnightly"/>
    <m/>
  </r>
  <r>
    <n v="2729"/>
    <x v="8"/>
    <x v="1"/>
    <s v="Skirt"/>
    <s v="Clothing"/>
    <n v="28"/>
    <x v="20"/>
    <s v="M"/>
    <s v="Pink"/>
    <s v="Winter"/>
    <n v="4"/>
    <s v="No"/>
    <s v="No"/>
    <n v="17"/>
    <s v="Debit Card"/>
    <s v="Weekly"/>
    <m/>
  </r>
  <r>
    <n v="2730"/>
    <x v="18"/>
    <x v="1"/>
    <s v="Gloves"/>
    <s v="Accessories"/>
    <n v="71"/>
    <x v="6"/>
    <s v="S"/>
    <s v="Violet"/>
    <s v="Summer"/>
    <n v="4.0999999999999996"/>
    <s v="No"/>
    <s v="No"/>
    <n v="32"/>
    <s v="Credit Card"/>
    <s v="Monthly"/>
    <m/>
  </r>
  <r>
    <n v="2731"/>
    <x v="51"/>
    <x v="1"/>
    <s v="Gloves"/>
    <s v="Accessories"/>
    <n v="32"/>
    <x v="48"/>
    <s v="M"/>
    <s v="Teal"/>
    <s v="Winter"/>
    <n v="4.0999999999999996"/>
    <s v="No"/>
    <s v="No"/>
    <n v="37"/>
    <s v="Bank Transfer"/>
    <s v="Annually"/>
    <m/>
  </r>
  <r>
    <n v="2732"/>
    <x v="16"/>
    <x v="1"/>
    <s v="Handbag"/>
    <s v="Accessories"/>
    <n v="33"/>
    <x v="48"/>
    <s v="M"/>
    <s v="Red"/>
    <s v="Summer"/>
    <n v="2.5"/>
    <s v="No"/>
    <s v="No"/>
    <n v="44"/>
    <s v="Bank Transfer"/>
    <s v="Quarterly"/>
    <m/>
  </r>
  <r>
    <n v="2733"/>
    <x v="3"/>
    <x v="1"/>
    <s v="Socks"/>
    <s v="Clothing"/>
    <n v="75"/>
    <x v="12"/>
    <s v="L"/>
    <s v="Orange"/>
    <s v="Winter"/>
    <n v="4.2"/>
    <s v="No"/>
    <s v="No"/>
    <n v="27"/>
    <s v="Debit Card"/>
    <s v="Every 3 Months"/>
    <m/>
  </r>
  <r>
    <n v="2734"/>
    <x v="18"/>
    <x v="1"/>
    <s v="Backpack"/>
    <s v="Accessories"/>
    <n v="83"/>
    <x v="17"/>
    <s v="M"/>
    <s v="Magenta"/>
    <s v="Summer"/>
    <n v="4.7"/>
    <s v="No"/>
    <s v="No"/>
    <n v="46"/>
    <s v="PayPal"/>
    <s v="Annually"/>
    <m/>
  </r>
  <r>
    <n v="2735"/>
    <x v="6"/>
    <x v="1"/>
    <s v="Jeans"/>
    <s v="Clothing"/>
    <n v="93"/>
    <x v="14"/>
    <s v="XL"/>
    <s v="Yellow"/>
    <s v="Summer"/>
    <n v="2.7"/>
    <s v="No"/>
    <s v="No"/>
    <n v="13"/>
    <s v="Cash"/>
    <s v="Bi-Weekly"/>
    <m/>
  </r>
  <r>
    <n v="2736"/>
    <x v="5"/>
    <x v="1"/>
    <s v="Skirt"/>
    <s v="Clothing"/>
    <n v="29"/>
    <x v="18"/>
    <s v="M"/>
    <s v="Yellow"/>
    <s v="Spring"/>
    <n v="3"/>
    <s v="No"/>
    <s v="No"/>
    <n v="2"/>
    <s v="PayPal"/>
    <s v="Bi-Weekly"/>
    <m/>
  </r>
  <r>
    <n v="2737"/>
    <x v="42"/>
    <x v="1"/>
    <s v="Hoodie"/>
    <s v="Clothing"/>
    <n v="25"/>
    <x v="6"/>
    <s v="M"/>
    <s v="Pink"/>
    <s v="Spring"/>
    <n v="4.8"/>
    <s v="No"/>
    <s v="No"/>
    <n v="45"/>
    <s v="Credit Card"/>
    <s v="Annually"/>
    <m/>
  </r>
  <r>
    <n v="2738"/>
    <x v="9"/>
    <x v="1"/>
    <s v="Jewelry"/>
    <s v="Accessories"/>
    <n v="76"/>
    <x v="17"/>
    <s v="S"/>
    <s v="Indigo"/>
    <s v="Spring"/>
    <n v="4.4000000000000004"/>
    <s v="No"/>
    <s v="No"/>
    <n v="35"/>
    <s v="Cash"/>
    <s v="Every 3 Months"/>
    <m/>
  </r>
  <r>
    <n v="2739"/>
    <x v="2"/>
    <x v="1"/>
    <s v="Sneakers"/>
    <s v="Footwear"/>
    <n v="81"/>
    <x v="31"/>
    <s v="M"/>
    <s v="Charcoal"/>
    <s v="Summer"/>
    <n v="4.3"/>
    <s v="No"/>
    <s v="No"/>
    <n v="39"/>
    <s v="Venmo"/>
    <s v="Every 3 Months"/>
    <m/>
  </r>
  <r>
    <n v="2740"/>
    <x v="23"/>
    <x v="1"/>
    <s v="Shirt"/>
    <s v="Clothing"/>
    <n v="80"/>
    <x v="29"/>
    <s v="XL"/>
    <s v="Blue"/>
    <s v="Winter"/>
    <n v="2.5"/>
    <s v="No"/>
    <s v="No"/>
    <n v="39"/>
    <s v="Credit Card"/>
    <s v="Every 3 Months"/>
    <m/>
  </r>
  <r>
    <n v="2741"/>
    <x v="1"/>
    <x v="1"/>
    <s v="Sunglasses"/>
    <s v="Accessories"/>
    <n v="70"/>
    <x v="38"/>
    <s v="M"/>
    <s v="Lavender"/>
    <s v="Summer"/>
    <n v="4.9000000000000004"/>
    <s v="No"/>
    <s v="No"/>
    <n v="34"/>
    <s v="Bank Transfer"/>
    <s v="Fortnightly"/>
    <m/>
  </r>
  <r>
    <n v="2742"/>
    <x v="33"/>
    <x v="1"/>
    <s v="Dress"/>
    <s v="Clothing"/>
    <n v="81"/>
    <x v="1"/>
    <s v="L"/>
    <s v="Yellow"/>
    <s v="Fall"/>
    <n v="4.9000000000000004"/>
    <s v="No"/>
    <s v="No"/>
    <n v="41"/>
    <s v="Venmo"/>
    <s v="Monthly"/>
    <m/>
  </r>
  <r>
    <n v="2743"/>
    <x v="7"/>
    <x v="1"/>
    <s v="Shoes"/>
    <s v="Footwear"/>
    <n v="86"/>
    <x v="21"/>
    <s v="M"/>
    <s v="Black"/>
    <s v="Spring"/>
    <n v="3.9"/>
    <s v="No"/>
    <s v="No"/>
    <n v="47"/>
    <s v="Debit Card"/>
    <s v="Annually"/>
    <m/>
  </r>
  <r>
    <n v="2744"/>
    <x v="12"/>
    <x v="1"/>
    <s v="Belt"/>
    <s v="Accessories"/>
    <n v="94"/>
    <x v="32"/>
    <s v="S"/>
    <s v="Beige"/>
    <s v="Fall"/>
    <n v="4.0999999999999996"/>
    <s v="No"/>
    <s v="No"/>
    <n v="17"/>
    <s v="Venmo"/>
    <s v="Quarterly"/>
    <m/>
  </r>
  <r>
    <n v="2745"/>
    <x v="21"/>
    <x v="1"/>
    <s v="Shirt"/>
    <s v="Clothing"/>
    <n v="66"/>
    <x v="5"/>
    <s v="M"/>
    <s v="Silver"/>
    <s v="Winter"/>
    <n v="3.3"/>
    <s v="No"/>
    <s v="No"/>
    <n v="40"/>
    <s v="Credit Card"/>
    <s v="Monthly"/>
    <m/>
  </r>
  <r>
    <n v="2746"/>
    <x v="48"/>
    <x v="1"/>
    <s v="Boots"/>
    <s v="Footwear"/>
    <n v="98"/>
    <x v="49"/>
    <s v="M"/>
    <s v="Magenta"/>
    <s v="Summer"/>
    <n v="4.0999999999999996"/>
    <s v="No"/>
    <s v="No"/>
    <n v="44"/>
    <s v="PayPal"/>
    <s v="Bi-Weekly"/>
    <m/>
  </r>
  <r>
    <n v="2747"/>
    <x v="31"/>
    <x v="1"/>
    <s v="Hoodie"/>
    <s v="Clothing"/>
    <n v="25"/>
    <x v="31"/>
    <s v="M"/>
    <s v="Orange"/>
    <s v="Fall"/>
    <n v="3.7"/>
    <s v="No"/>
    <s v="No"/>
    <n v="21"/>
    <s v="PayPal"/>
    <s v="Every 3 Months"/>
    <m/>
  </r>
  <r>
    <n v="2748"/>
    <x v="20"/>
    <x v="1"/>
    <s v="Jeans"/>
    <s v="Clothing"/>
    <n v="62"/>
    <x v="8"/>
    <s v="M"/>
    <s v="Teal"/>
    <s v="Winter"/>
    <n v="3.1"/>
    <s v="No"/>
    <s v="No"/>
    <n v="21"/>
    <s v="Credit Card"/>
    <s v="Every 3 Months"/>
    <m/>
  </r>
  <r>
    <n v="2749"/>
    <x v="41"/>
    <x v="1"/>
    <s v="Jacket"/>
    <s v="Outerwear"/>
    <n v="98"/>
    <x v="41"/>
    <s v="L"/>
    <s v="Turquoise"/>
    <s v="Spring"/>
    <n v="3"/>
    <s v="No"/>
    <s v="No"/>
    <n v="16"/>
    <s v="Venmo"/>
    <s v="Annually"/>
    <m/>
  </r>
  <r>
    <n v="2750"/>
    <x v="14"/>
    <x v="1"/>
    <s v="Jacket"/>
    <s v="Outerwear"/>
    <n v="53"/>
    <x v="34"/>
    <s v="M"/>
    <s v="Cyan"/>
    <s v="Spring"/>
    <n v="3.4"/>
    <s v="No"/>
    <s v="No"/>
    <n v="15"/>
    <s v="Bank Transfer"/>
    <s v="Annually"/>
    <m/>
  </r>
  <r>
    <n v="2751"/>
    <x v="47"/>
    <x v="1"/>
    <s v="Sandals"/>
    <s v="Footwear"/>
    <n v="66"/>
    <x v="29"/>
    <s v="L"/>
    <s v="Pink"/>
    <s v="Spring"/>
    <n v="2.7"/>
    <s v="No"/>
    <s v="No"/>
    <n v="26"/>
    <s v="PayPal"/>
    <s v="Every 3 Months"/>
    <m/>
  </r>
  <r>
    <n v="2752"/>
    <x v="7"/>
    <x v="1"/>
    <s v="Dress"/>
    <s v="Clothing"/>
    <n v="52"/>
    <x v="46"/>
    <s v="S"/>
    <s v="Indigo"/>
    <s v="Fall"/>
    <n v="3.1"/>
    <s v="No"/>
    <s v="No"/>
    <n v="50"/>
    <s v="Venmo"/>
    <s v="Monthly"/>
    <m/>
  </r>
  <r>
    <n v="2753"/>
    <x v="39"/>
    <x v="1"/>
    <s v="Sweater"/>
    <s v="Clothing"/>
    <n v="64"/>
    <x v="24"/>
    <s v="S"/>
    <s v="Peach"/>
    <s v="Winter"/>
    <n v="4"/>
    <s v="No"/>
    <s v="No"/>
    <n v="30"/>
    <s v="Venmo"/>
    <s v="Bi-Weekly"/>
    <m/>
  </r>
  <r>
    <n v="2754"/>
    <x v="28"/>
    <x v="1"/>
    <s v="Gloves"/>
    <s v="Accessories"/>
    <n v="59"/>
    <x v="3"/>
    <s v="M"/>
    <s v="Beige"/>
    <s v="Spring"/>
    <n v="3.6"/>
    <s v="No"/>
    <s v="No"/>
    <n v="48"/>
    <s v="PayPal"/>
    <s v="Quarterly"/>
    <m/>
  </r>
  <r>
    <n v="2755"/>
    <x v="35"/>
    <x v="1"/>
    <s v="Sunglasses"/>
    <s v="Accessories"/>
    <n v="61"/>
    <x v="32"/>
    <s v="L"/>
    <s v="Gold"/>
    <s v="Summer"/>
    <n v="3.6"/>
    <s v="No"/>
    <s v="No"/>
    <n v="21"/>
    <s v="Venmo"/>
    <s v="Bi-Weekly"/>
    <m/>
  </r>
  <r>
    <n v="2756"/>
    <x v="35"/>
    <x v="1"/>
    <s v="Belt"/>
    <s v="Accessories"/>
    <n v="97"/>
    <x v="22"/>
    <s v="M"/>
    <s v="Indigo"/>
    <s v="Winter"/>
    <n v="3.3"/>
    <s v="No"/>
    <s v="No"/>
    <n v="18"/>
    <s v="Credit Card"/>
    <s v="Annually"/>
    <m/>
  </r>
  <r>
    <n v="2757"/>
    <x v="32"/>
    <x v="1"/>
    <s v="Hat"/>
    <s v="Accessories"/>
    <n v="23"/>
    <x v="46"/>
    <s v="L"/>
    <s v="Violet"/>
    <s v="Winter"/>
    <n v="4.0999999999999996"/>
    <s v="No"/>
    <s v="No"/>
    <n v="41"/>
    <s v="PayPal"/>
    <s v="Monthly"/>
    <m/>
  </r>
  <r>
    <n v="2758"/>
    <x v="31"/>
    <x v="1"/>
    <s v="Hat"/>
    <s v="Accessories"/>
    <n v="98"/>
    <x v="12"/>
    <s v="XL"/>
    <s v="Brown"/>
    <s v="Fall"/>
    <n v="4.3"/>
    <s v="No"/>
    <s v="No"/>
    <n v="11"/>
    <s v="Venmo"/>
    <s v="Monthly"/>
    <m/>
  </r>
  <r>
    <n v="2759"/>
    <x v="45"/>
    <x v="1"/>
    <s v="Blouse"/>
    <s v="Clothing"/>
    <n v="98"/>
    <x v="26"/>
    <s v="M"/>
    <s v="Purple"/>
    <s v="Summer"/>
    <n v="3.2"/>
    <s v="No"/>
    <s v="No"/>
    <n v="8"/>
    <s v="Bank Transfer"/>
    <s v="Bi-Weekly"/>
    <m/>
  </r>
  <r>
    <n v="2760"/>
    <x v="33"/>
    <x v="1"/>
    <s v="Shoes"/>
    <s v="Footwear"/>
    <n v="59"/>
    <x v="47"/>
    <s v="M"/>
    <s v="Turquoise"/>
    <s v="Summer"/>
    <n v="3.9"/>
    <s v="No"/>
    <s v="No"/>
    <n v="42"/>
    <s v="Cash"/>
    <s v="Every 3 Months"/>
    <m/>
  </r>
  <r>
    <n v="2761"/>
    <x v="38"/>
    <x v="1"/>
    <s v="Skirt"/>
    <s v="Clothing"/>
    <n v="82"/>
    <x v="29"/>
    <s v="S"/>
    <s v="Violet"/>
    <s v="Fall"/>
    <n v="5"/>
    <s v="No"/>
    <s v="No"/>
    <n v="41"/>
    <s v="Credit Card"/>
    <s v="Bi-Weekly"/>
    <m/>
  </r>
  <r>
    <n v="2762"/>
    <x v="18"/>
    <x v="1"/>
    <s v="Sneakers"/>
    <s v="Footwear"/>
    <n v="82"/>
    <x v="49"/>
    <s v="M"/>
    <s v="Purple"/>
    <s v="Fall"/>
    <n v="3.4"/>
    <s v="No"/>
    <s v="No"/>
    <n v="3"/>
    <s v="Credit Card"/>
    <s v="Every 3 Months"/>
    <m/>
  </r>
  <r>
    <n v="2763"/>
    <x v="44"/>
    <x v="1"/>
    <s v="T-shirt"/>
    <s v="Clothing"/>
    <n v="41"/>
    <x v="42"/>
    <s v="M"/>
    <s v="Charcoal"/>
    <s v="Fall"/>
    <n v="3.8"/>
    <s v="No"/>
    <s v="No"/>
    <n v="10"/>
    <s v="Debit Card"/>
    <s v="Every 3 Months"/>
    <m/>
  </r>
  <r>
    <n v="2764"/>
    <x v="48"/>
    <x v="1"/>
    <s v="Handbag"/>
    <s v="Accessories"/>
    <n v="52"/>
    <x v="8"/>
    <s v="M"/>
    <s v="Green"/>
    <s v="Fall"/>
    <n v="2.9"/>
    <s v="No"/>
    <s v="No"/>
    <n v="35"/>
    <s v="Venmo"/>
    <s v="Quarterly"/>
    <m/>
  </r>
  <r>
    <n v="2765"/>
    <x v="6"/>
    <x v="1"/>
    <s v="Sweater"/>
    <s v="Clothing"/>
    <n v="41"/>
    <x v="28"/>
    <s v="XL"/>
    <s v="White"/>
    <s v="Spring"/>
    <n v="2.6"/>
    <s v="No"/>
    <s v="No"/>
    <n v="2"/>
    <s v="Debit Card"/>
    <s v="Weekly"/>
    <m/>
  </r>
  <r>
    <n v="2766"/>
    <x v="14"/>
    <x v="1"/>
    <s v="Gloves"/>
    <s v="Accessories"/>
    <n v="70"/>
    <x v="24"/>
    <s v="M"/>
    <s v="Purple"/>
    <s v="Summer"/>
    <n v="4.3"/>
    <s v="No"/>
    <s v="No"/>
    <n v="24"/>
    <s v="Credit Card"/>
    <s v="Quarterly"/>
    <m/>
  </r>
  <r>
    <n v="2767"/>
    <x v="17"/>
    <x v="1"/>
    <s v="Dress"/>
    <s v="Clothing"/>
    <n v="91"/>
    <x v="30"/>
    <s v="M"/>
    <s v="Cyan"/>
    <s v="Winter"/>
    <n v="2.8"/>
    <s v="No"/>
    <s v="No"/>
    <n v="47"/>
    <s v="Credit Card"/>
    <s v="Monthly"/>
    <m/>
  </r>
  <r>
    <n v="2768"/>
    <x v="18"/>
    <x v="1"/>
    <s v="Dress"/>
    <s v="Clothing"/>
    <n v="95"/>
    <x v="44"/>
    <s v="M"/>
    <s v="Green"/>
    <s v="Spring"/>
    <n v="4.5"/>
    <s v="No"/>
    <s v="No"/>
    <n v="31"/>
    <s v="Cash"/>
    <s v="Monthly"/>
    <m/>
  </r>
  <r>
    <n v="2769"/>
    <x v="0"/>
    <x v="1"/>
    <s v="Blouse"/>
    <s v="Clothing"/>
    <n v="25"/>
    <x v="23"/>
    <s v="M"/>
    <s v="Beige"/>
    <s v="Spring"/>
    <n v="3.8"/>
    <s v="No"/>
    <s v="No"/>
    <n v="28"/>
    <s v="PayPal"/>
    <s v="Bi-Weekly"/>
    <m/>
  </r>
  <r>
    <n v="2770"/>
    <x v="45"/>
    <x v="1"/>
    <s v="Shirt"/>
    <s v="Clothing"/>
    <n v="89"/>
    <x v="19"/>
    <s v="L"/>
    <s v="Lavender"/>
    <s v="Fall"/>
    <n v="3"/>
    <s v="No"/>
    <s v="No"/>
    <n v="13"/>
    <s v="Cash"/>
    <s v="Weekly"/>
    <m/>
  </r>
  <r>
    <n v="2771"/>
    <x v="2"/>
    <x v="1"/>
    <s v="Boots"/>
    <s v="Footwear"/>
    <n v="44"/>
    <x v="43"/>
    <s v="S"/>
    <s v="Blue"/>
    <s v="Fall"/>
    <n v="3.3"/>
    <s v="No"/>
    <s v="No"/>
    <n v="22"/>
    <s v="Bank Transfer"/>
    <s v="Quarterly"/>
    <m/>
  </r>
  <r>
    <n v="2772"/>
    <x v="44"/>
    <x v="1"/>
    <s v="Jacket"/>
    <s v="Outerwear"/>
    <n v="52"/>
    <x v="33"/>
    <s v="S"/>
    <s v="Beige"/>
    <s v="Summer"/>
    <n v="3.1"/>
    <s v="No"/>
    <s v="No"/>
    <n v="12"/>
    <s v="Bank Transfer"/>
    <s v="Fortnightly"/>
    <m/>
  </r>
  <r>
    <n v="2773"/>
    <x v="20"/>
    <x v="1"/>
    <s v="Backpack"/>
    <s v="Accessories"/>
    <n v="94"/>
    <x v="38"/>
    <s v="L"/>
    <s v="Blue"/>
    <s v="Spring"/>
    <n v="3.5"/>
    <s v="No"/>
    <s v="No"/>
    <n v="10"/>
    <s v="Bank Transfer"/>
    <s v="Every 3 Months"/>
    <m/>
  </r>
  <r>
    <n v="2774"/>
    <x v="31"/>
    <x v="1"/>
    <s v="Pants"/>
    <s v="Clothing"/>
    <n v="98"/>
    <x v="28"/>
    <s v="S"/>
    <s v="Maroon"/>
    <s v="Spring"/>
    <n v="4.5999999999999996"/>
    <s v="No"/>
    <s v="No"/>
    <n v="45"/>
    <s v="Bank Transfer"/>
    <s v="Quarterly"/>
    <m/>
  </r>
  <r>
    <n v="2775"/>
    <x v="19"/>
    <x v="1"/>
    <s v="Boots"/>
    <s v="Footwear"/>
    <n v="40"/>
    <x v="19"/>
    <s v="L"/>
    <s v="Yellow"/>
    <s v="Fall"/>
    <n v="4.0999999999999996"/>
    <s v="No"/>
    <s v="No"/>
    <n v="42"/>
    <s v="Credit Card"/>
    <s v="Quarterly"/>
    <m/>
  </r>
  <r>
    <n v="2776"/>
    <x v="43"/>
    <x v="1"/>
    <s v="Socks"/>
    <s v="Clothing"/>
    <n v="25"/>
    <x v="6"/>
    <s v="L"/>
    <s v="Red"/>
    <s v="Fall"/>
    <n v="3.6"/>
    <s v="No"/>
    <s v="No"/>
    <n v="16"/>
    <s v="Debit Card"/>
    <s v="Weekly"/>
    <m/>
  </r>
  <r>
    <n v="2777"/>
    <x v="5"/>
    <x v="1"/>
    <s v="Scarf"/>
    <s v="Accessories"/>
    <n v="62"/>
    <x v="5"/>
    <s v="L"/>
    <s v="Green"/>
    <s v="Fall"/>
    <n v="2.9"/>
    <s v="No"/>
    <s v="No"/>
    <n v="6"/>
    <s v="Bank Transfer"/>
    <s v="Annually"/>
    <m/>
  </r>
  <r>
    <n v="2778"/>
    <x v="16"/>
    <x v="1"/>
    <s v="Blouse"/>
    <s v="Clothing"/>
    <n v="24"/>
    <x v="37"/>
    <s v="M"/>
    <s v="Magenta"/>
    <s v="Fall"/>
    <n v="4.8"/>
    <s v="No"/>
    <s v="No"/>
    <n v="28"/>
    <s v="Credit Card"/>
    <s v="Every 3 Months"/>
    <m/>
  </r>
  <r>
    <n v="2779"/>
    <x v="27"/>
    <x v="1"/>
    <s v="Belt"/>
    <s v="Accessories"/>
    <n v="57"/>
    <x v="38"/>
    <s v="L"/>
    <s v="Yellow"/>
    <s v="Spring"/>
    <n v="3.2"/>
    <s v="No"/>
    <s v="No"/>
    <n v="24"/>
    <s v="Credit Card"/>
    <s v="Bi-Weekly"/>
    <m/>
  </r>
  <r>
    <n v="2780"/>
    <x v="12"/>
    <x v="1"/>
    <s v="Sunglasses"/>
    <s v="Accessories"/>
    <n v="66"/>
    <x v="6"/>
    <s v="L"/>
    <s v="Blue"/>
    <s v="Winter"/>
    <n v="4.3"/>
    <s v="No"/>
    <s v="No"/>
    <n v="14"/>
    <s v="Credit Card"/>
    <s v="Fortnightly"/>
    <m/>
  </r>
  <r>
    <n v="2781"/>
    <x v="23"/>
    <x v="1"/>
    <s v="Boots"/>
    <s v="Footwear"/>
    <n v="70"/>
    <x v="31"/>
    <s v="M"/>
    <s v="Charcoal"/>
    <s v="Winter"/>
    <n v="4.0999999999999996"/>
    <s v="No"/>
    <s v="No"/>
    <n v="29"/>
    <s v="PayPal"/>
    <s v="Fortnightly"/>
    <m/>
  </r>
  <r>
    <n v="2782"/>
    <x v="13"/>
    <x v="1"/>
    <s v="Sandals"/>
    <s v="Footwear"/>
    <n v="39"/>
    <x v="16"/>
    <s v="M"/>
    <s v="Blue"/>
    <s v="Spring"/>
    <n v="4.5999999999999996"/>
    <s v="No"/>
    <s v="No"/>
    <n v="33"/>
    <s v="PayPal"/>
    <s v="Weekly"/>
    <m/>
  </r>
  <r>
    <n v="2783"/>
    <x v="38"/>
    <x v="1"/>
    <s v="Gloves"/>
    <s v="Accessories"/>
    <n v="34"/>
    <x v="37"/>
    <s v="S"/>
    <s v="Cyan"/>
    <s v="Spring"/>
    <n v="3.8"/>
    <s v="No"/>
    <s v="No"/>
    <n v="30"/>
    <s v="PayPal"/>
    <s v="Annually"/>
    <m/>
  </r>
  <r>
    <n v="2784"/>
    <x v="1"/>
    <x v="1"/>
    <s v="Skirt"/>
    <s v="Clothing"/>
    <n v="38"/>
    <x v="41"/>
    <s v="M"/>
    <s v="Silver"/>
    <s v="Spring"/>
    <n v="4.5"/>
    <s v="No"/>
    <s v="No"/>
    <n v="26"/>
    <s v="Credit Card"/>
    <s v="Quarterly"/>
    <m/>
  </r>
  <r>
    <n v="2785"/>
    <x v="23"/>
    <x v="1"/>
    <s v="Skirt"/>
    <s v="Clothing"/>
    <n v="70"/>
    <x v="37"/>
    <s v="M"/>
    <s v="Black"/>
    <s v="Winter"/>
    <n v="3.1"/>
    <s v="No"/>
    <s v="No"/>
    <n v="12"/>
    <s v="PayPal"/>
    <s v="Every 3 Months"/>
    <m/>
  </r>
  <r>
    <n v="2786"/>
    <x v="10"/>
    <x v="1"/>
    <s v="Blouse"/>
    <s v="Clothing"/>
    <n v="80"/>
    <x v="7"/>
    <s v="S"/>
    <s v="Green"/>
    <s v="Summer"/>
    <n v="2.9"/>
    <s v="No"/>
    <s v="No"/>
    <n v="13"/>
    <s v="Bank Transfer"/>
    <s v="Monthly"/>
    <m/>
  </r>
  <r>
    <n v="2787"/>
    <x v="22"/>
    <x v="1"/>
    <s v="Handbag"/>
    <s v="Accessories"/>
    <n v="51"/>
    <x v="24"/>
    <s v="M"/>
    <s v="Violet"/>
    <s v="Spring"/>
    <n v="3.8"/>
    <s v="No"/>
    <s v="No"/>
    <n v="41"/>
    <s v="Debit Card"/>
    <s v="Every 3 Months"/>
    <m/>
  </r>
  <r>
    <n v="2788"/>
    <x v="24"/>
    <x v="1"/>
    <s v="Boots"/>
    <s v="Footwear"/>
    <n v="79"/>
    <x v="8"/>
    <s v="XL"/>
    <s v="Pink"/>
    <s v="Spring"/>
    <n v="4.0999999999999996"/>
    <s v="No"/>
    <s v="No"/>
    <n v="4"/>
    <s v="Venmo"/>
    <s v="Fortnightly"/>
    <m/>
  </r>
  <r>
    <n v="2789"/>
    <x v="19"/>
    <x v="1"/>
    <s v="Boots"/>
    <s v="Footwear"/>
    <n v="92"/>
    <x v="3"/>
    <s v="M"/>
    <s v="Olive"/>
    <s v="Summer"/>
    <n v="3.1"/>
    <s v="No"/>
    <s v="No"/>
    <n v="2"/>
    <s v="Credit Card"/>
    <s v="Annually"/>
    <m/>
  </r>
  <r>
    <n v="2790"/>
    <x v="48"/>
    <x v="1"/>
    <s v="Sweater"/>
    <s v="Clothing"/>
    <n v="85"/>
    <x v="17"/>
    <s v="L"/>
    <s v="Orange"/>
    <s v="Fall"/>
    <n v="5"/>
    <s v="No"/>
    <s v="No"/>
    <n v="28"/>
    <s v="Credit Card"/>
    <s v="Bi-Weekly"/>
    <m/>
  </r>
  <r>
    <n v="2791"/>
    <x v="50"/>
    <x v="1"/>
    <s v="Socks"/>
    <s v="Clothing"/>
    <n v="63"/>
    <x v="1"/>
    <s v="M"/>
    <s v="Black"/>
    <s v="Spring"/>
    <n v="4.5"/>
    <s v="No"/>
    <s v="No"/>
    <n v="24"/>
    <s v="Debit Card"/>
    <s v="Annually"/>
    <m/>
  </r>
  <r>
    <n v="2792"/>
    <x v="49"/>
    <x v="1"/>
    <s v="Gloves"/>
    <s v="Accessories"/>
    <n v="60"/>
    <x v="44"/>
    <s v="M"/>
    <s v="Yellow"/>
    <s v="Fall"/>
    <n v="2.8"/>
    <s v="No"/>
    <s v="No"/>
    <n v="14"/>
    <s v="Venmo"/>
    <s v="Fortnightly"/>
    <m/>
  </r>
  <r>
    <n v="2793"/>
    <x v="22"/>
    <x v="1"/>
    <s v="Shorts"/>
    <s v="Clothing"/>
    <n v="44"/>
    <x v="0"/>
    <s v="L"/>
    <s v="Violet"/>
    <s v="Winter"/>
    <n v="3.2"/>
    <s v="No"/>
    <s v="No"/>
    <n v="11"/>
    <s v="Credit Card"/>
    <s v="Weekly"/>
    <m/>
  </r>
  <r>
    <n v="2794"/>
    <x v="43"/>
    <x v="1"/>
    <s v="Boots"/>
    <s v="Footwear"/>
    <n v="57"/>
    <x v="2"/>
    <s v="M"/>
    <s v="Silver"/>
    <s v="Spring"/>
    <n v="3.1"/>
    <s v="No"/>
    <s v="No"/>
    <n v="27"/>
    <s v="Debit Card"/>
    <s v="Bi-Weekly"/>
    <m/>
  </r>
  <r>
    <n v="2795"/>
    <x v="23"/>
    <x v="1"/>
    <s v="Jacket"/>
    <s v="Outerwear"/>
    <n v="24"/>
    <x v="14"/>
    <s v="M"/>
    <s v="Gold"/>
    <s v="Fall"/>
    <n v="3.3"/>
    <s v="No"/>
    <s v="No"/>
    <n v="7"/>
    <s v="Cash"/>
    <s v="Fortnightly"/>
    <m/>
  </r>
  <r>
    <n v="2796"/>
    <x v="23"/>
    <x v="1"/>
    <s v="Scarf"/>
    <s v="Accessories"/>
    <n v="35"/>
    <x v="43"/>
    <s v="M"/>
    <s v="Magenta"/>
    <s v="Winter"/>
    <n v="3.4"/>
    <s v="No"/>
    <s v="No"/>
    <n v="49"/>
    <s v="PayPal"/>
    <s v="Annually"/>
    <m/>
  </r>
  <r>
    <n v="2797"/>
    <x v="0"/>
    <x v="1"/>
    <s v="Jacket"/>
    <s v="Outerwear"/>
    <n v="73"/>
    <x v="19"/>
    <s v="M"/>
    <s v="Red"/>
    <s v="Winter"/>
    <n v="3.8"/>
    <s v="No"/>
    <s v="No"/>
    <n v="21"/>
    <s v="Cash"/>
    <s v="Annually"/>
    <m/>
  </r>
  <r>
    <n v="2798"/>
    <x v="6"/>
    <x v="1"/>
    <s v="Jewelry"/>
    <s v="Accessories"/>
    <n v="42"/>
    <x v="19"/>
    <s v="M"/>
    <s v="Green"/>
    <s v="Winter"/>
    <n v="3.5"/>
    <s v="No"/>
    <s v="No"/>
    <n v="10"/>
    <s v="Venmo"/>
    <s v="Every 3 Months"/>
    <m/>
  </r>
  <r>
    <n v="2799"/>
    <x v="16"/>
    <x v="1"/>
    <s v="Hoodie"/>
    <s v="Clothing"/>
    <n v="20"/>
    <x v="3"/>
    <s v="XL"/>
    <s v="Red"/>
    <s v="Winter"/>
    <n v="4.8"/>
    <s v="No"/>
    <s v="No"/>
    <n v="37"/>
    <s v="PayPal"/>
    <s v="Weekly"/>
    <m/>
  </r>
  <r>
    <n v="2800"/>
    <x v="51"/>
    <x v="1"/>
    <s v="T-shirt"/>
    <s v="Clothing"/>
    <n v="89"/>
    <x v="1"/>
    <s v="L"/>
    <s v="Pink"/>
    <s v="Spring"/>
    <n v="3.9"/>
    <s v="No"/>
    <s v="No"/>
    <n v="9"/>
    <s v="Bank Transfer"/>
    <s v="Every 3 Months"/>
    <m/>
  </r>
  <r>
    <n v="2801"/>
    <x v="27"/>
    <x v="1"/>
    <s v="Shirt"/>
    <s v="Clothing"/>
    <n v="76"/>
    <x v="10"/>
    <s v="L"/>
    <s v="Violet"/>
    <s v="Fall"/>
    <n v="3.4"/>
    <s v="No"/>
    <s v="No"/>
    <n v="14"/>
    <s v="Cash"/>
    <s v="Bi-Weekly"/>
    <m/>
  </r>
  <r>
    <n v="2802"/>
    <x v="14"/>
    <x v="1"/>
    <s v="Shirt"/>
    <s v="Clothing"/>
    <n v="56"/>
    <x v="35"/>
    <s v="M"/>
    <s v="Indigo"/>
    <s v="Winter"/>
    <n v="2.6"/>
    <s v="No"/>
    <s v="No"/>
    <n v="30"/>
    <s v="PayPal"/>
    <s v="Annually"/>
    <m/>
  </r>
  <r>
    <n v="2803"/>
    <x v="40"/>
    <x v="1"/>
    <s v="Coat"/>
    <s v="Outerwear"/>
    <n v="100"/>
    <x v="11"/>
    <s v="L"/>
    <s v="Red"/>
    <s v="Fall"/>
    <n v="3.1"/>
    <s v="No"/>
    <s v="No"/>
    <n v="42"/>
    <s v="Credit Card"/>
    <s v="Fortnightly"/>
    <m/>
  </r>
  <r>
    <n v="2804"/>
    <x v="5"/>
    <x v="1"/>
    <s v="T-shirt"/>
    <s v="Clothing"/>
    <n v="44"/>
    <x v="37"/>
    <s v="M"/>
    <s v="Violet"/>
    <s v="Winter"/>
    <n v="3.3"/>
    <s v="No"/>
    <s v="No"/>
    <n v="31"/>
    <s v="Bank Transfer"/>
    <s v="Monthly"/>
    <m/>
  </r>
  <r>
    <n v="2805"/>
    <x v="13"/>
    <x v="1"/>
    <s v="Hoodie"/>
    <s v="Clothing"/>
    <n v="76"/>
    <x v="36"/>
    <s v="M"/>
    <s v="Cyan"/>
    <s v="Spring"/>
    <n v="2.8"/>
    <s v="No"/>
    <s v="No"/>
    <n v="48"/>
    <s v="Bank Transfer"/>
    <s v="Every 3 Months"/>
    <m/>
  </r>
  <r>
    <n v="2806"/>
    <x v="20"/>
    <x v="1"/>
    <s v="Sunglasses"/>
    <s v="Accessories"/>
    <n v="97"/>
    <x v="22"/>
    <s v="S"/>
    <s v="Black"/>
    <s v="Fall"/>
    <n v="4.3"/>
    <s v="No"/>
    <s v="No"/>
    <n v="48"/>
    <s v="Cash"/>
    <s v="Quarterly"/>
    <m/>
  </r>
  <r>
    <n v="2807"/>
    <x v="4"/>
    <x v="1"/>
    <s v="Blouse"/>
    <s v="Clothing"/>
    <n v="39"/>
    <x v="36"/>
    <s v="L"/>
    <s v="Purple"/>
    <s v="Spring"/>
    <n v="2.7"/>
    <s v="No"/>
    <s v="No"/>
    <n v="50"/>
    <s v="Credit Card"/>
    <s v="Annually"/>
    <m/>
  </r>
  <r>
    <n v="2808"/>
    <x v="19"/>
    <x v="1"/>
    <s v="Hoodie"/>
    <s v="Clothing"/>
    <n v="100"/>
    <x v="33"/>
    <s v="M"/>
    <s v="Charcoal"/>
    <s v="Spring"/>
    <n v="4.4000000000000004"/>
    <s v="No"/>
    <s v="No"/>
    <n v="10"/>
    <s v="Debit Card"/>
    <s v="Fortnightly"/>
    <m/>
  </r>
  <r>
    <n v="2809"/>
    <x v="34"/>
    <x v="1"/>
    <s v="Skirt"/>
    <s v="Clothing"/>
    <n v="62"/>
    <x v="30"/>
    <s v="M"/>
    <s v="Beige"/>
    <s v="Spring"/>
    <n v="3.9"/>
    <s v="No"/>
    <s v="No"/>
    <n v="45"/>
    <s v="PayPal"/>
    <s v="Every 3 Months"/>
    <m/>
  </r>
  <r>
    <n v="2810"/>
    <x v="17"/>
    <x v="1"/>
    <s v="Shorts"/>
    <s v="Clothing"/>
    <n v="98"/>
    <x v="10"/>
    <s v="XL"/>
    <s v="Teal"/>
    <s v="Summer"/>
    <n v="3"/>
    <s v="No"/>
    <s v="No"/>
    <n v="27"/>
    <s v="Debit Card"/>
    <s v="Quarterly"/>
    <m/>
  </r>
  <r>
    <n v="2811"/>
    <x v="7"/>
    <x v="1"/>
    <s v="Jeans"/>
    <s v="Clothing"/>
    <n v="31"/>
    <x v="28"/>
    <s v="M"/>
    <s v="Purple"/>
    <s v="Summer"/>
    <n v="4"/>
    <s v="No"/>
    <s v="No"/>
    <n v="10"/>
    <s v="Debit Card"/>
    <s v="Fortnightly"/>
    <m/>
  </r>
  <r>
    <n v="2812"/>
    <x v="28"/>
    <x v="1"/>
    <s v="Jacket"/>
    <s v="Outerwear"/>
    <n v="89"/>
    <x v="31"/>
    <s v="M"/>
    <s v="Blue"/>
    <s v="Fall"/>
    <n v="3.7"/>
    <s v="No"/>
    <s v="No"/>
    <n v="19"/>
    <s v="Credit Card"/>
    <s v="Quarterly"/>
    <m/>
  </r>
  <r>
    <n v="2813"/>
    <x v="17"/>
    <x v="1"/>
    <s v="Hoodie"/>
    <s v="Clothing"/>
    <n v="91"/>
    <x v="25"/>
    <s v="XL"/>
    <s v="Magenta"/>
    <s v="Fall"/>
    <n v="3.8"/>
    <s v="No"/>
    <s v="No"/>
    <n v="1"/>
    <s v="Credit Card"/>
    <s v="Every 3 Months"/>
    <m/>
  </r>
  <r>
    <n v="2814"/>
    <x v="4"/>
    <x v="1"/>
    <s v="Shirt"/>
    <s v="Clothing"/>
    <n v="50"/>
    <x v="34"/>
    <s v="S"/>
    <s v="Maroon"/>
    <s v="Summer"/>
    <n v="3.3"/>
    <s v="No"/>
    <s v="No"/>
    <n v="39"/>
    <s v="Debit Card"/>
    <s v="Quarterly"/>
    <m/>
  </r>
  <r>
    <n v="2815"/>
    <x v="18"/>
    <x v="1"/>
    <s v="T-shirt"/>
    <s v="Clothing"/>
    <n v="32"/>
    <x v="46"/>
    <s v="L"/>
    <s v="Gold"/>
    <s v="Winter"/>
    <n v="3.6"/>
    <s v="No"/>
    <s v="No"/>
    <n v="14"/>
    <s v="Bank Transfer"/>
    <s v="Monthly"/>
    <m/>
  </r>
  <r>
    <n v="2816"/>
    <x v="23"/>
    <x v="1"/>
    <s v="Blouse"/>
    <s v="Clothing"/>
    <n v="67"/>
    <x v="37"/>
    <s v="L"/>
    <s v="Black"/>
    <s v="Fall"/>
    <n v="3.9"/>
    <s v="No"/>
    <s v="No"/>
    <n v="40"/>
    <s v="Venmo"/>
    <s v="Every 3 Months"/>
    <m/>
  </r>
  <r>
    <n v="2817"/>
    <x v="49"/>
    <x v="1"/>
    <s v="Skirt"/>
    <s v="Clothing"/>
    <n v="28"/>
    <x v="33"/>
    <s v="M"/>
    <s v="Black"/>
    <s v="Spring"/>
    <n v="3.5"/>
    <s v="No"/>
    <s v="No"/>
    <n v="45"/>
    <s v="Venmo"/>
    <s v="Weekly"/>
    <m/>
  </r>
  <r>
    <n v="2818"/>
    <x v="15"/>
    <x v="1"/>
    <s v="Backpack"/>
    <s v="Accessories"/>
    <n v="65"/>
    <x v="36"/>
    <s v="XL"/>
    <s v="Yellow"/>
    <s v="Winter"/>
    <n v="3.4"/>
    <s v="No"/>
    <s v="No"/>
    <n v="6"/>
    <s v="Venmo"/>
    <s v="Weekly"/>
    <m/>
  </r>
  <r>
    <n v="2819"/>
    <x v="5"/>
    <x v="1"/>
    <s v="Shorts"/>
    <s v="Clothing"/>
    <n v="73"/>
    <x v="18"/>
    <s v="M"/>
    <s v="Turquoise"/>
    <s v="Fall"/>
    <n v="4.7"/>
    <s v="No"/>
    <s v="No"/>
    <n v="12"/>
    <s v="Debit Card"/>
    <s v="Annually"/>
    <m/>
  </r>
  <r>
    <n v="2820"/>
    <x v="29"/>
    <x v="1"/>
    <s v="Shirt"/>
    <s v="Clothing"/>
    <n v="27"/>
    <x v="42"/>
    <s v="L"/>
    <s v="Lavender"/>
    <s v="Spring"/>
    <n v="3"/>
    <s v="No"/>
    <s v="No"/>
    <n v="19"/>
    <s v="Cash"/>
    <s v="Monthly"/>
    <m/>
  </r>
  <r>
    <n v="2821"/>
    <x v="8"/>
    <x v="1"/>
    <s v="Backpack"/>
    <s v="Accessories"/>
    <n v="89"/>
    <x v="34"/>
    <s v="L"/>
    <s v="Yellow"/>
    <s v="Summer"/>
    <n v="3.9"/>
    <s v="No"/>
    <s v="No"/>
    <n v="5"/>
    <s v="Cash"/>
    <s v="Bi-Weekly"/>
    <m/>
  </r>
  <r>
    <n v="2822"/>
    <x v="25"/>
    <x v="1"/>
    <s v="Shoes"/>
    <s v="Footwear"/>
    <n v="72"/>
    <x v="42"/>
    <s v="L"/>
    <s v="Olive"/>
    <s v="Summer"/>
    <n v="4.5"/>
    <s v="No"/>
    <s v="No"/>
    <n v="37"/>
    <s v="Venmo"/>
    <s v="Monthly"/>
    <m/>
  </r>
  <r>
    <n v="2823"/>
    <x v="12"/>
    <x v="1"/>
    <s v="Skirt"/>
    <s v="Clothing"/>
    <n v="37"/>
    <x v="32"/>
    <s v="S"/>
    <s v="Brown"/>
    <s v="Fall"/>
    <n v="4.0999999999999996"/>
    <s v="No"/>
    <s v="No"/>
    <n v="33"/>
    <s v="PayPal"/>
    <s v="Quarterly"/>
    <m/>
  </r>
  <r>
    <n v="2824"/>
    <x v="8"/>
    <x v="1"/>
    <s v="Dress"/>
    <s v="Clothing"/>
    <n v="63"/>
    <x v="40"/>
    <s v="M"/>
    <s v="Olive"/>
    <s v="Summer"/>
    <n v="4.5"/>
    <s v="No"/>
    <s v="No"/>
    <n v="47"/>
    <s v="Debit Card"/>
    <s v="Bi-Weekly"/>
    <m/>
  </r>
  <r>
    <n v="2825"/>
    <x v="31"/>
    <x v="1"/>
    <s v="Hat"/>
    <s v="Accessories"/>
    <n v="90"/>
    <x v="40"/>
    <s v="M"/>
    <s v="Purple"/>
    <s v="Fall"/>
    <n v="4"/>
    <s v="No"/>
    <s v="No"/>
    <n v="49"/>
    <s v="Debit Card"/>
    <s v="Quarterly"/>
    <m/>
  </r>
  <r>
    <n v="2826"/>
    <x v="28"/>
    <x v="1"/>
    <s v="Handbag"/>
    <s v="Accessories"/>
    <n v="62"/>
    <x v="17"/>
    <s v="M"/>
    <s v="Yellow"/>
    <s v="Winter"/>
    <n v="4.3"/>
    <s v="No"/>
    <s v="No"/>
    <n v="28"/>
    <s v="Bank Transfer"/>
    <s v="Annually"/>
    <m/>
  </r>
  <r>
    <n v="2827"/>
    <x v="45"/>
    <x v="1"/>
    <s v="Handbag"/>
    <s v="Accessories"/>
    <n v="43"/>
    <x v="20"/>
    <s v="L"/>
    <s v="Brown"/>
    <s v="Fall"/>
    <n v="3.6"/>
    <s v="No"/>
    <s v="No"/>
    <n v="23"/>
    <s v="Venmo"/>
    <s v="Annually"/>
    <m/>
  </r>
  <r>
    <n v="2828"/>
    <x v="30"/>
    <x v="1"/>
    <s v="Blouse"/>
    <s v="Clothing"/>
    <n v="96"/>
    <x v="48"/>
    <s v="M"/>
    <s v="Magenta"/>
    <s v="Fall"/>
    <n v="3.1"/>
    <s v="No"/>
    <s v="No"/>
    <n v="11"/>
    <s v="Bank Transfer"/>
    <s v="Bi-Weekly"/>
    <m/>
  </r>
  <r>
    <n v="2829"/>
    <x v="15"/>
    <x v="1"/>
    <s v="Scarf"/>
    <s v="Accessories"/>
    <n v="83"/>
    <x v="30"/>
    <s v="L"/>
    <s v="Lavender"/>
    <s v="Fall"/>
    <n v="2.6"/>
    <s v="No"/>
    <s v="No"/>
    <n v="33"/>
    <s v="PayPal"/>
    <s v="Quarterly"/>
    <m/>
  </r>
  <r>
    <n v="2830"/>
    <x v="19"/>
    <x v="1"/>
    <s v="Jewelry"/>
    <s v="Accessories"/>
    <n v="67"/>
    <x v="28"/>
    <s v="XL"/>
    <s v="Teal"/>
    <s v="Fall"/>
    <n v="3.4"/>
    <s v="No"/>
    <s v="No"/>
    <n v="47"/>
    <s v="Cash"/>
    <s v="Weekly"/>
    <m/>
  </r>
  <r>
    <n v="2831"/>
    <x v="6"/>
    <x v="1"/>
    <s v="Skirt"/>
    <s v="Clothing"/>
    <n v="90"/>
    <x v="4"/>
    <s v="L"/>
    <s v="Cyan"/>
    <s v="Spring"/>
    <n v="2.9"/>
    <s v="No"/>
    <s v="No"/>
    <n v="13"/>
    <s v="Venmo"/>
    <s v="Every 3 Months"/>
    <m/>
  </r>
  <r>
    <n v="2832"/>
    <x v="50"/>
    <x v="1"/>
    <s v="Hoodie"/>
    <s v="Clothing"/>
    <n v="53"/>
    <x v="41"/>
    <s v="L"/>
    <s v="Pink"/>
    <s v="Winter"/>
    <n v="5"/>
    <s v="No"/>
    <s v="No"/>
    <n v="4"/>
    <s v="Credit Card"/>
    <s v="Weekly"/>
    <m/>
  </r>
  <r>
    <n v="2833"/>
    <x v="26"/>
    <x v="1"/>
    <s v="Scarf"/>
    <s v="Accessories"/>
    <n v="37"/>
    <x v="33"/>
    <s v="M"/>
    <s v="Magenta"/>
    <s v="Summer"/>
    <n v="4.5999999999999996"/>
    <s v="No"/>
    <s v="No"/>
    <n v="40"/>
    <s v="PayPal"/>
    <s v="Quarterly"/>
    <m/>
  </r>
  <r>
    <n v="2834"/>
    <x v="49"/>
    <x v="1"/>
    <s v="Jeans"/>
    <s v="Clothing"/>
    <n v="56"/>
    <x v="10"/>
    <s v="M"/>
    <s v="Teal"/>
    <s v="Fall"/>
    <n v="3.3"/>
    <s v="No"/>
    <s v="No"/>
    <n v="19"/>
    <s v="Cash"/>
    <s v="Monthly"/>
    <m/>
  </r>
  <r>
    <n v="2835"/>
    <x v="31"/>
    <x v="1"/>
    <s v="Jacket"/>
    <s v="Outerwear"/>
    <n v="43"/>
    <x v="21"/>
    <s v="M"/>
    <s v="Indigo"/>
    <s v="Fall"/>
    <n v="2.9"/>
    <s v="No"/>
    <s v="No"/>
    <n v="17"/>
    <s v="Credit Card"/>
    <s v="Weekly"/>
    <m/>
  </r>
  <r>
    <n v="2836"/>
    <x v="23"/>
    <x v="1"/>
    <s v="T-shirt"/>
    <s v="Clothing"/>
    <n v="84"/>
    <x v="34"/>
    <s v="S"/>
    <s v="Pink"/>
    <s v="Winter"/>
    <n v="4.9000000000000004"/>
    <s v="No"/>
    <s v="No"/>
    <n v="7"/>
    <s v="Venmo"/>
    <s v="Annually"/>
    <m/>
  </r>
  <r>
    <n v="2837"/>
    <x v="47"/>
    <x v="1"/>
    <s v="Pants"/>
    <s v="Clothing"/>
    <n v="50"/>
    <x v="5"/>
    <s v="M"/>
    <s v="Charcoal"/>
    <s v="Winter"/>
    <n v="5"/>
    <s v="No"/>
    <s v="No"/>
    <n v="21"/>
    <s v="Cash"/>
    <s v="Bi-Weekly"/>
    <m/>
  </r>
  <r>
    <n v="2838"/>
    <x v="13"/>
    <x v="1"/>
    <s v="Shoes"/>
    <s v="Footwear"/>
    <n v="88"/>
    <x v="15"/>
    <s v="M"/>
    <s v="Brown"/>
    <s v="Summer"/>
    <n v="4.5"/>
    <s v="No"/>
    <s v="No"/>
    <n v="44"/>
    <s v="PayPal"/>
    <s v="Weekly"/>
    <m/>
  </r>
  <r>
    <n v="2839"/>
    <x v="47"/>
    <x v="1"/>
    <s v="Jacket"/>
    <s v="Outerwear"/>
    <n v="50"/>
    <x v="1"/>
    <s v="M"/>
    <s v="Blue"/>
    <s v="Fall"/>
    <n v="3.7"/>
    <s v="No"/>
    <s v="No"/>
    <n v="2"/>
    <s v="Bank Transfer"/>
    <s v="Weekly"/>
    <m/>
  </r>
  <r>
    <n v="2840"/>
    <x v="27"/>
    <x v="1"/>
    <s v="Scarf"/>
    <s v="Accessories"/>
    <n v="80"/>
    <x v="45"/>
    <s v="L"/>
    <s v="Teal"/>
    <s v="Summer"/>
    <n v="2.8"/>
    <s v="No"/>
    <s v="No"/>
    <n v="30"/>
    <s v="Bank Transfer"/>
    <s v="Monthly"/>
    <m/>
  </r>
  <r>
    <n v="2841"/>
    <x v="37"/>
    <x v="1"/>
    <s v="T-shirt"/>
    <s v="Clothing"/>
    <n v="47"/>
    <x v="8"/>
    <s v="L"/>
    <s v="Pink"/>
    <s v="Spring"/>
    <n v="3.5"/>
    <s v="No"/>
    <s v="No"/>
    <n v="41"/>
    <s v="Cash"/>
    <s v="Annually"/>
    <m/>
  </r>
  <r>
    <n v="2842"/>
    <x v="1"/>
    <x v="1"/>
    <s v="Dress"/>
    <s v="Clothing"/>
    <n v="33"/>
    <x v="31"/>
    <s v="XL"/>
    <s v="Magenta"/>
    <s v="Winter"/>
    <n v="3"/>
    <s v="No"/>
    <s v="No"/>
    <n v="31"/>
    <s v="Cash"/>
    <s v="Weekly"/>
    <m/>
  </r>
  <r>
    <n v="2843"/>
    <x v="48"/>
    <x v="1"/>
    <s v="Coat"/>
    <s v="Outerwear"/>
    <n v="100"/>
    <x v="28"/>
    <s v="L"/>
    <s v="Green"/>
    <s v="Fall"/>
    <n v="4.3"/>
    <s v="No"/>
    <s v="No"/>
    <n v="48"/>
    <s v="Debit Card"/>
    <s v="Quarterly"/>
    <m/>
  </r>
  <r>
    <n v="2844"/>
    <x v="47"/>
    <x v="1"/>
    <s v="Sweater"/>
    <s v="Clothing"/>
    <n v="26"/>
    <x v="31"/>
    <s v="M"/>
    <s v="White"/>
    <s v="Summer"/>
    <n v="3.6"/>
    <s v="No"/>
    <s v="No"/>
    <n v="41"/>
    <s v="Venmo"/>
    <s v="Weekly"/>
    <m/>
  </r>
  <r>
    <n v="2845"/>
    <x v="45"/>
    <x v="1"/>
    <s v="Hat"/>
    <s v="Accessories"/>
    <n v="79"/>
    <x v="35"/>
    <s v="M"/>
    <s v="Indigo"/>
    <s v="Summer"/>
    <n v="4.4000000000000004"/>
    <s v="No"/>
    <s v="No"/>
    <n v="42"/>
    <s v="Venmo"/>
    <s v="Annually"/>
    <m/>
  </r>
  <r>
    <n v="2846"/>
    <x v="8"/>
    <x v="1"/>
    <s v="Backpack"/>
    <s v="Accessories"/>
    <n v="77"/>
    <x v="45"/>
    <s v="L"/>
    <s v="Lavender"/>
    <s v="Summer"/>
    <n v="4.0999999999999996"/>
    <s v="No"/>
    <s v="No"/>
    <n v="39"/>
    <s v="Debit Card"/>
    <s v="Every 3 Months"/>
    <m/>
  </r>
  <r>
    <n v="2847"/>
    <x v="2"/>
    <x v="1"/>
    <s v="Socks"/>
    <s v="Clothing"/>
    <n v="36"/>
    <x v="19"/>
    <s v="XL"/>
    <s v="Black"/>
    <s v="Fall"/>
    <n v="2.8"/>
    <s v="No"/>
    <s v="No"/>
    <n v="15"/>
    <s v="PayPal"/>
    <s v="Bi-Weekly"/>
    <m/>
  </r>
  <r>
    <n v="2848"/>
    <x v="33"/>
    <x v="1"/>
    <s v="Jewelry"/>
    <s v="Accessories"/>
    <n v="21"/>
    <x v="39"/>
    <s v="L"/>
    <s v="Charcoal"/>
    <s v="Winter"/>
    <n v="2.8"/>
    <s v="No"/>
    <s v="No"/>
    <n v="3"/>
    <s v="PayPal"/>
    <s v="Every 3 Months"/>
    <m/>
  </r>
  <r>
    <n v="2849"/>
    <x v="23"/>
    <x v="1"/>
    <s v="Boots"/>
    <s v="Footwear"/>
    <n v="72"/>
    <x v="48"/>
    <s v="L"/>
    <s v="Gray"/>
    <s v="Fall"/>
    <n v="4.9000000000000004"/>
    <s v="No"/>
    <s v="No"/>
    <n v="28"/>
    <s v="Bank Transfer"/>
    <s v="Quarterly"/>
    <m/>
  </r>
  <r>
    <n v="2850"/>
    <x v="19"/>
    <x v="1"/>
    <s v="Coat"/>
    <s v="Outerwear"/>
    <n v="25"/>
    <x v="13"/>
    <s v="M"/>
    <s v="Gold"/>
    <s v="Spring"/>
    <n v="4.0999999999999996"/>
    <s v="No"/>
    <s v="No"/>
    <n v="27"/>
    <s v="PayPal"/>
    <s v="Bi-Weekly"/>
    <m/>
  </r>
  <r>
    <n v="2851"/>
    <x v="9"/>
    <x v="1"/>
    <s v="Sweater"/>
    <s v="Clothing"/>
    <n v="79"/>
    <x v="43"/>
    <s v="M"/>
    <s v="Silver"/>
    <s v="Spring"/>
    <n v="3"/>
    <s v="No"/>
    <s v="No"/>
    <n v="36"/>
    <s v="Debit Card"/>
    <s v="Annually"/>
    <m/>
  </r>
  <r>
    <n v="2852"/>
    <x v="44"/>
    <x v="1"/>
    <s v="Blouse"/>
    <s v="Clothing"/>
    <n v="73"/>
    <x v="22"/>
    <s v="L"/>
    <s v="Teal"/>
    <s v="Summer"/>
    <n v="3"/>
    <s v="No"/>
    <s v="No"/>
    <n v="42"/>
    <s v="Debit Card"/>
    <s v="Monthly"/>
    <m/>
  </r>
  <r>
    <n v="2853"/>
    <x v="37"/>
    <x v="1"/>
    <s v="Belt"/>
    <s v="Accessories"/>
    <n v="71"/>
    <x v="14"/>
    <s v="M"/>
    <s v="Magenta"/>
    <s v="Spring"/>
    <n v="3"/>
    <s v="No"/>
    <s v="No"/>
    <n v="30"/>
    <s v="Venmo"/>
    <s v="Weekly"/>
    <m/>
  </r>
  <r>
    <n v="2854"/>
    <x v="43"/>
    <x v="1"/>
    <s v="Hat"/>
    <s v="Accessories"/>
    <n v="48"/>
    <x v="38"/>
    <s v="M"/>
    <s v="Magenta"/>
    <s v="Winter"/>
    <n v="3.2"/>
    <s v="No"/>
    <s v="No"/>
    <n v="9"/>
    <s v="PayPal"/>
    <s v="Weekly"/>
    <m/>
  </r>
  <r>
    <n v="2855"/>
    <x v="24"/>
    <x v="1"/>
    <s v="Sandals"/>
    <s v="Footwear"/>
    <n v="28"/>
    <x v="12"/>
    <s v="M"/>
    <s v="Beige"/>
    <s v="Fall"/>
    <n v="2.7"/>
    <s v="No"/>
    <s v="No"/>
    <n v="25"/>
    <s v="Venmo"/>
    <s v="Monthly"/>
    <m/>
  </r>
  <r>
    <n v="2856"/>
    <x v="26"/>
    <x v="1"/>
    <s v="Boots"/>
    <s v="Footwear"/>
    <n v="95"/>
    <x v="16"/>
    <s v="S"/>
    <s v="Maroon"/>
    <s v="Winter"/>
    <n v="3.8"/>
    <s v="No"/>
    <s v="No"/>
    <n v="33"/>
    <s v="PayPal"/>
    <s v="Quarterly"/>
    <m/>
  </r>
  <r>
    <n v="2857"/>
    <x v="13"/>
    <x v="1"/>
    <s v="Jacket"/>
    <s v="Outerwear"/>
    <n v="48"/>
    <x v="44"/>
    <s v="M"/>
    <s v="Indigo"/>
    <s v="Winter"/>
    <n v="3.5"/>
    <s v="No"/>
    <s v="No"/>
    <n v="31"/>
    <s v="Credit Card"/>
    <s v="Monthly"/>
    <m/>
  </r>
  <r>
    <n v="2858"/>
    <x v="42"/>
    <x v="1"/>
    <s v="Dress"/>
    <s v="Clothing"/>
    <n v="93"/>
    <x v="40"/>
    <s v="S"/>
    <s v="Maroon"/>
    <s v="Spring"/>
    <n v="3.8"/>
    <s v="No"/>
    <s v="No"/>
    <n v="35"/>
    <s v="Debit Card"/>
    <s v="Monthly"/>
    <m/>
  </r>
  <r>
    <n v="2859"/>
    <x v="50"/>
    <x v="1"/>
    <s v="Jeans"/>
    <s v="Clothing"/>
    <n v="87"/>
    <x v="33"/>
    <s v="L"/>
    <s v="Teal"/>
    <s v="Summer"/>
    <n v="3.8"/>
    <s v="No"/>
    <s v="No"/>
    <n v="46"/>
    <s v="Bank Transfer"/>
    <s v="Monthly"/>
    <m/>
  </r>
  <r>
    <n v="2860"/>
    <x v="18"/>
    <x v="1"/>
    <s v="Shorts"/>
    <s v="Clothing"/>
    <n v="32"/>
    <x v="40"/>
    <s v="L"/>
    <s v="Yellow"/>
    <s v="Fall"/>
    <n v="3.4"/>
    <s v="No"/>
    <s v="No"/>
    <n v="29"/>
    <s v="Bank Transfer"/>
    <s v="Annually"/>
    <m/>
  </r>
  <r>
    <n v="2861"/>
    <x v="48"/>
    <x v="1"/>
    <s v="Shirt"/>
    <s v="Clothing"/>
    <n v="38"/>
    <x v="3"/>
    <s v="M"/>
    <s v="Gold"/>
    <s v="Spring"/>
    <n v="2.9"/>
    <s v="No"/>
    <s v="No"/>
    <n v="49"/>
    <s v="Bank Transfer"/>
    <s v="Weekly"/>
    <m/>
  </r>
  <r>
    <n v="2862"/>
    <x v="17"/>
    <x v="1"/>
    <s v="Coat"/>
    <s v="Outerwear"/>
    <n v="54"/>
    <x v="33"/>
    <s v="M"/>
    <s v="Teal"/>
    <s v="Fall"/>
    <n v="3.4"/>
    <s v="No"/>
    <s v="No"/>
    <n v="27"/>
    <s v="Credit Card"/>
    <s v="Monthly"/>
    <m/>
  </r>
  <r>
    <n v="2863"/>
    <x v="33"/>
    <x v="1"/>
    <s v="Coat"/>
    <s v="Outerwear"/>
    <n v="75"/>
    <x v="11"/>
    <s v="S"/>
    <s v="Violet"/>
    <s v="Summer"/>
    <n v="4.7"/>
    <s v="No"/>
    <s v="No"/>
    <n v="5"/>
    <s v="Bank Transfer"/>
    <s v="Every 3 Months"/>
    <m/>
  </r>
  <r>
    <n v="2864"/>
    <x v="43"/>
    <x v="1"/>
    <s v="T-shirt"/>
    <s v="Clothing"/>
    <n v="56"/>
    <x v="39"/>
    <s v="M"/>
    <s v="Yellow"/>
    <s v="Fall"/>
    <n v="3.9"/>
    <s v="No"/>
    <s v="No"/>
    <n v="18"/>
    <s v="Venmo"/>
    <s v="Monthly"/>
    <m/>
  </r>
  <r>
    <n v="2865"/>
    <x v="44"/>
    <x v="1"/>
    <s v="Sweater"/>
    <s v="Clothing"/>
    <n v="43"/>
    <x v="26"/>
    <s v="S"/>
    <s v="Maroon"/>
    <s v="Fall"/>
    <n v="3.6"/>
    <s v="No"/>
    <s v="No"/>
    <n v="31"/>
    <s v="Venmo"/>
    <s v="Weekly"/>
    <m/>
  </r>
  <r>
    <n v="2866"/>
    <x v="48"/>
    <x v="1"/>
    <s v="Skirt"/>
    <s v="Clothing"/>
    <n v="97"/>
    <x v="18"/>
    <s v="M"/>
    <s v="Silver"/>
    <s v="Fall"/>
    <n v="3.7"/>
    <s v="No"/>
    <s v="No"/>
    <n v="27"/>
    <s v="Cash"/>
    <s v="Fortnightly"/>
    <m/>
  </r>
  <r>
    <n v="2867"/>
    <x v="22"/>
    <x v="1"/>
    <s v="Blouse"/>
    <s v="Clothing"/>
    <n v="75"/>
    <x v="39"/>
    <s v="S"/>
    <s v="Violet"/>
    <s v="Summer"/>
    <n v="3.1"/>
    <s v="No"/>
    <s v="No"/>
    <n v="19"/>
    <s v="Cash"/>
    <s v="Annually"/>
    <m/>
  </r>
  <r>
    <n v="2868"/>
    <x v="3"/>
    <x v="1"/>
    <s v="Sneakers"/>
    <s v="Footwear"/>
    <n v="55"/>
    <x v="24"/>
    <s v="L"/>
    <s v="White"/>
    <s v="Summer"/>
    <n v="4.9000000000000004"/>
    <s v="No"/>
    <s v="No"/>
    <n v="33"/>
    <s v="Cash"/>
    <s v="Fortnightly"/>
    <m/>
  </r>
  <r>
    <n v="2869"/>
    <x v="4"/>
    <x v="1"/>
    <s v="Backpack"/>
    <s v="Accessories"/>
    <n v="49"/>
    <x v="24"/>
    <s v="M"/>
    <s v="Black"/>
    <s v="Winter"/>
    <n v="2.6"/>
    <s v="No"/>
    <s v="No"/>
    <n v="42"/>
    <s v="PayPal"/>
    <s v="Every 3 Months"/>
    <m/>
  </r>
  <r>
    <n v="2870"/>
    <x v="9"/>
    <x v="1"/>
    <s v="Socks"/>
    <s v="Clothing"/>
    <n v="58"/>
    <x v="42"/>
    <s v="M"/>
    <s v="White"/>
    <s v="Summer"/>
    <n v="4.2"/>
    <s v="No"/>
    <s v="No"/>
    <n v="16"/>
    <s v="Bank Transfer"/>
    <s v="Weekly"/>
    <m/>
  </r>
  <r>
    <n v="2871"/>
    <x v="36"/>
    <x v="1"/>
    <s v="Jewelry"/>
    <s v="Accessories"/>
    <n v="34"/>
    <x v="25"/>
    <s v="M"/>
    <s v="Blue"/>
    <s v="Winter"/>
    <n v="4.8"/>
    <s v="No"/>
    <s v="No"/>
    <n v="49"/>
    <s v="Debit Card"/>
    <s v="Every 3 Months"/>
    <m/>
  </r>
  <r>
    <n v="2872"/>
    <x v="5"/>
    <x v="1"/>
    <s v="Shorts"/>
    <s v="Clothing"/>
    <n v="43"/>
    <x v="37"/>
    <s v="S"/>
    <s v="Black"/>
    <s v="Summer"/>
    <n v="2.7"/>
    <s v="No"/>
    <s v="No"/>
    <n v="40"/>
    <s v="Venmo"/>
    <s v="Bi-Weekly"/>
    <m/>
  </r>
  <r>
    <n v="2873"/>
    <x v="6"/>
    <x v="1"/>
    <s v="Jewelry"/>
    <s v="Accessories"/>
    <n v="48"/>
    <x v="39"/>
    <s v="L"/>
    <s v="Olive"/>
    <s v="Fall"/>
    <n v="2.6"/>
    <s v="No"/>
    <s v="No"/>
    <n v="5"/>
    <s v="Cash"/>
    <s v="Annually"/>
    <m/>
  </r>
  <r>
    <n v="2874"/>
    <x v="42"/>
    <x v="1"/>
    <s v="Sweater"/>
    <s v="Clothing"/>
    <n v="40"/>
    <x v="6"/>
    <s v="M"/>
    <s v="Teal"/>
    <s v="Spring"/>
    <n v="2.6"/>
    <s v="No"/>
    <s v="No"/>
    <n v="8"/>
    <s v="Bank Transfer"/>
    <s v="Monthly"/>
    <m/>
  </r>
  <r>
    <n v="2875"/>
    <x v="24"/>
    <x v="1"/>
    <s v="Shirt"/>
    <s v="Clothing"/>
    <n v="29"/>
    <x v="24"/>
    <s v="L"/>
    <s v="Silver"/>
    <s v="Summer"/>
    <n v="3.1"/>
    <s v="No"/>
    <s v="No"/>
    <n v="2"/>
    <s v="Debit Card"/>
    <s v="Annually"/>
    <m/>
  </r>
  <r>
    <n v="2876"/>
    <x v="41"/>
    <x v="1"/>
    <s v="Pants"/>
    <s v="Clothing"/>
    <n v="81"/>
    <x v="0"/>
    <s v="M"/>
    <s v="Pink"/>
    <s v="Fall"/>
    <n v="2.6"/>
    <s v="No"/>
    <s v="No"/>
    <n v="14"/>
    <s v="Debit Card"/>
    <s v="Weekly"/>
    <m/>
  </r>
  <r>
    <n v="2877"/>
    <x v="13"/>
    <x v="1"/>
    <s v="Hoodie"/>
    <s v="Clothing"/>
    <n v="84"/>
    <x v="35"/>
    <s v="M"/>
    <s v="Charcoal"/>
    <s v="Spring"/>
    <n v="3.4"/>
    <s v="No"/>
    <s v="No"/>
    <n v="5"/>
    <s v="Bank Transfer"/>
    <s v="Fortnightly"/>
    <m/>
  </r>
  <r>
    <n v="2878"/>
    <x v="45"/>
    <x v="1"/>
    <s v="Socks"/>
    <s v="Clothing"/>
    <n v="46"/>
    <x v="32"/>
    <s v="M"/>
    <s v="Silver"/>
    <s v="Summer"/>
    <n v="3.6"/>
    <s v="No"/>
    <s v="No"/>
    <n v="34"/>
    <s v="Venmo"/>
    <s v="Monthly"/>
    <m/>
  </r>
  <r>
    <n v="2879"/>
    <x v="6"/>
    <x v="1"/>
    <s v="Dress"/>
    <s v="Clothing"/>
    <n v="86"/>
    <x v="18"/>
    <s v="L"/>
    <s v="Turquoise"/>
    <s v="Summer"/>
    <n v="4.3"/>
    <s v="No"/>
    <s v="No"/>
    <n v="13"/>
    <s v="Bank Transfer"/>
    <s v="Annually"/>
    <m/>
  </r>
  <r>
    <n v="2880"/>
    <x v="46"/>
    <x v="1"/>
    <s v="Blouse"/>
    <s v="Clothing"/>
    <n v="57"/>
    <x v="25"/>
    <s v="XL"/>
    <s v="Turquoise"/>
    <s v="Winter"/>
    <n v="4.9000000000000004"/>
    <s v="No"/>
    <s v="No"/>
    <n v="31"/>
    <s v="Venmo"/>
    <s v="Annually"/>
    <m/>
  </r>
  <r>
    <n v="2881"/>
    <x v="1"/>
    <x v="1"/>
    <s v="Skirt"/>
    <s v="Clothing"/>
    <n v="61"/>
    <x v="20"/>
    <s v="L"/>
    <s v="Beige"/>
    <s v="Winter"/>
    <n v="4.8"/>
    <s v="No"/>
    <s v="No"/>
    <n v="43"/>
    <s v="PayPal"/>
    <s v="Quarterly"/>
    <m/>
  </r>
  <r>
    <n v="2882"/>
    <x v="21"/>
    <x v="1"/>
    <s v="Backpack"/>
    <s v="Accessories"/>
    <n v="90"/>
    <x v="21"/>
    <s v="M"/>
    <s v="Cyan"/>
    <s v="Winter"/>
    <n v="4.2"/>
    <s v="No"/>
    <s v="No"/>
    <n v="6"/>
    <s v="Bank Transfer"/>
    <s v="Annually"/>
    <m/>
  </r>
  <r>
    <n v="2883"/>
    <x v="35"/>
    <x v="1"/>
    <s v="Blouse"/>
    <s v="Clothing"/>
    <n v="51"/>
    <x v="19"/>
    <s v="L"/>
    <s v="Gold"/>
    <s v="Winter"/>
    <n v="2.6"/>
    <s v="No"/>
    <s v="No"/>
    <n v="23"/>
    <s v="Credit Card"/>
    <s v="Bi-Weekly"/>
    <m/>
  </r>
  <r>
    <n v="2884"/>
    <x v="40"/>
    <x v="1"/>
    <s v="Socks"/>
    <s v="Clothing"/>
    <n v="48"/>
    <x v="3"/>
    <s v="XL"/>
    <s v="Silver"/>
    <s v="Spring"/>
    <n v="3.2"/>
    <s v="No"/>
    <s v="No"/>
    <n v="10"/>
    <s v="PayPal"/>
    <s v="Weekly"/>
    <m/>
  </r>
  <r>
    <n v="2885"/>
    <x v="0"/>
    <x v="1"/>
    <s v="Boots"/>
    <s v="Footwear"/>
    <n v="50"/>
    <x v="10"/>
    <s v="M"/>
    <s v="Purple"/>
    <s v="Summer"/>
    <n v="3.4"/>
    <s v="No"/>
    <s v="No"/>
    <n v="47"/>
    <s v="Credit Card"/>
    <s v="Every 3 Months"/>
    <m/>
  </r>
  <r>
    <n v="2886"/>
    <x v="26"/>
    <x v="1"/>
    <s v="Backpack"/>
    <s v="Accessories"/>
    <n v="82"/>
    <x v="22"/>
    <s v="M"/>
    <s v="Yellow"/>
    <s v="Summer"/>
    <n v="3.5"/>
    <s v="No"/>
    <s v="No"/>
    <n v="14"/>
    <s v="Credit Card"/>
    <s v="Bi-Weekly"/>
    <m/>
  </r>
  <r>
    <n v="2887"/>
    <x v="32"/>
    <x v="1"/>
    <s v="Hat"/>
    <s v="Accessories"/>
    <n v="33"/>
    <x v="40"/>
    <s v="L"/>
    <s v="Blue"/>
    <s v="Spring"/>
    <n v="4.2"/>
    <s v="No"/>
    <s v="No"/>
    <n v="29"/>
    <s v="PayPal"/>
    <s v="Weekly"/>
    <m/>
  </r>
  <r>
    <n v="2888"/>
    <x v="51"/>
    <x v="1"/>
    <s v="Sandals"/>
    <s v="Footwear"/>
    <n v="28"/>
    <x v="0"/>
    <s v="L"/>
    <s v="Blue"/>
    <s v="Winter"/>
    <n v="2.8"/>
    <s v="No"/>
    <s v="No"/>
    <n v="12"/>
    <s v="Cash"/>
    <s v="Bi-Weekly"/>
    <m/>
  </r>
  <r>
    <n v="2889"/>
    <x v="27"/>
    <x v="1"/>
    <s v="Hoodie"/>
    <s v="Clothing"/>
    <n v="42"/>
    <x v="48"/>
    <s v="L"/>
    <s v="Green"/>
    <s v="Spring"/>
    <n v="5"/>
    <s v="No"/>
    <s v="No"/>
    <n v="25"/>
    <s v="Debit Card"/>
    <s v="Quarterly"/>
    <m/>
  </r>
  <r>
    <n v="2890"/>
    <x v="14"/>
    <x v="1"/>
    <s v="Sunglasses"/>
    <s v="Accessories"/>
    <n v="43"/>
    <x v="46"/>
    <s v="M"/>
    <s v="Charcoal"/>
    <s v="Fall"/>
    <n v="3.3"/>
    <s v="No"/>
    <s v="No"/>
    <n v="21"/>
    <s v="Venmo"/>
    <s v="Annually"/>
    <m/>
  </r>
  <r>
    <n v="2891"/>
    <x v="31"/>
    <x v="1"/>
    <s v="Jeans"/>
    <s v="Clothing"/>
    <n v="55"/>
    <x v="25"/>
    <s v="M"/>
    <s v="Violet"/>
    <s v="Winter"/>
    <n v="3.7"/>
    <s v="No"/>
    <s v="No"/>
    <n v="23"/>
    <s v="Credit Card"/>
    <s v="Monthly"/>
    <m/>
  </r>
  <r>
    <n v="2892"/>
    <x v="36"/>
    <x v="1"/>
    <s v="T-shirt"/>
    <s v="Clothing"/>
    <n v="73"/>
    <x v="31"/>
    <s v="XL"/>
    <s v="Black"/>
    <s v="Winter"/>
    <n v="2.5"/>
    <s v="No"/>
    <s v="No"/>
    <n v="10"/>
    <s v="PayPal"/>
    <s v="Monthly"/>
    <m/>
  </r>
  <r>
    <n v="2893"/>
    <x v="40"/>
    <x v="1"/>
    <s v="Dress"/>
    <s v="Clothing"/>
    <n v="39"/>
    <x v="22"/>
    <s v="M"/>
    <s v="Teal"/>
    <s v="Spring"/>
    <n v="3.2"/>
    <s v="No"/>
    <s v="No"/>
    <n v="47"/>
    <s v="Credit Card"/>
    <s v="Monthly"/>
    <m/>
  </r>
  <r>
    <n v="2894"/>
    <x v="28"/>
    <x v="1"/>
    <s v="Belt"/>
    <s v="Accessories"/>
    <n v="20"/>
    <x v="0"/>
    <s v="S"/>
    <s v="Orange"/>
    <s v="Spring"/>
    <n v="3.1"/>
    <s v="No"/>
    <s v="No"/>
    <n v="44"/>
    <s v="Debit Card"/>
    <s v="Every 3 Months"/>
    <m/>
  </r>
  <r>
    <n v="2895"/>
    <x v="25"/>
    <x v="1"/>
    <s v="Jewelry"/>
    <s v="Accessories"/>
    <n v="32"/>
    <x v="0"/>
    <s v="S"/>
    <s v="Brown"/>
    <s v="Spring"/>
    <n v="3.5"/>
    <s v="No"/>
    <s v="No"/>
    <n v="41"/>
    <s v="Venmo"/>
    <s v="Annually"/>
    <m/>
  </r>
  <r>
    <n v="2896"/>
    <x v="19"/>
    <x v="1"/>
    <s v="Hoodie"/>
    <s v="Clothing"/>
    <n v="86"/>
    <x v="6"/>
    <s v="L"/>
    <s v="Green"/>
    <s v="Summer"/>
    <n v="4.5999999999999996"/>
    <s v="No"/>
    <s v="No"/>
    <n v="29"/>
    <s v="Bank Transfer"/>
    <s v="Monthly"/>
    <m/>
  </r>
  <r>
    <n v="2897"/>
    <x v="11"/>
    <x v="1"/>
    <s v="Blouse"/>
    <s v="Clothing"/>
    <n v="91"/>
    <x v="12"/>
    <s v="M"/>
    <s v="Silver"/>
    <s v="Summer"/>
    <n v="3.3"/>
    <s v="No"/>
    <s v="No"/>
    <n v="2"/>
    <s v="Venmo"/>
    <s v="Every 3 Months"/>
    <m/>
  </r>
  <r>
    <n v="2898"/>
    <x v="49"/>
    <x v="1"/>
    <s v="Jacket"/>
    <s v="Outerwear"/>
    <n v="59"/>
    <x v="6"/>
    <s v="L"/>
    <s v="Violet"/>
    <s v="Fall"/>
    <n v="2.5"/>
    <s v="No"/>
    <s v="No"/>
    <n v="2"/>
    <s v="Cash"/>
    <s v="Fortnightly"/>
    <m/>
  </r>
  <r>
    <n v="2899"/>
    <x v="51"/>
    <x v="1"/>
    <s v="Sneakers"/>
    <s v="Footwear"/>
    <n v="33"/>
    <x v="32"/>
    <s v="XL"/>
    <s v="Peach"/>
    <s v="Summer"/>
    <n v="4.5999999999999996"/>
    <s v="No"/>
    <s v="No"/>
    <n v="29"/>
    <s v="Credit Card"/>
    <s v="Annually"/>
    <m/>
  </r>
  <r>
    <n v="2900"/>
    <x v="2"/>
    <x v="1"/>
    <s v="Boots"/>
    <s v="Footwear"/>
    <n v="64"/>
    <x v="43"/>
    <s v="M"/>
    <s v="Gold"/>
    <s v="Spring"/>
    <n v="4.2"/>
    <s v="No"/>
    <s v="No"/>
    <n v="22"/>
    <s v="Bank Transfer"/>
    <s v="Fortnightly"/>
    <m/>
  </r>
  <r>
    <n v="2901"/>
    <x v="38"/>
    <x v="1"/>
    <s v="Blouse"/>
    <s v="Clothing"/>
    <n v="67"/>
    <x v="33"/>
    <s v="XL"/>
    <s v="Violet"/>
    <s v="Winter"/>
    <n v="4"/>
    <s v="No"/>
    <s v="No"/>
    <n v="23"/>
    <s v="Cash"/>
    <s v="Bi-Weekly"/>
    <m/>
  </r>
  <r>
    <n v="2902"/>
    <x v="38"/>
    <x v="1"/>
    <s v="Blouse"/>
    <s v="Clothing"/>
    <n v="43"/>
    <x v="15"/>
    <s v="L"/>
    <s v="Olive"/>
    <s v="Winter"/>
    <n v="2.6"/>
    <s v="No"/>
    <s v="No"/>
    <n v="46"/>
    <s v="Credit Card"/>
    <s v="Quarterly"/>
    <m/>
  </r>
  <r>
    <n v="2903"/>
    <x v="7"/>
    <x v="1"/>
    <s v="Boots"/>
    <s v="Footwear"/>
    <n v="32"/>
    <x v="17"/>
    <s v="S"/>
    <s v="Orange"/>
    <s v="Spring"/>
    <n v="4.5999999999999996"/>
    <s v="No"/>
    <s v="No"/>
    <n v="19"/>
    <s v="PayPal"/>
    <s v="Bi-Weekly"/>
    <m/>
  </r>
  <r>
    <n v="2904"/>
    <x v="21"/>
    <x v="1"/>
    <s v="Scarf"/>
    <s v="Accessories"/>
    <n v="39"/>
    <x v="12"/>
    <s v="S"/>
    <s v="Teal"/>
    <s v="Spring"/>
    <n v="3.5"/>
    <s v="No"/>
    <s v="No"/>
    <n v="24"/>
    <s v="Credit Card"/>
    <s v="Every 3 Months"/>
    <m/>
  </r>
  <r>
    <n v="2905"/>
    <x v="38"/>
    <x v="1"/>
    <s v="Sandals"/>
    <s v="Footwear"/>
    <n v="41"/>
    <x v="44"/>
    <s v="M"/>
    <s v="Gray"/>
    <s v="Spring"/>
    <n v="4"/>
    <s v="No"/>
    <s v="No"/>
    <n v="43"/>
    <s v="Venmo"/>
    <s v="Monthly"/>
    <m/>
  </r>
  <r>
    <n v="2906"/>
    <x v="44"/>
    <x v="1"/>
    <s v="Sunglasses"/>
    <s v="Accessories"/>
    <n v="53"/>
    <x v="14"/>
    <s v="L"/>
    <s v="Black"/>
    <s v="Winter"/>
    <n v="4.8"/>
    <s v="No"/>
    <s v="No"/>
    <n v="14"/>
    <s v="Debit Card"/>
    <s v="Fortnightly"/>
    <m/>
  </r>
  <r>
    <n v="2907"/>
    <x v="44"/>
    <x v="1"/>
    <s v="Coat"/>
    <s v="Outerwear"/>
    <n v="27"/>
    <x v="41"/>
    <s v="M"/>
    <s v="Indigo"/>
    <s v="Spring"/>
    <n v="3.9"/>
    <s v="No"/>
    <s v="No"/>
    <n v="7"/>
    <s v="Venmo"/>
    <s v="Annually"/>
    <m/>
  </r>
  <r>
    <n v="2908"/>
    <x v="1"/>
    <x v="1"/>
    <s v="Sunglasses"/>
    <s v="Accessories"/>
    <n v="82"/>
    <x v="33"/>
    <s v="XL"/>
    <s v="Lavender"/>
    <s v="Summer"/>
    <n v="3.7"/>
    <s v="No"/>
    <s v="No"/>
    <n v="50"/>
    <s v="PayPal"/>
    <s v="Bi-Weekly"/>
    <m/>
  </r>
  <r>
    <n v="2909"/>
    <x v="49"/>
    <x v="1"/>
    <s v="Blouse"/>
    <s v="Clothing"/>
    <n v="87"/>
    <x v="21"/>
    <s v="M"/>
    <s v="Beige"/>
    <s v="Winter"/>
    <n v="3.1"/>
    <s v="No"/>
    <s v="No"/>
    <n v="15"/>
    <s v="Debit Card"/>
    <s v="Every 3 Months"/>
    <m/>
  </r>
  <r>
    <n v="2910"/>
    <x v="7"/>
    <x v="1"/>
    <s v="Backpack"/>
    <s v="Accessories"/>
    <n v="78"/>
    <x v="7"/>
    <s v="M"/>
    <s v="Indigo"/>
    <s v="Winter"/>
    <n v="3"/>
    <s v="No"/>
    <s v="No"/>
    <n v="40"/>
    <s v="Credit Card"/>
    <s v="Every 3 Months"/>
    <m/>
  </r>
  <r>
    <n v="2911"/>
    <x v="45"/>
    <x v="1"/>
    <s v="Belt"/>
    <s v="Accessories"/>
    <n v="32"/>
    <x v="16"/>
    <s v="M"/>
    <s v="Blue"/>
    <s v="Summer"/>
    <n v="2.9"/>
    <s v="No"/>
    <s v="No"/>
    <n v="41"/>
    <s v="Credit Card"/>
    <s v="Monthly"/>
    <m/>
  </r>
  <r>
    <n v="2912"/>
    <x v="48"/>
    <x v="1"/>
    <s v="Socks"/>
    <s v="Clothing"/>
    <n v="38"/>
    <x v="31"/>
    <s v="XL"/>
    <s v="Orange"/>
    <s v="Fall"/>
    <n v="2.9"/>
    <s v="No"/>
    <s v="No"/>
    <n v="34"/>
    <s v="Venmo"/>
    <s v="Quarterly"/>
    <m/>
  </r>
  <r>
    <n v="2913"/>
    <x v="39"/>
    <x v="1"/>
    <s v="Shoes"/>
    <s v="Footwear"/>
    <n v="37"/>
    <x v="4"/>
    <s v="M"/>
    <s v="Yellow"/>
    <s v="Winter"/>
    <n v="4"/>
    <s v="No"/>
    <s v="No"/>
    <n v="27"/>
    <s v="Cash"/>
    <s v="Bi-Weekly"/>
    <m/>
  </r>
  <r>
    <n v="2914"/>
    <x v="49"/>
    <x v="1"/>
    <s v="Coat"/>
    <s v="Outerwear"/>
    <n v="83"/>
    <x v="5"/>
    <s v="L"/>
    <s v="Cyan"/>
    <s v="Winter"/>
    <n v="3.5"/>
    <s v="No"/>
    <s v="No"/>
    <n v="12"/>
    <s v="Cash"/>
    <s v="Every 3 Months"/>
    <m/>
  </r>
  <r>
    <n v="2915"/>
    <x v="4"/>
    <x v="1"/>
    <s v="Sweater"/>
    <s v="Clothing"/>
    <n v="72"/>
    <x v="38"/>
    <s v="M"/>
    <s v="Yellow"/>
    <s v="Fall"/>
    <n v="3.8"/>
    <s v="No"/>
    <s v="No"/>
    <n v="1"/>
    <s v="Debit Card"/>
    <s v="Bi-Weekly"/>
    <m/>
  </r>
  <r>
    <n v="2916"/>
    <x v="8"/>
    <x v="1"/>
    <s v="Shirt"/>
    <s v="Clothing"/>
    <n v="30"/>
    <x v="4"/>
    <s v="M"/>
    <s v="Cyan"/>
    <s v="Fall"/>
    <n v="4.5"/>
    <s v="No"/>
    <s v="No"/>
    <n v="39"/>
    <s v="Debit Card"/>
    <s v="Bi-Weekly"/>
    <m/>
  </r>
  <r>
    <n v="2917"/>
    <x v="46"/>
    <x v="1"/>
    <s v="Shorts"/>
    <s v="Clothing"/>
    <n v="66"/>
    <x v="19"/>
    <s v="M"/>
    <s v="Green"/>
    <s v="Winter"/>
    <n v="2.7"/>
    <s v="No"/>
    <s v="No"/>
    <n v="13"/>
    <s v="Credit Card"/>
    <s v="Bi-Weekly"/>
    <m/>
  </r>
  <r>
    <n v="2918"/>
    <x v="44"/>
    <x v="1"/>
    <s v="Shirt"/>
    <s v="Clothing"/>
    <n v="45"/>
    <x v="24"/>
    <s v="XL"/>
    <s v="White"/>
    <s v="Winter"/>
    <n v="2.9"/>
    <s v="No"/>
    <s v="No"/>
    <n v="50"/>
    <s v="Venmo"/>
    <s v="Annually"/>
    <m/>
  </r>
  <r>
    <n v="2919"/>
    <x v="1"/>
    <x v="1"/>
    <s v="Sunglasses"/>
    <s v="Accessories"/>
    <n v="73"/>
    <x v="14"/>
    <s v="S"/>
    <s v="Black"/>
    <s v="Fall"/>
    <n v="4.9000000000000004"/>
    <s v="No"/>
    <s v="No"/>
    <n v="36"/>
    <s v="Cash"/>
    <s v="Weekly"/>
    <m/>
  </r>
  <r>
    <n v="2920"/>
    <x v="14"/>
    <x v="1"/>
    <s v="Shoes"/>
    <s v="Footwear"/>
    <n v="67"/>
    <x v="46"/>
    <s v="L"/>
    <s v="Charcoal"/>
    <s v="Winter"/>
    <n v="3.8"/>
    <s v="No"/>
    <s v="No"/>
    <n v="31"/>
    <s v="Debit Card"/>
    <s v="Monthly"/>
    <m/>
  </r>
  <r>
    <n v="2921"/>
    <x v="23"/>
    <x v="1"/>
    <s v="Sunglasses"/>
    <s v="Accessories"/>
    <n v="72"/>
    <x v="21"/>
    <s v="XL"/>
    <s v="Brown"/>
    <s v="Spring"/>
    <n v="4.9000000000000004"/>
    <s v="No"/>
    <s v="No"/>
    <n v="3"/>
    <s v="Debit Card"/>
    <s v="Bi-Weekly"/>
    <m/>
  </r>
  <r>
    <n v="2922"/>
    <x v="30"/>
    <x v="1"/>
    <s v="Handbag"/>
    <s v="Accessories"/>
    <n v="24"/>
    <x v="48"/>
    <s v="M"/>
    <s v="Cyan"/>
    <s v="Fall"/>
    <n v="4.5999999999999996"/>
    <s v="No"/>
    <s v="No"/>
    <n v="11"/>
    <s v="Cash"/>
    <s v="Fortnightly"/>
    <m/>
  </r>
  <r>
    <n v="2923"/>
    <x v="4"/>
    <x v="1"/>
    <s v="Sunglasses"/>
    <s v="Accessories"/>
    <n v="68"/>
    <x v="0"/>
    <s v="L"/>
    <s v="Beige"/>
    <s v="Winter"/>
    <n v="3.5"/>
    <s v="No"/>
    <s v="No"/>
    <n v="16"/>
    <s v="PayPal"/>
    <s v="Quarterly"/>
    <m/>
  </r>
  <r>
    <n v="2924"/>
    <x v="48"/>
    <x v="1"/>
    <s v="Shirt"/>
    <s v="Clothing"/>
    <n v="70"/>
    <x v="38"/>
    <s v="M"/>
    <s v="Magenta"/>
    <s v="Spring"/>
    <n v="4.2"/>
    <s v="No"/>
    <s v="No"/>
    <n v="12"/>
    <s v="Cash"/>
    <s v="Quarterly"/>
    <m/>
  </r>
  <r>
    <n v="2925"/>
    <x v="36"/>
    <x v="1"/>
    <s v="Shirt"/>
    <s v="Clothing"/>
    <n v="64"/>
    <x v="3"/>
    <s v="L"/>
    <s v="Indigo"/>
    <s v="Winter"/>
    <n v="3.7"/>
    <s v="No"/>
    <s v="No"/>
    <n v="37"/>
    <s v="Debit Card"/>
    <s v="Every 3 Months"/>
    <m/>
  </r>
  <r>
    <n v="2926"/>
    <x v="22"/>
    <x v="1"/>
    <s v="Sweater"/>
    <s v="Clothing"/>
    <n v="91"/>
    <x v="26"/>
    <s v="M"/>
    <s v="Maroon"/>
    <s v="Spring"/>
    <n v="2.8"/>
    <s v="No"/>
    <s v="No"/>
    <n v="43"/>
    <s v="Credit Card"/>
    <s v="Every 3 Months"/>
    <m/>
  </r>
  <r>
    <n v="2927"/>
    <x v="14"/>
    <x v="1"/>
    <s v="Handbag"/>
    <s v="Accessories"/>
    <n v="82"/>
    <x v="33"/>
    <s v="M"/>
    <s v="Gray"/>
    <s v="Winter"/>
    <n v="4.8"/>
    <s v="No"/>
    <s v="No"/>
    <n v="9"/>
    <s v="Cash"/>
    <s v="Weekly"/>
    <m/>
  </r>
  <r>
    <n v="2928"/>
    <x v="4"/>
    <x v="1"/>
    <s v="Shirt"/>
    <s v="Clothing"/>
    <n v="24"/>
    <x v="9"/>
    <s v="M"/>
    <s v="Black"/>
    <s v="Summer"/>
    <n v="2.7"/>
    <s v="No"/>
    <s v="No"/>
    <n v="15"/>
    <s v="Venmo"/>
    <s v="Bi-Weekly"/>
    <m/>
  </r>
  <r>
    <n v="2929"/>
    <x v="37"/>
    <x v="1"/>
    <s v="Jewelry"/>
    <s v="Accessories"/>
    <n v="80"/>
    <x v="15"/>
    <s v="L"/>
    <s v="Yellow"/>
    <s v="Spring"/>
    <n v="3.6"/>
    <s v="No"/>
    <s v="No"/>
    <n v="17"/>
    <s v="Credit Card"/>
    <s v="Weekly"/>
    <m/>
  </r>
  <r>
    <n v="2930"/>
    <x v="18"/>
    <x v="1"/>
    <s v="Socks"/>
    <s v="Clothing"/>
    <n v="53"/>
    <x v="1"/>
    <s v="XL"/>
    <s v="White"/>
    <s v="Winter"/>
    <n v="4.5"/>
    <s v="No"/>
    <s v="No"/>
    <n v="42"/>
    <s v="Venmo"/>
    <s v="Fortnightly"/>
    <m/>
  </r>
  <r>
    <n v="2931"/>
    <x v="21"/>
    <x v="1"/>
    <s v="T-shirt"/>
    <s v="Clothing"/>
    <n v="50"/>
    <x v="16"/>
    <s v="M"/>
    <s v="Orange"/>
    <s v="Spring"/>
    <n v="4"/>
    <s v="No"/>
    <s v="No"/>
    <n v="14"/>
    <s v="Venmo"/>
    <s v="Monthly"/>
    <m/>
  </r>
  <r>
    <n v="2932"/>
    <x v="24"/>
    <x v="1"/>
    <s v="Jewelry"/>
    <s v="Accessories"/>
    <n v="31"/>
    <x v="15"/>
    <s v="M"/>
    <s v="Magenta"/>
    <s v="Fall"/>
    <n v="4.5"/>
    <s v="No"/>
    <s v="No"/>
    <n v="49"/>
    <s v="Credit Card"/>
    <s v="Bi-Weekly"/>
    <m/>
  </r>
  <r>
    <n v="2933"/>
    <x v="13"/>
    <x v="1"/>
    <s v="Backpack"/>
    <s v="Accessories"/>
    <n v="88"/>
    <x v="29"/>
    <s v="L"/>
    <s v="Black"/>
    <s v="Spring"/>
    <n v="3.9"/>
    <s v="No"/>
    <s v="No"/>
    <n v="3"/>
    <s v="PayPal"/>
    <s v="Quarterly"/>
    <m/>
  </r>
  <r>
    <n v="2934"/>
    <x v="7"/>
    <x v="1"/>
    <s v="Hat"/>
    <s v="Accessories"/>
    <n v="52"/>
    <x v="26"/>
    <s v="M"/>
    <s v="Brown"/>
    <s v="Summer"/>
    <n v="3.8"/>
    <s v="No"/>
    <s v="No"/>
    <n v="28"/>
    <s v="Venmo"/>
    <s v="Monthly"/>
    <m/>
  </r>
  <r>
    <n v="2935"/>
    <x v="21"/>
    <x v="1"/>
    <s v="Gloves"/>
    <s v="Accessories"/>
    <n v="22"/>
    <x v="37"/>
    <s v="M"/>
    <s v="Orange"/>
    <s v="Fall"/>
    <n v="4.7"/>
    <s v="No"/>
    <s v="No"/>
    <n v="41"/>
    <s v="Bank Transfer"/>
    <s v="Quarterly"/>
    <m/>
  </r>
  <r>
    <n v="2936"/>
    <x v="44"/>
    <x v="1"/>
    <s v="Sneakers"/>
    <s v="Footwear"/>
    <n v="27"/>
    <x v="17"/>
    <s v="XL"/>
    <s v="Gray"/>
    <s v="Spring"/>
    <n v="4.5999999999999996"/>
    <s v="No"/>
    <s v="No"/>
    <n v="11"/>
    <s v="Venmo"/>
    <s v="Weekly"/>
    <m/>
  </r>
  <r>
    <n v="2937"/>
    <x v="18"/>
    <x v="1"/>
    <s v="Skirt"/>
    <s v="Clothing"/>
    <n v="34"/>
    <x v="47"/>
    <s v="M"/>
    <s v="White"/>
    <s v="Spring"/>
    <n v="3.6"/>
    <s v="No"/>
    <s v="No"/>
    <n v="46"/>
    <s v="PayPal"/>
    <s v="Weekly"/>
    <m/>
  </r>
  <r>
    <n v="2938"/>
    <x v="48"/>
    <x v="1"/>
    <s v="Handbag"/>
    <s v="Accessories"/>
    <n v="39"/>
    <x v="8"/>
    <s v="M"/>
    <s v="White"/>
    <s v="Spring"/>
    <n v="4.3"/>
    <s v="No"/>
    <s v="No"/>
    <n v="15"/>
    <s v="Credit Card"/>
    <s v="Weekly"/>
    <m/>
  </r>
  <r>
    <n v="2939"/>
    <x v="48"/>
    <x v="1"/>
    <s v="Sunglasses"/>
    <s v="Accessories"/>
    <n v="53"/>
    <x v="1"/>
    <s v="M"/>
    <s v="Violet"/>
    <s v="Fall"/>
    <n v="3"/>
    <s v="No"/>
    <s v="No"/>
    <n v="15"/>
    <s v="Cash"/>
    <s v="Monthly"/>
    <m/>
  </r>
  <r>
    <n v="2940"/>
    <x v="45"/>
    <x v="1"/>
    <s v="Sweater"/>
    <s v="Clothing"/>
    <n v="46"/>
    <x v="0"/>
    <s v="M"/>
    <s v="Beige"/>
    <s v="Winter"/>
    <n v="4.3"/>
    <s v="No"/>
    <s v="No"/>
    <n v="34"/>
    <s v="Venmo"/>
    <s v="Weekly"/>
    <m/>
  </r>
  <r>
    <n v="2941"/>
    <x v="12"/>
    <x v="1"/>
    <s v="Handbag"/>
    <s v="Accessories"/>
    <n v="85"/>
    <x v="2"/>
    <s v="L"/>
    <s v="Beige"/>
    <s v="Summer"/>
    <n v="4.8"/>
    <s v="No"/>
    <s v="No"/>
    <n v="13"/>
    <s v="Cash"/>
    <s v="Monthly"/>
    <m/>
  </r>
  <r>
    <n v="2942"/>
    <x v="21"/>
    <x v="1"/>
    <s v="Skirt"/>
    <s v="Clothing"/>
    <n v="86"/>
    <x v="38"/>
    <s v="L"/>
    <s v="Purple"/>
    <s v="Spring"/>
    <n v="3.7"/>
    <s v="No"/>
    <s v="No"/>
    <n v="27"/>
    <s v="PayPal"/>
    <s v="Monthly"/>
    <m/>
  </r>
  <r>
    <n v="2943"/>
    <x v="22"/>
    <x v="1"/>
    <s v="Socks"/>
    <s v="Clothing"/>
    <n v="63"/>
    <x v="11"/>
    <s v="M"/>
    <s v="Brown"/>
    <s v="Summer"/>
    <n v="2.6"/>
    <s v="No"/>
    <s v="No"/>
    <n v="37"/>
    <s v="Bank Transfer"/>
    <s v="Weekly"/>
    <m/>
  </r>
  <r>
    <n v="2944"/>
    <x v="26"/>
    <x v="1"/>
    <s v="Shirt"/>
    <s v="Clothing"/>
    <n v="44"/>
    <x v="41"/>
    <s v="M"/>
    <s v="Orange"/>
    <s v="Spring"/>
    <n v="3.4"/>
    <s v="No"/>
    <s v="No"/>
    <n v="37"/>
    <s v="Credit Card"/>
    <s v="Monthly"/>
    <m/>
  </r>
  <r>
    <n v="2945"/>
    <x v="2"/>
    <x v="1"/>
    <s v="Sneakers"/>
    <s v="Footwear"/>
    <n v="95"/>
    <x v="14"/>
    <s v="XL"/>
    <s v="Cyan"/>
    <s v="Summer"/>
    <n v="3.9"/>
    <s v="No"/>
    <s v="No"/>
    <n v="4"/>
    <s v="Venmo"/>
    <s v="Every 3 Months"/>
    <m/>
  </r>
  <r>
    <n v="2946"/>
    <x v="45"/>
    <x v="1"/>
    <s v="Belt"/>
    <s v="Accessories"/>
    <n v="49"/>
    <x v="12"/>
    <s v="M"/>
    <s v="Charcoal"/>
    <s v="Summer"/>
    <n v="4.8"/>
    <s v="No"/>
    <s v="No"/>
    <n v="1"/>
    <s v="Credit Card"/>
    <s v="Every 3 Months"/>
    <m/>
  </r>
  <r>
    <n v="2947"/>
    <x v="21"/>
    <x v="1"/>
    <s v="Pants"/>
    <s v="Clothing"/>
    <n v="77"/>
    <x v="11"/>
    <s v="L"/>
    <s v="Purple"/>
    <s v="Spring"/>
    <n v="2.8"/>
    <s v="No"/>
    <s v="No"/>
    <n v="29"/>
    <s v="Bank Transfer"/>
    <s v="Quarterly"/>
    <m/>
  </r>
  <r>
    <n v="2948"/>
    <x v="16"/>
    <x v="1"/>
    <s v="Jewelry"/>
    <s v="Accessories"/>
    <n v="63"/>
    <x v="43"/>
    <s v="L"/>
    <s v="Peach"/>
    <s v="Spring"/>
    <n v="4.4000000000000004"/>
    <s v="No"/>
    <s v="No"/>
    <n v="50"/>
    <s v="Venmo"/>
    <s v="Annually"/>
    <m/>
  </r>
  <r>
    <n v="2949"/>
    <x v="12"/>
    <x v="1"/>
    <s v="Pants"/>
    <s v="Clothing"/>
    <n v="83"/>
    <x v="34"/>
    <s v="M"/>
    <s v="Violet"/>
    <s v="Winter"/>
    <n v="3.1"/>
    <s v="No"/>
    <s v="No"/>
    <n v="38"/>
    <s v="Debit Card"/>
    <s v="Bi-Weekly"/>
    <m/>
  </r>
  <r>
    <n v="2950"/>
    <x v="15"/>
    <x v="1"/>
    <s v="Jewelry"/>
    <s v="Accessories"/>
    <n v="93"/>
    <x v="44"/>
    <s v="M"/>
    <s v="Peach"/>
    <s v="Spring"/>
    <n v="3.8"/>
    <s v="No"/>
    <s v="No"/>
    <n v="15"/>
    <s v="PayPal"/>
    <s v="Annually"/>
    <m/>
  </r>
  <r>
    <n v="2951"/>
    <x v="40"/>
    <x v="1"/>
    <s v="Jeans"/>
    <s v="Clothing"/>
    <n v="91"/>
    <x v="44"/>
    <s v="S"/>
    <s v="Maroon"/>
    <s v="Winter"/>
    <n v="4.0999999999999996"/>
    <s v="No"/>
    <s v="No"/>
    <n v="44"/>
    <s v="Debit Card"/>
    <s v="Every 3 Months"/>
    <m/>
  </r>
  <r>
    <n v="2952"/>
    <x v="36"/>
    <x v="1"/>
    <s v="Scarf"/>
    <s v="Accessories"/>
    <n v="99"/>
    <x v="10"/>
    <s v="L"/>
    <s v="Maroon"/>
    <s v="Fall"/>
    <n v="4.5999999999999996"/>
    <s v="No"/>
    <s v="No"/>
    <n v="14"/>
    <s v="Cash"/>
    <s v="Weekly"/>
    <m/>
  </r>
  <r>
    <n v="2953"/>
    <x v="2"/>
    <x v="1"/>
    <s v="Belt"/>
    <s v="Accessories"/>
    <n v="24"/>
    <x v="15"/>
    <s v="M"/>
    <s v="Peach"/>
    <s v="Spring"/>
    <n v="4.9000000000000004"/>
    <s v="No"/>
    <s v="No"/>
    <n v="5"/>
    <s v="Debit Card"/>
    <s v="Monthly"/>
    <m/>
  </r>
  <r>
    <n v="2954"/>
    <x v="4"/>
    <x v="1"/>
    <s v="Dress"/>
    <s v="Clothing"/>
    <n v="82"/>
    <x v="33"/>
    <s v="M"/>
    <s v="Silver"/>
    <s v="Summer"/>
    <n v="4.8"/>
    <s v="No"/>
    <s v="No"/>
    <n v="11"/>
    <s v="Credit Card"/>
    <s v="Annually"/>
    <m/>
  </r>
  <r>
    <n v="2955"/>
    <x v="23"/>
    <x v="1"/>
    <s v="T-shirt"/>
    <s v="Clothing"/>
    <n v="28"/>
    <x v="45"/>
    <s v="M"/>
    <s v="Indigo"/>
    <s v="Winter"/>
    <n v="3.9"/>
    <s v="No"/>
    <s v="No"/>
    <n v="15"/>
    <s v="Credit Card"/>
    <s v="Annually"/>
    <m/>
  </r>
  <r>
    <n v="2956"/>
    <x v="32"/>
    <x v="1"/>
    <s v="Boots"/>
    <s v="Footwear"/>
    <n v="67"/>
    <x v="34"/>
    <s v="M"/>
    <s v="Silver"/>
    <s v="Winter"/>
    <n v="2.6"/>
    <s v="No"/>
    <s v="No"/>
    <n v="46"/>
    <s v="Credit Card"/>
    <s v="Annually"/>
    <m/>
  </r>
  <r>
    <n v="2957"/>
    <x v="16"/>
    <x v="1"/>
    <s v="Dress"/>
    <s v="Clothing"/>
    <n v="88"/>
    <x v="6"/>
    <s v="M"/>
    <s v="Olive"/>
    <s v="Fall"/>
    <n v="3.7"/>
    <s v="No"/>
    <s v="No"/>
    <n v="30"/>
    <s v="Venmo"/>
    <s v="Monthly"/>
    <m/>
  </r>
  <r>
    <n v="2958"/>
    <x v="28"/>
    <x v="1"/>
    <s v="Jewelry"/>
    <s v="Accessories"/>
    <n v="70"/>
    <x v="45"/>
    <s v="S"/>
    <s v="Gray"/>
    <s v="Fall"/>
    <n v="4.7"/>
    <s v="No"/>
    <s v="No"/>
    <n v="2"/>
    <s v="Cash"/>
    <s v="Annually"/>
    <m/>
  </r>
  <r>
    <n v="2959"/>
    <x v="0"/>
    <x v="1"/>
    <s v="Skirt"/>
    <s v="Clothing"/>
    <n v="100"/>
    <x v="31"/>
    <s v="M"/>
    <s v="Black"/>
    <s v="Summer"/>
    <n v="4.5"/>
    <s v="No"/>
    <s v="No"/>
    <n v="28"/>
    <s v="PayPal"/>
    <s v="Monthly"/>
    <m/>
  </r>
  <r>
    <n v="2960"/>
    <x v="21"/>
    <x v="1"/>
    <s v="Handbag"/>
    <s v="Accessories"/>
    <n v="28"/>
    <x v="21"/>
    <s v="L"/>
    <s v="Maroon"/>
    <s v="Summer"/>
    <n v="4.7"/>
    <s v="No"/>
    <s v="No"/>
    <n v="9"/>
    <s v="PayPal"/>
    <s v="Quarterly"/>
    <m/>
  </r>
  <r>
    <n v="2961"/>
    <x v="9"/>
    <x v="1"/>
    <s v="Coat"/>
    <s v="Outerwear"/>
    <n v="48"/>
    <x v="27"/>
    <s v="S"/>
    <s v="Olive"/>
    <s v="Spring"/>
    <n v="3.6"/>
    <s v="No"/>
    <s v="No"/>
    <n v="47"/>
    <s v="Credit Card"/>
    <s v="Weekly"/>
    <m/>
  </r>
  <r>
    <n v="2962"/>
    <x v="23"/>
    <x v="1"/>
    <s v="Hoodie"/>
    <s v="Clothing"/>
    <n v="43"/>
    <x v="13"/>
    <s v="S"/>
    <s v="Gold"/>
    <s v="Fall"/>
    <n v="2.8"/>
    <s v="No"/>
    <s v="No"/>
    <n v="21"/>
    <s v="Debit Card"/>
    <s v="Bi-Weekly"/>
    <m/>
  </r>
  <r>
    <n v="2963"/>
    <x v="9"/>
    <x v="1"/>
    <s v="Pants"/>
    <s v="Clothing"/>
    <n v="40"/>
    <x v="18"/>
    <s v="L"/>
    <s v="Pink"/>
    <s v="Fall"/>
    <n v="4"/>
    <s v="No"/>
    <s v="No"/>
    <n v="42"/>
    <s v="Credit Card"/>
    <s v="Every 3 Months"/>
    <m/>
  </r>
  <r>
    <n v="2964"/>
    <x v="16"/>
    <x v="1"/>
    <s v="Boots"/>
    <s v="Footwear"/>
    <n v="97"/>
    <x v="1"/>
    <s v="M"/>
    <s v="Brown"/>
    <s v="Spring"/>
    <n v="3.6"/>
    <s v="No"/>
    <s v="No"/>
    <n v="28"/>
    <s v="Credit Card"/>
    <s v="Weekly"/>
    <m/>
  </r>
  <r>
    <n v="2965"/>
    <x v="42"/>
    <x v="1"/>
    <s v="Coat"/>
    <s v="Outerwear"/>
    <n v="25"/>
    <x v="31"/>
    <s v="S"/>
    <s v="White"/>
    <s v="Fall"/>
    <n v="3.8"/>
    <s v="No"/>
    <s v="No"/>
    <n v="13"/>
    <s v="Venmo"/>
    <s v="Fortnightly"/>
    <m/>
  </r>
  <r>
    <n v="2966"/>
    <x v="39"/>
    <x v="1"/>
    <s v="Scarf"/>
    <s v="Accessories"/>
    <n v="45"/>
    <x v="12"/>
    <s v="M"/>
    <s v="Blue"/>
    <s v="Summer"/>
    <n v="4.4000000000000004"/>
    <s v="No"/>
    <s v="No"/>
    <n v="25"/>
    <s v="PayPal"/>
    <s v="Fortnightly"/>
    <m/>
  </r>
  <r>
    <n v="2967"/>
    <x v="16"/>
    <x v="1"/>
    <s v="Boots"/>
    <s v="Footwear"/>
    <n v="49"/>
    <x v="19"/>
    <s v="L"/>
    <s v="Orange"/>
    <s v="Fall"/>
    <n v="2.8"/>
    <s v="No"/>
    <s v="No"/>
    <n v="38"/>
    <s v="Debit Card"/>
    <s v="Every 3 Months"/>
    <m/>
  </r>
  <r>
    <n v="2968"/>
    <x v="50"/>
    <x v="1"/>
    <s v="Sneakers"/>
    <s v="Footwear"/>
    <n v="36"/>
    <x v="27"/>
    <s v="L"/>
    <s v="Silver"/>
    <s v="Summer"/>
    <n v="3.4"/>
    <s v="No"/>
    <s v="No"/>
    <n v="40"/>
    <s v="Venmo"/>
    <s v="Annually"/>
    <m/>
  </r>
  <r>
    <n v="2969"/>
    <x v="8"/>
    <x v="1"/>
    <s v="Sweater"/>
    <s v="Clothing"/>
    <n v="48"/>
    <x v="36"/>
    <s v="S"/>
    <s v="Gray"/>
    <s v="Fall"/>
    <n v="4.9000000000000004"/>
    <s v="No"/>
    <s v="No"/>
    <n v="25"/>
    <s v="Cash"/>
    <s v="Every 3 Months"/>
    <m/>
  </r>
  <r>
    <n v="2970"/>
    <x v="24"/>
    <x v="1"/>
    <s v="Belt"/>
    <s v="Accessories"/>
    <n v="62"/>
    <x v="34"/>
    <s v="S"/>
    <s v="Blue"/>
    <s v="Fall"/>
    <n v="4.3"/>
    <s v="No"/>
    <s v="No"/>
    <n v="20"/>
    <s v="Cash"/>
    <s v="Every 3 Months"/>
    <m/>
  </r>
  <r>
    <n v="2971"/>
    <x v="41"/>
    <x v="1"/>
    <s v="Jewelry"/>
    <s v="Accessories"/>
    <n v="74"/>
    <x v="23"/>
    <s v="M"/>
    <s v="White"/>
    <s v="Winter"/>
    <n v="3.4"/>
    <s v="No"/>
    <s v="No"/>
    <n v="44"/>
    <s v="Credit Card"/>
    <s v="Bi-Weekly"/>
    <m/>
  </r>
  <r>
    <n v="2972"/>
    <x v="11"/>
    <x v="1"/>
    <s v="Handbag"/>
    <s v="Accessories"/>
    <n v="100"/>
    <x v="40"/>
    <s v="L"/>
    <s v="Yellow"/>
    <s v="Fall"/>
    <n v="3.9"/>
    <s v="No"/>
    <s v="No"/>
    <n v="9"/>
    <s v="PayPal"/>
    <s v="Every 3 Months"/>
    <m/>
  </r>
  <r>
    <n v="2973"/>
    <x v="18"/>
    <x v="1"/>
    <s v="Jacket"/>
    <s v="Outerwear"/>
    <n v="39"/>
    <x v="14"/>
    <s v="S"/>
    <s v="Indigo"/>
    <s v="Fall"/>
    <n v="4.2"/>
    <s v="No"/>
    <s v="No"/>
    <n v="11"/>
    <s v="Venmo"/>
    <s v="Every 3 Months"/>
    <m/>
  </r>
  <r>
    <n v="2974"/>
    <x v="15"/>
    <x v="1"/>
    <s v="Boots"/>
    <s v="Footwear"/>
    <n v="65"/>
    <x v="27"/>
    <s v="M"/>
    <s v="Blue"/>
    <s v="Summer"/>
    <n v="2.7"/>
    <s v="No"/>
    <s v="No"/>
    <n v="3"/>
    <s v="Bank Transfer"/>
    <s v="Fortnightly"/>
    <m/>
  </r>
  <r>
    <n v="2975"/>
    <x v="9"/>
    <x v="1"/>
    <s v="Sneakers"/>
    <s v="Footwear"/>
    <n v="99"/>
    <x v="30"/>
    <s v="XL"/>
    <s v="Peach"/>
    <s v="Summer"/>
    <n v="4.0999999999999996"/>
    <s v="No"/>
    <s v="No"/>
    <n v="34"/>
    <s v="Credit Card"/>
    <s v="Weekly"/>
    <m/>
  </r>
  <r>
    <n v="2976"/>
    <x v="12"/>
    <x v="1"/>
    <s v="Scarf"/>
    <s v="Accessories"/>
    <n v="68"/>
    <x v="42"/>
    <s v="XL"/>
    <s v="Lavender"/>
    <s v="Winter"/>
    <n v="4.5"/>
    <s v="No"/>
    <s v="No"/>
    <n v="48"/>
    <s v="Cash"/>
    <s v="Every 3 Months"/>
    <m/>
  </r>
  <r>
    <n v="2977"/>
    <x v="11"/>
    <x v="1"/>
    <s v="Coat"/>
    <s v="Outerwear"/>
    <n v="97"/>
    <x v="43"/>
    <s v="M"/>
    <s v="Silver"/>
    <s v="Summer"/>
    <n v="2.8"/>
    <s v="No"/>
    <s v="No"/>
    <n v="28"/>
    <s v="Cash"/>
    <s v="Fortnightly"/>
    <m/>
  </r>
  <r>
    <n v="2978"/>
    <x v="21"/>
    <x v="1"/>
    <s v="Shorts"/>
    <s v="Clothing"/>
    <n v="47"/>
    <x v="47"/>
    <s v="L"/>
    <s v="Gold"/>
    <s v="Winter"/>
    <n v="3.4"/>
    <s v="No"/>
    <s v="No"/>
    <n v="20"/>
    <s v="Venmo"/>
    <s v="Annually"/>
    <m/>
  </r>
  <r>
    <n v="2979"/>
    <x v="10"/>
    <x v="1"/>
    <s v="Shorts"/>
    <s v="Clothing"/>
    <n v="56"/>
    <x v="37"/>
    <s v="S"/>
    <s v="Cyan"/>
    <s v="Spring"/>
    <n v="3.9"/>
    <s v="No"/>
    <s v="No"/>
    <n v="49"/>
    <s v="Bank Transfer"/>
    <s v="Fortnightly"/>
    <m/>
  </r>
  <r>
    <n v="2980"/>
    <x v="18"/>
    <x v="1"/>
    <s v="Jeans"/>
    <s v="Clothing"/>
    <n v="91"/>
    <x v="7"/>
    <s v="L"/>
    <s v="Olive"/>
    <s v="Fall"/>
    <n v="2.6"/>
    <s v="No"/>
    <s v="No"/>
    <n v="14"/>
    <s v="PayPal"/>
    <s v="Weekly"/>
    <m/>
  </r>
  <r>
    <n v="2981"/>
    <x v="27"/>
    <x v="1"/>
    <s v="Gloves"/>
    <s v="Accessories"/>
    <n v="93"/>
    <x v="32"/>
    <s v="L"/>
    <s v="Teal"/>
    <s v="Fall"/>
    <n v="4.4000000000000004"/>
    <s v="No"/>
    <s v="No"/>
    <n v="9"/>
    <s v="Bank Transfer"/>
    <s v="Monthly"/>
    <m/>
  </r>
  <r>
    <n v="2982"/>
    <x v="3"/>
    <x v="1"/>
    <s v="Pants"/>
    <s v="Clothing"/>
    <n v="36"/>
    <x v="12"/>
    <s v="L"/>
    <s v="Pink"/>
    <s v="Winter"/>
    <n v="4.9000000000000004"/>
    <s v="No"/>
    <s v="No"/>
    <n v="37"/>
    <s v="Venmo"/>
    <s v="Annually"/>
    <m/>
  </r>
  <r>
    <n v="2983"/>
    <x v="23"/>
    <x v="1"/>
    <s v="Dress"/>
    <s v="Clothing"/>
    <n v="45"/>
    <x v="48"/>
    <s v="M"/>
    <s v="Orange"/>
    <s v="Summer"/>
    <n v="3.6"/>
    <s v="No"/>
    <s v="No"/>
    <n v="4"/>
    <s v="Credit Card"/>
    <s v="Weekly"/>
    <m/>
  </r>
  <r>
    <n v="2984"/>
    <x v="52"/>
    <x v="1"/>
    <s v="Pants"/>
    <s v="Clothing"/>
    <n v="44"/>
    <x v="8"/>
    <s v="M"/>
    <s v="Charcoal"/>
    <s v="Winter"/>
    <n v="2.8"/>
    <s v="No"/>
    <s v="No"/>
    <n v="1"/>
    <s v="Credit Card"/>
    <s v="Quarterly"/>
    <m/>
  </r>
  <r>
    <n v="2985"/>
    <x v="4"/>
    <x v="1"/>
    <s v="Gloves"/>
    <s v="Accessories"/>
    <n v="32"/>
    <x v="21"/>
    <s v="L"/>
    <s v="Red"/>
    <s v="Spring"/>
    <n v="4.3"/>
    <s v="No"/>
    <s v="No"/>
    <n v="36"/>
    <s v="Debit Card"/>
    <s v="Bi-Weekly"/>
    <m/>
  </r>
  <r>
    <n v="2986"/>
    <x v="5"/>
    <x v="1"/>
    <s v="Belt"/>
    <s v="Accessories"/>
    <n v="36"/>
    <x v="11"/>
    <s v="S"/>
    <s v="Teal"/>
    <s v="Summer"/>
    <n v="3"/>
    <s v="No"/>
    <s v="No"/>
    <n v="21"/>
    <s v="Cash"/>
    <s v="Bi-Weekly"/>
    <m/>
  </r>
  <r>
    <n v="2987"/>
    <x v="46"/>
    <x v="1"/>
    <s v="Belt"/>
    <s v="Accessories"/>
    <n v="85"/>
    <x v="28"/>
    <s v="S"/>
    <s v="Silver"/>
    <s v="Summer"/>
    <n v="3.3"/>
    <s v="No"/>
    <s v="No"/>
    <n v="16"/>
    <s v="Credit Card"/>
    <s v="Monthly"/>
    <m/>
  </r>
  <r>
    <n v="2988"/>
    <x v="6"/>
    <x v="1"/>
    <s v="Skirt"/>
    <s v="Clothing"/>
    <n v="36"/>
    <x v="7"/>
    <s v="L"/>
    <s v="Black"/>
    <s v="Winter"/>
    <n v="2.5"/>
    <s v="No"/>
    <s v="No"/>
    <n v="42"/>
    <s v="Cash"/>
    <s v="Monthly"/>
    <m/>
  </r>
  <r>
    <n v="2989"/>
    <x v="28"/>
    <x v="1"/>
    <s v="Socks"/>
    <s v="Clothing"/>
    <n v="55"/>
    <x v="22"/>
    <s v="S"/>
    <s v="Pink"/>
    <s v="Spring"/>
    <n v="5"/>
    <s v="No"/>
    <s v="No"/>
    <n v="31"/>
    <s v="Debit Card"/>
    <s v="Monthly"/>
    <m/>
  </r>
  <r>
    <n v="2990"/>
    <x v="5"/>
    <x v="1"/>
    <s v="Belt"/>
    <s v="Accessories"/>
    <n v="20"/>
    <x v="3"/>
    <s v="XL"/>
    <s v="Teal"/>
    <s v="Summer"/>
    <n v="4.3"/>
    <s v="No"/>
    <s v="No"/>
    <n v="6"/>
    <s v="Credit Card"/>
    <s v="Weekly"/>
    <m/>
  </r>
  <r>
    <n v="2991"/>
    <x v="28"/>
    <x v="1"/>
    <s v="Shirt"/>
    <s v="Clothing"/>
    <n v="91"/>
    <x v="26"/>
    <s v="M"/>
    <s v="Teal"/>
    <s v="Fall"/>
    <n v="4.2"/>
    <s v="No"/>
    <s v="No"/>
    <n v="24"/>
    <s v="Venmo"/>
    <s v="Monthly"/>
    <m/>
  </r>
  <r>
    <n v="2992"/>
    <x v="17"/>
    <x v="1"/>
    <s v="Dress"/>
    <s v="Clothing"/>
    <n v="71"/>
    <x v="40"/>
    <s v="L"/>
    <s v="Green"/>
    <s v="Summer"/>
    <n v="3.9"/>
    <s v="No"/>
    <s v="No"/>
    <n v="7"/>
    <s v="PayPal"/>
    <s v="Bi-Weekly"/>
    <m/>
  </r>
  <r>
    <n v="2993"/>
    <x v="38"/>
    <x v="1"/>
    <s v="Socks"/>
    <s v="Clothing"/>
    <n v="64"/>
    <x v="25"/>
    <s v="M"/>
    <s v="Charcoal"/>
    <s v="Spring"/>
    <n v="3.9"/>
    <s v="No"/>
    <s v="No"/>
    <n v="25"/>
    <s v="Venmo"/>
    <s v="Weekly"/>
    <m/>
  </r>
  <r>
    <n v="2994"/>
    <x v="45"/>
    <x v="1"/>
    <s v="Jacket"/>
    <s v="Outerwear"/>
    <n v="21"/>
    <x v="23"/>
    <s v="L"/>
    <s v="Indigo"/>
    <s v="Spring"/>
    <n v="4.2"/>
    <s v="No"/>
    <s v="No"/>
    <n v="18"/>
    <s v="Cash"/>
    <s v="Bi-Weekly"/>
    <m/>
  </r>
  <r>
    <n v="2995"/>
    <x v="28"/>
    <x v="1"/>
    <s v="Sweater"/>
    <s v="Clothing"/>
    <n v="100"/>
    <x v="22"/>
    <s v="S"/>
    <s v="White"/>
    <s v="Winter"/>
    <n v="3.5"/>
    <s v="No"/>
    <s v="No"/>
    <n v="14"/>
    <s v="Bank Transfer"/>
    <s v="Quarterly"/>
    <m/>
  </r>
  <r>
    <n v="2996"/>
    <x v="26"/>
    <x v="1"/>
    <s v="Jeans"/>
    <s v="Clothing"/>
    <n v="96"/>
    <x v="41"/>
    <s v="M"/>
    <s v="Orange"/>
    <s v="Summer"/>
    <n v="2.5"/>
    <s v="No"/>
    <s v="No"/>
    <n v="42"/>
    <s v="Debit Card"/>
    <s v="Bi-Weekly"/>
    <m/>
  </r>
  <r>
    <n v="2997"/>
    <x v="27"/>
    <x v="1"/>
    <s v="Jewelry"/>
    <s v="Accessories"/>
    <n v="91"/>
    <x v="40"/>
    <s v="M"/>
    <s v="White"/>
    <s v="Spring"/>
    <n v="2.9"/>
    <s v="No"/>
    <s v="No"/>
    <n v="6"/>
    <s v="Venmo"/>
    <s v="Every 3 Months"/>
    <m/>
  </r>
  <r>
    <n v="2998"/>
    <x v="38"/>
    <x v="1"/>
    <s v="Sweater"/>
    <s v="Clothing"/>
    <n v="40"/>
    <x v="37"/>
    <s v="S"/>
    <s v="Yellow"/>
    <s v="Spring"/>
    <n v="2.7"/>
    <s v="No"/>
    <s v="No"/>
    <n v="14"/>
    <s v="Venmo"/>
    <s v="Every 3 Months"/>
    <m/>
  </r>
  <r>
    <n v="2999"/>
    <x v="18"/>
    <x v="1"/>
    <s v="Hoodie"/>
    <s v="Clothing"/>
    <n v="53"/>
    <x v="29"/>
    <s v="M"/>
    <s v="Red"/>
    <s v="Summer"/>
    <n v="4.7"/>
    <s v="No"/>
    <s v="No"/>
    <n v="30"/>
    <s v="Debit Card"/>
    <s v="Quarterly"/>
    <m/>
  </r>
  <r>
    <n v="3000"/>
    <x v="18"/>
    <x v="1"/>
    <s v="Sunglasses"/>
    <s v="Accessories"/>
    <n v="48"/>
    <x v="13"/>
    <s v="S"/>
    <s v="Charcoal"/>
    <s v="Winter"/>
    <n v="3.8"/>
    <s v="No"/>
    <s v="No"/>
    <n v="10"/>
    <s v="Cash"/>
    <s v="Monthly"/>
    <m/>
  </r>
  <r>
    <n v="3001"/>
    <x v="9"/>
    <x v="1"/>
    <s v="Sandals"/>
    <s v="Footwear"/>
    <n v="70"/>
    <x v="31"/>
    <s v="M"/>
    <s v="Lavender"/>
    <s v="Winter"/>
    <n v="3.7"/>
    <s v="No"/>
    <s v="No"/>
    <n v="7"/>
    <s v="PayPal"/>
    <s v="Weekly"/>
    <m/>
  </r>
  <r>
    <n v="3002"/>
    <x v="26"/>
    <x v="1"/>
    <s v="Coat"/>
    <s v="Outerwear"/>
    <n v="29"/>
    <x v="6"/>
    <s v="L"/>
    <s v="Charcoal"/>
    <s v="Summer"/>
    <n v="4.7"/>
    <s v="No"/>
    <s v="No"/>
    <n v="28"/>
    <s v="Credit Card"/>
    <s v="Quarterly"/>
    <m/>
  </r>
  <r>
    <n v="3003"/>
    <x v="27"/>
    <x v="1"/>
    <s v="Belt"/>
    <s v="Accessories"/>
    <n v="29"/>
    <x v="7"/>
    <s v="M"/>
    <s v="Maroon"/>
    <s v="Fall"/>
    <n v="3.6"/>
    <s v="No"/>
    <s v="No"/>
    <n v="19"/>
    <s v="Bank Transfer"/>
    <s v="Quarterly"/>
    <m/>
  </r>
  <r>
    <n v="3004"/>
    <x v="47"/>
    <x v="1"/>
    <s v="Blouse"/>
    <s v="Clothing"/>
    <n v="53"/>
    <x v="4"/>
    <s v="M"/>
    <s v="Brown"/>
    <s v="Fall"/>
    <n v="2.8"/>
    <s v="No"/>
    <s v="No"/>
    <n v="13"/>
    <s v="Credit Card"/>
    <s v="Every 3 Months"/>
    <m/>
  </r>
  <r>
    <n v="3005"/>
    <x v="4"/>
    <x v="1"/>
    <s v="Skirt"/>
    <s v="Clothing"/>
    <n v="79"/>
    <x v="28"/>
    <s v="M"/>
    <s v="Lavender"/>
    <s v="Winter"/>
    <n v="3.7"/>
    <s v="No"/>
    <s v="No"/>
    <n v="23"/>
    <s v="Venmo"/>
    <s v="Fortnightly"/>
    <m/>
  </r>
  <r>
    <n v="3006"/>
    <x v="20"/>
    <x v="1"/>
    <s v="Shorts"/>
    <s v="Clothing"/>
    <n v="65"/>
    <x v="29"/>
    <s v="XL"/>
    <s v="Brown"/>
    <s v="Spring"/>
    <n v="3.5"/>
    <s v="No"/>
    <s v="No"/>
    <n v="5"/>
    <s v="Venmo"/>
    <s v="Weekly"/>
    <m/>
  </r>
  <r>
    <n v="3007"/>
    <x v="43"/>
    <x v="1"/>
    <s v="Dress"/>
    <s v="Clothing"/>
    <n v="99"/>
    <x v="40"/>
    <s v="M"/>
    <s v="Olive"/>
    <s v="Summer"/>
    <n v="3.7"/>
    <s v="No"/>
    <s v="No"/>
    <n v="17"/>
    <s v="Venmo"/>
    <s v="Bi-Weekly"/>
    <m/>
  </r>
  <r>
    <n v="3008"/>
    <x v="51"/>
    <x v="1"/>
    <s v="Sunglasses"/>
    <s v="Accessories"/>
    <n v="60"/>
    <x v="14"/>
    <s v="L"/>
    <s v="Lavender"/>
    <s v="Winter"/>
    <n v="3"/>
    <s v="No"/>
    <s v="No"/>
    <n v="31"/>
    <s v="Venmo"/>
    <s v="Weekly"/>
    <m/>
  </r>
  <r>
    <n v="3009"/>
    <x v="31"/>
    <x v="1"/>
    <s v="Shoes"/>
    <s v="Footwear"/>
    <n v="86"/>
    <x v="35"/>
    <s v="M"/>
    <s v="Gold"/>
    <s v="Winter"/>
    <n v="4.9000000000000004"/>
    <s v="No"/>
    <s v="No"/>
    <n v="19"/>
    <s v="PayPal"/>
    <s v="Weekly"/>
    <m/>
  </r>
  <r>
    <n v="3010"/>
    <x v="46"/>
    <x v="1"/>
    <s v="Belt"/>
    <s v="Accessories"/>
    <n v="73"/>
    <x v="7"/>
    <s v="M"/>
    <s v="Silver"/>
    <s v="Winter"/>
    <n v="4.5999999999999996"/>
    <s v="No"/>
    <s v="No"/>
    <n v="8"/>
    <s v="Venmo"/>
    <s v="Fortnightly"/>
    <m/>
  </r>
  <r>
    <n v="3011"/>
    <x v="27"/>
    <x v="1"/>
    <s v="Belt"/>
    <s v="Accessories"/>
    <n v="45"/>
    <x v="31"/>
    <s v="M"/>
    <s v="Violet"/>
    <s v="Winter"/>
    <n v="3.3"/>
    <s v="No"/>
    <s v="No"/>
    <n v="15"/>
    <s v="Credit Card"/>
    <s v="Annually"/>
    <m/>
  </r>
  <r>
    <n v="3012"/>
    <x v="30"/>
    <x v="1"/>
    <s v="Belt"/>
    <s v="Accessories"/>
    <n v="70"/>
    <x v="22"/>
    <s v="S"/>
    <s v="Brown"/>
    <s v="Summer"/>
    <n v="3"/>
    <s v="No"/>
    <s v="No"/>
    <n v="18"/>
    <s v="Credit Card"/>
    <s v="Every 3 Months"/>
    <m/>
  </r>
  <r>
    <n v="3013"/>
    <x v="32"/>
    <x v="1"/>
    <s v="Belt"/>
    <s v="Accessories"/>
    <n v="65"/>
    <x v="37"/>
    <s v="M"/>
    <s v="Teal"/>
    <s v="Fall"/>
    <n v="3.5"/>
    <s v="No"/>
    <s v="No"/>
    <n v="16"/>
    <s v="PayPal"/>
    <s v="Annually"/>
    <m/>
  </r>
  <r>
    <n v="3014"/>
    <x v="38"/>
    <x v="1"/>
    <s v="Skirt"/>
    <s v="Clothing"/>
    <n v="55"/>
    <x v="28"/>
    <s v="L"/>
    <s v="Peach"/>
    <s v="Summer"/>
    <n v="4.2"/>
    <s v="No"/>
    <s v="No"/>
    <n v="13"/>
    <s v="Cash"/>
    <s v="Monthly"/>
    <m/>
  </r>
  <r>
    <n v="3015"/>
    <x v="41"/>
    <x v="1"/>
    <s v="T-shirt"/>
    <s v="Clothing"/>
    <n v="65"/>
    <x v="40"/>
    <s v="M"/>
    <s v="Maroon"/>
    <s v="Spring"/>
    <n v="4.5"/>
    <s v="No"/>
    <s v="No"/>
    <n v="38"/>
    <s v="PayPal"/>
    <s v="Every 3 Months"/>
    <m/>
  </r>
  <r>
    <n v="3016"/>
    <x v="43"/>
    <x v="1"/>
    <s v="Scarf"/>
    <s v="Accessories"/>
    <n v="21"/>
    <x v="5"/>
    <s v="XL"/>
    <s v="Lavender"/>
    <s v="Spring"/>
    <n v="2.8"/>
    <s v="No"/>
    <s v="No"/>
    <n v="27"/>
    <s v="Bank Transfer"/>
    <s v="Bi-Weekly"/>
    <m/>
  </r>
  <r>
    <n v="3017"/>
    <x v="11"/>
    <x v="1"/>
    <s v="Blouse"/>
    <s v="Clothing"/>
    <n v="26"/>
    <x v="27"/>
    <s v="L"/>
    <s v="Lavender"/>
    <s v="Summer"/>
    <n v="4.9000000000000004"/>
    <s v="No"/>
    <s v="No"/>
    <n v="31"/>
    <s v="Bank Transfer"/>
    <s v="Quarterly"/>
    <m/>
  </r>
  <r>
    <n v="3018"/>
    <x v="44"/>
    <x v="1"/>
    <s v="Sunglasses"/>
    <s v="Accessories"/>
    <n v="71"/>
    <x v="48"/>
    <s v="S"/>
    <s v="Purple"/>
    <s v="Summer"/>
    <n v="3.3"/>
    <s v="No"/>
    <s v="No"/>
    <n v="24"/>
    <s v="Cash"/>
    <s v="Bi-Weekly"/>
    <m/>
  </r>
  <r>
    <n v="3019"/>
    <x v="49"/>
    <x v="1"/>
    <s v="Boots"/>
    <s v="Footwear"/>
    <n v="41"/>
    <x v="21"/>
    <s v="M"/>
    <s v="Green"/>
    <s v="Summer"/>
    <n v="3"/>
    <s v="No"/>
    <s v="No"/>
    <n v="21"/>
    <s v="Debit Card"/>
    <s v="Bi-Weekly"/>
    <m/>
  </r>
  <r>
    <n v="3020"/>
    <x v="1"/>
    <x v="1"/>
    <s v="Jacket"/>
    <s v="Outerwear"/>
    <n v="44"/>
    <x v="40"/>
    <s v="M"/>
    <s v="Yellow"/>
    <s v="Winter"/>
    <n v="3.9"/>
    <s v="No"/>
    <s v="No"/>
    <n v="15"/>
    <s v="PayPal"/>
    <s v="Annually"/>
    <m/>
  </r>
  <r>
    <n v="3021"/>
    <x v="51"/>
    <x v="1"/>
    <s v="Jeans"/>
    <s v="Clothing"/>
    <n v="81"/>
    <x v="10"/>
    <s v="S"/>
    <s v="Charcoal"/>
    <s v="Fall"/>
    <n v="2.8"/>
    <s v="No"/>
    <s v="No"/>
    <n v="48"/>
    <s v="Venmo"/>
    <s v="Every 3 Months"/>
    <m/>
  </r>
  <r>
    <n v="3022"/>
    <x v="13"/>
    <x v="1"/>
    <s v="Sunglasses"/>
    <s v="Accessories"/>
    <n v="77"/>
    <x v="38"/>
    <s v="S"/>
    <s v="Blue"/>
    <s v="Summer"/>
    <n v="4.5"/>
    <s v="No"/>
    <s v="No"/>
    <n v="47"/>
    <s v="Cash"/>
    <s v="Quarterly"/>
    <m/>
  </r>
  <r>
    <n v="3023"/>
    <x v="44"/>
    <x v="1"/>
    <s v="Sandals"/>
    <s v="Footwear"/>
    <n v="26"/>
    <x v="42"/>
    <s v="M"/>
    <s v="Lavender"/>
    <s v="Fall"/>
    <n v="4"/>
    <s v="No"/>
    <s v="No"/>
    <n v="23"/>
    <s v="PayPal"/>
    <s v="Weekly"/>
    <m/>
  </r>
  <r>
    <n v="3024"/>
    <x v="2"/>
    <x v="1"/>
    <s v="Backpack"/>
    <s v="Accessories"/>
    <n v="31"/>
    <x v="27"/>
    <s v="M"/>
    <s v="Brown"/>
    <s v="Summer"/>
    <n v="2.9"/>
    <s v="No"/>
    <s v="No"/>
    <n v="4"/>
    <s v="PayPal"/>
    <s v="Quarterly"/>
    <m/>
  </r>
  <r>
    <n v="3025"/>
    <x v="29"/>
    <x v="1"/>
    <s v="Blouse"/>
    <s v="Clothing"/>
    <n v="82"/>
    <x v="37"/>
    <s v="S"/>
    <s v="White"/>
    <s v="Spring"/>
    <n v="4"/>
    <s v="No"/>
    <s v="No"/>
    <n v="47"/>
    <s v="Credit Card"/>
    <s v="Every 3 Months"/>
    <m/>
  </r>
  <r>
    <n v="3026"/>
    <x v="37"/>
    <x v="1"/>
    <s v="Shoes"/>
    <s v="Footwear"/>
    <n v="60"/>
    <x v="6"/>
    <s v="XL"/>
    <s v="Green"/>
    <s v="Summer"/>
    <n v="3.4"/>
    <s v="No"/>
    <s v="No"/>
    <n v="7"/>
    <s v="PayPal"/>
    <s v="Monthly"/>
    <m/>
  </r>
  <r>
    <n v="3027"/>
    <x v="0"/>
    <x v="1"/>
    <s v="Shirt"/>
    <s v="Clothing"/>
    <n v="70"/>
    <x v="30"/>
    <s v="L"/>
    <s v="Magenta"/>
    <s v="Fall"/>
    <n v="2.5"/>
    <s v="No"/>
    <s v="No"/>
    <n v="6"/>
    <s v="Credit Card"/>
    <s v="Annually"/>
    <m/>
  </r>
  <r>
    <n v="3028"/>
    <x v="16"/>
    <x v="1"/>
    <s v="Hoodie"/>
    <s v="Clothing"/>
    <n v="26"/>
    <x v="8"/>
    <s v="XL"/>
    <s v="Peach"/>
    <s v="Winter"/>
    <n v="2.8"/>
    <s v="No"/>
    <s v="No"/>
    <n v="47"/>
    <s v="Credit Card"/>
    <s v="Quarterly"/>
    <m/>
  </r>
  <r>
    <n v="3029"/>
    <x v="46"/>
    <x v="1"/>
    <s v="Dress"/>
    <s v="Clothing"/>
    <n v="100"/>
    <x v="18"/>
    <s v="L"/>
    <s v="Charcoal"/>
    <s v="Summer"/>
    <n v="3"/>
    <s v="No"/>
    <s v="No"/>
    <n v="7"/>
    <s v="PayPal"/>
    <s v="Every 3 Months"/>
    <m/>
  </r>
  <r>
    <n v="3030"/>
    <x v="14"/>
    <x v="1"/>
    <s v="Dress"/>
    <s v="Clothing"/>
    <n v="82"/>
    <x v="42"/>
    <s v="M"/>
    <s v="Gold"/>
    <s v="Summer"/>
    <n v="3.1"/>
    <s v="No"/>
    <s v="No"/>
    <n v="1"/>
    <s v="Debit Card"/>
    <s v="Quarterly"/>
    <m/>
  </r>
  <r>
    <n v="3031"/>
    <x v="49"/>
    <x v="1"/>
    <s v="Sneakers"/>
    <s v="Footwear"/>
    <n v="24"/>
    <x v="33"/>
    <s v="XL"/>
    <s v="Purple"/>
    <s v="Spring"/>
    <n v="2.6"/>
    <s v="No"/>
    <s v="No"/>
    <n v="23"/>
    <s v="Credit Card"/>
    <s v="Weekly"/>
    <m/>
  </r>
  <r>
    <n v="3032"/>
    <x v="12"/>
    <x v="1"/>
    <s v="Blouse"/>
    <s v="Clothing"/>
    <n v="74"/>
    <x v="37"/>
    <s v="L"/>
    <s v="Teal"/>
    <s v="Summer"/>
    <n v="4.9000000000000004"/>
    <s v="No"/>
    <s v="No"/>
    <n v="30"/>
    <s v="Credit Card"/>
    <s v="Monthly"/>
    <m/>
  </r>
  <r>
    <n v="3033"/>
    <x v="8"/>
    <x v="1"/>
    <s v="Backpack"/>
    <s v="Accessories"/>
    <n v="58"/>
    <x v="18"/>
    <s v="XL"/>
    <s v="Green"/>
    <s v="Summer"/>
    <n v="3.5"/>
    <s v="No"/>
    <s v="No"/>
    <n v="24"/>
    <s v="Credit Card"/>
    <s v="Quarterly"/>
    <m/>
  </r>
  <r>
    <n v="3034"/>
    <x v="40"/>
    <x v="1"/>
    <s v="Sweater"/>
    <s v="Clothing"/>
    <n v="56"/>
    <x v="15"/>
    <s v="L"/>
    <s v="Orange"/>
    <s v="Spring"/>
    <n v="2.6"/>
    <s v="No"/>
    <s v="No"/>
    <n v="9"/>
    <s v="PayPal"/>
    <s v="Weekly"/>
    <m/>
  </r>
  <r>
    <n v="3035"/>
    <x v="47"/>
    <x v="1"/>
    <s v="Boots"/>
    <s v="Footwear"/>
    <n v="37"/>
    <x v="40"/>
    <s v="L"/>
    <s v="Peach"/>
    <s v="Spring"/>
    <n v="3.5"/>
    <s v="No"/>
    <s v="No"/>
    <n v="25"/>
    <s v="Credit Card"/>
    <s v="Quarterly"/>
    <m/>
  </r>
  <r>
    <n v="3036"/>
    <x v="28"/>
    <x v="1"/>
    <s v="Handbag"/>
    <s v="Accessories"/>
    <n v="64"/>
    <x v="0"/>
    <s v="M"/>
    <s v="Gold"/>
    <s v="Spring"/>
    <n v="4.5"/>
    <s v="No"/>
    <s v="No"/>
    <n v="18"/>
    <s v="Cash"/>
    <s v="Bi-Weekly"/>
    <m/>
  </r>
  <r>
    <n v="3037"/>
    <x v="2"/>
    <x v="1"/>
    <s v="Hoodie"/>
    <s v="Clothing"/>
    <n v="58"/>
    <x v="34"/>
    <s v="S"/>
    <s v="Violet"/>
    <s v="Spring"/>
    <n v="4.3"/>
    <s v="No"/>
    <s v="No"/>
    <n v="7"/>
    <s v="Venmo"/>
    <s v="Fortnightly"/>
    <m/>
  </r>
  <r>
    <n v="3038"/>
    <x v="47"/>
    <x v="1"/>
    <s v="Belt"/>
    <s v="Accessories"/>
    <n v="44"/>
    <x v="44"/>
    <s v="L"/>
    <s v="Charcoal"/>
    <s v="Summer"/>
    <n v="4.8"/>
    <s v="No"/>
    <s v="No"/>
    <n v="2"/>
    <s v="Cash"/>
    <s v="Annually"/>
    <m/>
  </r>
  <r>
    <n v="3039"/>
    <x v="19"/>
    <x v="1"/>
    <s v="Jewelry"/>
    <s v="Accessories"/>
    <n v="39"/>
    <x v="42"/>
    <s v="M"/>
    <s v="Brown"/>
    <s v="Summer"/>
    <n v="4.2"/>
    <s v="No"/>
    <s v="No"/>
    <n v="36"/>
    <s v="Debit Card"/>
    <s v="Annually"/>
    <m/>
  </r>
  <r>
    <n v="3040"/>
    <x v="35"/>
    <x v="1"/>
    <s v="Blouse"/>
    <s v="Clothing"/>
    <n v="48"/>
    <x v="15"/>
    <s v="L"/>
    <s v="Blue"/>
    <s v="Spring"/>
    <n v="3.2"/>
    <s v="No"/>
    <s v="No"/>
    <n v="31"/>
    <s v="PayPal"/>
    <s v="Bi-Weekly"/>
    <m/>
  </r>
  <r>
    <n v="3041"/>
    <x v="20"/>
    <x v="1"/>
    <s v="Handbag"/>
    <s v="Accessories"/>
    <n v="32"/>
    <x v="43"/>
    <s v="M"/>
    <s v="Gold"/>
    <s v="Fall"/>
    <n v="4.0999999999999996"/>
    <s v="No"/>
    <s v="No"/>
    <n v="10"/>
    <s v="Cash"/>
    <s v="Fortnightly"/>
    <m/>
  </r>
  <r>
    <n v="3042"/>
    <x v="39"/>
    <x v="1"/>
    <s v="Handbag"/>
    <s v="Accessories"/>
    <n v="79"/>
    <x v="3"/>
    <s v="M"/>
    <s v="Orange"/>
    <s v="Winter"/>
    <n v="4"/>
    <s v="No"/>
    <s v="No"/>
    <n v="27"/>
    <s v="PayPal"/>
    <s v="Monthly"/>
    <m/>
  </r>
  <r>
    <n v="3043"/>
    <x v="10"/>
    <x v="1"/>
    <s v="Coat"/>
    <s v="Outerwear"/>
    <n v="27"/>
    <x v="45"/>
    <s v="L"/>
    <s v="Turquoise"/>
    <s v="Winter"/>
    <n v="2.9"/>
    <s v="No"/>
    <s v="No"/>
    <n v="14"/>
    <s v="PayPal"/>
    <s v="Every 3 Months"/>
    <m/>
  </r>
  <r>
    <n v="3044"/>
    <x v="4"/>
    <x v="1"/>
    <s v="Belt"/>
    <s v="Accessories"/>
    <n v="98"/>
    <x v="26"/>
    <s v="S"/>
    <s v="Peach"/>
    <s v="Fall"/>
    <n v="2.6"/>
    <s v="No"/>
    <s v="No"/>
    <n v="17"/>
    <s v="Credit Card"/>
    <s v="Monthly"/>
    <m/>
  </r>
  <r>
    <n v="3045"/>
    <x v="3"/>
    <x v="1"/>
    <s v="Boots"/>
    <s v="Footwear"/>
    <n v="67"/>
    <x v="17"/>
    <s v="M"/>
    <s v="Magenta"/>
    <s v="Winter"/>
    <n v="2.7"/>
    <s v="No"/>
    <s v="No"/>
    <n v="10"/>
    <s v="Bank Transfer"/>
    <s v="Quarterly"/>
    <m/>
  </r>
  <r>
    <n v="3046"/>
    <x v="32"/>
    <x v="1"/>
    <s v="Socks"/>
    <s v="Clothing"/>
    <n v="37"/>
    <x v="20"/>
    <s v="L"/>
    <s v="Black"/>
    <s v="Winter"/>
    <n v="4.5999999999999996"/>
    <s v="No"/>
    <s v="No"/>
    <n v="4"/>
    <s v="PayPal"/>
    <s v="Bi-Weekly"/>
    <m/>
  </r>
  <r>
    <n v="3047"/>
    <x v="52"/>
    <x v="1"/>
    <s v="Shoes"/>
    <s v="Footwear"/>
    <n v="49"/>
    <x v="38"/>
    <s v="M"/>
    <s v="White"/>
    <s v="Spring"/>
    <n v="3.2"/>
    <s v="No"/>
    <s v="No"/>
    <n v="25"/>
    <s v="Cash"/>
    <s v="Every 3 Months"/>
    <m/>
  </r>
  <r>
    <n v="3048"/>
    <x v="3"/>
    <x v="1"/>
    <s v="Sneakers"/>
    <s v="Footwear"/>
    <n v="74"/>
    <x v="34"/>
    <s v="M"/>
    <s v="Violet"/>
    <s v="Fall"/>
    <n v="4.0999999999999996"/>
    <s v="No"/>
    <s v="No"/>
    <n v="3"/>
    <s v="PayPal"/>
    <s v="Bi-Weekly"/>
    <m/>
  </r>
  <r>
    <n v="3049"/>
    <x v="28"/>
    <x v="1"/>
    <s v="Jewelry"/>
    <s v="Accessories"/>
    <n v="93"/>
    <x v="24"/>
    <s v="M"/>
    <s v="Olive"/>
    <s v="Summer"/>
    <n v="3.9"/>
    <s v="No"/>
    <s v="No"/>
    <n v="47"/>
    <s v="Venmo"/>
    <s v="Fortnightly"/>
    <m/>
  </r>
  <r>
    <n v="3050"/>
    <x v="37"/>
    <x v="1"/>
    <s v="Handbag"/>
    <s v="Accessories"/>
    <n v="60"/>
    <x v="40"/>
    <s v="L"/>
    <s v="Red"/>
    <s v="Summer"/>
    <n v="3"/>
    <s v="No"/>
    <s v="No"/>
    <n v="41"/>
    <s v="Bank Transfer"/>
    <s v="Bi-Weekly"/>
    <m/>
  </r>
  <r>
    <n v="3051"/>
    <x v="18"/>
    <x v="1"/>
    <s v="Coat"/>
    <s v="Outerwear"/>
    <n v="76"/>
    <x v="0"/>
    <s v="S"/>
    <s v="Green"/>
    <s v="Spring"/>
    <n v="3.6"/>
    <s v="No"/>
    <s v="No"/>
    <n v="28"/>
    <s v="Venmo"/>
    <s v="Every 3 Months"/>
    <m/>
  </r>
  <r>
    <n v="3052"/>
    <x v="42"/>
    <x v="1"/>
    <s v="Sunglasses"/>
    <s v="Accessories"/>
    <n v="64"/>
    <x v="5"/>
    <s v="L"/>
    <s v="Gold"/>
    <s v="Summer"/>
    <n v="4.5999999999999996"/>
    <s v="No"/>
    <s v="No"/>
    <n v="49"/>
    <s v="Debit Card"/>
    <s v="Every 3 Months"/>
    <m/>
  </r>
  <r>
    <n v="3053"/>
    <x v="39"/>
    <x v="1"/>
    <s v="Shoes"/>
    <s v="Footwear"/>
    <n v="38"/>
    <x v="1"/>
    <s v="XL"/>
    <s v="Olive"/>
    <s v="Spring"/>
    <n v="4.5"/>
    <s v="No"/>
    <s v="No"/>
    <n v="7"/>
    <s v="Bank Transfer"/>
    <s v="Fortnightly"/>
    <m/>
  </r>
  <r>
    <n v="3054"/>
    <x v="45"/>
    <x v="1"/>
    <s v="Shoes"/>
    <s v="Footwear"/>
    <n v="91"/>
    <x v="1"/>
    <s v="L"/>
    <s v="Brown"/>
    <s v="Winter"/>
    <n v="3.2"/>
    <s v="No"/>
    <s v="No"/>
    <n v="22"/>
    <s v="Bank Transfer"/>
    <s v="Monthly"/>
    <m/>
  </r>
  <r>
    <n v="3055"/>
    <x v="32"/>
    <x v="1"/>
    <s v="Boots"/>
    <s v="Footwear"/>
    <n v="70"/>
    <x v="13"/>
    <s v="S"/>
    <s v="Magenta"/>
    <s v="Summer"/>
    <n v="4.9000000000000004"/>
    <s v="No"/>
    <s v="No"/>
    <n v="34"/>
    <s v="Venmo"/>
    <s v="Monthly"/>
    <m/>
  </r>
  <r>
    <n v="3056"/>
    <x v="7"/>
    <x v="1"/>
    <s v="Sandals"/>
    <s v="Footwear"/>
    <n v="22"/>
    <x v="23"/>
    <s v="M"/>
    <s v="Violet"/>
    <s v="Fall"/>
    <n v="5"/>
    <s v="No"/>
    <s v="No"/>
    <n v="5"/>
    <s v="Debit Card"/>
    <s v="Bi-Weekly"/>
    <m/>
  </r>
  <r>
    <n v="3057"/>
    <x v="28"/>
    <x v="1"/>
    <s v="Gloves"/>
    <s v="Accessories"/>
    <n v="59"/>
    <x v="32"/>
    <s v="M"/>
    <s v="Beige"/>
    <s v="Spring"/>
    <n v="3.8"/>
    <s v="No"/>
    <s v="No"/>
    <n v="15"/>
    <s v="Cash"/>
    <s v="Bi-Weekly"/>
    <m/>
  </r>
  <r>
    <n v="3058"/>
    <x v="29"/>
    <x v="1"/>
    <s v="Backpack"/>
    <s v="Accessories"/>
    <n v="22"/>
    <x v="17"/>
    <s v="M"/>
    <s v="Blue"/>
    <s v="Spring"/>
    <n v="3.4"/>
    <s v="No"/>
    <s v="No"/>
    <n v="26"/>
    <s v="Bank Transfer"/>
    <s v="Weekly"/>
    <m/>
  </r>
  <r>
    <n v="3059"/>
    <x v="38"/>
    <x v="1"/>
    <s v="Handbag"/>
    <s v="Accessories"/>
    <n v="74"/>
    <x v="8"/>
    <s v="S"/>
    <s v="Orange"/>
    <s v="Winter"/>
    <n v="3.8"/>
    <s v="No"/>
    <s v="No"/>
    <n v="3"/>
    <s v="Bank Transfer"/>
    <s v="Fortnightly"/>
    <m/>
  </r>
  <r>
    <n v="3060"/>
    <x v="5"/>
    <x v="1"/>
    <s v="Sweater"/>
    <s v="Clothing"/>
    <n v="71"/>
    <x v="0"/>
    <s v="L"/>
    <s v="Maroon"/>
    <s v="Spring"/>
    <n v="3.2"/>
    <s v="No"/>
    <s v="No"/>
    <n v="42"/>
    <s v="Credit Card"/>
    <s v="Quarterly"/>
    <m/>
  </r>
  <r>
    <n v="3061"/>
    <x v="36"/>
    <x v="1"/>
    <s v="Coat"/>
    <s v="Outerwear"/>
    <n v="80"/>
    <x v="18"/>
    <s v="S"/>
    <s v="Charcoal"/>
    <s v="Summer"/>
    <n v="4.7"/>
    <s v="No"/>
    <s v="No"/>
    <n v="1"/>
    <s v="Venmo"/>
    <s v="Monthly"/>
    <m/>
  </r>
  <r>
    <n v="3062"/>
    <x v="23"/>
    <x v="1"/>
    <s v="T-shirt"/>
    <s v="Clothing"/>
    <n v="59"/>
    <x v="45"/>
    <s v="L"/>
    <s v="Olive"/>
    <s v="Fall"/>
    <n v="4.5"/>
    <s v="No"/>
    <s v="No"/>
    <n v="20"/>
    <s v="PayPal"/>
    <s v="Every 3 Months"/>
    <m/>
  </r>
  <r>
    <n v="3063"/>
    <x v="47"/>
    <x v="1"/>
    <s v="Backpack"/>
    <s v="Accessories"/>
    <n v="96"/>
    <x v="18"/>
    <s v="L"/>
    <s v="Green"/>
    <s v="Fall"/>
    <n v="3.3"/>
    <s v="No"/>
    <s v="No"/>
    <n v="39"/>
    <s v="PayPal"/>
    <s v="Monthly"/>
    <m/>
  </r>
  <r>
    <n v="3064"/>
    <x v="8"/>
    <x v="1"/>
    <s v="Sunglasses"/>
    <s v="Accessories"/>
    <n v="43"/>
    <x v="39"/>
    <s v="L"/>
    <s v="Brown"/>
    <s v="Winter"/>
    <n v="3.9"/>
    <s v="No"/>
    <s v="No"/>
    <n v="24"/>
    <s v="Credit Card"/>
    <s v="Fortnightly"/>
    <m/>
  </r>
  <r>
    <n v="3065"/>
    <x v="40"/>
    <x v="1"/>
    <s v="Belt"/>
    <s v="Accessories"/>
    <n v="76"/>
    <x v="37"/>
    <s v="S"/>
    <s v="Cyan"/>
    <s v="Winter"/>
    <n v="3.6"/>
    <s v="No"/>
    <s v="No"/>
    <n v="49"/>
    <s v="Bank Transfer"/>
    <s v="Quarterly"/>
    <m/>
  </r>
  <r>
    <n v="3066"/>
    <x v="34"/>
    <x v="1"/>
    <s v="Jacket"/>
    <s v="Outerwear"/>
    <n v="59"/>
    <x v="25"/>
    <s v="M"/>
    <s v="Beige"/>
    <s v="Fall"/>
    <n v="2.8"/>
    <s v="No"/>
    <s v="No"/>
    <n v="7"/>
    <s v="Venmo"/>
    <s v="Bi-Weekly"/>
    <m/>
  </r>
  <r>
    <n v="3067"/>
    <x v="44"/>
    <x v="1"/>
    <s v="Skirt"/>
    <s v="Clothing"/>
    <n v="48"/>
    <x v="49"/>
    <s v="L"/>
    <s v="Teal"/>
    <s v="Summer"/>
    <n v="4.3"/>
    <s v="No"/>
    <s v="No"/>
    <n v="13"/>
    <s v="Venmo"/>
    <s v="Every 3 Months"/>
    <m/>
  </r>
  <r>
    <n v="3068"/>
    <x v="27"/>
    <x v="1"/>
    <s v="Belt"/>
    <s v="Accessories"/>
    <n v="22"/>
    <x v="9"/>
    <s v="S"/>
    <s v="Gray"/>
    <s v="Spring"/>
    <n v="3.5"/>
    <s v="No"/>
    <s v="No"/>
    <n v="2"/>
    <s v="Cash"/>
    <s v="Weekly"/>
    <m/>
  </r>
  <r>
    <n v="3069"/>
    <x v="45"/>
    <x v="1"/>
    <s v="Boots"/>
    <s v="Footwear"/>
    <n v="40"/>
    <x v="18"/>
    <s v="M"/>
    <s v="Indigo"/>
    <s v="Winter"/>
    <n v="4.2"/>
    <s v="No"/>
    <s v="No"/>
    <n v="4"/>
    <s v="Debit Card"/>
    <s v="Weekly"/>
    <m/>
  </r>
  <r>
    <n v="3070"/>
    <x v="46"/>
    <x v="1"/>
    <s v="Jeans"/>
    <s v="Clothing"/>
    <n v="73"/>
    <x v="12"/>
    <s v="L"/>
    <s v="Magenta"/>
    <s v="Spring"/>
    <n v="4.5999999999999996"/>
    <s v="No"/>
    <s v="No"/>
    <n v="17"/>
    <s v="Debit Card"/>
    <s v="Quarterly"/>
    <m/>
  </r>
  <r>
    <n v="3071"/>
    <x v="16"/>
    <x v="1"/>
    <s v="Shoes"/>
    <s v="Footwear"/>
    <n v="26"/>
    <x v="15"/>
    <s v="XL"/>
    <s v="Red"/>
    <s v="Fall"/>
    <n v="2.6"/>
    <s v="No"/>
    <s v="No"/>
    <n v="43"/>
    <s v="PayPal"/>
    <s v="Bi-Weekly"/>
    <m/>
  </r>
  <r>
    <n v="3072"/>
    <x v="51"/>
    <x v="1"/>
    <s v="Sweater"/>
    <s v="Clothing"/>
    <n v="41"/>
    <x v="13"/>
    <s v="L"/>
    <s v="Turquoise"/>
    <s v="Spring"/>
    <n v="3.4"/>
    <s v="No"/>
    <s v="No"/>
    <n v="6"/>
    <s v="PayPal"/>
    <s v="Monthly"/>
    <m/>
  </r>
  <r>
    <n v="3073"/>
    <x v="8"/>
    <x v="1"/>
    <s v="Jewelry"/>
    <s v="Accessories"/>
    <n v="98"/>
    <x v="14"/>
    <s v="L"/>
    <s v="Peach"/>
    <s v="Spring"/>
    <n v="3.1"/>
    <s v="No"/>
    <s v="No"/>
    <n v="46"/>
    <s v="PayPal"/>
    <s v="Quarterly"/>
    <m/>
  </r>
  <r>
    <n v="3074"/>
    <x v="44"/>
    <x v="1"/>
    <s v="Shirt"/>
    <s v="Clothing"/>
    <n v="63"/>
    <x v="4"/>
    <s v="L"/>
    <s v="White"/>
    <s v="Winter"/>
    <n v="3.6"/>
    <s v="No"/>
    <s v="No"/>
    <n v="7"/>
    <s v="Debit Card"/>
    <s v="Bi-Weekly"/>
    <m/>
  </r>
  <r>
    <n v="3075"/>
    <x v="8"/>
    <x v="1"/>
    <s v="Boots"/>
    <s v="Footwear"/>
    <n v="55"/>
    <x v="2"/>
    <s v="L"/>
    <s v="Maroon"/>
    <s v="Winter"/>
    <n v="4.2"/>
    <s v="No"/>
    <s v="No"/>
    <n v="34"/>
    <s v="Debit Card"/>
    <s v="Fortnightly"/>
    <m/>
  </r>
  <r>
    <n v="3076"/>
    <x v="22"/>
    <x v="1"/>
    <s v="Shorts"/>
    <s v="Clothing"/>
    <n v="90"/>
    <x v="40"/>
    <s v="XL"/>
    <s v="Beige"/>
    <s v="Winter"/>
    <n v="3.6"/>
    <s v="No"/>
    <s v="No"/>
    <n v="21"/>
    <s v="PayPal"/>
    <s v="Every 3 Months"/>
    <m/>
  </r>
  <r>
    <n v="3077"/>
    <x v="17"/>
    <x v="1"/>
    <s v="Handbag"/>
    <s v="Accessories"/>
    <n v="46"/>
    <x v="13"/>
    <s v="M"/>
    <s v="Blue"/>
    <s v="Summer"/>
    <n v="3.6"/>
    <s v="No"/>
    <s v="No"/>
    <n v="13"/>
    <s v="Venmo"/>
    <s v="Bi-Weekly"/>
    <m/>
  </r>
  <r>
    <n v="3078"/>
    <x v="52"/>
    <x v="1"/>
    <s v="Sweater"/>
    <s v="Clothing"/>
    <n v="88"/>
    <x v="26"/>
    <s v="S"/>
    <s v="Red"/>
    <s v="Spring"/>
    <n v="3"/>
    <s v="No"/>
    <s v="No"/>
    <n v="33"/>
    <s v="Debit Card"/>
    <s v="Bi-Weekly"/>
    <m/>
  </r>
  <r>
    <n v="3079"/>
    <x v="45"/>
    <x v="1"/>
    <s v="Belt"/>
    <s v="Accessories"/>
    <n v="95"/>
    <x v="29"/>
    <s v="M"/>
    <s v="Blue"/>
    <s v="Spring"/>
    <n v="2.5"/>
    <s v="No"/>
    <s v="No"/>
    <n v="24"/>
    <s v="Bank Transfer"/>
    <s v="Bi-Weekly"/>
    <m/>
  </r>
  <r>
    <n v="3080"/>
    <x v="39"/>
    <x v="1"/>
    <s v="Belt"/>
    <s v="Accessories"/>
    <n v="31"/>
    <x v="5"/>
    <s v="M"/>
    <s v="Maroon"/>
    <s v="Fall"/>
    <n v="4"/>
    <s v="No"/>
    <s v="No"/>
    <n v="4"/>
    <s v="Bank Transfer"/>
    <s v="Annually"/>
    <m/>
  </r>
  <r>
    <n v="3081"/>
    <x v="28"/>
    <x v="1"/>
    <s v="Hoodie"/>
    <s v="Clothing"/>
    <n v="42"/>
    <x v="24"/>
    <s v="L"/>
    <s v="Yellow"/>
    <s v="Spring"/>
    <n v="4.0999999999999996"/>
    <s v="No"/>
    <s v="No"/>
    <n v="5"/>
    <s v="Cash"/>
    <s v="Bi-Weekly"/>
    <m/>
  </r>
  <r>
    <n v="3082"/>
    <x v="14"/>
    <x v="1"/>
    <s v="Sneakers"/>
    <s v="Footwear"/>
    <n v="44"/>
    <x v="34"/>
    <s v="L"/>
    <s v="Pink"/>
    <s v="Winter"/>
    <n v="4.9000000000000004"/>
    <s v="No"/>
    <s v="No"/>
    <n v="11"/>
    <s v="Credit Card"/>
    <s v="Weekly"/>
    <m/>
  </r>
  <r>
    <n v="3083"/>
    <x v="19"/>
    <x v="1"/>
    <s v="T-shirt"/>
    <s v="Clothing"/>
    <n v="99"/>
    <x v="40"/>
    <s v="M"/>
    <s v="Maroon"/>
    <s v="Spring"/>
    <n v="4"/>
    <s v="No"/>
    <s v="No"/>
    <n v="20"/>
    <s v="Bank Transfer"/>
    <s v="Annually"/>
    <m/>
  </r>
  <r>
    <n v="3084"/>
    <x v="40"/>
    <x v="1"/>
    <s v="Pants"/>
    <s v="Clothing"/>
    <n v="20"/>
    <x v="26"/>
    <s v="S"/>
    <s v="Purple"/>
    <s v="Summer"/>
    <n v="3.5"/>
    <s v="No"/>
    <s v="No"/>
    <n v="28"/>
    <s v="PayPal"/>
    <s v="Quarterly"/>
    <m/>
  </r>
  <r>
    <n v="3085"/>
    <x v="5"/>
    <x v="1"/>
    <s v="Scarf"/>
    <s v="Accessories"/>
    <n v="37"/>
    <x v="37"/>
    <s v="S"/>
    <s v="Indigo"/>
    <s v="Spring"/>
    <n v="3.2"/>
    <s v="No"/>
    <s v="No"/>
    <n v="43"/>
    <s v="PayPal"/>
    <s v="Monthly"/>
    <m/>
  </r>
  <r>
    <n v="3086"/>
    <x v="41"/>
    <x v="1"/>
    <s v="Sweater"/>
    <s v="Clothing"/>
    <n v="50"/>
    <x v="22"/>
    <s v="L"/>
    <s v="Gray"/>
    <s v="Winter"/>
    <n v="2.8"/>
    <s v="No"/>
    <s v="No"/>
    <n v="10"/>
    <s v="Venmo"/>
    <s v="Every 3 Months"/>
    <m/>
  </r>
  <r>
    <n v="3087"/>
    <x v="36"/>
    <x v="1"/>
    <s v="Handbag"/>
    <s v="Accessories"/>
    <n v="73"/>
    <x v="40"/>
    <s v="M"/>
    <s v="Lavender"/>
    <s v="Summer"/>
    <n v="3.5"/>
    <s v="No"/>
    <s v="No"/>
    <n v="26"/>
    <s v="Venmo"/>
    <s v="Every 3 Months"/>
    <m/>
  </r>
  <r>
    <n v="3088"/>
    <x v="46"/>
    <x v="1"/>
    <s v="Shirt"/>
    <s v="Clothing"/>
    <n v="84"/>
    <x v="17"/>
    <s v="M"/>
    <s v="Charcoal"/>
    <s v="Spring"/>
    <n v="3.1"/>
    <s v="No"/>
    <s v="No"/>
    <n v="29"/>
    <s v="Bank Transfer"/>
    <s v="Monthly"/>
    <m/>
  </r>
  <r>
    <n v="3089"/>
    <x v="50"/>
    <x v="1"/>
    <s v="Dress"/>
    <s v="Clothing"/>
    <n v="64"/>
    <x v="10"/>
    <s v="M"/>
    <s v="Teal"/>
    <s v="Spring"/>
    <n v="3.3"/>
    <s v="No"/>
    <s v="No"/>
    <n v="35"/>
    <s v="Bank Transfer"/>
    <s v="Quarterly"/>
    <m/>
  </r>
  <r>
    <n v="3090"/>
    <x v="2"/>
    <x v="1"/>
    <s v="Sandals"/>
    <s v="Footwear"/>
    <n v="21"/>
    <x v="17"/>
    <s v="L"/>
    <s v="Blue"/>
    <s v="Fall"/>
    <n v="4.5999999999999996"/>
    <s v="No"/>
    <s v="No"/>
    <n v="23"/>
    <s v="Cash"/>
    <s v="Bi-Weekly"/>
    <m/>
  </r>
  <r>
    <n v="3091"/>
    <x v="26"/>
    <x v="1"/>
    <s v="Shirt"/>
    <s v="Clothing"/>
    <n v="36"/>
    <x v="21"/>
    <s v="M"/>
    <s v="Peach"/>
    <s v="Summer"/>
    <n v="4.9000000000000004"/>
    <s v="No"/>
    <s v="No"/>
    <n v="15"/>
    <s v="Bank Transfer"/>
    <s v="Quarterly"/>
    <m/>
  </r>
  <r>
    <n v="3092"/>
    <x v="33"/>
    <x v="1"/>
    <s v="Dress"/>
    <s v="Clothing"/>
    <n v="81"/>
    <x v="22"/>
    <s v="L"/>
    <s v="Orange"/>
    <s v="Winter"/>
    <n v="3.4"/>
    <s v="No"/>
    <s v="No"/>
    <n v="46"/>
    <s v="Credit Card"/>
    <s v="Annually"/>
    <m/>
  </r>
  <r>
    <n v="3093"/>
    <x v="16"/>
    <x v="1"/>
    <s v="Sunglasses"/>
    <s v="Accessories"/>
    <n v="54"/>
    <x v="40"/>
    <s v="L"/>
    <s v="Silver"/>
    <s v="Fall"/>
    <n v="3.5"/>
    <s v="No"/>
    <s v="No"/>
    <n v="14"/>
    <s v="Bank Transfer"/>
    <s v="Bi-Weekly"/>
    <m/>
  </r>
  <r>
    <n v="3094"/>
    <x v="26"/>
    <x v="1"/>
    <s v="Socks"/>
    <s v="Clothing"/>
    <n v="63"/>
    <x v="38"/>
    <s v="L"/>
    <s v="Red"/>
    <s v="Summer"/>
    <n v="4.8"/>
    <s v="No"/>
    <s v="No"/>
    <n v="17"/>
    <s v="Cash"/>
    <s v="Every 3 Months"/>
    <m/>
  </r>
  <r>
    <n v="3095"/>
    <x v="40"/>
    <x v="1"/>
    <s v="Sandals"/>
    <s v="Footwear"/>
    <n v="59"/>
    <x v="42"/>
    <s v="M"/>
    <s v="Gray"/>
    <s v="Summer"/>
    <n v="2.7"/>
    <s v="No"/>
    <s v="No"/>
    <n v="9"/>
    <s v="Cash"/>
    <s v="Weekly"/>
    <m/>
  </r>
  <r>
    <n v="3096"/>
    <x v="46"/>
    <x v="1"/>
    <s v="Hat"/>
    <s v="Accessories"/>
    <n v="53"/>
    <x v="46"/>
    <s v="S"/>
    <s v="Beige"/>
    <s v="Fall"/>
    <n v="3.4"/>
    <s v="No"/>
    <s v="No"/>
    <n v="13"/>
    <s v="Venmo"/>
    <s v="Fortnightly"/>
    <m/>
  </r>
  <r>
    <n v="3097"/>
    <x v="28"/>
    <x v="1"/>
    <s v="Shirt"/>
    <s v="Clothing"/>
    <n v="63"/>
    <x v="23"/>
    <s v="L"/>
    <s v="White"/>
    <s v="Winter"/>
    <n v="3.5"/>
    <s v="No"/>
    <s v="No"/>
    <n v="20"/>
    <s v="Bank Transfer"/>
    <s v="Monthly"/>
    <m/>
  </r>
  <r>
    <n v="3098"/>
    <x v="39"/>
    <x v="1"/>
    <s v="Shoes"/>
    <s v="Footwear"/>
    <n v="33"/>
    <x v="12"/>
    <s v="M"/>
    <s v="Silver"/>
    <s v="Fall"/>
    <n v="3.7"/>
    <s v="No"/>
    <s v="No"/>
    <n v="39"/>
    <s v="Bank Transfer"/>
    <s v="Quarterly"/>
    <m/>
  </r>
  <r>
    <n v="3099"/>
    <x v="17"/>
    <x v="1"/>
    <s v="Pants"/>
    <s v="Clothing"/>
    <n v="64"/>
    <x v="35"/>
    <s v="L"/>
    <s v="Cyan"/>
    <s v="Summer"/>
    <n v="3.3"/>
    <s v="No"/>
    <s v="No"/>
    <n v="50"/>
    <s v="Bank Transfer"/>
    <s v="Quarterly"/>
    <m/>
  </r>
  <r>
    <n v="3100"/>
    <x v="32"/>
    <x v="1"/>
    <s v="Shirt"/>
    <s v="Clothing"/>
    <n v="98"/>
    <x v="49"/>
    <s v="S"/>
    <s v="Maroon"/>
    <s v="Fall"/>
    <n v="2.9"/>
    <s v="No"/>
    <s v="No"/>
    <n v="21"/>
    <s v="Bank Transfer"/>
    <s v="Bi-Weekly"/>
    <m/>
  </r>
  <r>
    <n v="3101"/>
    <x v="2"/>
    <x v="1"/>
    <s v="Hat"/>
    <s v="Accessories"/>
    <n v="85"/>
    <x v="34"/>
    <s v="L"/>
    <s v="Purple"/>
    <s v="Winter"/>
    <n v="3.9"/>
    <s v="No"/>
    <s v="No"/>
    <n v="3"/>
    <s v="Bank Transfer"/>
    <s v="Weekly"/>
    <m/>
  </r>
  <r>
    <n v="3102"/>
    <x v="45"/>
    <x v="1"/>
    <s v="Jewelry"/>
    <s v="Accessories"/>
    <n v="82"/>
    <x v="37"/>
    <s v="S"/>
    <s v="Brown"/>
    <s v="Summer"/>
    <n v="2.7"/>
    <s v="No"/>
    <s v="No"/>
    <n v="9"/>
    <s v="PayPal"/>
    <s v="Fortnightly"/>
    <m/>
  </r>
  <r>
    <n v="3103"/>
    <x v="47"/>
    <x v="1"/>
    <s v="Jacket"/>
    <s v="Outerwear"/>
    <n v="85"/>
    <x v="45"/>
    <s v="M"/>
    <s v="Green"/>
    <s v="Summer"/>
    <n v="4.3"/>
    <s v="No"/>
    <s v="No"/>
    <n v="29"/>
    <s v="Cash"/>
    <s v="Bi-Weekly"/>
    <m/>
  </r>
  <r>
    <n v="3104"/>
    <x v="7"/>
    <x v="1"/>
    <s v="Shirt"/>
    <s v="Clothing"/>
    <n v="37"/>
    <x v="26"/>
    <s v="S"/>
    <s v="Peach"/>
    <s v="Winter"/>
    <n v="3"/>
    <s v="No"/>
    <s v="No"/>
    <n v="42"/>
    <s v="Bank Transfer"/>
    <s v="Weekly"/>
    <m/>
  </r>
  <r>
    <n v="3105"/>
    <x v="49"/>
    <x v="1"/>
    <s v="Pants"/>
    <s v="Clothing"/>
    <n v="56"/>
    <x v="42"/>
    <s v="S"/>
    <s v="Turquoise"/>
    <s v="Summer"/>
    <n v="5"/>
    <s v="No"/>
    <s v="No"/>
    <n v="41"/>
    <s v="Debit Card"/>
    <s v="Fortnightly"/>
    <m/>
  </r>
  <r>
    <n v="3106"/>
    <x v="39"/>
    <x v="1"/>
    <s v="Skirt"/>
    <s v="Clothing"/>
    <n v="33"/>
    <x v="4"/>
    <s v="M"/>
    <s v="Olive"/>
    <s v="Fall"/>
    <n v="2.7"/>
    <s v="No"/>
    <s v="No"/>
    <n v="17"/>
    <s v="Debit Card"/>
    <s v="Monthly"/>
    <m/>
  </r>
  <r>
    <n v="3107"/>
    <x v="46"/>
    <x v="1"/>
    <s v="Sandals"/>
    <s v="Footwear"/>
    <n v="57"/>
    <x v="15"/>
    <s v="M"/>
    <s v="Yellow"/>
    <s v="Winter"/>
    <n v="4.7"/>
    <s v="No"/>
    <s v="No"/>
    <n v="20"/>
    <s v="PayPal"/>
    <s v="Annually"/>
    <m/>
  </r>
  <r>
    <n v="3108"/>
    <x v="13"/>
    <x v="1"/>
    <s v="Blouse"/>
    <s v="Clothing"/>
    <n v="31"/>
    <x v="11"/>
    <s v="L"/>
    <s v="Gray"/>
    <s v="Winter"/>
    <n v="4.5999999999999996"/>
    <s v="No"/>
    <s v="No"/>
    <n v="18"/>
    <s v="Credit Card"/>
    <s v="Bi-Weekly"/>
    <m/>
  </r>
  <r>
    <n v="3109"/>
    <x v="2"/>
    <x v="1"/>
    <s v="Socks"/>
    <s v="Clothing"/>
    <n v="69"/>
    <x v="4"/>
    <s v="M"/>
    <s v="Purple"/>
    <s v="Fall"/>
    <n v="3.2"/>
    <s v="No"/>
    <s v="No"/>
    <n v="7"/>
    <s v="PayPal"/>
    <s v="Monthly"/>
    <m/>
  </r>
  <r>
    <n v="3110"/>
    <x v="52"/>
    <x v="1"/>
    <s v="Jacket"/>
    <s v="Outerwear"/>
    <n v="92"/>
    <x v="26"/>
    <s v="M"/>
    <s v="Gray"/>
    <s v="Winter"/>
    <n v="4.3"/>
    <s v="No"/>
    <s v="No"/>
    <n v="47"/>
    <s v="Bank Transfer"/>
    <s v="Fortnightly"/>
    <m/>
  </r>
  <r>
    <n v="3111"/>
    <x v="1"/>
    <x v="1"/>
    <s v="Handbag"/>
    <s v="Accessories"/>
    <n v="46"/>
    <x v="21"/>
    <s v="L"/>
    <s v="Lavender"/>
    <s v="Fall"/>
    <n v="4.5999999999999996"/>
    <s v="No"/>
    <s v="No"/>
    <n v="2"/>
    <s v="Bank Transfer"/>
    <s v="Bi-Weekly"/>
    <m/>
  </r>
  <r>
    <n v="3112"/>
    <x v="3"/>
    <x v="1"/>
    <s v="Belt"/>
    <s v="Accessories"/>
    <n v="81"/>
    <x v="23"/>
    <s v="XL"/>
    <s v="Indigo"/>
    <s v="Spring"/>
    <n v="4.9000000000000004"/>
    <s v="No"/>
    <s v="No"/>
    <n v="25"/>
    <s v="Debit Card"/>
    <s v="Quarterly"/>
    <m/>
  </r>
  <r>
    <n v="3113"/>
    <x v="1"/>
    <x v="1"/>
    <s v="Blouse"/>
    <s v="Clothing"/>
    <n v="97"/>
    <x v="21"/>
    <s v="S"/>
    <s v="Green"/>
    <s v="Fall"/>
    <n v="3.8"/>
    <s v="No"/>
    <s v="No"/>
    <n v="26"/>
    <s v="Venmo"/>
    <s v="Annually"/>
    <m/>
  </r>
  <r>
    <n v="3114"/>
    <x v="5"/>
    <x v="1"/>
    <s v="Shirt"/>
    <s v="Clothing"/>
    <n v="93"/>
    <x v="43"/>
    <s v="L"/>
    <s v="Green"/>
    <s v="Summer"/>
    <n v="2.6"/>
    <s v="No"/>
    <s v="No"/>
    <n v="2"/>
    <s v="Debit Card"/>
    <s v="Weekly"/>
    <m/>
  </r>
  <r>
    <n v="3115"/>
    <x v="3"/>
    <x v="1"/>
    <s v="Handbag"/>
    <s v="Accessories"/>
    <n v="56"/>
    <x v="10"/>
    <s v="M"/>
    <s v="Olive"/>
    <s v="Spring"/>
    <n v="4.7"/>
    <s v="No"/>
    <s v="No"/>
    <n v="45"/>
    <s v="Venmo"/>
    <s v="Bi-Weekly"/>
    <m/>
  </r>
  <r>
    <n v="3116"/>
    <x v="8"/>
    <x v="1"/>
    <s v="Scarf"/>
    <s v="Accessories"/>
    <n v="53"/>
    <x v="45"/>
    <s v="M"/>
    <s v="Charcoal"/>
    <s v="Fall"/>
    <n v="4.0999999999999996"/>
    <s v="No"/>
    <s v="No"/>
    <n v="9"/>
    <s v="Bank Transfer"/>
    <s v="Bi-Weekly"/>
    <m/>
  </r>
  <r>
    <n v="3117"/>
    <x v="2"/>
    <x v="1"/>
    <s v="Coat"/>
    <s v="Outerwear"/>
    <n v="66"/>
    <x v="6"/>
    <s v="L"/>
    <s v="Gray"/>
    <s v="Spring"/>
    <n v="3.7"/>
    <s v="No"/>
    <s v="No"/>
    <n v="1"/>
    <s v="Venmo"/>
    <s v="Weekly"/>
    <m/>
  </r>
  <r>
    <n v="3118"/>
    <x v="49"/>
    <x v="1"/>
    <s v="Hoodie"/>
    <s v="Clothing"/>
    <n v="50"/>
    <x v="20"/>
    <s v="M"/>
    <s v="Olive"/>
    <s v="Fall"/>
    <n v="3"/>
    <s v="No"/>
    <s v="No"/>
    <n v="4"/>
    <s v="PayPal"/>
    <s v="Bi-Weekly"/>
    <m/>
  </r>
  <r>
    <n v="3119"/>
    <x v="12"/>
    <x v="1"/>
    <s v="Shorts"/>
    <s v="Clothing"/>
    <n v="97"/>
    <x v="41"/>
    <s v="L"/>
    <s v="Blue"/>
    <s v="Summer"/>
    <n v="4.7"/>
    <s v="No"/>
    <s v="No"/>
    <n v="31"/>
    <s v="Debit Card"/>
    <s v="Quarterly"/>
    <m/>
  </r>
  <r>
    <n v="3120"/>
    <x v="6"/>
    <x v="1"/>
    <s v="Sandals"/>
    <s v="Footwear"/>
    <n v="79"/>
    <x v="7"/>
    <s v="XL"/>
    <s v="Silver"/>
    <s v="Winter"/>
    <n v="4.7"/>
    <s v="No"/>
    <s v="No"/>
    <n v="21"/>
    <s v="Credit Card"/>
    <s v="Every 3 Months"/>
    <m/>
  </r>
  <r>
    <n v="3121"/>
    <x v="5"/>
    <x v="1"/>
    <s v="Shirt"/>
    <s v="Clothing"/>
    <n v="76"/>
    <x v="7"/>
    <s v="M"/>
    <s v="Magenta"/>
    <s v="Fall"/>
    <n v="4"/>
    <s v="No"/>
    <s v="No"/>
    <n v="32"/>
    <s v="Debit Card"/>
    <s v="Fortnightly"/>
    <m/>
  </r>
  <r>
    <n v="3122"/>
    <x v="6"/>
    <x v="1"/>
    <s v="Hoodie"/>
    <s v="Clothing"/>
    <n v="38"/>
    <x v="7"/>
    <s v="L"/>
    <s v="Black"/>
    <s v="Fall"/>
    <n v="2.6"/>
    <s v="No"/>
    <s v="No"/>
    <n v="16"/>
    <s v="Venmo"/>
    <s v="Weekly"/>
    <m/>
  </r>
  <r>
    <n v="3123"/>
    <x v="51"/>
    <x v="1"/>
    <s v="Socks"/>
    <s v="Clothing"/>
    <n v="45"/>
    <x v="42"/>
    <s v="M"/>
    <s v="Pink"/>
    <s v="Fall"/>
    <n v="3"/>
    <s v="No"/>
    <s v="No"/>
    <n v="34"/>
    <s v="Credit Card"/>
    <s v="Fortnightly"/>
    <m/>
  </r>
  <r>
    <n v="3124"/>
    <x v="9"/>
    <x v="1"/>
    <s v="Handbag"/>
    <s v="Accessories"/>
    <n v="77"/>
    <x v="44"/>
    <s v="XL"/>
    <s v="Red"/>
    <s v="Fall"/>
    <n v="3.3"/>
    <s v="No"/>
    <s v="No"/>
    <n v="40"/>
    <s v="Venmo"/>
    <s v="Bi-Weekly"/>
    <m/>
  </r>
  <r>
    <n v="3125"/>
    <x v="9"/>
    <x v="1"/>
    <s v="Jewelry"/>
    <s v="Accessories"/>
    <n v="51"/>
    <x v="18"/>
    <s v="M"/>
    <s v="Peach"/>
    <s v="Summer"/>
    <n v="3.4"/>
    <s v="No"/>
    <s v="No"/>
    <n v="4"/>
    <s v="Cash"/>
    <s v="Every 3 Months"/>
    <m/>
  </r>
  <r>
    <n v="3126"/>
    <x v="23"/>
    <x v="1"/>
    <s v="Coat"/>
    <s v="Outerwear"/>
    <n v="26"/>
    <x v="4"/>
    <s v="L"/>
    <s v="Lavender"/>
    <s v="Spring"/>
    <n v="4"/>
    <s v="No"/>
    <s v="No"/>
    <n v="3"/>
    <s v="Cash"/>
    <s v="Quarterly"/>
    <m/>
  </r>
  <r>
    <n v="3127"/>
    <x v="9"/>
    <x v="1"/>
    <s v="Sunglasses"/>
    <s v="Accessories"/>
    <n v="76"/>
    <x v="1"/>
    <s v="L"/>
    <s v="Lavender"/>
    <s v="Winter"/>
    <n v="2.6"/>
    <s v="No"/>
    <s v="No"/>
    <n v="28"/>
    <s v="Bank Transfer"/>
    <s v="Bi-Weekly"/>
    <m/>
  </r>
  <r>
    <n v="3128"/>
    <x v="0"/>
    <x v="1"/>
    <s v="Gloves"/>
    <s v="Accessories"/>
    <n v="94"/>
    <x v="7"/>
    <s v="M"/>
    <s v="Beige"/>
    <s v="Winter"/>
    <n v="3.4"/>
    <s v="No"/>
    <s v="No"/>
    <n v="43"/>
    <s v="Credit Card"/>
    <s v="Every 3 Months"/>
    <m/>
  </r>
  <r>
    <n v="3129"/>
    <x v="13"/>
    <x v="1"/>
    <s v="Jacket"/>
    <s v="Outerwear"/>
    <n v="32"/>
    <x v="10"/>
    <s v="S"/>
    <s v="Indigo"/>
    <s v="Fall"/>
    <n v="4.4000000000000004"/>
    <s v="No"/>
    <s v="No"/>
    <n v="20"/>
    <s v="Cash"/>
    <s v="Annually"/>
    <m/>
  </r>
  <r>
    <n v="3130"/>
    <x v="52"/>
    <x v="1"/>
    <s v="Sandals"/>
    <s v="Footwear"/>
    <n v="20"/>
    <x v="33"/>
    <s v="S"/>
    <s v="Cyan"/>
    <s v="Summer"/>
    <n v="4.7"/>
    <s v="No"/>
    <s v="No"/>
    <n v="40"/>
    <s v="Venmo"/>
    <s v="Every 3 Months"/>
    <m/>
  </r>
  <r>
    <n v="3131"/>
    <x v="16"/>
    <x v="1"/>
    <s v="Pants"/>
    <s v="Clothing"/>
    <n v="20"/>
    <x v="34"/>
    <s v="M"/>
    <s v="Yellow"/>
    <s v="Summer"/>
    <n v="4.5"/>
    <s v="No"/>
    <s v="No"/>
    <n v="34"/>
    <s v="Venmo"/>
    <s v="Every 3 Months"/>
    <m/>
  </r>
  <r>
    <n v="3132"/>
    <x v="50"/>
    <x v="1"/>
    <s v="Jacket"/>
    <s v="Outerwear"/>
    <n v="59"/>
    <x v="25"/>
    <s v="M"/>
    <s v="Peach"/>
    <s v="Fall"/>
    <n v="2.9"/>
    <s v="No"/>
    <s v="No"/>
    <n v="11"/>
    <s v="Bank Transfer"/>
    <s v="Every 3 Months"/>
    <m/>
  </r>
  <r>
    <n v="3133"/>
    <x v="23"/>
    <x v="1"/>
    <s v="Sweater"/>
    <s v="Clothing"/>
    <n v="97"/>
    <x v="49"/>
    <s v="M"/>
    <s v="Yellow"/>
    <s v="Summer"/>
    <n v="4.2"/>
    <s v="No"/>
    <s v="No"/>
    <n v="26"/>
    <s v="Cash"/>
    <s v="Quarterly"/>
    <m/>
  </r>
  <r>
    <n v="3134"/>
    <x v="44"/>
    <x v="1"/>
    <s v="T-shirt"/>
    <s v="Clothing"/>
    <n v="68"/>
    <x v="10"/>
    <s v="M"/>
    <s v="Orange"/>
    <s v="Spring"/>
    <n v="4.0999999999999996"/>
    <s v="No"/>
    <s v="No"/>
    <n v="29"/>
    <s v="Cash"/>
    <s v="Bi-Weekly"/>
    <m/>
  </r>
  <r>
    <n v="3135"/>
    <x v="25"/>
    <x v="1"/>
    <s v="Boots"/>
    <s v="Footwear"/>
    <n v="66"/>
    <x v="0"/>
    <s v="L"/>
    <s v="Gray"/>
    <s v="Spring"/>
    <n v="4.4000000000000004"/>
    <s v="No"/>
    <s v="No"/>
    <n v="47"/>
    <s v="Bank Transfer"/>
    <s v="Weekly"/>
    <m/>
  </r>
  <r>
    <n v="3136"/>
    <x v="33"/>
    <x v="1"/>
    <s v="Shoes"/>
    <s v="Footwear"/>
    <n v="85"/>
    <x v="27"/>
    <s v="L"/>
    <s v="Yellow"/>
    <s v="Spring"/>
    <n v="4.7"/>
    <s v="No"/>
    <s v="No"/>
    <n v="48"/>
    <s v="Venmo"/>
    <s v="Fortnightly"/>
    <m/>
  </r>
  <r>
    <n v="3137"/>
    <x v="44"/>
    <x v="1"/>
    <s v="Skirt"/>
    <s v="Clothing"/>
    <n v="32"/>
    <x v="46"/>
    <s v="M"/>
    <s v="Gray"/>
    <s v="Fall"/>
    <n v="3.1"/>
    <s v="No"/>
    <s v="No"/>
    <n v="29"/>
    <s v="Cash"/>
    <s v="Bi-Weekly"/>
    <m/>
  </r>
  <r>
    <n v="3138"/>
    <x v="50"/>
    <x v="1"/>
    <s v="Coat"/>
    <s v="Outerwear"/>
    <n v="44"/>
    <x v="7"/>
    <s v="M"/>
    <s v="Turquoise"/>
    <s v="Spring"/>
    <n v="2.7"/>
    <s v="No"/>
    <s v="No"/>
    <n v="14"/>
    <s v="Bank Transfer"/>
    <s v="Monthly"/>
    <m/>
  </r>
  <r>
    <n v="3139"/>
    <x v="36"/>
    <x v="1"/>
    <s v="Blouse"/>
    <s v="Clothing"/>
    <n v="95"/>
    <x v="0"/>
    <s v="L"/>
    <s v="Gray"/>
    <s v="Fall"/>
    <n v="4.5999999999999996"/>
    <s v="No"/>
    <s v="No"/>
    <n v="40"/>
    <s v="Cash"/>
    <s v="Every 3 Months"/>
    <m/>
  </r>
  <r>
    <n v="3140"/>
    <x v="25"/>
    <x v="1"/>
    <s v="Sunglasses"/>
    <s v="Accessories"/>
    <n v="85"/>
    <x v="42"/>
    <s v="M"/>
    <s v="Olive"/>
    <s v="Winter"/>
    <n v="4.4000000000000004"/>
    <s v="No"/>
    <s v="No"/>
    <n v="4"/>
    <s v="Venmo"/>
    <s v="Weekly"/>
    <m/>
  </r>
  <r>
    <n v="3141"/>
    <x v="50"/>
    <x v="1"/>
    <s v="Gloves"/>
    <s v="Accessories"/>
    <n v="44"/>
    <x v="29"/>
    <s v="XL"/>
    <s v="Peach"/>
    <s v="Summer"/>
    <n v="4.5999999999999996"/>
    <s v="No"/>
    <s v="No"/>
    <n v="37"/>
    <s v="Bank Transfer"/>
    <s v="Weekly"/>
    <m/>
  </r>
  <r>
    <n v="3142"/>
    <x v="24"/>
    <x v="1"/>
    <s v="Sunglasses"/>
    <s v="Accessories"/>
    <n v="30"/>
    <x v="16"/>
    <s v="S"/>
    <s v="Peach"/>
    <s v="Winter"/>
    <n v="4.9000000000000004"/>
    <s v="No"/>
    <s v="No"/>
    <n v="47"/>
    <s v="Credit Card"/>
    <s v="Bi-Weekly"/>
    <m/>
  </r>
  <r>
    <n v="3143"/>
    <x v="51"/>
    <x v="1"/>
    <s v="Sneakers"/>
    <s v="Footwear"/>
    <n v="21"/>
    <x v="23"/>
    <s v="L"/>
    <s v="Magenta"/>
    <s v="Winter"/>
    <n v="4"/>
    <s v="No"/>
    <s v="No"/>
    <n v="1"/>
    <s v="Venmo"/>
    <s v="Quarterly"/>
    <m/>
  </r>
  <r>
    <n v="3144"/>
    <x v="33"/>
    <x v="1"/>
    <s v="Hoodie"/>
    <s v="Clothing"/>
    <n v="22"/>
    <x v="28"/>
    <s v="M"/>
    <s v="Purple"/>
    <s v="Summer"/>
    <n v="2.9"/>
    <s v="No"/>
    <s v="No"/>
    <n v="26"/>
    <s v="Cash"/>
    <s v="Quarterly"/>
    <m/>
  </r>
  <r>
    <n v="3145"/>
    <x v="51"/>
    <x v="1"/>
    <s v="Boots"/>
    <s v="Footwear"/>
    <n v="70"/>
    <x v="1"/>
    <s v="L"/>
    <s v="Beige"/>
    <s v="Spring"/>
    <n v="2.6"/>
    <s v="No"/>
    <s v="No"/>
    <n v="12"/>
    <s v="Debit Card"/>
    <s v="Quarterly"/>
    <m/>
  </r>
  <r>
    <n v="3146"/>
    <x v="9"/>
    <x v="1"/>
    <s v="Handbag"/>
    <s v="Accessories"/>
    <n v="29"/>
    <x v="21"/>
    <s v="XL"/>
    <s v="Purple"/>
    <s v="Spring"/>
    <n v="4.5999999999999996"/>
    <s v="No"/>
    <s v="No"/>
    <n v="16"/>
    <s v="PayPal"/>
    <s v="Fortnightly"/>
    <m/>
  </r>
  <r>
    <n v="3147"/>
    <x v="3"/>
    <x v="1"/>
    <s v="Shirt"/>
    <s v="Clothing"/>
    <n v="83"/>
    <x v="41"/>
    <s v="S"/>
    <s v="Yellow"/>
    <s v="Winter"/>
    <n v="4.9000000000000004"/>
    <s v="No"/>
    <s v="No"/>
    <n v="19"/>
    <s v="PayPal"/>
    <s v="Annually"/>
    <m/>
  </r>
  <r>
    <n v="3148"/>
    <x v="4"/>
    <x v="1"/>
    <s v="Sweater"/>
    <s v="Clothing"/>
    <n v="99"/>
    <x v="25"/>
    <s v="M"/>
    <s v="Pink"/>
    <s v="Winter"/>
    <n v="4.3"/>
    <s v="No"/>
    <s v="No"/>
    <n v="21"/>
    <s v="Credit Card"/>
    <s v="Weekly"/>
    <m/>
  </r>
  <r>
    <n v="3149"/>
    <x v="43"/>
    <x v="1"/>
    <s v="Shorts"/>
    <s v="Clothing"/>
    <n v="35"/>
    <x v="8"/>
    <s v="L"/>
    <s v="Purple"/>
    <s v="Fall"/>
    <n v="4.3"/>
    <s v="No"/>
    <s v="No"/>
    <n v="15"/>
    <s v="Venmo"/>
    <s v="Weekly"/>
    <m/>
  </r>
  <r>
    <n v="3150"/>
    <x v="20"/>
    <x v="1"/>
    <s v="Belt"/>
    <s v="Accessories"/>
    <n v="40"/>
    <x v="17"/>
    <s v="M"/>
    <s v="Lavender"/>
    <s v="Winter"/>
    <n v="4.5999999999999996"/>
    <s v="No"/>
    <s v="No"/>
    <n v="9"/>
    <s v="Venmo"/>
    <s v="Annually"/>
    <m/>
  </r>
  <r>
    <n v="3151"/>
    <x v="0"/>
    <x v="1"/>
    <s v="Blouse"/>
    <s v="Clothing"/>
    <n v="25"/>
    <x v="42"/>
    <s v="M"/>
    <s v="Peach"/>
    <s v="Spring"/>
    <n v="2.6"/>
    <s v="No"/>
    <s v="No"/>
    <n v="7"/>
    <s v="Bank Transfer"/>
    <s v="Bi-Weekly"/>
    <m/>
  </r>
  <r>
    <n v="3152"/>
    <x v="16"/>
    <x v="1"/>
    <s v="T-shirt"/>
    <s v="Clothing"/>
    <n v="64"/>
    <x v="35"/>
    <s v="L"/>
    <s v="Orange"/>
    <s v="Fall"/>
    <n v="3.1"/>
    <s v="No"/>
    <s v="No"/>
    <n v="47"/>
    <s v="Bank Transfer"/>
    <s v="Quarterly"/>
    <m/>
  </r>
  <r>
    <n v="3153"/>
    <x v="34"/>
    <x v="1"/>
    <s v="Belt"/>
    <s v="Accessories"/>
    <n v="90"/>
    <x v="17"/>
    <s v="M"/>
    <s v="Red"/>
    <s v="Fall"/>
    <n v="3.1"/>
    <s v="No"/>
    <s v="No"/>
    <n v="17"/>
    <s v="PayPal"/>
    <s v="Monthly"/>
    <m/>
  </r>
  <r>
    <n v="3154"/>
    <x v="19"/>
    <x v="1"/>
    <s v="Socks"/>
    <s v="Clothing"/>
    <n v="88"/>
    <x v="15"/>
    <s v="L"/>
    <s v="Red"/>
    <s v="Fall"/>
    <n v="3.1"/>
    <s v="No"/>
    <s v="No"/>
    <n v="46"/>
    <s v="Venmo"/>
    <s v="Fortnightly"/>
    <m/>
  </r>
  <r>
    <n v="3155"/>
    <x v="7"/>
    <x v="1"/>
    <s v="Belt"/>
    <s v="Accessories"/>
    <n v="55"/>
    <x v="39"/>
    <s v="M"/>
    <s v="Gold"/>
    <s v="Winter"/>
    <n v="4.4000000000000004"/>
    <s v="No"/>
    <s v="No"/>
    <n v="32"/>
    <s v="Cash"/>
    <s v="Quarterly"/>
    <m/>
  </r>
  <r>
    <n v="3156"/>
    <x v="40"/>
    <x v="1"/>
    <s v="Handbag"/>
    <s v="Accessories"/>
    <n v="90"/>
    <x v="6"/>
    <s v="M"/>
    <s v="Brown"/>
    <s v="Fall"/>
    <n v="4.3"/>
    <s v="No"/>
    <s v="No"/>
    <n v="34"/>
    <s v="Cash"/>
    <s v="Annually"/>
    <m/>
  </r>
  <r>
    <n v="3157"/>
    <x v="20"/>
    <x v="1"/>
    <s v="Shirt"/>
    <s v="Clothing"/>
    <n v="50"/>
    <x v="6"/>
    <s v="M"/>
    <s v="Black"/>
    <s v="Winter"/>
    <n v="3.1"/>
    <s v="No"/>
    <s v="No"/>
    <n v="18"/>
    <s v="Cash"/>
    <s v="Monthly"/>
    <m/>
  </r>
  <r>
    <n v="3158"/>
    <x v="3"/>
    <x v="1"/>
    <s v="Belt"/>
    <s v="Accessories"/>
    <n v="34"/>
    <x v="1"/>
    <s v="L"/>
    <s v="Red"/>
    <s v="Fall"/>
    <n v="3.1"/>
    <s v="No"/>
    <s v="No"/>
    <n v="5"/>
    <s v="Debit Card"/>
    <s v="Fortnightly"/>
    <m/>
  </r>
  <r>
    <n v="3159"/>
    <x v="11"/>
    <x v="1"/>
    <s v="Jewelry"/>
    <s v="Accessories"/>
    <n v="77"/>
    <x v="16"/>
    <s v="M"/>
    <s v="Gray"/>
    <s v="Winter"/>
    <n v="4.9000000000000004"/>
    <s v="No"/>
    <s v="No"/>
    <n v="44"/>
    <s v="Credit Card"/>
    <s v="Monthly"/>
    <m/>
  </r>
  <r>
    <n v="3160"/>
    <x v="46"/>
    <x v="1"/>
    <s v="Hat"/>
    <s v="Accessories"/>
    <n v="89"/>
    <x v="7"/>
    <s v="L"/>
    <s v="Pink"/>
    <s v="Winter"/>
    <n v="2.9"/>
    <s v="No"/>
    <s v="No"/>
    <n v="4"/>
    <s v="Bank Transfer"/>
    <s v="Quarterly"/>
    <m/>
  </r>
  <r>
    <n v="3161"/>
    <x v="48"/>
    <x v="1"/>
    <s v="Backpack"/>
    <s v="Accessories"/>
    <n v="87"/>
    <x v="43"/>
    <s v="XL"/>
    <s v="Turquoise"/>
    <s v="Fall"/>
    <n v="3.8"/>
    <s v="No"/>
    <s v="No"/>
    <n v="37"/>
    <s v="Cash"/>
    <s v="Fortnightly"/>
    <m/>
  </r>
  <r>
    <n v="3162"/>
    <x v="17"/>
    <x v="1"/>
    <s v="Dress"/>
    <s v="Clothing"/>
    <n v="77"/>
    <x v="2"/>
    <s v="S"/>
    <s v="Charcoal"/>
    <s v="Winter"/>
    <n v="4.2"/>
    <s v="No"/>
    <s v="No"/>
    <n v="43"/>
    <s v="Cash"/>
    <s v="Monthly"/>
    <m/>
  </r>
  <r>
    <n v="3163"/>
    <x v="17"/>
    <x v="1"/>
    <s v="Shoes"/>
    <s v="Footwear"/>
    <n v="85"/>
    <x v="48"/>
    <s v="L"/>
    <s v="Blue"/>
    <s v="Winter"/>
    <n v="3.9"/>
    <s v="No"/>
    <s v="No"/>
    <n v="28"/>
    <s v="Bank Transfer"/>
    <s v="Quarterly"/>
    <m/>
  </r>
  <r>
    <n v="3164"/>
    <x v="34"/>
    <x v="1"/>
    <s v="Pants"/>
    <s v="Clothing"/>
    <n v="66"/>
    <x v="43"/>
    <s v="XL"/>
    <s v="Turquoise"/>
    <s v="Summer"/>
    <n v="2.8"/>
    <s v="No"/>
    <s v="No"/>
    <n v="36"/>
    <s v="Cash"/>
    <s v="Monthly"/>
    <m/>
  </r>
  <r>
    <n v="3165"/>
    <x v="37"/>
    <x v="1"/>
    <s v="Dress"/>
    <s v="Clothing"/>
    <n v="32"/>
    <x v="28"/>
    <s v="L"/>
    <s v="Silver"/>
    <s v="Winter"/>
    <n v="2.6"/>
    <s v="No"/>
    <s v="No"/>
    <n v="16"/>
    <s v="Credit Card"/>
    <s v="Annually"/>
    <m/>
  </r>
  <r>
    <n v="3166"/>
    <x v="34"/>
    <x v="1"/>
    <s v="Jacket"/>
    <s v="Outerwear"/>
    <n v="92"/>
    <x v="11"/>
    <s v="M"/>
    <s v="Lavender"/>
    <s v="Spring"/>
    <n v="3"/>
    <s v="No"/>
    <s v="No"/>
    <n v="38"/>
    <s v="Bank Transfer"/>
    <s v="Every 3 Months"/>
    <m/>
  </r>
  <r>
    <n v="3167"/>
    <x v="1"/>
    <x v="1"/>
    <s v="Shirt"/>
    <s v="Clothing"/>
    <n v="80"/>
    <x v="42"/>
    <s v="M"/>
    <s v="Gold"/>
    <s v="Winter"/>
    <n v="2.7"/>
    <s v="No"/>
    <s v="No"/>
    <n v="37"/>
    <s v="Bank Transfer"/>
    <s v="Fortnightly"/>
    <m/>
  </r>
  <r>
    <n v="3168"/>
    <x v="41"/>
    <x v="1"/>
    <s v="Dress"/>
    <s v="Clothing"/>
    <n v="78"/>
    <x v="4"/>
    <s v="M"/>
    <s v="Blue"/>
    <s v="Fall"/>
    <n v="2.8"/>
    <s v="No"/>
    <s v="No"/>
    <n v="9"/>
    <s v="Cash"/>
    <s v="Bi-Weekly"/>
    <m/>
  </r>
  <r>
    <n v="3169"/>
    <x v="18"/>
    <x v="1"/>
    <s v="Jeans"/>
    <s v="Clothing"/>
    <n v="24"/>
    <x v="6"/>
    <s v="M"/>
    <s v="Orange"/>
    <s v="Spring"/>
    <n v="2.9"/>
    <s v="No"/>
    <s v="No"/>
    <n v="14"/>
    <s v="PayPal"/>
    <s v="Fortnightly"/>
    <m/>
  </r>
  <r>
    <n v="3170"/>
    <x v="25"/>
    <x v="1"/>
    <s v="T-shirt"/>
    <s v="Clothing"/>
    <n v="59"/>
    <x v="42"/>
    <s v="M"/>
    <s v="White"/>
    <s v="Fall"/>
    <n v="3.8"/>
    <s v="No"/>
    <s v="No"/>
    <n v="3"/>
    <s v="Venmo"/>
    <s v="Weekly"/>
    <m/>
  </r>
  <r>
    <n v="3171"/>
    <x v="13"/>
    <x v="1"/>
    <s v="Sunglasses"/>
    <s v="Accessories"/>
    <n v="41"/>
    <x v="3"/>
    <s v="XL"/>
    <s v="Charcoal"/>
    <s v="Spring"/>
    <n v="4.4000000000000004"/>
    <s v="No"/>
    <s v="No"/>
    <n v="10"/>
    <s v="Credit Card"/>
    <s v="Fortnightly"/>
    <m/>
  </r>
  <r>
    <n v="3172"/>
    <x v="33"/>
    <x v="1"/>
    <s v="Jewelry"/>
    <s v="Accessories"/>
    <n v="26"/>
    <x v="30"/>
    <s v="M"/>
    <s v="Maroon"/>
    <s v="Spring"/>
    <n v="3.1"/>
    <s v="No"/>
    <s v="No"/>
    <n v="26"/>
    <s v="Bank Transfer"/>
    <s v="Bi-Weekly"/>
    <m/>
  </r>
  <r>
    <n v="3173"/>
    <x v="9"/>
    <x v="1"/>
    <s v="Socks"/>
    <s v="Clothing"/>
    <n v="52"/>
    <x v="9"/>
    <s v="M"/>
    <s v="Olive"/>
    <s v="Fall"/>
    <n v="3.7"/>
    <s v="No"/>
    <s v="No"/>
    <n v="30"/>
    <s v="Debit Card"/>
    <s v="Bi-Weekly"/>
    <m/>
  </r>
  <r>
    <n v="3174"/>
    <x v="28"/>
    <x v="1"/>
    <s v="Skirt"/>
    <s v="Clothing"/>
    <n v="46"/>
    <x v="47"/>
    <s v="L"/>
    <s v="Teal"/>
    <s v="Summer"/>
    <n v="4.9000000000000004"/>
    <s v="No"/>
    <s v="No"/>
    <n v="32"/>
    <s v="PayPal"/>
    <s v="Fortnightly"/>
    <m/>
  </r>
  <r>
    <n v="3175"/>
    <x v="4"/>
    <x v="1"/>
    <s v="Pants"/>
    <s v="Clothing"/>
    <n v="52"/>
    <x v="19"/>
    <s v="L"/>
    <s v="Orange"/>
    <s v="Winter"/>
    <n v="3.8"/>
    <s v="No"/>
    <s v="No"/>
    <n v="35"/>
    <s v="PayPal"/>
    <s v="Monthly"/>
    <m/>
  </r>
  <r>
    <n v="3176"/>
    <x v="25"/>
    <x v="1"/>
    <s v="Socks"/>
    <s v="Clothing"/>
    <n v="42"/>
    <x v="39"/>
    <s v="M"/>
    <s v="Maroon"/>
    <s v="Fall"/>
    <n v="3.4"/>
    <s v="No"/>
    <s v="No"/>
    <n v="26"/>
    <s v="Debit Card"/>
    <s v="Every 3 Months"/>
    <m/>
  </r>
  <r>
    <n v="3177"/>
    <x v="24"/>
    <x v="1"/>
    <s v="Sandals"/>
    <s v="Footwear"/>
    <n v="37"/>
    <x v="10"/>
    <s v="XL"/>
    <s v="Turquoise"/>
    <s v="Spring"/>
    <n v="4.5999999999999996"/>
    <s v="No"/>
    <s v="No"/>
    <n v="39"/>
    <s v="Credit Card"/>
    <s v="Monthly"/>
    <m/>
  </r>
  <r>
    <n v="3178"/>
    <x v="0"/>
    <x v="1"/>
    <s v="Belt"/>
    <s v="Accessories"/>
    <n v="52"/>
    <x v="9"/>
    <s v="L"/>
    <s v="Beige"/>
    <s v="Fall"/>
    <n v="3.2"/>
    <s v="No"/>
    <s v="No"/>
    <n v="31"/>
    <s v="Credit Card"/>
    <s v="Monthly"/>
    <m/>
  </r>
  <r>
    <n v="3179"/>
    <x v="17"/>
    <x v="1"/>
    <s v="Sandals"/>
    <s v="Footwear"/>
    <n v="34"/>
    <x v="47"/>
    <s v="L"/>
    <s v="Beige"/>
    <s v="Spring"/>
    <n v="2.7"/>
    <s v="No"/>
    <s v="No"/>
    <n v="28"/>
    <s v="Credit Card"/>
    <s v="Annually"/>
    <m/>
  </r>
  <r>
    <n v="3180"/>
    <x v="9"/>
    <x v="1"/>
    <s v="Shorts"/>
    <s v="Clothing"/>
    <n v="88"/>
    <x v="37"/>
    <s v="M"/>
    <s v="Olive"/>
    <s v="Spring"/>
    <n v="4.3"/>
    <s v="No"/>
    <s v="No"/>
    <n v="12"/>
    <s v="Debit Card"/>
    <s v="Bi-Weekly"/>
    <m/>
  </r>
  <r>
    <n v="3181"/>
    <x v="20"/>
    <x v="1"/>
    <s v="Handbag"/>
    <s v="Accessories"/>
    <n v="88"/>
    <x v="6"/>
    <s v="L"/>
    <s v="Turquoise"/>
    <s v="Fall"/>
    <n v="3.8"/>
    <s v="No"/>
    <s v="No"/>
    <n v="46"/>
    <s v="PayPal"/>
    <s v="Weekly"/>
    <m/>
  </r>
  <r>
    <n v="3182"/>
    <x v="18"/>
    <x v="1"/>
    <s v="Jacket"/>
    <s v="Outerwear"/>
    <n v="51"/>
    <x v="6"/>
    <s v="M"/>
    <s v="Charcoal"/>
    <s v="Summer"/>
    <n v="4.4000000000000004"/>
    <s v="No"/>
    <s v="No"/>
    <n v="27"/>
    <s v="PayPal"/>
    <s v="Every 3 Months"/>
    <m/>
  </r>
  <r>
    <n v="3183"/>
    <x v="2"/>
    <x v="1"/>
    <s v="Sunglasses"/>
    <s v="Accessories"/>
    <n v="97"/>
    <x v="42"/>
    <s v="L"/>
    <s v="Green"/>
    <s v="Fall"/>
    <n v="3.6"/>
    <s v="No"/>
    <s v="No"/>
    <n v="4"/>
    <s v="Credit Card"/>
    <s v="Annually"/>
    <m/>
  </r>
  <r>
    <n v="3184"/>
    <x v="2"/>
    <x v="1"/>
    <s v="Sneakers"/>
    <s v="Footwear"/>
    <n v="56"/>
    <x v="16"/>
    <s v="M"/>
    <s v="Green"/>
    <s v="Winter"/>
    <n v="3.5"/>
    <s v="No"/>
    <s v="No"/>
    <n v="14"/>
    <s v="Cash"/>
    <s v="Every 3 Months"/>
    <m/>
  </r>
  <r>
    <n v="3185"/>
    <x v="12"/>
    <x v="1"/>
    <s v="Sweater"/>
    <s v="Clothing"/>
    <n v="53"/>
    <x v="11"/>
    <s v="L"/>
    <s v="Green"/>
    <s v="Spring"/>
    <n v="4.2"/>
    <s v="No"/>
    <s v="No"/>
    <n v="30"/>
    <s v="Venmo"/>
    <s v="Quarterly"/>
    <m/>
  </r>
  <r>
    <n v="3186"/>
    <x v="16"/>
    <x v="1"/>
    <s v="Skirt"/>
    <s v="Clothing"/>
    <n v="71"/>
    <x v="31"/>
    <s v="L"/>
    <s v="Gold"/>
    <s v="Fall"/>
    <n v="4.7"/>
    <s v="No"/>
    <s v="No"/>
    <n v="6"/>
    <s v="PayPal"/>
    <s v="Annually"/>
    <m/>
  </r>
  <r>
    <n v="3187"/>
    <x v="21"/>
    <x v="1"/>
    <s v="Jewelry"/>
    <s v="Accessories"/>
    <n v="93"/>
    <x v="41"/>
    <s v="S"/>
    <s v="Cyan"/>
    <s v="Winter"/>
    <n v="4.8"/>
    <s v="No"/>
    <s v="No"/>
    <n v="43"/>
    <s v="Venmo"/>
    <s v="Annually"/>
    <m/>
  </r>
  <r>
    <n v="3188"/>
    <x v="29"/>
    <x v="1"/>
    <s v="Blouse"/>
    <s v="Clothing"/>
    <n v="72"/>
    <x v="21"/>
    <s v="L"/>
    <s v="Indigo"/>
    <s v="Winter"/>
    <n v="3.2"/>
    <s v="No"/>
    <s v="No"/>
    <n v="28"/>
    <s v="Debit Card"/>
    <s v="Weekly"/>
    <m/>
  </r>
  <r>
    <n v="3189"/>
    <x v="32"/>
    <x v="1"/>
    <s v="Blouse"/>
    <s v="Clothing"/>
    <n v="59"/>
    <x v="34"/>
    <s v="M"/>
    <s v="Lavender"/>
    <s v="Winter"/>
    <n v="3.5"/>
    <s v="No"/>
    <s v="No"/>
    <n v="39"/>
    <s v="Bank Transfer"/>
    <s v="Monthly"/>
    <m/>
  </r>
  <r>
    <n v="3190"/>
    <x v="15"/>
    <x v="1"/>
    <s v="Boots"/>
    <s v="Footwear"/>
    <n v="87"/>
    <x v="23"/>
    <s v="M"/>
    <s v="Beige"/>
    <s v="Summer"/>
    <n v="4.2"/>
    <s v="No"/>
    <s v="No"/>
    <n v="30"/>
    <s v="PayPal"/>
    <s v="Bi-Weekly"/>
    <m/>
  </r>
  <r>
    <n v="3191"/>
    <x v="38"/>
    <x v="1"/>
    <s v="Jeans"/>
    <s v="Clothing"/>
    <n v="78"/>
    <x v="18"/>
    <s v="S"/>
    <s v="Purple"/>
    <s v="Fall"/>
    <n v="3.4"/>
    <s v="No"/>
    <s v="No"/>
    <n v="5"/>
    <s v="Credit Card"/>
    <s v="Fortnightly"/>
    <m/>
  </r>
  <r>
    <n v="3192"/>
    <x v="46"/>
    <x v="1"/>
    <s v="Hoodie"/>
    <s v="Clothing"/>
    <n v="68"/>
    <x v="16"/>
    <s v="XL"/>
    <s v="Maroon"/>
    <s v="Winter"/>
    <n v="4.7"/>
    <s v="No"/>
    <s v="No"/>
    <n v="42"/>
    <s v="Credit Card"/>
    <s v="Every 3 Months"/>
    <m/>
  </r>
  <r>
    <n v="3193"/>
    <x v="1"/>
    <x v="1"/>
    <s v="Sweater"/>
    <s v="Clothing"/>
    <n v="76"/>
    <x v="44"/>
    <s v="S"/>
    <s v="Maroon"/>
    <s v="Fall"/>
    <n v="3"/>
    <s v="No"/>
    <s v="No"/>
    <n v="20"/>
    <s v="Cash"/>
    <s v="Fortnightly"/>
    <m/>
  </r>
  <r>
    <n v="3194"/>
    <x v="6"/>
    <x v="1"/>
    <s v="Gloves"/>
    <s v="Accessories"/>
    <n v="99"/>
    <x v="41"/>
    <s v="L"/>
    <s v="Teal"/>
    <s v="Winter"/>
    <n v="4"/>
    <s v="No"/>
    <s v="No"/>
    <n v="35"/>
    <s v="Credit Card"/>
    <s v="Fortnightly"/>
    <m/>
  </r>
  <r>
    <n v="3195"/>
    <x v="49"/>
    <x v="1"/>
    <s v="Sneakers"/>
    <s v="Footwear"/>
    <n v="52"/>
    <x v="33"/>
    <s v="L"/>
    <s v="Gold"/>
    <s v="Summer"/>
    <n v="4.5999999999999996"/>
    <s v="No"/>
    <s v="No"/>
    <n v="10"/>
    <s v="Credit Card"/>
    <s v="Bi-Weekly"/>
    <m/>
  </r>
  <r>
    <n v="3196"/>
    <x v="33"/>
    <x v="1"/>
    <s v="Sunglasses"/>
    <s v="Accessories"/>
    <n v="58"/>
    <x v="9"/>
    <s v="S"/>
    <s v="Red"/>
    <s v="Spring"/>
    <n v="4.9000000000000004"/>
    <s v="No"/>
    <s v="No"/>
    <n v="36"/>
    <s v="Credit Card"/>
    <s v="Quarterly"/>
    <m/>
  </r>
  <r>
    <n v="3197"/>
    <x v="41"/>
    <x v="1"/>
    <s v="Belt"/>
    <s v="Accessories"/>
    <n v="59"/>
    <x v="48"/>
    <s v="L"/>
    <s v="Maroon"/>
    <s v="Winter"/>
    <n v="2.8"/>
    <s v="No"/>
    <s v="No"/>
    <n v="21"/>
    <s v="Debit Card"/>
    <s v="Fortnightly"/>
    <m/>
  </r>
  <r>
    <n v="3198"/>
    <x v="7"/>
    <x v="1"/>
    <s v="Sweater"/>
    <s v="Clothing"/>
    <n v="71"/>
    <x v="1"/>
    <s v="M"/>
    <s v="Teal"/>
    <s v="Spring"/>
    <n v="3.2"/>
    <s v="No"/>
    <s v="No"/>
    <n v="29"/>
    <s v="Credit Card"/>
    <s v="Every 3 Months"/>
    <m/>
  </r>
  <r>
    <n v="3199"/>
    <x v="12"/>
    <x v="1"/>
    <s v="Gloves"/>
    <s v="Accessories"/>
    <n v="94"/>
    <x v="38"/>
    <s v="L"/>
    <s v="Peach"/>
    <s v="Winter"/>
    <n v="2.8"/>
    <s v="No"/>
    <s v="No"/>
    <n v="39"/>
    <s v="Debit Card"/>
    <s v="Weekly"/>
    <m/>
  </r>
  <r>
    <n v="3200"/>
    <x v="35"/>
    <x v="1"/>
    <s v="Handbag"/>
    <s v="Accessories"/>
    <n v="40"/>
    <x v="1"/>
    <s v="XL"/>
    <s v="Pink"/>
    <s v="Winter"/>
    <n v="4.2"/>
    <s v="No"/>
    <s v="No"/>
    <n v="16"/>
    <s v="PayPal"/>
    <s v="Monthly"/>
    <m/>
  </r>
  <r>
    <n v="3201"/>
    <x v="29"/>
    <x v="1"/>
    <s v="Socks"/>
    <s v="Clothing"/>
    <n v="24"/>
    <x v="9"/>
    <s v="L"/>
    <s v="Black"/>
    <s v="Spring"/>
    <n v="4.8"/>
    <s v="No"/>
    <s v="No"/>
    <n v="32"/>
    <s v="Credit Card"/>
    <s v="Monthly"/>
    <m/>
  </r>
  <r>
    <n v="3202"/>
    <x v="5"/>
    <x v="1"/>
    <s v="Pants"/>
    <s v="Clothing"/>
    <n v="38"/>
    <x v="34"/>
    <s v="S"/>
    <s v="Indigo"/>
    <s v="Fall"/>
    <n v="2.8"/>
    <s v="No"/>
    <s v="No"/>
    <n v="34"/>
    <s v="Cash"/>
    <s v="Monthly"/>
    <m/>
  </r>
  <r>
    <n v="3203"/>
    <x v="13"/>
    <x v="1"/>
    <s v="Scarf"/>
    <s v="Accessories"/>
    <n v="37"/>
    <x v="48"/>
    <s v="L"/>
    <s v="Green"/>
    <s v="Fall"/>
    <n v="4.5"/>
    <s v="No"/>
    <s v="No"/>
    <n v="38"/>
    <s v="Venmo"/>
    <s v="Annually"/>
    <m/>
  </r>
  <r>
    <n v="3204"/>
    <x v="6"/>
    <x v="1"/>
    <s v="Coat"/>
    <s v="Outerwear"/>
    <n v="29"/>
    <x v="32"/>
    <s v="L"/>
    <s v="Teal"/>
    <s v="Spring"/>
    <n v="4.0999999999999996"/>
    <s v="No"/>
    <s v="No"/>
    <n v="14"/>
    <s v="Venmo"/>
    <s v="Annually"/>
    <m/>
  </r>
  <r>
    <n v="3205"/>
    <x v="9"/>
    <x v="1"/>
    <s v="Jacket"/>
    <s v="Outerwear"/>
    <n v="92"/>
    <x v="35"/>
    <s v="XL"/>
    <s v="Lavender"/>
    <s v="Fall"/>
    <n v="4.3"/>
    <s v="No"/>
    <s v="No"/>
    <n v="23"/>
    <s v="Debit Card"/>
    <s v="Bi-Weekly"/>
    <m/>
  </r>
  <r>
    <n v="3206"/>
    <x v="37"/>
    <x v="1"/>
    <s v="Hoodie"/>
    <s v="Clothing"/>
    <n v="24"/>
    <x v="24"/>
    <s v="XL"/>
    <s v="Magenta"/>
    <s v="Fall"/>
    <n v="4.4000000000000004"/>
    <s v="No"/>
    <s v="No"/>
    <n v="50"/>
    <s v="Bank Transfer"/>
    <s v="Every 3 Months"/>
    <m/>
  </r>
  <r>
    <n v="3207"/>
    <x v="24"/>
    <x v="1"/>
    <s v="Boots"/>
    <s v="Footwear"/>
    <n v="52"/>
    <x v="18"/>
    <s v="M"/>
    <s v="Brown"/>
    <s v="Winter"/>
    <n v="3"/>
    <s v="No"/>
    <s v="No"/>
    <n v="49"/>
    <s v="PayPal"/>
    <s v="Monthly"/>
    <m/>
  </r>
  <r>
    <n v="3208"/>
    <x v="29"/>
    <x v="1"/>
    <s v="Socks"/>
    <s v="Clothing"/>
    <n v="29"/>
    <x v="28"/>
    <s v="XL"/>
    <s v="Beige"/>
    <s v="Summer"/>
    <n v="2.7"/>
    <s v="No"/>
    <s v="No"/>
    <n v="14"/>
    <s v="PayPal"/>
    <s v="Annually"/>
    <m/>
  </r>
  <r>
    <n v="3209"/>
    <x v="12"/>
    <x v="1"/>
    <s v="Jewelry"/>
    <s v="Accessories"/>
    <n v="30"/>
    <x v="27"/>
    <s v="L"/>
    <s v="Indigo"/>
    <s v="Winter"/>
    <n v="3.3"/>
    <s v="No"/>
    <s v="No"/>
    <n v="42"/>
    <s v="PayPal"/>
    <s v="Weekly"/>
    <m/>
  </r>
  <r>
    <n v="3210"/>
    <x v="14"/>
    <x v="1"/>
    <s v="Shoes"/>
    <s v="Footwear"/>
    <n v="31"/>
    <x v="10"/>
    <s v="L"/>
    <s v="Peach"/>
    <s v="Fall"/>
    <n v="4.3"/>
    <s v="No"/>
    <s v="No"/>
    <n v="39"/>
    <s v="Debit Card"/>
    <s v="Annually"/>
    <m/>
  </r>
  <r>
    <n v="3211"/>
    <x v="11"/>
    <x v="1"/>
    <s v="Socks"/>
    <s v="Clothing"/>
    <n v="67"/>
    <x v="22"/>
    <s v="M"/>
    <s v="Magenta"/>
    <s v="Summer"/>
    <n v="2.9"/>
    <s v="No"/>
    <s v="No"/>
    <n v="43"/>
    <s v="Venmo"/>
    <s v="Bi-Weekly"/>
    <m/>
  </r>
  <r>
    <n v="3212"/>
    <x v="10"/>
    <x v="1"/>
    <s v="Pants"/>
    <s v="Clothing"/>
    <n v="65"/>
    <x v="3"/>
    <s v="L"/>
    <s v="Turquoise"/>
    <s v="Winter"/>
    <n v="4.9000000000000004"/>
    <s v="No"/>
    <s v="No"/>
    <n v="12"/>
    <s v="Cash"/>
    <s v="Monthly"/>
    <m/>
  </r>
  <r>
    <n v="3213"/>
    <x v="7"/>
    <x v="1"/>
    <s v="Sneakers"/>
    <s v="Footwear"/>
    <n v="22"/>
    <x v="5"/>
    <s v="M"/>
    <s v="Indigo"/>
    <s v="Winter"/>
    <n v="3.6"/>
    <s v="No"/>
    <s v="No"/>
    <n v="21"/>
    <s v="Debit Card"/>
    <s v="Weekly"/>
    <m/>
  </r>
  <r>
    <n v="3214"/>
    <x v="7"/>
    <x v="1"/>
    <s v="Sunglasses"/>
    <s v="Accessories"/>
    <n v="56"/>
    <x v="21"/>
    <s v="M"/>
    <s v="Brown"/>
    <s v="Winter"/>
    <n v="3.3"/>
    <s v="No"/>
    <s v="No"/>
    <n v="33"/>
    <s v="Credit Card"/>
    <s v="Monthly"/>
    <m/>
  </r>
  <r>
    <n v="3215"/>
    <x v="10"/>
    <x v="1"/>
    <s v="Skirt"/>
    <s v="Clothing"/>
    <n v="78"/>
    <x v="47"/>
    <s v="M"/>
    <s v="Yellow"/>
    <s v="Spring"/>
    <n v="3.1"/>
    <s v="No"/>
    <s v="No"/>
    <n v="6"/>
    <s v="Debit Card"/>
    <s v="Annually"/>
    <m/>
  </r>
  <r>
    <n v="3216"/>
    <x v="50"/>
    <x v="1"/>
    <s v="Coat"/>
    <s v="Outerwear"/>
    <n v="90"/>
    <x v="3"/>
    <s v="M"/>
    <s v="Magenta"/>
    <s v="Summer"/>
    <n v="2.7"/>
    <s v="No"/>
    <s v="No"/>
    <n v="10"/>
    <s v="PayPal"/>
    <s v="Every 3 Months"/>
    <m/>
  </r>
  <r>
    <n v="3217"/>
    <x v="31"/>
    <x v="1"/>
    <s v="Hoodie"/>
    <s v="Clothing"/>
    <n v="85"/>
    <x v="26"/>
    <s v="S"/>
    <s v="Olive"/>
    <s v="Winter"/>
    <n v="3.4"/>
    <s v="No"/>
    <s v="No"/>
    <n v="18"/>
    <s v="Cash"/>
    <s v="Weekly"/>
    <m/>
  </r>
  <r>
    <n v="3218"/>
    <x v="42"/>
    <x v="1"/>
    <s v="Sunglasses"/>
    <s v="Accessories"/>
    <n v="58"/>
    <x v="4"/>
    <s v="M"/>
    <s v="Silver"/>
    <s v="Fall"/>
    <n v="3.4"/>
    <s v="No"/>
    <s v="No"/>
    <n v="46"/>
    <s v="Venmo"/>
    <s v="Weekly"/>
    <m/>
  </r>
  <r>
    <n v="3219"/>
    <x v="43"/>
    <x v="1"/>
    <s v="Skirt"/>
    <s v="Clothing"/>
    <n v="34"/>
    <x v="20"/>
    <s v="M"/>
    <s v="Teal"/>
    <s v="Fall"/>
    <n v="3.9"/>
    <s v="No"/>
    <s v="No"/>
    <n v="49"/>
    <s v="PayPal"/>
    <s v="Monthly"/>
    <m/>
  </r>
  <r>
    <n v="3220"/>
    <x v="9"/>
    <x v="1"/>
    <s v="Coat"/>
    <s v="Outerwear"/>
    <n v="40"/>
    <x v="23"/>
    <s v="L"/>
    <s v="White"/>
    <s v="Summer"/>
    <n v="3.5"/>
    <s v="No"/>
    <s v="No"/>
    <n v="39"/>
    <s v="Credit Card"/>
    <s v="Weekly"/>
    <m/>
  </r>
  <r>
    <n v="3221"/>
    <x v="21"/>
    <x v="1"/>
    <s v="Handbag"/>
    <s v="Accessories"/>
    <n v="29"/>
    <x v="25"/>
    <s v="M"/>
    <s v="Blue"/>
    <s v="Fall"/>
    <n v="4.0999999999999996"/>
    <s v="No"/>
    <s v="No"/>
    <n v="16"/>
    <s v="Cash"/>
    <s v="Monthly"/>
    <m/>
  </r>
  <r>
    <n v="3222"/>
    <x v="3"/>
    <x v="1"/>
    <s v="T-shirt"/>
    <s v="Clothing"/>
    <n v="76"/>
    <x v="13"/>
    <s v="M"/>
    <s v="Yellow"/>
    <s v="Winter"/>
    <n v="3.2"/>
    <s v="No"/>
    <s v="No"/>
    <n v="28"/>
    <s v="Cash"/>
    <s v="Annually"/>
    <m/>
  </r>
  <r>
    <n v="3223"/>
    <x v="4"/>
    <x v="1"/>
    <s v="Sunglasses"/>
    <s v="Accessories"/>
    <n v="84"/>
    <x v="21"/>
    <s v="S"/>
    <s v="Maroon"/>
    <s v="Fall"/>
    <n v="4.5999999999999996"/>
    <s v="No"/>
    <s v="No"/>
    <n v="22"/>
    <s v="PayPal"/>
    <s v="Quarterly"/>
    <m/>
  </r>
  <r>
    <n v="3224"/>
    <x v="33"/>
    <x v="1"/>
    <s v="Shirt"/>
    <s v="Clothing"/>
    <n v="65"/>
    <x v="6"/>
    <s v="S"/>
    <s v="Gray"/>
    <s v="Spring"/>
    <n v="3.9"/>
    <s v="No"/>
    <s v="No"/>
    <n v="36"/>
    <s v="Venmo"/>
    <s v="Bi-Weekly"/>
    <m/>
  </r>
  <r>
    <n v="3225"/>
    <x v="43"/>
    <x v="1"/>
    <s v="Hoodie"/>
    <s v="Clothing"/>
    <n v="80"/>
    <x v="12"/>
    <s v="L"/>
    <s v="Indigo"/>
    <s v="Winter"/>
    <n v="2.7"/>
    <s v="No"/>
    <s v="No"/>
    <n v="18"/>
    <s v="PayPal"/>
    <s v="Monthly"/>
    <m/>
  </r>
  <r>
    <n v="3226"/>
    <x v="10"/>
    <x v="1"/>
    <s v="Blouse"/>
    <s v="Clothing"/>
    <n v="98"/>
    <x v="13"/>
    <s v="M"/>
    <s v="Pink"/>
    <s v="Fall"/>
    <n v="3"/>
    <s v="No"/>
    <s v="No"/>
    <n v="31"/>
    <s v="Credit Card"/>
    <s v="Weekly"/>
    <m/>
  </r>
  <r>
    <n v="3227"/>
    <x v="9"/>
    <x v="1"/>
    <s v="Sneakers"/>
    <s v="Footwear"/>
    <n v="71"/>
    <x v="46"/>
    <s v="XL"/>
    <s v="Beige"/>
    <s v="Spring"/>
    <n v="3.3"/>
    <s v="No"/>
    <s v="No"/>
    <n v="38"/>
    <s v="Bank Transfer"/>
    <s v="Fortnightly"/>
    <m/>
  </r>
  <r>
    <n v="3228"/>
    <x v="48"/>
    <x v="1"/>
    <s v="Scarf"/>
    <s v="Accessories"/>
    <n v="69"/>
    <x v="29"/>
    <s v="XL"/>
    <s v="White"/>
    <s v="Fall"/>
    <n v="2.7"/>
    <s v="No"/>
    <s v="No"/>
    <n v="42"/>
    <s v="Debit Card"/>
    <s v="Quarterly"/>
    <m/>
  </r>
  <r>
    <n v="3229"/>
    <x v="43"/>
    <x v="1"/>
    <s v="Jewelry"/>
    <s v="Accessories"/>
    <n v="95"/>
    <x v="39"/>
    <s v="M"/>
    <s v="Yellow"/>
    <s v="Spring"/>
    <n v="4.5999999999999996"/>
    <s v="No"/>
    <s v="No"/>
    <n v="27"/>
    <s v="PayPal"/>
    <s v="Annually"/>
    <m/>
  </r>
  <r>
    <n v="3230"/>
    <x v="22"/>
    <x v="1"/>
    <s v="Pants"/>
    <s v="Clothing"/>
    <n v="67"/>
    <x v="39"/>
    <s v="M"/>
    <s v="Teal"/>
    <s v="Fall"/>
    <n v="2.7"/>
    <s v="No"/>
    <s v="No"/>
    <n v="24"/>
    <s v="Cash"/>
    <s v="Monthly"/>
    <m/>
  </r>
  <r>
    <n v="3231"/>
    <x v="34"/>
    <x v="1"/>
    <s v="Sneakers"/>
    <s v="Footwear"/>
    <n v="49"/>
    <x v="23"/>
    <s v="M"/>
    <s v="Olive"/>
    <s v="Summer"/>
    <n v="2.5"/>
    <s v="No"/>
    <s v="No"/>
    <n v="38"/>
    <s v="Debit Card"/>
    <s v="Annually"/>
    <m/>
  </r>
  <r>
    <n v="3232"/>
    <x v="46"/>
    <x v="1"/>
    <s v="Shoes"/>
    <s v="Footwear"/>
    <n v="97"/>
    <x v="22"/>
    <s v="M"/>
    <s v="Maroon"/>
    <s v="Winter"/>
    <n v="4.4000000000000004"/>
    <s v="No"/>
    <s v="No"/>
    <n v="9"/>
    <s v="Credit Card"/>
    <s v="Annually"/>
    <m/>
  </r>
  <r>
    <n v="3233"/>
    <x v="4"/>
    <x v="1"/>
    <s v="T-shirt"/>
    <s v="Clothing"/>
    <n v="34"/>
    <x v="2"/>
    <s v="M"/>
    <s v="White"/>
    <s v="Spring"/>
    <n v="4"/>
    <s v="No"/>
    <s v="No"/>
    <n v="19"/>
    <s v="Bank Transfer"/>
    <s v="Monthly"/>
    <m/>
  </r>
  <r>
    <n v="3234"/>
    <x v="4"/>
    <x v="1"/>
    <s v="Belt"/>
    <s v="Accessories"/>
    <n v="74"/>
    <x v="27"/>
    <s v="M"/>
    <s v="Lavender"/>
    <s v="Fall"/>
    <n v="3.8"/>
    <s v="No"/>
    <s v="No"/>
    <n v="11"/>
    <s v="Debit Card"/>
    <s v="Bi-Weekly"/>
    <m/>
  </r>
  <r>
    <n v="3235"/>
    <x v="34"/>
    <x v="1"/>
    <s v="Jewelry"/>
    <s v="Accessories"/>
    <n v="96"/>
    <x v="47"/>
    <s v="M"/>
    <s v="Black"/>
    <s v="Winter"/>
    <n v="2.5"/>
    <s v="No"/>
    <s v="No"/>
    <n v="16"/>
    <s v="Debit Card"/>
    <s v="Quarterly"/>
    <m/>
  </r>
  <r>
    <n v="3236"/>
    <x v="7"/>
    <x v="1"/>
    <s v="Belt"/>
    <s v="Accessories"/>
    <n v="68"/>
    <x v="23"/>
    <s v="M"/>
    <s v="Green"/>
    <s v="Summer"/>
    <n v="4"/>
    <s v="No"/>
    <s v="No"/>
    <n v="18"/>
    <s v="Venmo"/>
    <s v="Monthly"/>
    <m/>
  </r>
  <r>
    <n v="3237"/>
    <x v="6"/>
    <x v="1"/>
    <s v="Belt"/>
    <s v="Accessories"/>
    <n v="84"/>
    <x v="36"/>
    <s v="L"/>
    <s v="Olive"/>
    <s v="Fall"/>
    <n v="4.0999999999999996"/>
    <s v="No"/>
    <s v="No"/>
    <n v="8"/>
    <s v="Cash"/>
    <s v="Monthly"/>
    <m/>
  </r>
  <r>
    <n v="3238"/>
    <x v="12"/>
    <x v="1"/>
    <s v="T-shirt"/>
    <s v="Clothing"/>
    <n v="57"/>
    <x v="34"/>
    <s v="M"/>
    <s v="Gray"/>
    <s v="Summer"/>
    <n v="2.8"/>
    <s v="No"/>
    <s v="No"/>
    <n v="4"/>
    <s v="Cash"/>
    <s v="Weekly"/>
    <m/>
  </r>
  <r>
    <n v="3239"/>
    <x v="15"/>
    <x v="1"/>
    <s v="Sneakers"/>
    <s v="Footwear"/>
    <n v="84"/>
    <x v="5"/>
    <s v="XL"/>
    <s v="Teal"/>
    <s v="Fall"/>
    <n v="3.4"/>
    <s v="No"/>
    <s v="No"/>
    <n v="37"/>
    <s v="Cash"/>
    <s v="Quarterly"/>
    <m/>
  </r>
  <r>
    <n v="3240"/>
    <x v="23"/>
    <x v="1"/>
    <s v="Sunglasses"/>
    <s v="Accessories"/>
    <n v="32"/>
    <x v="24"/>
    <s v="M"/>
    <s v="Charcoal"/>
    <s v="Fall"/>
    <n v="2.7"/>
    <s v="No"/>
    <s v="No"/>
    <n v="30"/>
    <s v="Cash"/>
    <s v="Monthly"/>
    <m/>
  </r>
  <r>
    <n v="3241"/>
    <x v="19"/>
    <x v="1"/>
    <s v="Sandals"/>
    <s v="Footwear"/>
    <n v="37"/>
    <x v="8"/>
    <s v="M"/>
    <s v="Violet"/>
    <s v="Fall"/>
    <n v="3.8"/>
    <s v="No"/>
    <s v="No"/>
    <n v="37"/>
    <s v="Bank Transfer"/>
    <s v="Monthly"/>
    <m/>
  </r>
  <r>
    <n v="3242"/>
    <x v="2"/>
    <x v="1"/>
    <s v="Handbag"/>
    <s v="Accessories"/>
    <n v="58"/>
    <x v="39"/>
    <s v="M"/>
    <s v="Lavender"/>
    <s v="Summer"/>
    <n v="4.4000000000000004"/>
    <s v="No"/>
    <s v="No"/>
    <n v="30"/>
    <s v="PayPal"/>
    <s v="Quarterly"/>
    <m/>
  </r>
  <r>
    <n v="3243"/>
    <x v="4"/>
    <x v="1"/>
    <s v="Socks"/>
    <s v="Clothing"/>
    <n v="74"/>
    <x v="4"/>
    <s v="S"/>
    <s v="Beige"/>
    <s v="Fall"/>
    <n v="2.8"/>
    <s v="No"/>
    <s v="No"/>
    <n v="17"/>
    <s v="Venmo"/>
    <s v="Weekly"/>
    <m/>
  </r>
  <r>
    <n v="3244"/>
    <x v="4"/>
    <x v="1"/>
    <s v="Hoodie"/>
    <s v="Clothing"/>
    <n v="99"/>
    <x v="37"/>
    <s v="L"/>
    <s v="Black"/>
    <s v="Summer"/>
    <n v="5"/>
    <s v="No"/>
    <s v="No"/>
    <n v="11"/>
    <s v="Bank Transfer"/>
    <s v="Every 3 Months"/>
    <m/>
  </r>
  <r>
    <n v="3245"/>
    <x v="13"/>
    <x v="1"/>
    <s v="Sweater"/>
    <s v="Clothing"/>
    <n v="81"/>
    <x v="10"/>
    <s v="M"/>
    <s v="Black"/>
    <s v="Fall"/>
    <n v="4.7"/>
    <s v="No"/>
    <s v="No"/>
    <n v="42"/>
    <s v="Credit Card"/>
    <s v="Annually"/>
    <m/>
  </r>
  <r>
    <n v="3246"/>
    <x v="6"/>
    <x v="1"/>
    <s v="Pants"/>
    <s v="Clothing"/>
    <n v="76"/>
    <x v="23"/>
    <s v="M"/>
    <s v="Purple"/>
    <s v="Fall"/>
    <n v="3.2"/>
    <s v="No"/>
    <s v="No"/>
    <n v="20"/>
    <s v="Cash"/>
    <s v="Weekly"/>
    <m/>
  </r>
  <r>
    <n v="3247"/>
    <x v="27"/>
    <x v="1"/>
    <s v="Sneakers"/>
    <s v="Footwear"/>
    <n v="98"/>
    <x v="49"/>
    <s v="M"/>
    <s v="Magenta"/>
    <s v="Summer"/>
    <n v="2.9"/>
    <s v="No"/>
    <s v="No"/>
    <n v="37"/>
    <s v="Cash"/>
    <s v="Monthly"/>
    <m/>
  </r>
  <r>
    <n v="3248"/>
    <x v="10"/>
    <x v="1"/>
    <s v="Gloves"/>
    <s v="Accessories"/>
    <n v="91"/>
    <x v="10"/>
    <s v="M"/>
    <s v="Teal"/>
    <s v="Summer"/>
    <n v="3.7"/>
    <s v="No"/>
    <s v="No"/>
    <n v="12"/>
    <s v="PayPal"/>
    <s v="Fortnightly"/>
    <m/>
  </r>
  <r>
    <n v="3249"/>
    <x v="40"/>
    <x v="1"/>
    <s v="T-shirt"/>
    <s v="Clothing"/>
    <n v="79"/>
    <x v="38"/>
    <s v="S"/>
    <s v="Teal"/>
    <s v="Summer"/>
    <n v="4.2"/>
    <s v="No"/>
    <s v="No"/>
    <n v="41"/>
    <s v="Bank Transfer"/>
    <s v="Quarterly"/>
    <m/>
  </r>
  <r>
    <n v="3250"/>
    <x v="8"/>
    <x v="1"/>
    <s v="Backpack"/>
    <s v="Accessories"/>
    <n v="83"/>
    <x v="41"/>
    <s v="M"/>
    <s v="Pink"/>
    <s v="Summer"/>
    <n v="3.4"/>
    <s v="No"/>
    <s v="No"/>
    <n v="32"/>
    <s v="Credit Card"/>
    <s v="Quarterly"/>
    <m/>
  </r>
  <r>
    <n v="3251"/>
    <x v="51"/>
    <x v="1"/>
    <s v="Coat"/>
    <s v="Outerwear"/>
    <n v="90"/>
    <x v="46"/>
    <s v="M"/>
    <s v="Teal"/>
    <s v="Spring"/>
    <n v="2.9"/>
    <s v="No"/>
    <s v="No"/>
    <n v="15"/>
    <s v="Venmo"/>
    <s v="Weekly"/>
    <m/>
  </r>
  <r>
    <n v="3252"/>
    <x v="15"/>
    <x v="1"/>
    <s v="Coat"/>
    <s v="Outerwear"/>
    <n v="20"/>
    <x v="22"/>
    <s v="M"/>
    <s v="Gold"/>
    <s v="Winter"/>
    <n v="3.7"/>
    <s v="No"/>
    <s v="No"/>
    <n v="39"/>
    <s v="Venmo"/>
    <s v="Quarterly"/>
    <m/>
  </r>
  <r>
    <n v="3253"/>
    <x v="28"/>
    <x v="1"/>
    <s v="Sandals"/>
    <s v="Footwear"/>
    <n v="21"/>
    <x v="6"/>
    <s v="L"/>
    <s v="Brown"/>
    <s v="Spring"/>
    <n v="2.7"/>
    <s v="No"/>
    <s v="No"/>
    <n v="48"/>
    <s v="Credit Card"/>
    <s v="Fortnightly"/>
    <m/>
  </r>
  <r>
    <n v="3254"/>
    <x v="24"/>
    <x v="1"/>
    <s v="Backpack"/>
    <s v="Accessories"/>
    <n v="60"/>
    <x v="43"/>
    <s v="M"/>
    <s v="Brown"/>
    <s v="Fall"/>
    <n v="3.2"/>
    <s v="No"/>
    <s v="No"/>
    <n v="8"/>
    <s v="Venmo"/>
    <s v="Fortnightly"/>
    <m/>
  </r>
  <r>
    <n v="3255"/>
    <x v="3"/>
    <x v="1"/>
    <s v="Sweater"/>
    <s v="Clothing"/>
    <n v="31"/>
    <x v="27"/>
    <s v="S"/>
    <s v="Magenta"/>
    <s v="Winter"/>
    <n v="4.9000000000000004"/>
    <s v="No"/>
    <s v="No"/>
    <n v="11"/>
    <s v="Bank Transfer"/>
    <s v="Every 3 Months"/>
    <m/>
  </r>
  <r>
    <n v="3256"/>
    <x v="9"/>
    <x v="1"/>
    <s v="Shorts"/>
    <s v="Clothing"/>
    <n v="40"/>
    <x v="32"/>
    <s v="M"/>
    <s v="Black"/>
    <s v="Fall"/>
    <n v="2.8"/>
    <s v="No"/>
    <s v="No"/>
    <n v="36"/>
    <s v="Bank Transfer"/>
    <s v="Monthly"/>
    <m/>
  </r>
  <r>
    <n v="3257"/>
    <x v="52"/>
    <x v="1"/>
    <s v="Sunglasses"/>
    <s v="Accessories"/>
    <n v="26"/>
    <x v="48"/>
    <s v="L"/>
    <s v="Teal"/>
    <s v="Winter"/>
    <n v="4.7"/>
    <s v="No"/>
    <s v="No"/>
    <n v="50"/>
    <s v="Venmo"/>
    <s v="Every 3 Months"/>
    <m/>
  </r>
  <r>
    <n v="3258"/>
    <x v="42"/>
    <x v="1"/>
    <s v="Shirt"/>
    <s v="Clothing"/>
    <n v="98"/>
    <x v="46"/>
    <s v="M"/>
    <s v="Brown"/>
    <s v="Fall"/>
    <n v="3.3"/>
    <s v="No"/>
    <s v="No"/>
    <n v="39"/>
    <s v="Venmo"/>
    <s v="Every 3 Months"/>
    <m/>
  </r>
  <r>
    <n v="3259"/>
    <x v="18"/>
    <x v="1"/>
    <s v="Shoes"/>
    <s v="Footwear"/>
    <n v="51"/>
    <x v="32"/>
    <s v="M"/>
    <s v="Magenta"/>
    <s v="Spring"/>
    <n v="4.3"/>
    <s v="No"/>
    <s v="No"/>
    <n v="11"/>
    <s v="Credit Card"/>
    <s v="Bi-Weekly"/>
    <m/>
  </r>
  <r>
    <n v="3260"/>
    <x v="9"/>
    <x v="1"/>
    <s v="Hat"/>
    <s v="Accessories"/>
    <n v="95"/>
    <x v="19"/>
    <s v="XL"/>
    <s v="Indigo"/>
    <s v="Fall"/>
    <n v="3.7"/>
    <s v="No"/>
    <s v="No"/>
    <n v="5"/>
    <s v="Debit Card"/>
    <s v="Every 3 Months"/>
    <m/>
  </r>
  <r>
    <n v="3261"/>
    <x v="31"/>
    <x v="1"/>
    <s v="Scarf"/>
    <s v="Accessories"/>
    <n v="36"/>
    <x v="48"/>
    <s v="M"/>
    <s v="Violet"/>
    <s v="Summer"/>
    <n v="4.5"/>
    <s v="No"/>
    <s v="No"/>
    <n v="7"/>
    <s v="Credit Card"/>
    <s v="Annually"/>
    <m/>
  </r>
  <r>
    <n v="3262"/>
    <x v="39"/>
    <x v="1"/>
    <s v="Belt"/>
    <s v="Accessories"/>
    <n v="52"/>
    <x v="3"/>
    <s v="L"/>
    <s v="Cyan"/>
    <s v="Winter"/>
    <n v="3.4"/>
    <s v="No"/>
    <s v="No"/>
    <n v="50"/>
    <s v="Debit Card"/>
    <s v="Weekly"/>
    <m/>
  </r>
  <r>
    <n v="3263"/>
    <x v="32"/>
    <x v="1"/>
    <s v="T-shirt"/>
    <s v="Clothing"/>
    <n v="35"/>
    <x v="27"/>
    <s v="M"/>
    <s v="Violet"/>
    <s v="Spring"/>
    <n v="2.7"/>
    <s v="No"/>
    <s v="No"/>
    <n v="21"/>
    <s v="Cash"/>
    <s v="Every 3 Months"/>
    <m/>
  </r>
  <r>
    <n v="3264"/>
    <x v="19"/>
    <x v="1"/>
    <s v="Shorts"/>
    <s v="Clothing"/>
    <n v="68"/>
    <x v="34"/>
    <s v="S"/>
    <s v="Black"/>
    <s v="Fall"/>
    <n v="4.4000000000000004"/>
    <s v="No"/>
    <s v="No"/>
    <n v="31"/>
    <s v="Debit Card"/>
    <s v="Fortnightly"/>
    <m/>
  </r>
  <r>
    <n v="3265"/>
    <x v="48"/>
    <x v="1"/>
    <s v="Pants"/>
    <s v="Clothing"/>
    <n v="50"/>
    <x v="1"/>
    <s v="S"/>
    <s v="Charcoal"/>
    <s v="Winter"/>
    <n v="4"/>
    <s v="No"/>
    <s v="No"/>
    <n v="39"/>
    <s v="Cash"/>
    <s v="Bi-Weekly"/>
    <m/>
  </r>
  <r>
    <n v="3266"/>
    <x v="37"/>
    <x v="1"/>
    <s v="Sunglasses"/>
    <s v="Accessories"/>
    <n v="100"/>
    <x v="15"/>
    <s v="M"/>
    <s v="White"/>
    <s v="Winter"/>
    <n v="3.2"/>
    <s v="No"/>
    <s v="No"/>
    <n v="28"/>
    <s v="Credit Card"/>
    <s v="Fortnightly"/>
    <m/>
  </r>
  <r>
    <n v="3267"/>
    <x v="34"/>
    <x v="1"/>
    <s v="Coat"/>
    <s v="Outerwear"/>
    <n v="74"/>
    <x v="15"/>
    <s v="S"/>
    <s v="Gray"/>
    <s v="Winter"/>
    <n v="4.2"/>
    <s v="No"/>
    <s v="No"/>
    <n v="33"/>
    <s v="Bank Transfer"/>
    <s v="Weekly"/>
    <m/>
  </r>
  <r>
    <n v="3268"/>
    <x v="43"/>
    <x v="1"/>
    <s v="Hoodie"/>
    <s v="Clothing"/>
    <n v="45"/>
    <x v="37"/>
    <s v="L"/>
    <s v="Pink"/>
    <s v="Winter"/>
    <n v="3"/>
    <s v="No"/>
    <s v="No"/>
    <n v="42"/>
    <s v="Credit Card"/>
    <s v="Quarterly"/>
    <m/>
  </r>
  <r>
    <n v="3269"/>
    <x v="40"/>
    <x v="1"/>
    <s v="Dress"/>
    <s v="Clothing"/>
    <n v="97"/>
    <x v="10"/>
    <s v="M"/>
    <s v="Cyan"/>
    <s v="Fall"/>
    <n v="2.8"/>
    <s v="No"/>
    <s v="No"/>
    <n v="5"/>
    <s v="Bank Transfer"/>
    <s v="Every 3 Months"/>
    <m/>
  </r>
  <r>
    <n v="3270"/>
    <x v="7"/>
    <x v="1"/>
    <s v="Blouse"/>
    <s v="Clothing"/>
    <n v="60"/>
    <x v="31"/>
    <s v="M"/>
    <s v="Blue"/>
    <s v="Winter"/>
    <n v="4.9000000000000004"/>
    <s v="No"/>
    <s v="No"/>
    <n v="25"/>
    <s v="Cash"/>
    <s v="Monthly"/>
    <m/>
  </r>
  <r>
    <n v="3271"/>
    <x v="35"/>
    <x v="1"/>
    <s v="Socks"/>
    <s v="Clothing"/>
    <n v="25"/>
    <x v="26"/>
    <s v="M"/>
    <s v="Indigo"/>
    <s v="Winter"/>
    <n v="4.7"/>
    <s v="No"/>
    <s v="No"/>
    <n v="48"/>
    <s v="PayPal"/>
    <s v="Annually"/>
    <m/>
  </r>
  <r>
    <n v="3272"/>
    <x v="25"/>
    <x v="1"/>
    <s v="Socks"/>
    <s v="Clothing"/>
    <n v="55"/>
    <x v="22"/>
    <s v="XL"/>
    <s v="Magenta"/>
    <s v="Spring"/>
    <n v="4.4000000000000004"/>
    <s v="No"/>
    <s v="No"/>
    <n v="30"/>
    <s v="Credit Card"/>
    <s v="Weekly"/>
    <m/>
  </r>
  <r>
    <n v="3273"/>
    <x v="44"/>
    <x v="1"/>
    <s v="Shoes"/>
    <s v="Footwear"/>
    <n v="99"/>
    <x v="21"/>
    <s v="M"/>
    <s v="Lavender"/>
    <s v="Winter"/>
    <n v="3.1"/>
    <s v="No"/>
    <s v="No"/>
    <n v="34"/>
    <s v="PayPal"/>
    <s v="Quarterly"/>
    <m/>
  </r>
  <r>
    <n v="3274"/>
    <x v="44"/>
    <x v="1"/>
    <s v="Belt"/>
    <s v="Accessories"/>
    <n v="45"/>
    <x v="22"/>
    <s v="S"/>
    <s v="Orange"/>
    <s v="Summer"/>
    <n v="2.6"/>
    <s v="No"/>
    <s v="No"/>
    <n v="34"/>
    <s v="PayPal"/>
    <s v="Every 3 Months"/>
    <m/>
  </r>
  <r>
    <n v="3275"/>
    <x v="5"/>
    <x v="1"/>
    <s v="Sweater"/>
    <s v="Clothing"/>
    <n v="20"/>
    <x v="19"/>
    <s v="M"/>
    <s v="Cyan"/>
    <s v="Spring"/>
    <n v="3.9"/>
    <s v="No"/>
    <s v="No"/>
    <n v="14"/>
    <s v="Cash"/>
    <s v="Fortnightly"/>
    <m/>
  </r>
  <r>
    <n v="3276"/>
    <x v="49"/>
    <x v="1"/>
    <s v="Pants"/>
    <s v="Clothing"/>
    <n v="88"/>
    <x v="15"/>
    <s v="XL"/>
    <s v="Green"/>
    <s v="Summer"/>
    <n v="2.6"/>
    <s v="No"/>
    <s v="No"/>
    <n v="2"/>
    <s v="Debit Card"/>
    <s v="Weekly"/>
    <m/>
  </r>
  <r>
    <n v="3277"/>
    <x v="31"/>
    <x v="1"/>
    <s v="Scarf"/>
    <s v="Accessories"/>
    <n v="99"/>
    <x v="45"/>
    <s v="M"/>
    <s v="White"/>
    <s v="Summer"/>
    <n v="4"/>
    <s v="No"/>
    <s v="No"/>
    <n v="41"/>
    <s v="PayPal"/>
    <s v="Every 3 Months"/>
    <m/>
  </r>
  <r>
    <n v="3278"/>
    <x v="35"/>
    <x v="1"/>
    <s v="Skirt"/>
    <s v="Clothing"/>
    <n v="86"/>
    <x v="21"/>
    <s v="M"/>
    <s v="Blue"/>
    <s v="Spring"/>
    <n v="4.9000000000000004"/>
    <s v="No"/>
    <s v="No"/>
    <n v="3"/>
    <s v="Credit Card"/>
    <s v="Monthly"/>
    <m/>
  </r>
  <r>
    <n v="3279"/>
    <x v="35"/>
    <x v="1"/>
    <s v="Dress"/>
    <s v="Clothing"/>
    <n v="70"/>
    <x v="6"/>
    <s v="M"/>
    <s v="Black"/>
    <s v="Summer"/>
    <n v="3.3"/>
    <s v="No"/>
    <s v="No"/>
    <n v="18"/>
    <s v="Bank Transfer"/>
    <s v="Weekly"/>
    <m/>
  </r>
  <r>
    <n v="3280"/>
    <x v="35"/>
    <x v="1"/>
    <s v="Hat"/>
    <s v="Accessories"/>
    <n v="50"/>
    <x v="5"/>
    <s v="S"/>
    <s v="Red"/>
    <s v="Fall"/>
    <n v="3"/>
    <s v="No"/>
    <s v="No"/>
    <n v="1"/>
    <s v="Debit Card"/>
    <s v="Fortnightly"/>
    <m/>
  </r>
  <r>
    <n v="3281"/>
    <x v="4"/>
    <x v="1"/>
    <s v="Handbag"/>
    <s v="Accessories"/>
    <n v="57"/>
    <x v="14"/>
    <s v="L"/>
    <s v="Red"/>
    <s v="Winter"/>
    <n v="2.7"/>
    <s v="No"/>
    <s v="No"/>
    <n v="5"/>
    <s v="PayPal"/>
    <s v="Monthly"/>
    <m/>
  </r>
  <r>
    <n v="3282"/>
    <x v="7"/>
    <x v="1"/>
    <s v="Pants"/>
    <s v="Clothing"/>
    <n v="69"/>
    <x v="4"/>
    <s v="L"/>
    <s v="Gold"/>
    <s v="Winter"/>
    <n v="3.1"/>
    <s v="No"/>
    <s v="No"/>
    <n v="41"/>
    <s v="Bank Transfer"/>
    <s v="Annually"/>
    <m/>
  </r>
  <r>
    <n v="3283"/>
    <x v="41"/>
    <x v="1"/>
    <s v="T-shirt"/>
    <s v="Clothing"/>
    <n v="94"/>
    <x v="18"/>
    <s v="M"/>
    <s v="Red"/>
    <s v="Fall"/>
    <n v="4.8"/>
    <s v="No"/>
    <s v="No"/>
    <n v="5"/>
    <s v="Credit Card"/>
    <s v="Monthly"/>
    <m/>
  </r>
  <r>
    <n v="3284"/>
    <x v="36"/>
    <x v="1"/>
    <s v="Jacket"/>
    <s v="Outerwear"/>
    <n v="24"/>
    <x v="17"/>
    <s v="L"/>
    <s v="Purple"/>
    <s v="Spring"/>
    <n v="2.9"/>
    <s v="No"/>
    <s v="No"/>
    <n v="10"/>
    <s v="Debit Card"/>
    <s v="Every 3 Months"/>
    <m/>
  </r>
  <r>
    <n v="3285"/>
    <x v="27"/>
    <x v="1"/>
    <s v="Scarf"/>
    <s v="Accessories"/>
    <n v="79"/>
    <x v="0"/>
    <s v="L"/>
    <s v="White"/>
    <s v="Spring"/>
    <n v="4.5"/>
    <s v="No"/>
    <s v="No"/>
    <n v="20"/>
    <s v="Venmo"/>
    <s v="Annually"/>
    <m/>
  </r>
  <r>
    <n v="3286"/>
    <x v="44"/>
    <x v="1"/>
    <s v="Hat"/>
    <s v="Accessories"/>
    <n v="31"/>
    <x v="11"/>
    <s v="XL"/>
    <s v="Magenta"/>
    <s v="Fall"/>
    <n v="4.5999999999999996"/>
    <s v="No"/>
    <s v="No"/>
    <n v="11"/>
    <s v="Cash"/>
    <s v="Weekly"/>
    <m/>
  </r>
  <r>
    <n v="3287"/>
    <x v="4"/>
    <x v="1"/>
    <s v="Jacket"/>
    <s v="Outerwear"/>
    <n v="67"/>
    <x v="26"/>
    <s v="L"/>
    <s v="Pink"/>
    <s v="Winter"/>
    <n v="5"/>
    <s v="No"/>
    <s v="No"/>
    <n v="4"/>
    <s v="Venmo"/>
    <s v="Fortnightly"/>
    <m/>
  </r>
  <r>
    <n v="3288"/>
    <x v="41"/>
    <x v="1"/>
    <s v="Skirt"/>
    <s v="Clothing"/>
    <n v="63"/>
    <x v="8"/>
    <s v="L"/>
    <s v="Black"/>
    <s v="Spring"/>
    <n v="4.3"/>
    <s v="No"/>
    <s v="No"/>
    <n v="38"/>
    <s v="Credit Card"/>
    <s v="Weekly"/>
    <m/>
  </r>
  <r>
    <n v="3289"/>
    <x v="29"/>
    <x v="1"/>
    <s v="Handbag"/>
    <s v="Accessories"/>
    <n v="61"/>
    <x v="36"/>
    <s v="XL"/>
    <s v="White"/>
    <s v="Spring"/>
    <n v="4.9000000000000004"/>
    <s v="No"/>
    <s v="No"/>
    <n v="19"/>
    <s v="Credit Card"/>
    <s v="Bi-Weekly"/>
    <m/>
  </r>
  <r>
    <n v="3290"/>
    <x v="18"/>
    <x v="1"/>
    <s v="Backpack"/>
    <s v="Accessories"/>
    <n v="50"/>
    <x v="6"/>
    <s v="M"/>
    <s v="Maroon"/>
    <s v="Summer"/>
    <n v="4"/>
    <s v="No"/>
    <s v="No"/>
    <n v="16"/>
    <s v="Venmo"/>
    <s v="Every 3 Months"/>
    <m/>
  </r>
  <r>
    <n v="3291"/>
    <x v="16"/>
    <x v="1"/>
    <s v="Coat"/>
    <s v="Outerwear"/>
    <n v="82"/>
    <x v="25"/>
    <s v="L"/>
    <s v="Black"/>
    <s v="Spring"/>
    <n v="3.1"/>
    <s v="No"/>
    <s v="No"/>
    <n v="2"/>
    <s v="PayPal"/>
    <s v="Monthly"/>
    <m/>
  </r>
  <r>
    <n v="3292"/>
    <x v="26"/>
    <x v="1"/>
    <s v="Belt"/>
    <s v="Accessories"/>
    <n v="51"/>
    <x v="35"/>
    <s v="L"/>
    <s v="Olive"/>
    <s v="Fall"/>
    <n v="2.6"/>
    <s v="No"/>
    <s v="No"/>
    <n v="11"/>
    <s v="Cash"/>
    <s v="Monthly"/>
    <m/>
  </r>
  <r>
    <n v="3293"/>
    <x v="46"/>
    <x v="1"/>
    <s v="Handbag"/>
    <s v="Accessories"/>
    <n v="23"/>
    <x v="9"/>
    <s v="L"/>
    <s v="Gray"/>
    <s v="Spring"/>
    <n v="4.9000000000000004"/>
    <s v="No"/>
    <s v="No"/>
    <n v="18"/>
    <s v="Bank Transfer"/>
    <s v="Fortnightly"/>
    <m/>
  </r>
  <r>
    <n v="3294"/>
    <x v="1"/>
    <x v="1"/>
    <s v="Coat"/>
    <s v="Outerwear"/>
    <n v="91"/>
    <x v="8"/>
    <s v="M"/>
    <s v="Gold"/>
    <s v="Spring"/>
    <n v="3.5"/>
    <s v="No"/>
    <s v="No"/>
    <n v="47"/>
    <s v="Credit Card"/>
    <s v="Fortnightly"/>
    <m/>
  </r>
  <r>
    <n v="3295"/>
    <x v="46"/>
    <x v="1"/>
    <s v="Sweater"/>
    <s v="Clothing"/>
    <n v="60"/>
    <x v="36"/>
    <s v="S"/>
    <s v="Magenta"/>
    <s v="Spring"/>
    <n v="4.5"/>
    <s v="No"/>
    <s v="No"/>
    <n v="15"/>
    <s v="Bank Transfer"/>
    <s v="Bi-Weekly"/>
    <m/>
  </r>
  <r>
    <n v="3296"/>
    <x v="27"/>
    <x v="1"/>
    <s v="Blouse"/>
    <s v="Clothing"/>
    <n v="34"/>
    <x v="8"/>
    <s v="S"/>
    <s v="Lavender"/>
    <s v="Summer"/>
    <n v="2.8"/>
    <s v="No"/>
    <s v="No"/>
    <n v="15"/>
    <s v="Cash"/>
    <s v="Weekly"/>
    <m/>
  </r>
  <r>
    <n v="3297"/>
    <x v="30"/>
    <x v="1"/>
    <s v="Blouse"/>
    <s v="Clothing"/>
    <n v="23"/>
    <x v="29"/>
    <s v="M"/>
    <s v="Green"/>
    <s v="Spring"/>
    <n v="4.2"/>
    <s v="No"/>
    <s v="No"/>
    <n v="47"/>
    <s v="Venmo"/>
    <s v="Quarterly"/>
    <m/>
  </r>
  <r>
    <n v="3298"/>
    <x v="29"/>
    <x v="1"/>
    <s v="Belt"/>
    <s v="Accessories"/>
    <n v="82"/>
    <x v="8"/>
    <s v="M"/>
    <s v="Violet"/>
    <s v="Fall"/>
    <n v="4.0999999999999996"/>
    <s v="No"/>
    <s v="No"/>
    <n v="47"/>
    <s v="PayPal"/>
    <s v="Monthly"/>
    <m/>
  </r>
  <r>
    <n v="3299"/>
    <x v="13"/>
    <x v="1"/>
    <s v="Jacket"/>
    <s v="Outerwear"/>
    <n v="73"/>
    <x v="35"/>
    <s v="M"/>
    <s v="Brown"/>
    <s v="Fall"/>
    <n v="3.5"/>
    <s v="No"/>
    <s v="No"/>
    <n v="6"/>
    <s v="Bank Transfer"/>
    <s v="Every 3 Months"/>
    <m/>
  </r>
  <r>
    <n v="3300"/>
    <x v="4"/>
    <x v="1"/>
    <s v="Shorts"/>
    <s v="Clothing"/>
    <n v="32"/>
    <x v="45"/>
    <s v="L"/>
    <s v="Teal"/>
    <s v="Spring"/>
    <n v="4"/>
    <s v="No"/>
    <s v="No"/>
    <n v="18"/>
    <s v="Venmo"/>
    <s v="Monthly"/>
    <m/>
  </r>
  <r>
    <n v="3301"/>
    <x v="8"/>
    <x v="1"/>
    <s v="Hat"/>
    <s v="Accessories"/>
    <n v="80"/>
    <x v="19"/>
    <s v="M"/>
    <s v="Charcoal"/>
    <s v="Spring"/>
    <n v="4"/>
    <s v="No"/>
    <s v="No"/>
    <n v="40"/>
    <s v="Bank Transfer"/>
    <s v="Bi-Weekly"/>
    <m/>
  </r>
  <r>
    <n v="3302"/>
    <x v="24"/>
    <x v="1"/>
    <s v="Pants"/>
    <s v="Clothing"/>
    <n v="58"/>
    <x v="19"/>
    <s v="XL"/>
    <s v="Charcoal"/>
    <s v="Summer"/>
    <n v="2.5"/>
    <s v="No"/>
    <s v="No"/>
    <n v="31"/>
    <s v="Credit Card"/>
    <s v="Fortnightly"/>
    <m/>
  </r>
  <r>
    <n v="3303"/>
    <x v="24"/>
    <x v="1"/>
    <s v="Blouse"/>
    <s v="Clothing"/>
    <n v="82"/>
    <x v="15"/>
    <s v="XL"/>
    <s v="Beige"/>
    <s v="Winter"/>
    <n v="4.2"/>
    <s v="No"/>
    <s v="No"/>
    <n v="31"/>
    <s v="Venmo"/>
    <s v="Bi-Weekly"/>
    <m/>
  </r>
  <r>
    <n v="3304"/>
    <x v="30"/>
    <x v="1"/>
    <s v="Belt"/>
    <s v="Accessories"/>
    <n v="60"/>
    <x v="16"/>
    <s v="S"/>
    <s v="Turquoise"/>
    <s v="Summer"/>
    <n v="3.4"/>
    <s v="No"/>
    <s v="No"/>
    <n v="4"/>
    <s v="Credit Card"/>
    <s v="Fortnightly"/>
    <m/>
  </r>
  <r>
    <n v="3305"/>
    <x v="11"/>
    <x v="1"/>
    <s v="Handbag"/>
    <s v="Accessories"/>
    <n v="79"/>
    <x v="16"/>
    <s v="XL"/>
    <s v="Orange"/>
    <s v="Fall"/>
    <n v="4.8"/>
    <s v="No"/>
    <s v="No"/>
    <n v="36"/>
    <s v="Bank Transfer"/>
    <s v="Every 3 Months"/>
    <m/>
  </r>
  <r>
    <n v="3306"/>
    <x v="50"/>
    <x v="1"/>
    <s v="Hoodie"/>
    <s v="Clothing"/>
    <n v="41"/>
    <x v="43"/>
    <s v="L"/>
    <s v="Cyan"/>
    <s v="Summer"/>
    <n v="4.9000000000000004"/>
    <s v="No"/>
    <s v="No"/>
    <n v="31"/>
    <s v="PayPal"/>
    <s v="Bi-Weekly"/>
    <m/>
  </r>
  <r>
    <n v="3307"/>
    <x v="6"/>
    <x v="1"/>
    <s v="Jacket"/>
    <s v="Outerwear"/>
    <n v="39"/>
    <x v="24"/>
    <s v="L"/>
    <s v="Orange"/>
    <s v="Summer"/>
    <n v="3.6"/>
    <s v="No"/>
    <s v="No"/>
    <n v="6"/>
    <s v="Venmo"/>
    <s v="Fortnightly"/>
    <m/>
  </r>
  <r>
    <n v="3308"/>
    <x v="20"/>
    <x v="1"/>
    <s v="Scarf"/>
    <s v="Accessories"/>
    <n v="36"/>
    <x v="38"/>
    <s v="S"/>
    <s v="Green"/>
    <s v="Winter"/>
    <n v="4"/>
    <s v="No"/>
    <s v="No"/>
    <n v="1"/>
    <s v="Cash"/>
    <s v="Monthly"/>
    <m/>
  </r>
  <r>
    <n v="3309"/>
    <x v="0"/>
    <x v="1"/>
    <s v="Jeans"/>
    <s v="Clothing"/>
    <n v="70"/>
    <x v="40"/>
    <s v="M"/>
    <s v="Pink"/>
    <s v="Fall"/>
    <n v="2.6"/>
    <s v="No"/>
    <s v="No"/>
    <n v="29"/>
    <s v="Cash"/>
    <s v="Monthly"/>
    <m/>
  </r>
  <r>
    <n v="3310"/>
    <x v="39"/>
    <x v="1"/>
    <s v="Handbag"/>
    <s v="Accessories"/>
    <n v="47"/>
    <x v="2"/>
    <s v="M"/>
    <s v="Blue"/>
    <s v="Summer"/>
    <n v="3.1"/>
    <s v="No"/>
    <s v="No"/>
    <n v="19"/>
    <s v="PayPal"/>
    <s v="Monthly"/>
    <m/>
  </r>
  <r>
    <n v="3311"/>
    <x v="4"/>
    <x v="1"/>
    <s v="Jacket"/>
    <s v="Outerwear"/>
    <n v="27"/>
    <x v="44"/>
    <s v="M"/>
    <s v="Pink"/>
    <s v="Winter"/>
    <n v="3.6"/>
    <s v="No"/>
    <s v="No"/>
    <n v="12"/>
    <s v="PayPal"/>
    <s v="Fortnightly"/>
    <m/>
  </r>
  <r>
    <n v="3312"/>
    <x v="26"/>
    <x v="1"/>
    <s v="Hat"/>
    <s v="Accessories"/>
    <n v="52"/>
    <x v="20"/>
    <s v="L"/>
    <s v="Blue"/>
    <s v="Summer"/>
    <n v="4"/>
    <s v="No"/>
    <s v="No"/>
    <n v="18"/>
    <s v="Bank Transfer"/>
    <s v="Annually"/>
    <m/>
  </r>
  <r>
    <n v="3313"/>
    <x v="0"/>
    <x v="1"/>
    <s v="Sneakers"/>
    <s v="Footwear"/>
    <n v="75"/>
    <x v="7"/>
    <s v="L"/>
    <s v="Black"/>
    <s v="Summer"/>
    <n v="3.9"/>
    <s v="No"/>
    <s v="No"/>
    <n v="45"/>
    <s v="Cash"/>
    <s v="Quarterly"/>
    <m/>
  </r>
  <r>
    <n v="3314"/>
    <x v="0"/>
    <x v="1"/>
    <s v="Hat"/>
    <s v="Accessories"/>
    <n v="30"/>
    <x v="23"/>
    <s v="XL"/>
    <s v="Black"/>
    <s v="Fall"/>
    <n v="3.9"/>
    <s v="No"/>
    <s v="No"/>
    <n v="45"/>
    <s v="Credit Card"/>
    <s v="Monthly"/>
    <m/>
  </r>
  <r>
    <n v="3315"/>
    <x v="0"/>
    <x v="1"/>
    <s v="Socks"/>
    <s v="Clothing"/>
    <n v="94"/>
    <x v="23"/>
    <s v="M"/>
    <s v="Violet"/>
    <s v="Spring"/>
    <n v="3.3"/>
    <s v="No"/>
    <s v="No"/>
    <n v="8"/>
    <s v="Credit Card"/>
    <s v="Quarterly"/>
    <m/>
  </r>
  <r>
    <n v="3316"/>
    <x v="39"/>
    <x v="1"/>
    <s v="Scarf"/>
    <s v="Accessories"/>
    <n v="68"/>
    <x v="0"/>
    <s v="S"/>
    <s v="Gold"/>
    <s v="Summer"/>
    <n v="2.9"/>
    <s v="No"/>
    <s v="No"/>
    <n v="4"/>
    <s v="PayPal"/>
    <s v="Every 3 Months"/>
    <m/>
  </r>
  <r>
    <n v="3317"/>
    <x v="32"/>
    <x v="1"/>
    <s v="Socks"/>
    <s v="Clothing"/>
    <n v="45"/>
    <x v="35"/>
    <s v="M"/>
    <s v="Olive"/>
    <s v="Summer"/>
    <n v="3.1"/>
    <s v="No"/>
    <s v="No"/>
    <n v="5"/>
    <s v="Debit Card"/>
    <s v="Fortnightly"/>
    <m/>
  </r>
  <r>
    <n v="3318"/>
    <x v="3"/>
    <x v="1"/>
    <s v="Hat"/>
    <s v="Accessories"/>
    <n v="67"/>
    <x v="17"/>
    <s v="XL"/>
    <s v="Pink"/>
    <s v="Summer"/>
    <n v="4.7"/>
    <s v="No"/>
    <s v="No"/>
    <n v="30"/>
    <s v="Cash"/>
    <s v="Quarterly"/>
    <m/>
  </r>
  <r>
    <n v="3319"/>
    <x v="4"/>
    <x v="1"/>
    <s v="Jacket"/>
    <s v="Outerwear"/>
    <n v="46"/>
    <x v="25"/>
    <s v="M"/>
    <s v="Olive"/>
    <s v="Summer"/>
    <n v="3.9"/>
    <s v="No"/>
    <s v="No"/>
    <n v="15"/>
    <s v="PayPal"/>
    <s v="Monthly"/>
    <m/>
  </r>
  <r>
    <n v="3320"/>
    <x v="51"/>
    <x v="1"/>
    <s v="Shorts"/>
    <s v="Clothing"/>
    <n v="31"/>
    <x v="25"/>
    <s v="M"/>
    <s v="Indigo"/>
    <s v="Summer"/>
    <n v="4.3"/>
    <s v="No"/>
    <s v="No"/>
    <n v="17"/>
    <s v="Credit Card"/>
    <s v="Every 3 Months"/>
    <m/>
  </r>
  <r>
    <n v="3321"/>
    <x v="17"/>
    <x v="1"/>
    <s v="Blouse"/>
    <s v="Clothing"/>
    <n v="44"/>
    <x v="26"/>
    <s v="XL"/>
    <s v="Silver"/>
    <s v="Fall"/>
    <n v="4.2"/>
    <s v="No"/>
    <s v="No"/>
    <n v="45"/>
    <s v="Cash"/>
    <s v="Every 3 Months"/>
    <m/>
  </r>
  <r>
    <n v="3322"/>
    <x v="45"/>
    <x v="1"/>
    <s v="Coat"/>
    <s v="Outerwear"/>
    <n v="100"/>
    <x v="1"/>
    <s v="S"/>
    <s v="Charcoal"/>
    <s v="Winter"/>
    <n v="4.3"/>
    <s v="No"/>
    <s v="No"/>
    <n v="3"/>
    <s v="Venmo"/>
    <s v="Annually"/>
    <m/>
  </r>
  <r>
    <n v="3323"/>
    <x v="16"/>
    <x v="1"/>
    <s v="Sweater"/>
    <s v="Clothing"/>
    <n v="92"/>
    <x v="27"/>
    <s v="XL"/>
    <s v="Orange"/>
    <s v="Winter"/>
    <n v="4.5999999999999996"/>
    <s v="No"/>
    <s v="No"/>
    <n v="43"/>
    <s v="PayPal"/>
    <s v="Weekly"/>
    <m/>
  </r>
  <r>
    <n v="3324"/>
    <x v="22"/>
    <x v="1"/>
    <s v="Handbag"/>
    <s v="Accessories"/>
    <n v="78"/>
    <x v="25"/>
    <s v="M"/>
    <s v="Yellow"/>
    <s v="Winter"/>
    <n v="3.8"/>
    <s v="No"/>
    <s v="No"/>
    <n v="4"/>
    <s v="Credit Card"/>
    <s v="Monthly"/>
    <m/>
  </r>
  <r>
    <n v="3325"/>
    <x v="43"/>
    <x v="1"/>
    <s v="T-shirt"/>
    <s v="Clothing"/>
    <n v="32"/>
    <x v="9"/>
    <s v="S"/>
    <s v="Red"/>
    <s v="Fall"/>
    <n v="3.3"/>
    <s v="No"/>
    <s v="No"/>
    <n v="41"/>
    <s v="Venmo"/>
    <s v="Weekly"/>
    <m/>
  </r>
  <r>
    <n v="3326"/>
    <x v="26"/>
    <x v="1"/>
    <s v="Sandals"/>
    <s v="Footwear"/>
    <n v="97"/>
    <x v="29"/>
    <s v="M"/>
    <s v="Maroon"/>
    <s v="Fall"/>
    <n v="3.7"/>
    <s v="No"/>
    <s v="No"/>
    <n v="16"/>
    <s v="Venmo"/>
    <s v="Monthly"/>
    <m/>
  </r>
  <r>
    <n v="3327"/>
    <x v="36"/>
    <x v="1"/>
    <s v="Gloves"/>
    <s v="Accessories"/>
    <n v="95"/>
    <x v="25"/>
    <s v="M"/>
    <s v="Magenta"/>
    <s v="Summer"/>
    <n v="4.3"/>
    <s v="No"/>
    <s v="No"/>
    <n v="10"/>
    <s v="Debit Card"/>
    <s v="Annually"/>
    <m/>
  </r>
  <r>
    <n v="3328"/>
    <x v="36"/>
    <x v="1"/>
    <s v="Shorts"/>
    <s v="Clothing"/>
    <n v="64"/>
    <x v="39"/>
    <s v="M"/>
    <s v="Black"/>
    <s v="Spring"/>
    <n v="4.0999999999999996"/>
    <s v="No"/>
    <s v="No"/>
    <n v="2"/>
    <s v="Debit Card"/>
    <s v="Quarterly"/>
    <m/>
  </r>
  <r>
    <n v="3329"/>
    <x v="32"/>
    <x v="1"/>
    <s v="Sandals"/>
    <s v="Footwear"/>
    <n v="35"/>
    <x v="48"/>
    <s v="M"/>
    <s v="Violet"/>
    <s v="Spring"/>
    <n v="3.2"/>
    <s v="No"/>
    <s v="No"/>
    <n v="11"/>
    <s v="Cash"/>
    <s v="Bi-Weekly"/>
    <m/>
  </r>
  <r>
    <n v="3330"/>
    <x v="50"/>
    <x v="1"/>
    <s v="Backpack"/>
    <s v="Accessories"/>
    <n v="54"/>
    <x v="32"/>
    <s v="M"/>
    <s v="Gray"/>
    <s v="Winter"/>
    <n v="3.8"/>
    <s v="No"/>
    <s v="No"/>
    <n v="1"/>
    <s v="Debit Card"/>
    <s v="Bi-Weekly"/>
    <m/>
  </r>
  <r>
    <n v="3331"/>
    <x v="21"/>
    <x v="1"/>
    <s v="Sneakers"/>
    <s v="Footwear"/>
    <n v="96"/>
    <x v="9"/>
    <s v="M"/>
    <s v="Black"/>
    <s v="Spring"/>
    <n v="3.2"/>
    <s v="No"/>
    <s v="No"/>
    <n v="41"/>
    <s v="Bank Transfer"/>
    <s v="Quarterly"/>
    <m/>
  </r>
  <r>
    <n v="3332"/>
    <x v="0"/>
    <x v="1"/>
    <s v="Sunglasses"/>
    <s v="Accessories"/>
    <n v="58"/>
    <x v="18"/>
    <s v="M"/>
    <s v="Pink"/>
    <s v="Summer"/>
    <n v="3.5"/>
    <s v="No"/>
    <s v="No"/>
    <n v="39"/>
    <s v="PayPal"/>
    <s v="Quarterly"/>
    <m/>
  </r>
  <r>
    <n v="3333"/>
    <x v="7"/>
    <x v="1"/>
    <s v="T-shirt"/>
    <s v="Clothing"/>
    <n v="23"/>
    <x v="47"/>
    <s v="M"/>
    <s v="Silver"/>
    <s v="Summer"/>
    <n v="3.1"/>
    <s v="No"/>
    <s v="No"/>
    <n v="1"/>
    <s v="PayPal"/>
    <s v="Bi-Weekly"/>
    <m/>
  </r>
  <r>
    <n v="3334"/>
    <x v="0"/>
    <x v="1"/>
    <s v="Jeans"/>
    <s v="Clothing"/>
    <n v="35"/>
    <x v="46"/>
    <s v="M"/>
    <s v="Violet"/>
    <s v="Spring"/>
    <n v="4.2"/>
    <s v="No"/>
    <s v="No"/>
    <n v="3"/>
    <s v="PayPal"/>
    <s v="Monthly"/>
    <m/>
  </r>
  <r>
    <n v="3335"/>
    <x v="17"/>
    <x v="1"/>
    <s v="Shirt"/>
    <s v="Clothing"/>
    <n v="23"/>
    <x v="18"/>
    <s v="M"/>
    <s v="Beige"/>
    <s v="Summer"/>
    <n v="3.4"/>
    <s v="No"/>
    <s v="No"/>
    <n v="21"/>
    <s v="Credit Card"/>
    <s v="Annually"/>
    <m/>
  </r>
  <r>
    <n v="3336"/>
    <x v="42"/>
    <x v="1"/>
    <s v="Hat"/>
    <s v="Accessories"/>
    <n v="94"/>
    <x v="21"/>
    <s v="XL"/>
    <s v="Cyan"/>
    <s v="Winter"/>
    <n v="3.5"/>
    <s v="No"/>
    <s v="No"/>
    <n v="48"/>
    <s v="Bank Transfer"/>
    <s v="Quarterly"/>
    <m/>
  </r>
  <r>
    <n v="3337"/>
    <x v="31"/>
    <x v="1"/>
    <s v="Blouse"/>
    <s v="Clothing"/>
    <n v="45"/>
    <x v="6"/>
    <s v="M"/>
    <s v="Brown"/>
    <s v="Fall"/>
    <n v="4"/>
    <s v="No"/>
    <s v="No"/>
    <n v="24"/>
    <s v="Debit Card"/>
    <s v="Annually"/>
    <m/>
  </r>
  <r>
    <n v="3338"/>
    <x v="51"/>
    <x v="1"/>
    <s v="Jacket"/>
    <s v="Outerwear"/>
    <n v="23"/>
    <x v="28"/>
    <s v="L"/>
    <s v="Blue"/>
    <s v="Winter"/>
    <n v="4.4000000000000004"/>
    <s v="No"/>
    <s v="No"/>
    <n v="45"/>
    <s v="Bank Transfer"/>
    <s v="Bi-Weekly"/>
    <m/>
  </r>
  <r>
    <n v="3339"/>
    <x v="26"/>
    <x v="1"/>
    <s v="Skirt"/>
    <s v="Clothing"/>
    <n v="94"/>
    <x v="46"/>
    <s v="L"/>
    <s v="White"/>
    <s v="Winter"/>
    <n v="2.9"/>
    <s v="No"/>
    <s v="No"/>
    <n v="46"/>
    <s v="Credit Card"/>
    <s v="Monthly"/>
    <m/>
  </r>
  <r>
    <n v="3340"/>
    <x v="30"/>
    <x v="1"/>
    <s v="Gloves"/>
    <s v="Accessories"/>
    <n v="99"/>
    <x v="43"/>
    <s v="M"/>
    <s v="Cyan"/>
    <s v="Fall"/>
    <n v="3.6"/>
    <s v="No"/>
    <s v="No"/>
    <n v="35"/>
    <s v="Cash"/>
    <s v="Fortnightly"/>
    <m/>
  </r>
  <r>
    <n v="3341"/>
    <x v="32"/>
    <x v="1"/>
    <s v="T-shirt"/>
    <s v="Clothing"/>
    <n v="36"/>
    <x v="41"/>
    <s v="XL"/>
    <s v="Maroon"/>
    <s v="Fall"/>
    <n v="4.4000000000000004"/>
    <s v="No"/>
    <s v="No"/>
    <n v="47"/>
    <s v="Credit Card"/>
    <s v="Fortnightly"/>
    <m/>
  </r>
  <r>
    <n v="3342"/>
    <x v="0"/>
    <x v="1"/>
    <s v="Jacket"/>
    <s v="Outerwear"/>
    <n v="50"/>
    <x v="39"/>
    <s v="XL"/>
    <s v="Olive"/>
    <s v="Summer"/>
    <n v="4.5"/>
    <s v="No"/>
    <s v="No"/>
    <n v="35"/>
    <s v="Credit Card"/>
    <s v="Monthly"/>
    <m/>
  </r>
  <r>
    <n v="3343"/>
    <x v="17"/>
    <x v="1"/>
    <s v="Jacket"/>
    <s v="Outerwear"/>
    <n v="81"/>
    <x v="32"/>
    <s v="M"/>
    <s v="Violet"/>
    <s v="Spring"/>
    <n v="3.8"/>
    <s v="No"/>
    <s v="No"/>
    <n v="45"/>
    <s v="Credit Card"/>
    <s v="Weekly"/>
    <m/>
  </r>
  <r>
    <n v="3344"/>
    <x v="41"/>
    <x v="1"/>
    <s v="Shorts"/>
    <s v="Clothing"/>
    <n v="31"/>
    <x v="0"/>
    <s v="XL"/>
    <s v="Green"/>
    <s v="Winter"/>
    <n v="3.6"/>
    <s v="No"/>
    <s v="No"/>
    <n v="6"/>
    <s v="Cash"/>
    <s v="Bi-Weekly"/>
    <m/>
  </r>
  <r>
    <n v="3345"/>
    <x v="46"/>
    <x v="1"/>
    <s v="Hat"/>
    <s v="Accessories"/>
    <n v="48"/>
    <x v="47"/>
    <s v="XL"/>
    <s v="Magenta"/>
    <s v="Fall"/>
    <n v="4.3"/>
    <s v="No"/>
    <s v="No"/>
    <n v="20"/>
    <s v="Cash"/>
    <s v="Annually"/>
    <m/>
  </r>
  <r>
    <n v="3346"/>
    <x v="48"/>
    <x v="1"/>
    <s v="Handbag"/>
    <s v="Accessories"/>
    <n v="91"/>
    <x v="20"/>
    <s v="M"/>
    <s v="Turquoise"/>
    <s v="Summer"/>
    <n v="4"/>
    <s v="No"/>
    <s v="No"/>
    <n v="3"/>
    <s v="Venmo"/>
    <s v="Bi-Weekly"/>
    <m/>
  </r>
  <r>
    <n v="3347"/>
    <x v="11"/>
    <x v="1"/>
    <s v="Jeans"/>
    <s v="Clothing"/>
    <n v="99"/>
    <x v="19"/>
    <s v="M"/>
    <s v="Black"/>
    <s v="Summer"/>
    <n v="3.4"/>
    <s v="No"/>
    <s v="No"/>
    <n v="30"/>
    <s v="Venmo"/>
    <s v="Quarterly"/>
    <m/>
  </r>
  <r>
    <n v="3348"/>
    <x v="40"/>
    <x v="1"/>
    <s v="Shoes"/>
    <s v="Footwear"/>
    <n v="70"/>
    <x v="44"/>
    <s v="XL"/>
    <s v="Cyan"/>
    <s v="Summer"/>
    <n v="4.4000000000000004"/>
    <s v="No"/>
    <s v="No"/>
    <n v="28"/>
    <s v="PayPal"/>
    <s v="Bi-Weekly"/>
    <m/>
  </r>
  <r>
    <n v="3349"/>
    <x v="48"/>
    <x v="1"/>
    <s v="T-shirt"/>
    <s v="Clothing"/>
    <n v="74"/>
    <x v="13"/>
    <s v="L"/>
    <s v="Gray"/>
    <s v="Winter"/>
    <n v="2.8"/>
    <s v="No"/>
    <s v="No"/>
    <n v="15"/>
    <s v="Cash"/>
    <s v="Every 3 Months"/>
    <m/>
  </r>
  <r>
    <n v="3350"/>
    <x v="25"/>
    <x v="1"/>
    <s v="Jewelry"/>
    <s v="Accessories"/>
    <n v="79"/>
    <x v="42"/>
    <s v="M"/>
    <s v="Red"/>
    <s v="Fall"/>
    <n v="2.8"/>
    <s v="No"/>
    <s v="No"/>
    <n v="29"/>
    <s v="PayPal"/>
    <s v="Quarterly"/>
    <m/>
  </r>
  <r>
    <n v="3351"/>
    <x v="4"/>
    <x v="1"/>
    <s v="Handbag"/>
    <s v="Accessories"/>
    <n v="33"/>
    <x v="16"/>
    <s v="S"/>
    <s v="Olive"/>
    <s v="Fall"/>
    <n v="4.9000000000000004"/>
    <s v="No"/>
    <s v="No"/>
    <n v="15"/>
    <s v="Cash"/>
    <s v="Bi-Weekly"/>
    <m/>
  </r>
  <r>
    <n v="3352"/>
    <x v="49"/>
    <x v="1"/>
    <s v="Shirt"/>
    <s v="Clothing"/>
    <n v="49"/>
    <x v="13"/>
    <s v="L"/>
    <s v="Cyan"/>
    <s v="Spring"/>
    <n v="4.2"/>
    <s v="No"/>
    <s v="No"/>
    <n v="18"/>
    <s v="Bank Transfer"/>
    <s v="Fortnightly"/>
    <m/>
  </r>
  <r>
    <n v="3353"/>
    <x v="0"/>
    <x v="1"/>
    <s v="Belt"/>
    <s v="Accessories"/>
    <n v="96"/>
    <x v="47"/>
    <s v="M"/>
    <s v="Teal"/>
    <s v="Summer"/>
    <n v="2.9"/>
    <s v="No"/>
    <s v="No"/>
    <n v="7"/>
    <s v="Bank Transfer"/>
    <s v="Bi-Weekly"/>
    <m/>
  </r>
  <r>
    <n v="3354"/>
    <x v="18"/>
    <x v="1"/>
    <s v="Dress"/>
    <s v="Clothing"/>
    <n v="66"/>
    <x v="31"/>
    <s v="L"/>
    <s v="Teal"/>
    <s v="Fall"/>
    <n v="4.5999999999999996"/>
    <s v="No"/>
    <s v="No"/>
    <n v="19"/>
    <s v="Credit Card"/>
    <s v="Every 3 Months"/>
    <m/>
  </r>
  <r>
    <n v="3355"/>
    <x v="32"/>
    <x v="1"/>
    <s v="Skirt"/>
    <s v="Clothing"/>
    <n v="45"/>
    <x v="33"/>
    <s v="M"/>
    <s v="Orange"/>
    <s v="Fall"/>
    <n v="2.8"/>
    <s v="No"/>
    <s v="No"/>
    <n v="15"/>
    <s v="PayPal"/>
    <s v="Weekly"/>
    <m/>
  </r>
  <r>
    <n v="3356"/>
    <x v="37"/>
    <x v="1"/>
    <s v="Blouse"/>
    <s v="Clothing"/>
    <n v="28"/>
    <x v="12"/>
    <s v="M"/>
    <s v="Peach"/>
    <s v="Spring"/>
    <n v="2.6"/>
    <s v="No"/>
    <s v="No"/>
    <n v="3"/>
    <s v="Bank Transfer"/>
    <s v="Bi-Weekly"/>
    <m/>
  </r>
  <r>
    <n v="3357"/>
    <x v="31"/>
    <x v="1"/>
    <s v="Jeans"/>
    <s v="Clothing"/>
    <n v="48"/>
    <x v="30"/>
    <s v="M"/>
    <s v="Silver"/>
    <s v="Summer"/>
    <n v="3.5"/>
    <s v="No"/>
    <s v="No"/>
    <n v="13"/>
    <s v="PayPal"/>
    <s v="Bi-Weekly"/>
    <m/>
  </r>
  <r>
    <n v="3358"/>
    <x v="38"/>
    <x v="1"/>
    <s v="Hoodie"/>
    <s v="Clothing"/>
    <n v="67"/>
    <x v="10"/>
    <s v="M"/>
    <s v="Pink"/>
    <s v="Winter"/>
    <n v="3.5"/>
    <s v="No"/>
    <s v="No"/>
    <n v="37"/>
    <s v="Credit Card"/>
    <s v="Monthly"/>
    <m/>
  </r>
  <r>
    <n v="3359"/>
    <x v="19"/>
    <x v="1"/>
    <s v="T-shirt"/>
    <s v="Clothing"/>
    <n v="59"/>
    <x v="30"/>
    <s v="M"/>
    <s v="Magenta"/>
    <s v="Fall"/>
    <n v="3.4"/>
    <s v="No"/>
    <s v="No"/>
    <n v="26"/>
    <s v="Cash"/>
    <s v="Annually"/>
    <m/>
  </r>
  <r>
    <n v="3360"/>
    <x v="49"/>
    <x v="1"/>
    <s v="Sunglasses"/>
    <s v="Accessories"/>
    <n v="74"/>
    <x v="13"/>
    <s v="L"/>
    <s v="Red"/>
    <s v="Fall"/>
    <n v="3.9"/>
    <s v="No"/>
    <s v="No"/>
    <n v="29"/>
    <s v="Debit Card"/>
    <s v="Monthly"/>
    <m/>
  </r>
  <r>
    <n v="3361"/>
    <x v="40"/>
    <x v="1"/>
    <s v="Jacket"/>
    <s v="Outerwear"/>
    <n v="81"/>
    <x v="46"/>
    <s v="M"/>
    <s v="Maroon"/>
    <s v="Spring"/>
    <n v="3.3"/>
    <s v="No"/>
    <s v="No"/>
    <n v="47"/>
    <s v="Cash"/>
    <s v="Every 3 Months"/>
    <m/>
  </r>
  <r>
    <n v="3362"/>
    <x v="36"/>
    <x v="1"/>
    <s v="Shoes"/>
    <s v="Footwear"/>
    <n v="26"/>
    <x v="20"/>
    <s v="M"/>
    <s v="Silver"/>
    <s v="Spring"/>
    <n v="4.0999999999999996"/>
    <s v="No"/>
    <s v="No"/>
    <n v="47"/>
    <s v="Credit Card"/>
    <s v="Bi-Weekly"/>
    <m/>
  </r>
  <r>
    <n v="3363"/>
    <x v="2"/>
    <x v="1"/>
    <s v="Handbag"/>
    <s v="Accessories"/>
    <n v="61"/>
    <x v="30"/>
    <s v="M"/>
    <s v="Gray"/>
    <s v="Summer"/>
    <n v="3"/>
    <s v="No"/>
    <s v="No"/>
    <n v="48"/>
    <s v="Venmo"/>
    <s v="Fortnightly"/>
    <m/>
  </r>
  <r>
    <n v="3364"/>
    <x v="44"/>
    <x v="1"/>
    <s v="Sweater"/>
    <s v="Clothing"/>
    <n v="23"/>
    <x v="18"/>
    <s v="M"/>
    <s v="Turquoise"/>
    <s v="Winter"/>
    <n v="3"/>
    <s v="No"/>
    <s v="No"/>
    <n v="46"/>
    <s v="Bank Transfer"/>
    <s v="Bi-Weekly"/>
    <m/>
  </r>
  <r>
    <n v="3365"/>
    <x v="2"/>
    <x v="1"/>
    <s v="Scarf"/>
    <s v="Accessories"/>
    <n v="33"/>
    <x v="4"/>
    <s v="M"/>
    <s v="Peach"/>
    <s v="Fall"/>
    <n v="3.2"/>
    <s v="No"/>
    <s v="No"/>
    <n v="7"/>
    <s v="Credit Card"/>
    <s v="Monthly"/>
    <m/>
  </r>
  <r>
    <n v="3366"/>
    <x v="49"/>
    <x v="1"/>
    <s v="Skirt"/>
    <s v="Clothing"/>
    <n v="58"/>
    <x v="30"/>
    <s v="L"/>
    <s v="Teal"/>
    <s v="Fall"/>
    <n v="3.9"/>
    <s v="No"/>
    <s v="No"/>
    <n v="45"/>
    <s v="Credit Card"/>
    <s v="Every 3 Months"/>
    <m/>
  </r>
  <r>
    <n v="3367"/>
    <x v="21"/>
    <x v="1"/>
    <s v="Gloves"/>
    <s v="Accessories"/>
    <n v="65"/>
    <x v="17"/>
    <s v="M"/>
    <s v="Red"/>
    <s v="Spring"/>
    <n v="3.6"/>
    <s v="No"/>
    <s v="No"/>
    <n v="47"/>
    <s v="Debit Card"/>
    <s v="Quarterly"/>
    <m/>
  </r>
  <r>
    <n v="3368"/>
    <x v="42"/>
    <x v="1"/>
    <s v="T-shirt"/>
    <s v="Clothing"/>
    <n v="48"/>
    <x v="30"/>
    <s v="M"/>
    <s v="Blue"/>
    <s v="Summer"/>
    <n v="3.1"/>
    <s v="No"/>
    <s v="No"/>
    <n v="6"/>
    <s v="Venmo"/>
    <s v="Fortnightly"/>
    <m/>
  </r>
  <r>
    <n v="3369"/>
    <x v="11"/>
    <x v="1"/>
    <s v="Sandals"/>
    <s v="Footwear"/>
    <n v="25"/>
    <x v="43"/>
    <s v="M"/>
    <s v="Blue"/>
    <s v="Spring"/>
    <n v="4.8"/>
    <s v="No"/>
    <s v="No"/>
    <n v="29"/>
    <s v="Bank Transfer"/>
    <s v="Every 3 Months"/>
    <m/>
  </r>
  <r>
    <n v="3370"/>
    <x v="36"/>
    <x v="1"/>
    <s v="Sweater"/>
    <s v="Clothing"/>
    <n v="51"/>
    <x v="1"/>
    <s v="M"/>
    <s v="Indigo"/>
    <s v="Winter"/>
    <n v="3.8"/>
    <s v="No"/>
    <s v="No"/>
    <n v="42"/>
    <s v="Cash"/>
    <s v="Monthly"/>
    <m/>
  </r>
  <r>
    <n v="3371"/>
    <x v="11"/>
    <x v="1"/>
    <s v="Belt"/>
    <s v="Accessories"/>
    <n v="31"/>
    <x v="26"/>
    <s v="M"/>
    <s v="Charcoal"/>
    <s v="Summer"/>
    <n v="2.8"/>
    <s v="No"/>
    <s v="No"/>
    <n v="46"/>
    <s v="Cash"/>
    <s v="Fortnightly"/>
    <m/>
  </r>
  <r>
    <n v="3372"/>
    <x v="34"/>
    <x v="1"/>
    <s v="Hoodie"/>
    <s v="Clothing"/>
    <n v="99"/>
    <x v="24"/>
    <s v="S"/>
    <s v="Turquoise"/>
    <s v="Winter"/>
    <n v="4"/>
    <s v="No"/>
    <s v="No"/>
    <n v="28"/>
    <s v="PayPal"/>
    <s v="Annually"/>
    <m/>
  </r>
  <r>
    <n v="3373"/>
    <x v="19"/>
    <x v="1"/>
    <s v="Socks"/>
    <s v="Clothing"/>
    <n v="25"/>
    <x v="38"/>
    <s v="M"/>
    <s v="Maroon"/>
    <s v="Winter"/>
    <n v="4.5999999999999996"/>
    <s v="No"/>
    <s v="No"/>
    <n v="14"/>
    <s v="Credit Card"/>
    <s v="Every 3 Months"/>
    <m/>
  </r>
  <r>
    <n v="3374"/>
    <x v="27"/>
    <x v="1"/>
    <s v="Sandals"/>
    <s v="Footwear"/>
    <n v="52"/>
    <x v="46"/>
    <s v="M"/>
    <s v="Purple"/>
    <s v="Spring"/>
    <n v="3.5"/>
    <s v="No"/>
    <s v="No"/>
    <n v="12"/>
    <s v="Debit Card"/>
    <s v="Every 3 Months"/>
    <m/>
  </r>
  <r>
    <n v="3375"/>
    <x v="40"/>
    <x v="1"/>
    <s v="Blouse"/>
    <s v="Clothing"/>
    <n v="47"/>
    <x v="22"/>
    <s v="S"/>
    <s v="Lavender"/>
    <s v="Spring"/>
    <n v="3.7"/>
    <s v="No"/>
    <s v="No"/>
    <n v="41"/>
    <s v="Debit Card"/>
    <s v="Annually"/>
    <m/>
  </r>
  <r>
    <n v="3376"/>
    <x v="47"/>
    <x v="1"/>
    <s v="Boots"/>
    <s v="Footwear"/>
    <n v="98"/>
    <x v="39"/>
    <s v="XL"/>
    <s v="Yellow"/>
    <s v="Fall"/>
    <n v="4.9000000000000004"/>
    <s v="No"/>
    <s v="No"/>
    <n v="8"/>
    <s v="Credit Card"/>
    <s v="Annually"/>
    <m/>
  </r>
  <r>
    <n v="3377"/>
    <x v="40"/>
    <x v="1"/>
    <s v="Hat"/>
    <s v="Accessories"/>
    <n v="46"/>
    <x v="31"/>
    <s v="M"/>
    <s v="Green"/>
    <s v="Winter"/>
    <n v="4.0999999999999996"/>
    <s v="No"/>
    <s v="No"/>
    <n v="24"/>
    <s v="Cash"/>
    <s v="Quarterly"/>
    <m/>
  </r>
  <r>
    <n v="3378"/>
    <x v="43"/>
    <x v="1"/>
    <s v="Shirt"/>
    <s v="Clothing"/>
    <n v="32"/>
    <x v="0"/>
    <s v="M"/>
    <s v="Yellow"/>
    <s v="Winter"/>
    <n v="4.5999999999999996"/>
    <s v="No"/>
    <s v="No"/>
    <n v="18"/>
    <s v="PayPal"/>
    <s v="Fortnightly"/>
    <m/>
  </r>
  <r>
    <n v="3379"/>
    <x v="34"/>
    <x v="1"/>
    <s v="Shorts"/>
    <s v="Clothing"/>
    <n v="75"/>
    <x v="46"/>
    <s v="L"/>
    <s v="Gold"/>
    <s v="Fall"/>
    <n v="4.5"/>
    <s v="No"/>
    <s v="No"/>
    <n v="6"/>
    <s v="Cash"/>
    <s v="Quarterly"/>
    <m/>
  </r>
  <r>
    <n v="3380"/>
    <x v="12"/>
    <x v="1"/>
    <s v="Handbag"/>
    <s v="Accessories"/>
    <n v="51"/>
    <x v="30"/>
    <s v="L"/>
    <s v="Turquoise"/>
    <s v="Summer"/>
    <n v="5"/>
    <s v="No"/>
    <s v="No"/>
    <n v="40"/>
    <s v="Cash"/>
    <s v="Weekly"/>
    <m/>
  </r>
  <r>
    <n v="3381"/>
    <x v="38"/>
    <x v="1"/>
    <s v="Dress"/>
    <s v="Clothing"/>
    <n v="52"/>
    <x v="25"/>
    <s v="L"/>
    <s v="Blue"/>
    <s v="Summer"/>
    <n v="3.8"/>
    <s v="No"/>
    <s v="No"/>
    <n v="6"/>
    <s v="PayPal"/>
    <s v="Every 3 Months"/>
    <m/>
  </r>
  <r>
    <n v="3382"/>
    <x v="9"/>
    <x v="1"/>
    <s v="Hat"/>
    <s v="Accessories"/>
    <n v="66"/>
    <x v="46"/>
    <s v="L"/>
    <s v="Turquoise"/>
    <s v="Winter"/>
    <n v="4.7"/>
    <s v="No"/>
    <s v="No"/>
    <n v="27"/>
    <s v="Credit Card"/>
    <s v="Quarterly"/>
    <m/>
  </r>
  <r>
    <n v="3383"/>
    <x v="50"/>
    <x v="1"/>
    <s v="Sweater"/>
    <s v="Clothing"/>
    <n v="35"/>
    <x v="43"/>
    <s v="M"/>
    <s v="Maroon"/>
    <s v="Spring"/>
    <n v="2.8"/>
    <s v="No"/>
    <s v="No"/>
    <n v="2"/>
    <s v="Bank Transfer"/>
    <s v="Weekly"/>
    <m/>
  </r>
  <r>
    <n v="3384"/>
    <x v="7"/>
    <x v="1"/>
    <s v="Coat"/>
    <s v="Outerwear"/>
    <n v="43"/>
    <x v="12"/>
    <s v="M"/>
    <s v="Pink"/>
    <s v="Fall"/>
    <n v="2.6"/>
    <s v="No"/>
    <s v="No"/>
    <n v="39"/>
    <s v="Venmo"/>
    <s v="Bi-Weekly"/>
    <m/>
  </r>
  <r>
    <n v="3385"/>
    <x v="31"/>
    <x v="1"/>
    <s v="Hoodie"/>
    <s v="Clothing"/>
    <n v="24"/>
    <x v="46"/>
    <s v="L"/>
    <s v="Maroon"/>
    <s v="Summer"/>
    <n v="3.8"/>
    <s v="No"/>
    <s v="No"/>
    <n v="9"/>
    <s v="Venmo"/>
    <s v="Quarterly"/>
    <m/>
  </r>
  <r>
    <n v="3386"/>
    <x v="46"/>
    <x v="1"/>
    <s v="Jewelry"/>
    <s v="Accessories"/>
    <n v="83"/>
    <x v="3"/>
    <s v="M"/>
    <s v="Olive"/>
    <s v="Winter"/>
    <n v="2.8"/>
    <s v="No"/>
    <s v="No"/>
    <n v="16"/>
    <s v="Credit Card"/>
    <s v="Every 3 Months"/>
    <m/>
  </r>
  <r>
    <n v="3387"/>
    <x v="50"/>
    <x v="1"/>
    <s v="T-shirt"/>
    <s v="Clothing"/>
    <n v="62"/>
    <x v="49"/>
    <s v="M"/>
    <s v="Lavender"/>
    <s v="Fall"/>
    <n v="2.6"/>
    <s v="No"/>
    <s v="No"/>
    <n v="36"/>
    <s v="Cash"/>
    <s v="Quarterly"/>
    <m/>
  </r>
  <r>
    <n v="3388"/>
    <x v="10"/>
    <x v="1"/>
    <s v="Pants"/>
    <s v="Clothing"/>
    <n v="78"/>
    <x v="32"/>
    <s v="S"/>
    <s v="Pink"/>
    <s v="Spring"/>
    <n v="3.4"/>
    <s v="No"/>
    <s v="No"/>
    <n v="2"/>
    <s v="Credit Card"/>
    <s v="Bi-Weekly"/>
    <m/>
  </r>
  <r>
    <n v="3389"/>
    <x v="25"/>
    <x v="1"/>
    <s v="Sweater"/>
    <s v="Clothing"/>
    <n v="61"/>
    <x v="45"/>
    <s v="M"/>
    <s v="Cyan"/>
    <s v="Spring"/>
    <n v="4.5"/>
    <s v="No"/>
    <s v="No"/>
    <n v="21"/>
    <s v="Credit Card"/>
    <s v="Weekly"/>
    <m/>
  </r>
  <r>
    <n v="3390"/>
    <x v="21"/>
    <x v="1"/>
    <s v="Pants"/>
    <s v="Clothing"/>
    <n v="57"/>
    <x v="17"/>
    <s v="L"/>
    <s v="Maroon"/>
    <s v="Fall"/>
    <n v="3.8"/>
    <s v="No"/>
    <s v="No"/>
    <n v="39"/>
    <s v="Venmo"/>
    <s v="Annually"/>
    <m/>
  </r>
  <r>
    <n v="3391"/>
    <x v="45"/>
    <x v="1"/>
    <s v="Socks"/>
    <s v="Clothing"/>
    <n v="70"/>
    <x v="4"/>
    <s v="S"/>
    <s v="Red"/>
    <s v="Summer"/>
    <n v="3"/>
    <s v="No"/>
    <s v="No"/>
    <n v="38"/>
    <s v="PayPal"/>
    <s v="Annually"/>
    <m/>
  </r>
  <r>
    <n v="3392"/>
    <x v="36"/>
    <x v="1"/>
    <s v="Hoodie"/>
    <s v="Clothing"/>
    <n v="57"/>
    <x v="6"/>
    <s v="M"/>
    <s v="Silver"/>
    <s v="Fall"/>
    <n v="3.7"/>
    <s v="No"/>
    <s v="No"/>
    <n v="6"/>
    <s v="Debit Card"/>
    <s v="Every 3 Months"/>
    <m/>
  </r>
  <r>
    <n v="3393"/>
    <x v="10"/>
    <x v="1"/>
    <s v="Scarf"/>
    <s v="Accessories"/>
    <n v="74"/>
    <x v="32"/>
    <s v="XL"/>
    <s v="Blue"/>
    <s v="Winter"/>
    <n v="4.4000000000000004"/>
    <s v="No"/>
    <s v="No"/>
    <n v="6"/>
    <s v="Venmo"/>
    <s v="Bi-Weekly"/>
    <m/>
  </r>
  <r>
    <n v="3394"/>
    <x v="52"/>
    <x v="1"/>
    <s v="Dress"/>
    <s v="Clothing"/>
    <n v="90"/>
    <x v="28"/>
    <s v="M"/>
    <s v="Gold"/>
    <s v="Fall"/>
    <n v="3.1"/>
    <s v="No"/>
    <s v="No"/>
    <n v="50"/>
    <s v="Debit Card"/>
    <s v="Monthly"/>
    <m/>
  </r>
  <r>
    <n v="3395"/>
    <x v="18"/>
    <x v="1"/>
    <s v="Sandals"/>
    <s v="Footwear"/>
    <n v="98"/>
    <x v="34"/>
    <s v="S"/>
    <s v="Yellow"/>
    <s v="Spring"/>
    <n v="4.2"/>
    <s v="No"/>
    <s v="No"/>
    <n v="9"/>
    <s v="PayPal"/>
    <s v="Annually"/>
    <m/>
  </r>
  <r>
    <n v="3396"/>
    <x v="42"/>
    <x v="1"/>
    <s v="Dress"/>
    <s v="Clothing"/>
    <n v="43"/>
    <x v="24"/>
    <s v="M"/>
    <s v="Silver"/>
    <s v="Winter"/>
    <n v="3.1"/>
    <s v="No"/>
    <s v="No"/>
    <n v="15"/>
    <s v="Debit Card"/>
    <s v="Every 3 Months"/>
    <m/>
  </r>
  <r>
    <n v="3397"/>
    <x v="26"/>
    <x v="1"/>
    <s v="Pants"/>
    <s v="Clothing"/>
    <n v="37"/>
    <x v="30"/>
    <s v="XL"/>
    <s v="Black"/>
    <s v="Winter"/>
    <n v="5"/>
    <s v="No"/>
    <s v="No"/>
    <n v="5"/>
    <s v="PayPal"/>
    <s v="Quarterly"/>
    <m/>
  </r>
  <r>
    <n v="3398"/>
    <x v="1"/>
    <x v="1"/>
    <s v="Blouse"/>
    <s v="Clothing"/>
    <n v="38"/>
    <x v="32"/>
    <s v="L"/>
    <s v="Yellow"/>
    <s v="Summer"/>
    <n v="2.7"/>
    <s v="No"/>
    <s v="No"/>
    <n v="13"/>
    <s v="Bank Transfer"/>
    <s v="Bi-Weekly"/>
    <m/>
  </r>
  <r>
    <n v="3399"/>
    <x v="22"/>
    <x v="1"/>
    <s v="Jeans"/>
    <s v="Clothing"/>
    <n v="60"/>
    <x v="6"/>
    <s v="L"/>
    <s v="Pink"/>
    <s v="Winter"/>
    <n v="3.8"/>
    <s v="No"/>
    <s v="No"/>
    <n v="44"/>
    <s v="Cash"/>
    <s v="Fortnightly"/>
    <m/>
  </r>
  <r>
    <n v="3400"/>
    <x v="37"/>
    <x v="1"/>
    <s v="Pants"/>
    <s v="Clothing"/>
    <n v="55"/>
    <x v="6"/>
    <s v="XL"/>
    <s v="Yellow"/>
    <s v="Winter"/>
    <n v="3.3"/>
    <s v="No"/>
    <s v="No"/>
    <n v="36"/>
    <s v="Debit Card"/>
    <s v="Annually"/>
    <m/>
  </r>
  <r>
    <n v="3401"/>
    <x v="31"/>
    <x v="1"/>
    <s v="Sunglasses"/>
    <s v="Accessories"/>
    <n v="51"/>
    <x v="22"/>
    <s v="M"/>
    <s v="Lavender"/>
    <s v="Fall"/>
    <n v="4.8"/>
    <s v="No"/>
    <s v="No"/>
    <n v="18"/>
    <s v="Venmo"/>
    <s v="Fortnightly"/>
    <m/>
  </r>
  <r>
    <n v="3402"/>
    <x v="42"/>
    <x v="1"/>
    <s v="Backpack"/>
    <s v="Accessories"/>
    <n v="71"/>
    <x v="22"/>
    <s v="L"/>
    <s v="Peach"/>
    <s v="Winter"/>
    <n v="3.4"/>
    <s v="No"/>
    <s v="No"/>
    <n v="39"/>
    <s v="Credit Card"/>
    <s v="Weekly"/>
    <m/>
  </r>
  <r>
    <n v="3403"/>
    <x v="40"/>
    <x v="1"/>
    <s v="Hoodie"/>
    <s v="Clothing"/>
    <n v="61"/>
    <x v="7"/>
    <s v="M"/>
    <s v="Black"/>
    <s v="Spring"/>
    <n v="4.4000000000000004"/>
    <s v="No"/>
    <s v="No"/>
    <n v="11"/>
    <s v="PayPal"/>
    <s v="Every 3 Months"/>
    <m/>
  </r>
  <r>
    <n v="3404"/>
    <x v="11"/>
    <x v="1"/>
    <s v="Boots"/>
    <s v="Footwear"/>
    <n v="65"/>
    <x v="26"/>
    <s v="M"/>
    <s v="Olive"/>
    <s v="Summer"/>
    <n v="3.9"/>
    <s v="No"/>
    <s v="No"/>
    <n v="1"/>
    <s v="Cash"/>
    <s v="Bi-Weekly"/>
    <m/>
  </r>
  <r>
    <n v="3405"/>
    <x v="28"/>
    <x v="1"/>
    <s v="Gloves"/>
    <s v="Accessories"/>
    <n v="34"/>
    <x v="36"/>
    <s v="L"/>
    <s v="Olive"/>
    <s v="Fall"/>
    <n v="3.9"/>
    <s v="No"/>
    <s v="No"/>
    <n v="34"/>
    <s v="Credit Card"/>
    <s v="Annually"/>
    <m/>
  </r>
  <r>
    <n v="3406"/>
    <x v="48"/>
    <x v="1"/>
    <s v="Blouse"/>
    <s v="Clothing"/>
    <n v="87"/>
    <x v="47"/>
    <s v="M"/>
    <s v="White"/>
    <s v="Summer"/>
    <n v="4.2"/>
    <s v="No"/>
    <s v="No"/>
    <n v="47"/>
    <s v="Bank Transfer"/>
    <s v="Bi-Weekly"/>
    <m/>
  </r>
  <r>
    <n v="3407"/>
    <x v="9"/>
    <x v="1"/>
    <s v="Sweater"/>
    <s v="Clothing"/>
    <n v="79"/>
    <x v="43"/>
    <s v="M"/>
    <s v="Red"/>
    <s v="Spring"/>
    <n v="4"/>
    <s v="No"/>
    <s v="No"/>
    <n v="24"/>
    <s v="Venmo"/>
    <s v="Quarterly"/>
    <m/>
  </r>
  <r>
    <n v="3408"/>
    <x v="5"/>
    <x v="1"/>
    <s v="Dress"/>
    <s v="Clothing"/>
    <n v="46"/>
    <x v="15"/>
    <s v="S"/>
    <s v="Purple"/>
    <s v="Spring"/>
    <n v="2.6"/>
    <s v="No"/>
    <s v="No"/>
    <n v="20"/>
    <s v="Cash"/>
    <s v="Quarterly"/>
    <m/>
  </r>
  <r>
    <n v="3409"/>
    <x v="39"/>
    <x v="1"/>
    <s v="Socks"/>
    <s v="Clothing"/>
    <n v="72"/>
    <x v="6"/>
    <s v="L"/>
    <s v="Purple"/>
    <s v="Summer"/>
    <n v="4.4000000000000004"/>
    <s v="No"/>
    <s v="No"/>
    <n v="11"/>
    <s v="Bank Transfer"/>
    <s v="Annually"/>
    <m/>
  </r>
  <r>
    <n v="3410"/>
    <x v="41"/>
    <x v="1"/>
    <s v="Shirt"/>
    <s v="Clothing"/>
    <n v="93"/>
    <x v="46"/>
    <s v="M"/>
    <s v="Teal"/>
    <s v="Summer"/>
    <n v="3.2"/>
    <s v="No"/>
    <s v="No"/>
    <n v="3"/>
    <s v="Credit Card"/>
    <s v="Every 3 Months"/>
    <m/>
  </r>
  <r>
    <n v="3411"/>
    <x v="2"/>
    <x v="1"/>
    <s v="Sandals"/>
    <s v="Footwear"/>
    <n v="76"/>
    <x v="31"/>
    <s v="L"/>
    <s v="Teal"/>
    <s v="Summer"/>
    <n v="4.3"/>
    <s v="No"/>
    <s v="No"/>
    <n v="38"/>
    <s v="Bank Transfer"/>
    <s v="Bi-Weekly"/>
    <m/>
  </r>
  <r>
    <n v="3412"/>
    <x v="26"/>
    <x v="1"/>
    <s v="Shoes"/>
    <s v="Footwear"/>
    <n v="56"/>
    <x v="14"/>
    <s v="L"/>
    <s v="Gray"/>
    <s v="Winter"/>
    <n v="4.9000000000000004"/>
    <s v="No"/>
    <s v="No"/>
    <n v="45"/>
    <s v="Cash"/>
    <s v="Weekly"/>
    <m/>
  </r>
  <r>
    <n v="3413"/>
    <x v="12"/>
    <x v="1"/>
    <s v="Sandals"/>
    <s v="Footwear"/>
    <n v="83"/>
    <x v="27"/>
    <s v="M"/>
    <s v="Magenta"/>
    <s v="Fall"/>
    <n v="3.8"/>
    <s v="No"/>
    <s v="No"/>
    <n v="31"/>
    <s v="Venmo"/>
    <s v="Quarterly"/>
    <m/>
  </r>
  <r>
    <n v="3414"/>
    <x v="50"/>
    <x v="1"/>
    <s v="Gloves"/>
    <s v="Accessories"/>
    <n v="90"/>
    <x v="12"/>
    <s v="XL"/>
    <s v="Black"/>
    <s v="Winter"/>
    <n v="2.5"/>
    <s v="No"/>
    <s v="No"/>
    <n v="16"/>
    <s v="PayPal"/>
    <s v="Bi-Weekly"/>
    <m/>
  </r>
  <r>
    <n v="3415"/>
    <x v="7"/>
    <x v="1"/>
    <s v="Boots"/>
    <s v="Footwear"/>
    <n v="94"/>
    <x v="39"/>
    <s v="M"/>
    <s v="Maroon"/>
    <s v="Spring"/>
    <n v="4.9000000000000004"/>
    <s v="No"/>
    <s v="No"/>
    <n v="3"/>
    <s v="Bank Transfer"/>
    <s v="Quarterly"/>
    <m/>
  </r>
  <r>
    <n v="3416"/>
    <x v="21"/>
    <x v="1"/>
    <s v="Blouse"/>
    <s v="Clothing"/>
    <n v="68"/>
    <x v="14"/>
    <s v="M"/>
    <s v="Gold"/>
    <s v="Fall"/>
    <n v="3"/>
    <s v="No"/>
    <s v="No"/>
    <n v="15"/>
    <s v="Bank Transfer"/>
    <s v="Annually"/>
    <m/>
  </r>
  <r>
    <n v="3417"/>
    <x v="15"/>
    <x v="1"/>
    <s v="Sandals"/>
    <s v="Footwear"/>
    <n v="53"/>
    <x v="15"/>
    <s v="M"/>
    <s v="Purple"/>
    <s v="Spring"/>
    <n v="3.2"/>
    <s v="No"/>
    <s v="No"/>
    <n v="11"/>
    <s v="Bank Transfer"/>
    <s v="Every 3 Months"/>
    <m/>
  </r>
  <r>
    <n v="3418"/>
    <x v="22"/>
    <x v="1"/>
    <s v="Coat"/>
    <s v="Outerwear"/>
    <n v="35"/>
    <x v="2"/>
    <s v="M"/>
    <s v="Blue"/>
    <s v="Summer"/>
    <n v="2.9"/>
    <s v="No"/>
    <s v="No"/>
    <n v="22"/>
    <s v="Debit Card"/>
    <s v="Fortnightly"/>
    <m/>
  </r>
  <r>
    <n v="3419"/>
    <x v="10"/>
    <x v="1"/>
    <s v="Jacket"/>
    <s v="Outerwear"/>
    <n v="30"/>
    <x v="36"/>
    <s v="M"/>
    <s v="Beige"/>
    <s v="Summer"/>
    <n v="2.8"/>
    <s v="No"/>
    <s v="No"/>
    <n v="35"/>
    <s v="Debit Card"/>
    <s v="Annually"/>
    <m/>
  </r>
  <r>
    <n v="3420"/>
    <x v="51"/>
    <x v="1"/>
    <s v="Jewelry"/>
    <s v="Accessories"/>
    <n v="26"/>
    <x v="8"/>
    <s v="L"/>
    <s v="Indigo"/>
    <s v="Winter"/>
    <n v="3.1"/>
    <s v="No"/>
    <s v="No"/>
    <n v="5"/>
    <s v="Venmo"/>
    <s v="Bi-Weekly"/>
    <m/>
  </r>
  <r>
    <n v="3421"/>
    <x v="1"/>
    <x v="1"/>
    <s v="Hat"/>
    <s v="Accessories"/>
    <n v="60"/>
    <x v="0"/>
    <s v="M"/>
    <s v="Purple"/>
    <s v="Winter"/>
    <n v="3.4"/>
    <s v="No"/>
    <s v="No"/>
    <n v="35"/>
    <s v="PayPal"/>
    <s v="Bi-Weekly"/>
    <m/>
  </r>
  <r>
    <n v="3422"/>
    <x v="9"/>
    <x v="1"/>
    <s v="Shoes"/>
    <s v="Footwear"/>
    <n v="30"/>
    <x v="32"/>
    <s v="M"/>
    <s v="Maroon"/>
    <s v="Summer"/>
    <n v="2.9"/>
    <s v="No"/>
    <s v="No"/>
    <n v="27"/>
    <s v="PayPal"/>
    <s v="Weekly"/>
    <m/>
  </r>
  <r>
    <n v="3423"/>
    <x v="1"/>
    <x v="1"/>
    <s v="Coat"/>
    <s v="Outerwear"/>
    <n v="91"/>
    <x v="14"/>
    <s v="L"/>
    <s v="Beige"/>
    <s v="Winter"/>
    <n v="3.2"/>
    <s v="No"/>
    <s v="No"/>
    <n v="9"/>
    <s v="Venmo"/>
    <s v="Monthly"/>
    <m/>
  </r>
  <r>
    <n v="3424"/>
    <x v="23"/>
    <x v="1"/>
    <s v="Boots"/>
    <s v="Footwear"/>
    <n v="71"/>
    <x v="2"/>
    <s v="M"/>
    <s v="Brown"/>
    <s v="Spring"/>
    <n v="3.8"/>
    <s v="No"/>
    <s v="No"/>
    <n v="21"/>
    <s v="PayPal"/>
    <s v="Bi-Weekly"/>
    <m/>
  </r>
  <r>
    <n v="3425"/>
    <x v="23"/>
    <x v="1"/>
    <s v="Scarf"/>
    <s v="Accessories"/>
    <n v="64"/>
    <x v="20"/>
    <s v="L"/>
    <s v="Green"/>
    <s v="Summer"/>
    <n v="3.6"/>
    <s v="No"/>
    <s v="No"/>
    <n v="23"/>
    <s v="Credit Card"/>
    <s v="Monthly"/>
    <m/>
  </r>
  <r>
    <n v="3426"/>
    <x v="21"/>
    <x v="1"/>
    <s v="Hat"/>
    <s v="Accessories"/>
    <n v="54"/>
    <x v="49"/>
    <s v="M"/>
    <s v="Blue"/>
    <s v="Summer"/>
    <n v="4.3"/>
    <s v="No"/>
    <s v="No"/>
    <n v="3"/>
    <s v="Debit Card"/>
    <s v="Bi-Weekly"/>
    <m/>
  </r>
  <r>
    <n v="3427"/>
    <x v="36"/>
    <x v="1"/>
    <s v="Socks"/>
    <s v="Clothing"/>
    <n v="35"/>
    <x v="4"/>
    <s v="XL"/>
    <s v="Magenta"/>
    <s v="Fall"/>
    <n v="4.8"/>
    <s v="No"/>
    <s v="No"/>
    <n v="31"/>
    <s v="Credit Card"/>
    <s v="Annually"/>
    <m/>
  </r>
  <r>
    <n v="3428"/>
    <x v="31"/>
    <x v="1"/>
    <s v="T-shirt"/>
    <s v="Clothing"/>
    <n v="38"/>
    <x v="49"/>
    <s v="XL"/>
    <s v="Turquoise"/>
    <s v="Winter"/>
    <n v="2.5"/>
    <s v="No"/>
    <s v="No"/>
    <n v="44"/>
    <s v="Cash"/>
    <s v="Annually"/>
    <m/>
  </r>
  <r>
    <n v="3429"/>
    <x v="45"/>
    <x v="1"/>
    <s v="Jewelry"/>
    <s v="Accessories"/>
    <n v="69"/>
    <x v="47"/>
    <s v="M"/>
    <s v="Gray"/>
    <s v="Fall"/>
    <n v="2.5"/>
    <s v="No"/>
    <s v="No"/>
    <n v="20"/>
    <s v="Venmo"/>
    <s v="Monthly"/>
    <m/>
  </r>
  <r>
    <n v="3430"/>
    <x v="7"/>
    <x v="1"/>
    <s v="Skirt"/>
    <s v="Clothing"/>
    <n v="96"/>
    <x v="29"/>
    <s v="S"/>
    <s v="Purple"/>
    <s v="Winter"/>
    <n v="4.5999999999999996"/>
    <s v="No"/>
    <s v="No"/>
    <n v="34"/>
    <s v="Debit Card"/>
    <s v="Weekly"/>
    <m/>
  </r>
  <r>
    <n v="3431"/>
    <x v="29"/>
    <x v="1"/>
    <s v="Socks"/>
    <s v="Clothing"/>
    <n v="73"/>
    <x v="6"/>
    <s v="M"/>
    <s v="Lavender"/>
    <s v="Winter"/>
    <n v="4.2"/>
    <s v="No"/>
    <s v="No"/>
    <n v="17"/>
    <s v="Bank Transfer"/>
    <s v="Every 3 Months"/>
    <m/>
  </r>
  <r>
    <n v="3432"/>
    <x v="5"/>
    <x v="1"/>
    <s v="Belt"/>
    <s v="Accessories"/>
    <n v="49"/>
    <x v="35"/>
    <s v="S"/>
    <s v="Green"/>
    <s v="Summer"/>
    <n v="4.2"/>
    <s v="No"/>
    <s v="No"/>
    <n v="20"/>
    <s v="Venmo"/>
    <s v="Annually"/>
    <m/>
  </r>
  <r>
    <n v="3433"/>
    <x v="24"/>
    <x v="1"/>
    <s v="Boots"/>
    <s v="Footwear"/>
    <n v="44"/>
    <x v="39"/>
    <s v="M"/>
    <s v="Gray"/>
    <s v="Summer"/>
    <n v="4.8"/>
    <s v="No"/>
    <s v="No"/>
    <n v="46"/>
    <s v="PayPal"/>
    <s v="Every 3 Months"/>
    <m/>
  </r>
  <r>
    <n v="3434"/>
    <x v="46"/>
    <x v="1"/>
    <s v="Socks"/>
    <s v="Clothing"/>
    <n v="93"/>
    <x v="29"/>
    <s v="M"/>
    <s v="Yellow"/>
    <s v="Spring"/>
    <n v="4.5"/>
    <s v="No"/>
    <s v="No"/>
    <n v="28"/>
    <s v="PayPal"/>
    <s v="Annually"/>
    <m/>
  </r>
  <r>
    <n v="3435"/>
    <x v="18"/>
    <x v="1"/>
    <s v="Pants"/>
    <s v="Clothing"/>
    <n v="72"/>
    <x v="31"/>
    <s v="S"/>
    <s v="Orange"/>
    <s v="Summer"/>
    <n v="3.3"/>
    <s v="No"/>
    <s v="No"/>
    <n v="6"/>
    <s v="Venmo"/>
    <s v="Fortnightly"/>
    <m/>
  </r>
  <r>
    <n v="3436"/>
    <x v="33"/>
    <x v="1"/>
    <s v="Socks"/>
    <s v="Clothing"/>
    <n v="91"/>
    <x v="6"/>
    <s v="M"/>
    <s v="Beige"/>
    <s v="Summer"/>
    <n v="2.7"/>
    <s v="No"/>
    <s v="No"/>
    <n v="50"/>
    <s v="Debit Card"/>
    <s v="Bi-Weekly"/>
    <m/>
  </r>
  <r>
    <n v="3437"/>
    <x v="9"/>
    <x v="1"/>
    <s v="Belt"/>
    <s v="Accessories"/>
    <n v="83"/>
    <x v="43"/>
    <s v="L"/>
    <s v="Peach"/>
    <s v="Winter"/>
    <n v="2.8"/>
    <s v="No"/>
    <s v="No"/>
    <n v="41"/>
    <s v="Bank Transfer"/>
    <s v="Monthly"/>
    <m/>
  </r>
  <r>
    <n v="3438"/>
    <x v="40"/>
    <x v="1"/>
    <s v="Jacket"/>
    <s v="Outerwear"/>
    <n v="62"/>
    <x v="19"/>
    <s v="S"/>
    <s v="Green"/>
    <s v="Winter"/>
    <n v="3.5"/>
    <s v="No"/>
    <s v="No"/>
    <n v="50"/>
    <s v="PayPal"/>
    <s v="Annually"/>
    <m/>
  </r>
  <r>
    <n v="3439"/>
    <x v="8"/>
    <x v="1"/>
    <s v="Shirt"/>
    <s v="Clothing"/>
    <n v="71"/>
    <x v="0"/>
    <s v="M"/>
    <s v="Violet"/>
    <s v="Fall"/>
    <n v="3"/>
    <s v="No"/>
    <s v="No"/>
    <n v="33"/>
    <s v="Credit Card"/>
    <s v="Monthly"/>
    <m/>
  </r>
  <r>
    <n v="3440"/>
    <x v="49"/>
    <x v="1"/>
    <s v="Gloves"/>
    <s v="Accessories"/>
    <n v="93"/>
    <x v="37"/>
    <s v="M"/>
    <s v="Gray"/>
    <s v="Summer"/>
    <n v="4.5"/>
    <s v="No"/>
    <s v="No"/>
    <n v="25"/>
    <s v="Venmo"/>
    <s v="Quarterly"/>
    <m/>
  </r>
  <r>
    <n v="3441"/>
    <x v="4"/>
    <x v="1"/>
    <s v="Handbag"/>
    <s v="Accessories"/>
    <n v="63"/>
    <x v="33"/>
    <s v="L"/>
    <s v="Magenta"/>
    <s v="Fall"/>
    <n v="4.3"/>
    <s v="No"/>
    <s v="No"/>
    <n v="2"/>
    <s v="PayPal"/>
    <s v="Weekly"/>
    <m/>
  </r>
  <r>
    <n v="3442"/>
    <x v="14"/>
    <x v="1"/>
    <s v="Sweater"/>
    <s v="Clothing"/>
    <n v="96"/>
    <x v="30"/>
    <s v="XL"/>
    <s v="Charcoal"/>
    <s v="Fall"/>
    <n v="4.0999999999999996"/>
    <s v="No"/>
    <s v="No"/>
    <n v="15"/>
    <s v="Credit Card"/>
    <s v="Annually"/>
    <m/>
  </r>
  <r>
    <n v="3443"/>
    <x v="48"/>
    <x v="1"/>
    <s v="Skirt"/>
    <s v="Clothing"/>
    <n v="78"/>
    <x v="49"/>
    <s v="M"/>
    <s v="Violet"/>
    <s v="Spring"/>
    <n v="4.3"/>
    <s v="No"/>
    <s v="No"/>
    <n v="12"/>
    <s v="PayPal"/>
    <s v="Weekly"/>
    <m/>
  </r>
  <r>
    <n v="3444"/>
    <x v="36"/>
    <x v="1"/>
    <s v="Dress"/>
    <s v="Clothing"/>
    <n v="24"/>
    <x v="30"/>
    <s v="L"/>
    <s v="Silver"/>
    <s v="Summer"/>
    <n v="5"/>
    <s v="No"/>
    <s v="No"/>
    <n v="28"/>
    <s v="Cash"/>
    <s v="Bi-Weekly"/>
    <m/>
  </r>
  <r>
    <n v="3445"/>
    <x v="10"/>
    <x v="1"/>
    <s v="Pants"/>
    <s v="Clothing"/>
    <n v="63"/>
    <x v="3"/>
    <s v="S"/>
    <s v="Green"/>
    <s v="Summer"/>
    <n v="3.8"/>
    <s v="No"/>
    <s v="No"/>
    <n v="12"/>
    <s v="Bank Transfer"/>
    <s v="Bi-Weekly"/>
    <m/>
  </r>
  <r>
    <n v="3446"/>
    <x v="32"/>
    <x v="1"/>
    <s v="Hat"/>
    <s v="Accessories"/>
    <n v="58"/>
    <x v="20"/>
    <s v="M"/>
    <s v="Magenta"/>
    <s v="Fall"/>
    <n v="4.9000000000000004"/>
    <s v="No"/>
    <s v="No"/>
    <n v="3"/>
    <s v="Debit Card"/>
    <s v="Annually"/>
    <m/>
  </r>
  <r>
    <n v="3447"/>
    <x v="47"/>
    <x v="1"/>
    <s v="Boots"/>
    <s v="Footwear"/>
    <n v="55"/>
    <x v="7"/>
    <s v="S"/>
    <s v="Purple"/>
    <s v="Spring"/>
    <n v="5"/>
    <s v="No"/>
    <s v="No"/>
    <n v="20"/>
    <s v="Cash"/>
    <s v="Weekly"/>
    <m/>
  </r>
  <r>
    <n v="3448"/>
    <x v="46"/>
    <x v="1"/>
    <s v="Sandals"/>
    <s v="Footwear"/>
    <n v="58"/>
    <x v="10"/>
    <s v="M"/>
    <s v="Blue"/>
    <s v="Fall"/>
    <n v="4.3"/>
    <s v="No"/>
    <s v="No"/>
    <n v="3"/>
    <s v="Bank Transfer"/>
    <s v="Bi-Weekly"/>
    <m/>
  </r>
  <r>
    <n v="3449"/>
    <x v="20"/>
    <x v="1"/>
    <s v="Coat"/>
    <s v="Outerwear"/>
    <n v="28"/>
    <x v="0"/>
    <s v="S"/>
    <s v="Yellow"/>
    <s v="Winter"/>
    <n v="4.0999999999999996"/>
    <s v="No"/>
    <s v="No"/>
    <n v="32"/>
    <s v="Bank Transfer"/>
    <s v="Fortnightly"/>
    <m/>
  </r>
  <r>
    <n v="3450"/>
    <x v="39"/>
    <x v="1"/>
    <s v="Blouse"/>
    <s v="Clothing"/>
    <n v="37"/>
    <x v="23"/>
    <s v="M"/>
    <s v="Brown"/>
    <s v="Spring"/>
    <n v="4.5"/>
    <s v="No"/>
    <s v="No"/>
    <n v="35"/>
    <s v="Cash"/>
    <s v="Monthly"/>
    <m/>
  </r>
  <r>
    <n v="3451"/>
    <x v="30"/>
    <x v="1"/>
    <s v="Shorts"/>
    <s v="Clothing"/>
    <n v="78"/>
    <x v="34"/>
    <s v="M"/>
    <s v="Pink"/>
    <s v="Spring"/>
    <n v="3.6"/>
    <s v="No"/>
    <s v="No"/>
    <n v="31"/>
    <s v="PayPal"/>
    <s v="Monthly"/>
    <m/>
  </r>
  <r>
    <n v="3452"/>
    <x v="45"/>
    <x v="1"/>
    <s v="Blouse"/>
    <s v="Clothing"/>
    <n v="73"/>
    <x v="22"/>
    <s v="XL"/>
    <s v="Silver"/>
    <s v="Fall"/>
    <n v="3"/>
    <s v="No"/>
    <s v="No"/>
    <n v="13"/>
    <s v="Credit Card"/>
    <s v="Annually"/>
    <m/>
  </r>
  <r>
    <n v="3453"/>
    <x v="8"/>
    <x v="1"/>
    <s v="Jacket"/>
    <s v="Outerwear"/>
    <n v="20"/>
    <x v="19"/>
    <s v="M"/>
    <s v="Indigo"/>
    <s v="Spring"/>
    <n v="3.7"/>
    <s v="No"/>
    <s v="No"/>
    <n v="3"/>
    <s v="Venmo"/>
    <s v="Fortnightly"/>
    <m/>
  </r>
  <r>
    <n v="3454"/>
    <x v="18"/>
    <x v="1"/>
    <s v="Shirt"/>
    <s v="Clothing"/>
    <n v="60"/>
    <x v="15"/>
    <s v="L"/>
    <s v="Pink"/>
    <s v="Winter"/>
    <n v="4.3"/>
    <s v="No"/>
    <s v="No"/>
    <n v="48"/>
    <s v="Venmo"/>
    <s v="Bi-Weekly"/>
    <m/>
  </r>
  <r>
    <n v="3455"/>
    <x v="0"/>
    <x v="1"/>
    <s v="Handbag"/>
    <s v="Accessories"/>
    <n v="71"/>
    <x v="7"/>
    <s v="S"/>
    <s v="Lavender"/>
    <s v="Fall"/>
    <n v="4.5999999999999996"/>
    <s v="No"/>
    <s v="No"/>
    <n v="15"/>
    <s v="PayPal"/>
    <s v="Bi-Weekly"/>
    <m/>
  </r>
  <r>
    <n v="3456"/>
    <x v="34"/>
    <x v="1"/>
    <s v="T-shirt"/>
    <s v="Clothing"/>
    <n v="89"/>
    <x v="31"/>
    <s v="M"/>
    <s v="Orange"/>
    <s v="Fall"/>
    <n v="4.7"/>
    <s v="No"/>
    <s v="No"/>
    <n v="13"/>
    <s v="Venmo"/>
    <s v="Annually"/>
    <m/>
  </r>
  <r>
    <n v="3457"/>
    <x v="32"/>
    <x v="1"/>
    <s v="Hoodie"/>
    <s v="Clothing"/>
    <n v="53"/>
    <x v="21"/>
    <s v="M"/>
    <s v="Red"/>
    <s v="Fall"/>
    <n v="4.5999999999999996"/>
    <s v="No"/>
    <s v="No"/>
    <n v="21"/>
    <s v="Venmo"/>
    <s v="Monthly"/>
    <m/>
  </r>
  <r>
    <n v="3458"/>
    <x v="14"/>
    <x v="1"/>
    <s v="Jewelry"/>
    <s v="Accessories"/>
    <n v="87"/>
    <x v="33"/>
    <s v="M"/>
    <s v="Gray"/>
    <s v="Summer"/>
    <n v="3"/>
    <s v="No"/>
    <s v="No"/>
    <n v="29"/>
    <s v="Cash"/>
    <s v="Fortnightly"/>
    <m/>
  </r>
  <r>
    <n v="3459"/>
    <x v="33"/>
    <x v="1"/>
    <s v="Jewelry"/>
    <s v="Accessories"/>
    <n v="37"/>
    <x v="8"/>
    <s v="L"/>
    <s v="Violet"/>
    <s v="Spring"/>
    <n v="3.4"/>
    <s v="No"/>
    <s v="No"/>
    <n v="24"/>
    <s v="Venmo"/>
    <s v="Quarterly"/>
    <m/>
  </r>
  <r>
    <n v="3460"/>
    <x v="33"/>
    <x v="1"/>
    <s v="Hoodie"/>
    <s v="Clothing"/>
    <n v="37"/>
    <x v="31"/>
    <s v="L"/>
    <s v="Green"/>
    <s v="Fall"/>
    <n v="3.8"/>
    <s v="No"/>
    <s v="No"/>
    <n v="21"/>
    <s v="PayPal"/>
    <s v="Annually"/>
    <m/>
  </r>
  <r>
    <n v="3461"/>
    <x v="38"/>
    <x v="1"/>
    <s v="Scarf"/>
    <s v="Accessories"/>
    <n v="78"/>
    <x v="27"/>
    <s v="M"/>
    <s v="Gold"/>
    <s v="Spring"/>
    <n v="3.1"/>
    <s v="No"/>
    <s v="No"/>
    <n v="5"/>
    <s v="Bank Transfer"/>
    <s v="Bi-Weekly"/>
    <m/>
  </r>
  <r>
    <n v="3462"/>
    <x v="47"/>
    <x v="1"/>
    <s v="Shoes"/>
    <s v="Footwear"/>
    <n v="23"/>
    <x v="5"/>
    <s v="S"/>
    <s v="Maroon"/>
    <s v="Spring"/>
    <n v="4.4000000000000004"/>
    <s v="No"/>
    <s v="No"/>
    <n v="47"/>
    <s v="Cash"/>
    <s v="Quarterly"/>
    <m/>
  </r>
  <r>
    <n v="3463"/>
    <x v="42"/>
    <x v="1"/>
    <s v="Jeans"/>
    <s v="Clothing"/>
    <n v="73"/>
    <x v="49"/>
    <s v="L"/>
    <s v="Olive"/>
    <s v="Spring"/>
    <n v="4.5"/>
    <s v="No"/>
    <s v="No"/>
    <n v="34"/>
    <s v="Credit Card"/>
    <s v="Every 3 Months"/>
    <m/>
  </r>
  <r>
    <n v="3464"/>
    <x v="7"/>
    <x v="1"/>
    <s v="Jewelry"/>
    <s v="Accessories"/>
    <n v="27"/>
    <x v="1"/>
    <s v="M"/>
    <s v="Yellow"/>
    <s v="Fall"/>
    <n v="2.8"/>
    <s v="No"/>
    <s v="No"/>
    <n v="45"/>
    <s v="PayPal"/>
    <s v="Fortnightly"/>
    <m/>
  </r>
  <r>
    <n v="3465"/>
    <x v="24"/>
    <x v="1"/>
    <s v="Coat"/>
    <s v="Outerwear"/>
    <n v="59"/>
    <x v="40"/>
    <s v="S"/>
    <s v="Peach"/>
    <s v="Winter"/>
    <n v="2.7"/>
    <s v="No"/>
    <s v="No"/>
    <n v="12"/>
    <s v="PayPal"/>
    <s v="Annually"/>
    <m/>
  </r>
  <r>
    <n v="3466"/>
    <x v="1"/>
    <x v="1"/>
    <s v="Backpack"/>
    <s v="Accessories"/>
    <n v="53"/>
    <x v="44"/>
    <s v="M"/>
    <s v="Gold"/>
    <s v="Spring"/>
    <n v="3.4"/>
    <s v="No"/>
    <s v="No"/>
    <n v="31"/>
    <s v="Debit Card"/>
    <s v="Weekly"/>
    <m/>
  </r>
  <r>
    <n v="3467"/>
    <x v="34"/>
    <x v="1"/>
    <s v="Socks"/>
    <s v="Clothing"/>
    <n v="42"/>
    <x v="33"/>
    <s v="S"/>
    <s v="Purple"/>
    <s v="Summer"/>
    <n v="4.5999999999999996"/>
    <s v="No"/>
    <s v="No"/>
    <n v="43"/>
    <s v="Bank Transfer"/>
    <s v="Annually"/>
    <m/>
  </r>
  <r>
    <n v="3468"/>
    <x v="20"/>
    <x v="1"/>
    <s v="Scarf"/>
    <s v="Accessories"/>
    <n v="45"/>
    <x v="21"/>
    <s v="M"/>
    <s v="Charcoal"/>
    <s v="Fall"/>
    <n v="5"/>
    <s v="No"/>
    <s v="No"/>
    <n v="5"/>
    <s v="Credit Card"/>
    <s v="Annually"/>
    <m/>
  </r>
  <r>
    <n v="3469"/>
    <x v="24"/>
    <x v="1"/>
    <s v="Sunglasses"/>
    <s v="Accessories"/>
    <n v="89"/>
    <x v="31"/>
    <s v="S"/>
    <s v="Indigo"/>
    <s v="Winter"/>
    <n v="3.5"/>
    <s v="No"/>
    <s v="No"/>
    <n v="36"/>
    <s v="Debit Card"/>
    <s v="Quarterly"/>
    <m/>
  </r>
  <r>
    <n v="3470"/>
    <x v="24"/>
    <x v="1"/>
    <s v="Socks"/>
    <s v="Clothing"/>
    <n v="85"/>
    <x v="25"/>
    <s v="L"/>
    <s v="Magenta"/>
    <s v="Fall"/>
    <n v="3.3"/>
    <s v="No"/>
    <s v="No"/>
    <n v="12"/>
    <s v="Cash"/>
    <s v="Annually"/>
    <m/>
  </r>
  <r>
    <n v="3471"/>
    <x v="1"/>
    <x v="1"/>
    <s v="Coat"/>
    <s v="Outerwear"/>
    <n v="69"/>
    <x v="8"/>
    <s v="S"/>
    <s v="Olive"/>
    <s v="Summer"/>
    <n v="4.5"/>
    <s v="No"/>
    <s v="No"/>
    <n v="31"/>
    <s v="Cash"/>
    <s v="Bi-Weekly"/>
    <m/>
  </r>
  <r>
    <n v="3472"/>
    <x v="49"/>
    <x v="1"/>
    <s v="Sandals"/>
    <s v="Footwear"/>
    <n v="66"/>
    <x v="17"/>
    <s v="S"/>
    <s v="Blue"/>
    <s v="Spring"/>
    <n v="3.1"/>
    <s v="No"/>
    <s v="No"/>
    <n v="31"/>
    <s v="Cash"/>
    <s v="Bi-Weekly"/>
    <m/>
  </r>
  <r>
    <n v="3473"/>
    <x v="18"/>
    <x v="1"/>
    <s v="Blouse"/>
    <s v="Clothing"/>
    <n v="42"/>
    <x v="42"/>
    <s v="S"/>
    <s v="White"/>
    <s v="Summer"/>
    <n v="4"/>
    <s v="No"/>
    <s v="No"/>
    <n v="15"/>
    <s v="Debit Card"/>
    <s v="Weekly"/>
    <m/>
  </r>
  <r>
    <n v="3474"/>
    <x v="6"/>
    <x v="1"/>
    <s v="Dress"/>
    <s v="Clothing"/>
    <n v="40"/>
    <x v="23"/>
    <s v="M"/>
    <s v="Cyan"/>
    <s v="Spring"/>
    <n v="2.5"/>
    <s v="No"/>
    <s v="No"/>
    <n v="11"/>
    <s v="Cash"/>
    <s v="Weekly"/>
    <m/>
  </r>
  <r>
    <n v="3475"/>
    <x v="38"/>
    <x v="1"/>
    <s v="Pants"/>
    <s v="Clothing"/>
    <n v="82"/>
    <x v="1"/>
    <s v="M"/>
    <s v="Cyan"/>
    <s v="Winter"/>
    <n v="4.4000000000000004"/>
    <s v="No"/>
    <s v="No"/>
    <n v="18"/>
    <s v="Venmo"/>
    <s v="Monthly"/>
    <m/>
  </r>
  <r>
    <n v="3476"/>
    <x v="39"/>
    <x v="1"/>
    <s v="Sneakers"/>
    <s v="Footwear"/>
    <n v="88"/>
    <x v="36"/>
    <s v="M"/>
    <s v="Orange"/>
    <s v="Spring"/>
    <n v="4.4000000000000004"/>
    <s v="No"/>
    <s v="No"/>
    <n v="9"/>
    <s v="Cash"/>
    <s v="Quarterly"/>
    <m/>
  </r>
  <r>
    <n v="3477"/>
    <x v="33"/>
    <x v="1"/>
    <s v="Boots"/>
    <s v="Footwear"/>
    <n v="99"/>
    <x v="36"/>
    <s v="XL"/>
    <s v="Orange"/>
    <s v="Summer"/>
    <n v="3.2"/>
    <s v="No"/>
    <s v="No"/>
    <n v="11"/>
    <s v="Cash"/>
    <s v="Weekly"/>
    <m/>
  </r>
  <r>
    <n v="3478"/>
    <x v="10"/>
    <x v="1"/>
    <s v="Handbag"/>
    <s v="Accessories"/>
    <n v="85"/>
    <x v="0"/>
    <s v="S"/>
    <s v="Teal"/>
    <s v="Spring"/>
    <n v="3.8"/>
    <s v="No"/>
    <s v="No"/>
    <n v="38"/>
    <s v="Debit Card"/>
    <s v="Bi-Weekly"/>
    <m/>
  </r>
  <r>
    <n v="3479"/>
    <x v="24"/>
    <x v="1"/>
    <s v="Handbag"/>
    <s v="Accessories"/>
    <n v="57"/>
    <x v="28"/>
    <s v="M"/>
    <s v="Magenta"/>
    <s v="Fall"/>
    <n v="4.5999999999999996"/>
    <s v="No"/>
    <s v="No"/>
    <n v="42"/>
    <s v="PayPal"/>
    <s v="Quarterly"/>
    <m/>
  </r>
  <r>
    <n v="3480"/>
    <x v="5"/>
    <x v="1"/>
    <s v="Sweater"/>
    <s v="Clothing"/>
    <n v="56"/>
    <x v="14"/>
    <s v="S"/>
    <s v="Orange"/>
    <s v="Summer"/>
    <n v="4.9000000000000004"/>
    <s v="No"/>
    <s v="No"/>
    <n v="41"/>
    <s v="Cash"/>
    <s v="Monthly"/>
    <m/>
  </r>
  <r>
    <n v="3481"/>
    <x v="3"/>
    <x v="1"/>
    <s v="Sandals"/>
    <s v="Footwear"/>
    <n v="79"/>
    <x v="13"/>
    <s v="L"/>
    <s v="Peach"/>
    <s v="Winter"/>
    <n v="3.5"/>
    <s v="No"/>
    <s v="No"/>
    <n v="45"/>
    <s v="PayPal"/>
    <s v="Monthly"/>
    <m/>
  </r>
  <r>
    <n v="3482"/>
    <x v="16"/>
    <x v="1"/>
    <s v="Socks"/>
    <s v="Clothing"/>
    <n v="67"/>
    <x v="31"/>
    <s v="S"/>
    <s v="Maroon"/>
    <s v="Summer"/>
    <n v="3.4"/>
    <s v="No"/>
    <s v="No"/>
    <n v="41"/>
    <s v="Debit Card"/>
    <s v="Bi-Weekly"/>
    <m/>
  </r>
  <r>
    <n v="3483"/>
    <x v="17"/>
    <x v="1"/>
    <s v="Gloves"/>
    <s v="Accessories"/>
    <n v="61"/>
    <x v="11"/>
    <s v="M"/>
    <s v="Gold"/>
    <s v="Winter"/>
    <n v="3.9"/>
    <s v="No"/>
    <s v="No"/>
    <n v="35"/>
    <s v="Debit Card"/>
    <s v="Weekly"/>
    <m/>
  </r>
  <r>
    <n v="3484"/>
    <x v="1"/>
    <x v="1"/>
    <s v="Hoodie"/>
    <s v="Clothing"/>
    <n v="37"/>
    <x v="21"/>
    <s v="L"/>
    <s v="White"/>
    <s v="Winter"/>
    <n v="3.9"/>
    <s v="No"/>
    <s v="No"/>
    <n v="21"/>
    <s v="Credit Card"/>
    <s v="Every 3 Months"/>
    <m/>
  </r>
  <r>
    <n v="3485"/>
    <x v="42"/>
    <x v="1"/>
    <s v="Dress"/>
    <s v="Clothing"/>
    <n v="75"/>
    <x v="26"/>
    <s v="L"/>
    <s v="Gray"/>
    <s v="Fall"/>
    <n v="4.2"/>
    <s v="No"/>
    <s v="No"/>
    <n v="13"/>
    <s v="Credit Card"/>
    <s v="Bi-Weekly"/>
    <m/>
  </r>
  <r>
    <n v="3486"/>
    <x v="2"/>
    <x v="1"/>
    <s v="Shirt"/>
    <s v="Clothing"/>
    <n v="21"/>
    <x v="2"/>
    <s v="XL"/>
    <s v="Brown"/>
    <s v="Winter"/>
    <n v="3.4"/>
    <s v="No"/>
    <s v="No"/>
    <n v="23"/>
    <s v="Debit Card"/>
    <s v="Fortnightly"/>
    <m/>
  </r>
  <r>
    <n v="3487"/>
    <x v="47"/>
    <x v="1"/>
    <s v="Shorts"/>
    <s v="Clothing"/>
    <n v="89"/>
    <x v="17"/>
    <s v="L"/>
    <s v="Charcoal"/>
    <s v="Winter"/>
    <n v="4.9000000000000004"/>
    <s v="No"/>
    <s v="No"/>
    <n v="6"/>
    <s v="PayPal"/>
    <s v="Weekly"/>
    <m/>
  </r>
  <r>
    <n v="3488"/>
    <x v="15"/>
    <x v="1"/>
    <s v="Sandals"/>
    <s v="Footwear"/>
    <n v="24"/>
    <x v="8"/>
    <s v="L"/>
    <s v="Beige"/>
    <s v="Fall"/>
    <n v="2.9"/>
    <s v="No"/>
    <s v="No"/>
    <n v="39"/>
    <s v="Bank Transfer"/>
    <s v="Annually"/>
    <m/>
  </r>
  <r>
    <n v="3489"/>
    <x v="46"/>
    <x v="1"/>
    <s v="Sweater"/>
    <s v="Clothing"/>
    <n v="27"/>
    <x v="12"/>
    <s v="XL"/>
    <s v="Teal"/>
    <s v="Spring"/>
    <n v="4.9000000000000004"/>
    <s v="No"/>
    <s v="No"/>
    <n v="7"/>
    <s v="Cash"/>
    <s v="Quarterly"/>
    <m/>
  </r>
  <r>
    <n v="3490"/>
    <x v="39"/>
    <x v="1"/>
    <s v="Dress"/>
    <s v="Clothing"/>
    <n v="26"/>
    <x v="37"/>
    <s v="L"/>
    <s v="Black"/>
    <s v="Summer"/>
    <n v="4.5999999999999996"/>
    <s v="No"/>
    <s v="No"/>
    <n v="32"/>
    <s v="PayPal"/>
    <s v="Every 3 Months"/>
    <m/>
  </r>
  <r>
    <n v="3491"/>
    <x v="46"/>
    <x v="1"/>
    <s v="Boots"/>
    <s v="Footwear"/>
    <n v="82"/>
    <x v="4"/>
    <s v="M"/>
    <s v="Violet"/>
    <s v="Spring"/>
    <n v="3.6"/>
    <s v="No"/>
    <s v="No"/>
    <n v="43"/>
    <s v="Credit Card"/>
    <s v="Quarterly"/>
    <m/>
  </r>
  <r>
    <n v="3492"/>
    <x v="40"/>
    <x v="1"/>
    <s v="Pants"/>
    <s v="Clothing"/>
    <n v="28"/>
    <x v="1"/>
    <s v="M"/>
    <s v="Orange"/>
    <s v="Winter"/>
    <n v="4.3"/>
    <s v="No"/>
    <s v="No"/>
    <n v="15"/>
    <s v="Cash"/>
    <s v="Monthly"/>
    <m/>
  </r>
  <r>
    <n v="3493"/>
    <x v="39"/>
    <x v="1"/>
    <s v="Gloves"/>
    <s v="Accessories"/>
    <n v="65"/>
    <x v="45"/>
    <s v="M"/>
    <s v="Turquoise"/>
    <s v="Fall"/>
    <n v="4.5999999999999996"/>
    <s v="No"/>
    <s v="No"/>
    <n v="48"/>
    <s v="Bank Transfer"/>
    <s v="Annually"/>
    <m/>
  </r>
  <r>
    <n v="3494"/>
    <x v="39"/>
    <x v="1"/>
    <s v="Pants"/>
    <s v="Clothing"/>
    <n v="82"/>
    <x v="35"/>
    <s v="XL"/>
    <s v="Black"/>
    <s v="Winter"/>
    <n v="4.7"/>
    <s v="No"/>
    <s v="No"/>
    <n v="35"/>
    <s v="Credit Card"/>
    <s v="Weekly"/>
    <m/>
  </r>
  <r>
    <n v="3495"/>
    <x v="46"/>
    <x v="1"/>
    <s v="Scarf"/>
    <s v="Accessories"/>
    <n v="38"/>
    <x v="47"/>
    <s v="M"/>
    <s v="Silver"/>
    <s v="Winter"/>
    <n v="3.5"/>
    <s v="No"/>
    <s v="No"/>
    <n v="41"/>
    <s v="PayPal"/>
    <s v="Quarterly"/>
    <m/>
  </r>
  <r>
    <n v="3496"/>
    <x v="41"/>
    <x v="1"/>
    <s v="Shorts"/>
    <s v="Clothing"/>
    <n v="33"/>
    <x v="42"/>
    <s v="XL"/>
    <s v="Gray"/>
    <s v="Spring"/>
    <n v="2.8"/>
    <s v="No"/>
    <s v="No"/>
    <n v="14"/>
    <s v="Cash"/>
    <s v="Weekly"/>
    <m/>
  </r>
  <r>
    <n v="3497"/>
    <x v="31"/>
    <x v="1"/>
    <s v="Shoes"/>
    <s v="Footwear"/>
    <n v="38"/>
    <x v="37"/>
    <s v="M"/>
    <s v="Pink"/>
    <s v="Summer"/>
    <n v="4"/>
    <s v="No"/>
    <s v="No"/>
    <n v="22"/>
    <s v="PayPal"/>
    <s v="Monthly"/>
    <m/>
  </r>
  <r>
    <n v="3498"/>
    <x v="25"/>
    <x v="1"/>
    <s v="Handbag"/>
    <s v="Accessories"/>
    <n v="48"/>
    <x v="24"/>
    <s v="M"/>
    <s v="Red"/>
    <s v="Spring"/>
    <n v="4.3"/>
    <s v="No"/>
    <s v="No"/>
    <n v="16"/>
    <s v="Venmo"/>
    <s v="Every 3 Months"/>
    <m/>
  </r>
  <r>
    <n v="3499"/>
    <x v="36"/>
    <x v="1"/>
    <s v="Sandals"/>
    <s v="Footwear"/>
    <n v="35"/>
    <x v="0"/>
    <s v="M"/>
    <s v="Lavender"/>
    <s v="Summer"/>
    <n v="3.8"/>
    <s v="No"/>
    <s v="No"/>
    <n v="2"/>
    <s v="Bank Transfer"/>
    <s v="Bi-Weekly"/>
    <m/>
  </r>
  <r>
    <n v="3500"/>
    <x v="40"/>
    <x v="1"/>
    <s v="Socks"/>
    <s v="Clothing"/>
    <n v="29"/>
    <x v="32"/>
    <s v="L"/>
    <s v="Indigo"/>
    <s v="Fall"/>
    <n v="3"/>
    <s v="No"/>
    <s v="No"/>
    <n v="13"/>
    <s v="PayPal"/>
    <s v="Every 3 Months"/>
    <m/>
  </r>
  <r>
    <n v="3501"/>
    <x v="21"/>
    <x v="1"/>
    <s v="Shirt"/>
    <s v="Clothing"/>
    <n v="48"/>
    <x v="4"/>
    <s v="S"/>
    <s v="Silver"/>
    <s v="Fall"/>
    <n v="4.5999999999999996"/>
    <s v="No"/>
    <s v="No"/>
    <n v="38"/>
    <s v="Debit Card"/>
    <s v="Fortnightly"/>
    <m/>
  </r>
  <r>
    <n v="3502"/>
    <x v="10"/>
    <x v="1"/>
    <s v="Shoes"/>
    <s v="Footwear"/>
    <n v="87"/>
    <x v="43"/>
    <s v="M"/>
    <s v="Silver"/>
    <s v="Fall"/>
    <n v="4.8"/>
    <s v="No"/>
    <s v="No"/>
    <n v="43"/>
    <s v="Bank Transfer"/>
    <s v="Weekly"/>
    <m/>
  </r>
  <r>
    <n v="3503"/>
    <x v="18"/>
    <x v="1"/>
    <s v="Backpack"/>
    <s v="Accessories"/>
    <n v="62"/>
    <x v="2"/>
    <s v="M"/>
    <s v="Green"/>
    <s v="Fall"/>
    <n v="4.7"/>
    <s v="No"/>
    <s v="No"/>
    <n v="26"/>
    <s v="Bank Transfer"/>
    <s v="Quarterly"/>
    <m/>
  </r>
  <r>
    <n v="3504"/>
    <x v="18"/>
    <x v="1"/>
    <s v="Shirt"/>
    <s v="Clothing"/>
    <n v="96"/>
    <x v="43"/>
    <s v="M"/>
    <s v="Pink"/>
    <s v="Spring"/>
    <n v="3.9"/>
    <s v="No"/>
    <s v="No"/>
    <n v="39"/>
    <s v="Cash"/>
    <s v="Weekly"/>
    <m/>
  </r>
  <r>
    <n v="3505"/>
    <x v="13"/>
    <x v="1"/>
    <s v="Handbag"/>
    <s v="Accessories"/>
    <n v="41"/>
    <x v="11"/>
    <s v="S"/>
    <s v="Violet"/>
    <s v="Fall"/>
    <n v="4"/>
    <s v="No"/>
    <s v="No"/>
    <n v="50"/>
    <s v="Venmo"/>
    <s v="Monthly"/>
    <m/>
  </r>
  <r>
    <n v="3506"/>
    <x v="39"/>
    <x v="1"/>
    <s v="Jewelry"/>
    <s v="Accessories"/>
    <n v="42"/>
    <x v="27"/>
    <s v="L"/>
    <s v="Red"/>
    <s v="Winter"/>
    <n v="3.7"/>
    <s v="No"/>
    <s v="No"/>
    <n v="40"/>
    <s v="Bank Transfer"/>
    <s v="Every 3 Months"/>
    <m/>
  </r>
  <r>
    <n v="3507"/>
    <x v="20"/>
    <x v="1"/>
    <s v="Shirt"/>
    <s v="Clothing"/>
    <n v="57"/>
    <x v="26"/>
    <s v="L"/>
    <s v="Olive"/>
    <s v="Winter"/>
    <n v="3.7"/>
    <s v="No"/>
    <s v="No"/>
    <n v="12"/>
    <s v="Cash"/>
    <s v="Fortnightly"/>
    <m/>
  </r>
  <r>
    <n v="3508"/>
    <x v="5"/>
    <x v="1"/>
    <s v="Handbag"/>
    <s v="Accessories"/>
    <n v="65"/>
    <x v="24"/>
    <s v="S"/>
    <s v="Purple"/>
    <s v="Spring"/>
    <n v="4.2"/>
    <s v="No"/>
    <s v="No"/>
    <n v="33"/>
    <s v="Credit Card"/>
    <s v="Every 3 Months"/>
    <m/>
  </r>
  <r>
    <n v="3509"/>
    <x v="16"/>
    <x v="1"/>
    <s v="Pants"/>
    <s v="Clothing"/>
    <n v="54"/>
    <x v="38"/>
    <s v="M"/>
    <s v="Gray"/>
    <s v="Fall"/>
    <n v="4.7"/>
    <s v="No"/>
    <s v="No"/>
    <n v="49"/>
    <s v="Bank Transfer"/>
    <s v="Weekly"/>
    <m/>
  </r>
  <r>
    <n v="3510"/>
    <x v="2"/>
    <x v="1"/>
    <s v="T-shirt"/>
    <s v="Clothing"/>
    <n v="22"/>
    <x v="31"/>
    <s v="L"/>
    <s v="Brown"/>
    <s v="Winter"/>
    <n v="4.3"/>
    <s v="No"/>
    <s v="No"/>
    <n v="43"/>
    <s v="Venmo"/>
    <s v="Bi-Weekly"/>
    <m/>
  </r>
  <r>
    <n v="3511"/>
    <x v="34"/>
    <x v="1"/>
    <s v="Sneakers"/>
    <s v="Footwear"/>
    <n v="96"/>
    <x v="38"/>
    <s v="S"/>
    <s v="Orange"/>
    <s v="Fall"/>
    <n v="4.9000000000000004"/>
    <s v="No"/>
    <s v="No"/>
    <n v="14"/>
    <s v="Venmo"/>
    <s v="Monthly"/>
    <m/>
  </r>
  <r>
    <n v="3512"/>
    <x v="28"/>
    <x v="1"/>
    <s v="Jewelry"/>
    <s v="Accessories"/>
    <n v="81"/>
    <x v="16"/>
    <s v="M"/>
    <s v="Blue"/>
    <s v="Summer"/>
    <n v="3.9"/>
    <s v="No"/>
    <s v="No"/>
    <n v="21"/>
    <s v="Credit Card"/>
    <s v="Every 3 Months"/>
    <m/>
  </r>
  <r>
    <n v="3513"/>
    <x v="24"/>
    <x v="1"/>
    <s v="Shirt"/>
    <s v="Clothing"/>
    <n v="46"/>
    <x v="0"/>
    <s v="M"/>
    <s v="White"/>
    <s v="Fall"/>
    <n v="3.4"/>
    <s v="No"/>
    <s v="No"/>
    <n v="31"/>
    <s v="Debit Card"/>
    <s v="Quarterly"/>
    <m/>
  </r>
  <r>
    <n v="3514"/>
    <x v="11"/>
    <x v="1"/>
    <s v="Blouse"/>
    <s v="Clothing"/>
    <n v="74"/>
    <x v="29"/>
    <s v="XL"/>
    <s v="Charcoal"/>
    <s v="Spring"/>
    <n v="4.2"/>
    <s v="No"/>
    <s v="No"/>
    <n v="29"/>
    <s v="Credit Card"/>
    <s v="Fortnightly"/>
    <m/>
  </r>
  <r>
    <n v="3515"/>
    <x v="15"/>
    <x v="1"/>
    <s v="Sneakers"/>
    <s v="Footwear"/>
    <n v="50"/>
    <x v="42"/>
    <s v="XL"/>
    <s v="Gray"/>
    <s v="Winter"/>
    <n v="4.7"/>
    <s v="No"/>
    <s v="No"/>
    <n v="32"/>
    <s v="Cash"/>
    <s v="Monthly"/>
    <m/>
  </r>
  <r>
    <n v="3516"/>
    <x v="1"/>
    <x v="1"/>
    <s v="Dress"/>
    <s v="Clothing"/>
    <n v="80"/>
    <x v="45"/>
    <s v="XL"/>
    <s v="Charcoal"/>
    <s v="Winter"/>
    <n v="4"/>
    <s v="No"/>
    <s v="No"/>
    <n v="16"/>
    <s v="Debit Card"/>
    <s v="Bi-Weekly"/>
    <m/>
  </r>
  <r>
    <n v="3517"/>
    <x v="50"/>
    <x v="1"/>
    <s v="Boots"/>
    <s v="Footwear"/>
    <n v="56"/>
    <x v="36"/>
    <s v="S"/>
    <s v="White"/>
    <s v="Summer"/>
    <n v="4"/>
    <s v="No"/>
    <s v="No"/>
    <n v="38"/>
    <s v="PayPal"/>
    <s v="Bi-Weekly"/>
    <m/>
  </r>
  <r>
    <n v="3518"/>
    <x v="26"/>
    <x v="1"/>
    <s v="Skirt"/>
    <s v="Clothing"/>
    <n v="69"/>
    <x v="30"/>
    <s v="M"/>
    <s v="Orange"/>
    <s v="Winter"/>
    <n v="3.1"/>
    <s v="No"/>
    <s v="No"/>
    <n v="34"/>
    <s v="Debit Card"/>
    <s v="Every 3 Months"/>
    <m/>
  </r>
  <r>
    <n v="3519"/>
    <x v="2"/>
    <x v="1"/>
    <s v="Shirt"/>
    <s v="Clothing"/>
    <n v="97"/>
    <x v="24"/>
    <s v="M"/>
    <s v="Black"/>
    <s v="Spring"/>
    <n v="4.2"/>
    <s v="No"/>
    <s v="No"/>
    <n v="30"/>
    <s v="PayPal"/>
    <s v="Quarterly"/>
    <m/>
  </r>
  <r>
    <n v="3520"/>
    <x v="18"/>
    <x v="1"/>
    <s v="Shorts"/>
    <s v="Clothing"/>
    <n v="66"/>
    <x v="48"/>
    <s v="M"/>
    <s v="White"/>
    <s v="Winter"/>
    <n v="3.7"/>
    <s v="No"/>
    <s v="No"/>
    <n v="14"/>
    <s v="Bank Transfer"/>
    <s v="Fortnightly"/>
    <m/>
  </r>
  <r>
    <n v="3521"/>
    <x v="38"/>
    <x v="1"/>
    <s v="Hat"/>
    <s v="Accessories"/>
    <n v="70"/>
    <x v="42"/>
    <s v="S"/>
    <s v="Brown"/>
    <s v="Spring"/>
    <n v="3.1"/>
    <s v="No"/>
    <s v="No"/>
    <n v="33"/>
    <s v="Bank Transfer"/>
    <s v="Monthly"/>
    <m/>
  </r>
  <r>
    <n v="3522"/>
    <x v="16"/>
    <x v="1"/>
    <s v="Shoes"/>
    <s v="Footwear"/>
    <n v="50"/>
    <x v="33"/>
    <s v="M"/>
    <s v="Pink"/>
    <s v="Winter"/>
    <n v="3.7"/>
    <s v="No"/>
    <s v="No"/>
    <n v="35"/>
    <s v="Venmo"/>
    <s v="Weekly"/>
    <m/>
  </r>
  <r>
    <n v="3523"/>
    <x v="7"/>
    <x v="1"/>
    <s v="Pants"/>
    <s v="Clothing"/>
    <n v="85"/>
    <x v="32"/>
    <s v="M"/>
    <s v="Yellow"/>
    <s v="Spring"/>
    <n v="3.2"/>
    <s v="No"/>
    <s v="No"/>
    <n v="13"/>
    <s v="Cash"/>
    <s v="Quarterly"/>
    <m/>
  </r>
  <r>
    <n v="3524"/>
    <x v="34"/>
    <x v="1"/>
    <s v="Backpack"/>
    <s v="Accessories"/>
    <n v="59"/>
    <x v="22"/>
    <s v="M"/>
    <s v="Cyan"/>
    <s v="Summer"/>
    <n v="2.8"/>
    <s v="No"/>
    <s v="No"/>
    <n v="30"/>
    <s v="Cash"/>
    <s v="Fortnightly"/>
    <m/>
  </r>
  <r>
    <n v="3525"/>
    <x v="28"/>
    <x v="1"/>
    <s v="Pants"/>
    <s v="Clothing"/>
    <n v="74"/>
    <x v="49"/>
    <s v="L"/>
    <s v="Silver"/>
    <s v="Summer"/>
    <n v="2.9"/>
    <s v="No"/>
    <s v="No"/>
    <n v="30"/>
    <s v="Credit Card"/>
    <s v="Monthly"/>
    <m/>
  </r>
  <r>
    <n v="3526"/>
    <x v="4"/>
    <x v="1"/>
    <s v="Sunglasses"/>
    <s v="Accessories"/>
    <n v="38"/>
    <x v="5"/>
    <s v="L"/>
    <s v="Olive"/>
    <s v="Winter"/>
    <n v="3.5"/>
    <s v="No"/>
    <s v="No"/>
    <n v="47"/>
    <s v="Bank Transfer"/>
    <s v="Annually"/>
    <m/>
  </r>
  <r>
    <n v="3527"/>
    <x v="30"/>
    <x v="1"/>
    <s v="Sweater"/>
    <s v="Clothing"/>
    <n v="99"/>
    <x v="2"/>
    <s v="M"/>
    <s v="Olive"/>
    <s v="Spring"/>
    <n v="3.8"/>
    <s v="No"/>
    <s v="No"/>
    <n v="1"/>
    <s v="PayPal"/>
    <s v="Every 3 Months"/>
    <m/>
  </r>
  <r>
    <n v="3528"/>
    <x v="15"/>
    <x v="1"/>
    <s v="Blouse"/>
    <s v="Clothing"/>
    <n v="97"/>
    <x v="47"/>
    <s v="S"/>
    <s v="Charcoal"/>
    <s v="Spring"/>
    <n v="4.7"/>
    <s v="No"/>
    <s v="No"/>
    <n v="1"/>
    <s v="Cash"/>
    <s v="Weekly"/>
    <m/>
  </r>
  <r>
    <n v="3529"/>
    <x v="21"/>
    <x v="1"/>
    <s v="Scarf"/>
    <s v="Accessories"/>
    <n v="67"/>
    <x v="1"/>
    <s v="L"/>
    <s v="Gray"/>
    <s v="Summer"/>
    <n v="4.5"/>
    <s v="No"/>
    <s v="No"/>
    <n v="33"/>
    <s v="PayPal"/>
    <s v="Annually"/>
    <m/>
  </r>
  <r>
    <n v="3530"/>
    <x v="0"/>
    <x v="1"/>
    <s v="T-shirt"/>
    <s v="Clothing"/>
    <n v="20"/>
    <x v="6"/>
    <s v="S"/>
    <s v="Maroon"/>
    <s v="Winter"/>
    <n v="3.9"/>
    <s v="No"/>
    <s v="No"/>
    <n v="43"/>
    <s v="Bank Transfer"/>
    <s v="Weekly"/>
    <m/>
  </r>
  <r>
    <n v="3531"/>
    <x v="46"/>
    <x v="1"/>
    <s v="Sunglasses"/>
    <s v="Accessories"/>
    <n v="45"/>
    <x v="19"/>
    <s v="L"/>
    <s v="Black"/>
    <s v="Spring"/>
    <n v="3.4"/>
    <s v="No"/>
    <s v="No"/>
    <n v="37"/>
    <s v="PayPal"/>
    <s v="Weekly"/>
    <m/>
  </r>
  <r>
    <n v="3532"/>
    <x v="22"/>
    <x v="1"/>
    <s v="Shoes"/>
    <s v="Footwear"/>
    <n v="52"/>
    <x v="25"/>
    <s v="XL"/>
    <s v="Violet"/>
    <s v="Winter"/>
    <n v="4.5999999999999996"/>
    <s v="No"/>
    <s v="No"/>
    <n v="23"/>
    <s v="Cash"/>
    <s v="Quarterly"/>
    <m/>
  </r>
  <r>
    <n v="3533"/>
    <x v="12"/>
    <x v="1"/>
    <s v="Pants"/>
    <s v="Clothing"/>
    <n v="68"/>
    <x v="39"/>
    <s v="L"/>
    <s v="Indigo"/>
    <s v="Fall"/>
    <n v="4.5999999999999996"/>
    <s v="No"/>
    <s v="No"/>
    <n v="12"/>
    <s v="Credit Card"/>
    <s v="Annually"/>
    <m/>
  </r>
  <r>
    <n v="3534"/>
    <x v="2"/>
    <x v="1"/>
    <s v="Sneakers"/>
    <s v="Footwear"/>
    <n v="98"/>
    <x v="21"/>
    <s v="L"/>
    <s v="Yellow"/>
    <s v="Fall"/>
    <n v="4.7"/>
    <s v="No"/>
    <s v="No"/>
    <n v="30"/>
    <s v="Venmo"/>
    <s v="Fortnightly"/>
    <m/>
  </r>
  <r>
    <n v="3535"/>
    <x v="13"/>
    <x v="1"/>
    <s v="Shoes"/>
    <s v="Footwear"/>
    <n v="83"/>
    <x v="12"/>
    <s v="M"/>
    <s v="Gray"/>
    <s v="Fall"/>
    <n v="3.2"/>
    <s v="No"/>
    <s v="No"/>
    <n v="7"/>
    <s v="Cash"/>
    <s v="Weekly"/>
    <m/>
  </r>
  <r>
    <n v="3536"/>
    <x v="33"/>
    <x v="1"/>
    <s v="Shorts"/>
    <s v="Clothing"/>
    <n v="51"/>
    <x v="16"/>
    <s v="M"/>
    <s v="Red"/>
    <s v="Summer"/>
    <n v="5"/>
    <s v="No"/>
    <s v="No"/>
    <n v="20"/>
    <s v="Debit Card"/>
    <s v="Monthly"/>
    <m/>
  </r>
  <r>
    <n v="3537"/>
    <x v="0"/>
    <x v="1"/>
    <s v="Handbag"/>
    <s v="Accessories"/>
    <n v="21"/>
    <x v="46"/>
    <s v="L"/>
    <s v="Peach"/>
    <s v="Spring"/>
    <n v="4.5"/>
    <s v="No"/>
    <s v="No"/>
    <n v="10"/>
    <s v="Venmo"/>
    <s v="Monthly"/>
    <m/>
  </r>
  <r>
    <n v="3538"/>
    <x v="9"/>
    <x v="1"/>
    <s v="Handbag"/>
    <s v="Accessories"/>
    <n v="92"/>
    <x v="42"/>
    <s v="M"/>
    <s v="Gray"/>
    <s v="Spring"/>
    <n v="3.5"/>
    <s v="No"/>
    <s v="No"/>
    <n v="40"/>
    <s v="Credit Card"/>
    <s v="Every 3 Months"/>
    <m/>
  </r>
  <r>
    <n v="3539"/>
    <x v="19"/>
    <x v="1"/>
    <s v="Shoes"/>
    <s v="Footwear"/>
    <n v="63"/>
    <x v="44"/>
    <s v="S"/>
    <s v="White"/>
    <s v="Spring"/>
    <n v="4.5"/>
    <s v="No"/>
    <s v="No"/>
    <n v="21"/>
    <s v="Venmo"/>
    <s v="Monthly"/>
    <m/>
  </r>
  <r>
    <n v="3540"/>
    <x v="26"/>
    <x v="1"/>
    <s v="Jewelry"/>
    <s v="Accessories"/>
    <n v="56"/>
    <x v="14"/>
    <s v="S"/>
    <s v="Green"/>
    <s v="Spring"/>
    <n v="3.2"/>
    <s v="No"/>
    <s v="No"/>
    <n v="17"/>
    <s v="Credit Card"/>
    <s v="Bi-Weekly"/>
    <m/>
  </r>
  <r>
    <n v="3541"/>
    <x v="41"/>
    <x v="1"/>
    <s v="Shorts"/>
    <s v="Clothing"/>
    <n v="95"/>
    <x v="22"/>
    <s v="M"/>
    <s v="Magenta"/>
    <s v="Spring"/>
    <n v="4.5999999999999996"/>
    <s v="No"/>
    <s v="No"/>
    <n v="5"/>
    <s v="Bank Transfer"/>
    <s v="Weekly"/>
    <m/>
  </r>
  <r>
    <n v="3542"/>
    <x v="35"/>
    <x v="1"/>
    <s v="Blouse"/>
    <s v="Clothing"/>
    <n v="66"/>
    <x v="41"/>
    <s v="M"/>
    <s v="Olive"/>
    <s v="Winter"/>
    <n v="4"/>
    <s v="No"/>
    <s v="No"/>
    <n v="22"/>
    <s v="PayPal"/>
    <s v="Annually"/>
    <m/>
  </r>
  <r>
    <n v="3543"/>
    <x v="46"/>
    <x v="1"/>
    <s v="Coat"/>
    <s v="Outerwear"/>
    <n v="28"/>
    <x v="37"/>
    <s v="S"/>
    <s v="Olive"/>
    <s v="Spring"/>
    <n v="4.2"/>
    <s v="No"/>
    <s v="No"/>
    <n v="5"/>
    <s v="Venmo"/>
    <s v="Weekly"/>
    <m/>
  </r>
  <r>
    <n v="3544"/>
    <x v="44"/>
    <x v="1"/>
    <s v="Hat"/>
    <s v="Accessories"/>
    <n v="83"/>
    <x v="24"/>
    <s v="M"/>
    <s v="Blue"/>
    <s v="Winter"/>
    <n v="4.0999999999999996"/>
    <s v="No"/>
    <s v="No"/>
    <n v="18"/>
    <s v="PayPal"/>
    <s v="Every 3 Months"/>
    <m/>
  </r>
  <r>
    <n v="3545"/>
    <x v="14"/>
    <x v="1"/>
    <s v="Socks"/>
    <s v="Clothing"/>
    <n v="55"/>
    <x v="48"/>
    <s v="XL"/>
    <s v="Charcoal"/>
    <s v="Fall"/>
    <n v="3.6"/>
    <s v="No"/>
    <s v="No"/>
    <n v="42"/>
    <s v="Cash"/>
    <s v="Every 3 Months"/>
    <m/>
  </r>
  <r>
    <n v="3546"/>
    <x v="39"/>
    <x v="1"/>
    <s v="Sandals"/>
    <s v="Footwear"/>
    <n v="28"/>
    <x v="39"/>
    <s v="M"/>
    <s v="Yellow"/>
    <s v="Spring"/>
    <n v="3.7"/>
    <s v="No"/>
    <s v="No"/>
    <n v="22"/>
    <s v="Debit Card"/>
    <s v="Annually"/>
    <m/>
  </r>
  <r>
    <n v="3547"/>
    <x v="52"/>
    <x v="1"/>
    <s v="Scarf"/>
    <s v="Accessories"/>
    <n v="79"/>
    <x v="23"/>
    <s v="M"/>
    <s v="Violet"/>
    <s v="Summer"/>
    <n v="3.6"/>
    <s v="No"/>
    <s v="No"/>
    <n v="37"/>
    <s v="Bank Transfer"/>
    <s v="Bi-Weekly"/>
    <m/>
  </r>
  <r>
    <n v="3548"/>
    <x v="16"/>
    <x v="1"/>
    <s v="Scarf"/>
    <s v="Accessories"/>
    <n v="31"/>
    <x v="38"/>
    <s v="L"/>
    <s v="Magenta"/>
    <s v="Summer"/>
    <n v="3.8"/>
    <s v="No"/>
    <s v="No"/>
    <n v="23"/>
    <s v="Credit Card"/>
    <s v="Annually"/>
    <m/>
  </r>
  <r>
    <n v="3549"/>
    <x v="6"/>
    <x v="1"/>
    <s v="Blouse"/>
    <s v="Clothing"/>
    <n v="37"/>
    <x v="40"/>
    <s v="M"/>
    <s v="Red"/>
    <s v="Fall"/>
    <n v="3"/>
    <s v="No"/>
    <s v="No"/>
    <n v="47"/>
    <s v="Debit Card"/>
    <s v="Fortnightly"/>
    <m/>
  </r>
  <r>
    <n v="3550"/>
    <x v="42"/>
    <x v="1"/>
    <s v="T-shirt"/>
    <s v="Clothing"/>
    <n v="34"/>
    <x v="4"/>
    <s v="M"/>
    <s v="Cyan"/>
    <s v="Summer"/>
    <n v="3.4"/>
    <s v="No"/>
    <s v="No"/>
    <n v="11"/>
    <s v="Bank Transfer"/>
    <s v="Fortnightly"/>
    <m/>
  </r>
  <r>
    <n v="3551"/>
    <x v="6"/>
    <x v="1"/>
    <s v="Shoes"/>
    <s v="Footwear"/>
    <n v="74"/>
    <x v="8"/>
    <s v="S"/>
    <s v="Orange"/>
    <s v="Winter"/>
    <n v="4.8"/>
    <s v="No"/>
    <s v="No"/>
    <n v="32"/>
    <s v="Cash"/>
    <s v="Weekly"/>
    <m/>
  </r>
  <r>
    <n v="3552"/>
    <x v="17"/>
    <x v="1"/>
    <s v="Gloves"/>
    <s v="Accessories"/>
    <n v="31"/>
    <x v="6"/>
    <s v="L"/>
    <s v="Black"/>
    <s v="Spring"/>
    <n v="2.6"/>
    <s v="No"/>
    <s v="No"/>
    <n v="20"/>
    <s v="Venmo"/>
    <s v="Weekly"/>
    <m/>
  </r>
  <r>
    <n v="3553"/>
    <x v="40"/>
    <x v="1"/>
    <s v="Sunglasses"/>
    <s v="Accessories"/>
    <n v="66"/>
    <x v="0"/>
    <s v="M"/>
    <s v="Blue"/>
    <s v="Winter"/>
    <n v="2.9"/>
    <s v="No"/>
    <s v="No"/>
    <n v="3"/>
    <s v="PayPal"/>
    <s v="Quarterly"/>
    <m/>
  </r>
  <r>
    <n v="3554"/>
    <x v="46"/>
    <x v="1"/>
    <s v="Shoes"/>
    <s v="Footwear"/>
    <n v="99"/>
    <x v="46"/>
    <s v="M"/>
    <s v="Charcoal"/>
    <s v="Spring"/>
    <n v="4.9000000000000004"/>
    <s v="No"/>
    <s v="No"/>
    <n v="32"/>
    <s v="Bank Transfer"/>
    <s v="Weekly"/>
    <m/>
  </r>
  <r>
    <n v="3555"/>
    <x v="31"/>
    <x v="1"/>
    <s v="Dress"/>
    <s v="Clothing"/>
    <n v="55"/>
    <x v="7"/>
    <s v="M"/>
    <s v="Indigo"/>
    <s v="Spring"/>
    <n v="5"/>
    <s v="No"/>
    <s v="No"/>
    <n v="5"/>
    <s v="Credit Card"/>
    <s v="Fortnightly"/>
    <m/>
  </r>
  <r>
    <n v="3556"/>
    <x v="15"/>
    <x v="1"/>
    <s v="Blouse"/>
    <s v="Clothing"/>
    <n v="23"/>
    <x v="12"/>
    <s v="L"/>
    <s v="Silver"/>
    <s v="Spring"/>
    <n v="4.5999999999999996"/>
    <s v="No"/>
    <s v="No"/>
    <n v="45"/>
    <s v="Cash"/>
    <s v="Quarterly"/>
    <m/>
  </r>
  <r>
    <n v="3557"/>
    <x v="27"/>
    <x v="1"/>
    <s v="Sweater"/>
    <s v="Clothing"/>
    <n v="88"/>
    <x v="28"/>
    <s v="M"/>
    <s v="Brown"/>
    <s v="Fall"/>
    <n v="4.2"/>
    <s v="No"/>
    <s v="No"/>
    <n v="43"/>
    <s v="Cash"/>
    <s v="Bi-Weekly"/>
    <m/>
  </r>
  <r>
    <n v="3558"/>
    <x v="16"/>
    <x v="1"/>
    <s v="Jacket"/>
    <s v="Outerwear"/>
    <n v="26"/>
    <x v="22"/>
    <s v="M"/>
    <s v="Peach"/>
    <s v="Summer"/>
    <n v="4.9000000000000004"/>
    <s v="No"/>
    <s v="No"/>
    <n v="1"/>
    <s v="PayPal"/>
    <s v="Every 3 Months"/>
    <m/>
  </r>
  <r>
    <n v="3559"/>
    <x v="33"/>
    <x v="1"/>
    <s v="Backpack"/>
    <s v="Accessories"/>
    <n v="94"/>
    <x v="29"/>
    <s v="L"/>
    <s v="Magenta"/>
    <s v="Summer"/>
    <n v="4.8"/>
    <s v="No"/>
    <s v="No"/>
    <n v="9"/>
    <s v="Venmo"/>
    <s v="Quarterly"/>
    <m/>
  </r>
  <r>
    <n v="3560"/>
    <x v="20"/>
    <x v="1"/>
    <s v="Shorts"/>
    <s v="Clothing"/>
    <n v="25"/>
    <x v="40"/>
    <s v="M"/>
    <s v="Beige"/>
    <s v="Fall"/>
    <n v="3"/>
    <s v="No"/>
    <s v="No"/>
    <n v="13"/>
    <s v="Venmo"/>
    <s v="Every 3 Months"/>
    <m/>
  </r>
  <r>
    <n v="3561"/>
    <x v="20"/>
    <x v="1"/>
    <s v="Socks"/>
    <s v="Clothing"/>
    <n v="96"/>
    <x v="23"/>
    <s v="XL"/>
    <s v="Violet"/>
    <s v="Fall"/>
    <n v="3.5"/>
    <s v="No"/>
    <s v="No"/>
    <n v="5"/>
    <s v="Credit Card"/>
    <s v="Annually"/>
    <m/>
  </r>
  <r>
    <n v="3562"/>
    <x v="6"/>
    <x v="1"/>
    <s v="Sneakers"/>
    <s v="Footwear"/>
    <n v="29"/>
    <x v="17"/>
    <s v="L"/>
    <s v="Black"/>
    <s v="Spring"/>
    <n v="3.4"/>
    <s v="No"/>
    <s v="No"/>
    <n v="39"/>
    <s v="Credit Card"/>
    <s v="Fortnightly"/>
    <m/>
  </r>
  <r>
    <n v="3563"/>
    <x v="36"/>
    <x v="1"/>
    <s v="Sneakers"/>
    <s v="Footwear"/>
    <n v="36"/>
    <x v="33"/>
    <s v="M"/>
    <s v="Cyan"/>
    <s v="Winter"/>
    <n v="3.4"/>
    <s v="No"/>
    <s v="No"/>
    <n v="7"/>
    <s v="Bank Transfer"/>
    <s v="Weekly"/>
    <m/>
  </r>
  <r>
    <n v="3564"/>
    <x v="49"/>
    <x v="1"/>
    <s v="Blouse"/>
    <s v="Clothing"/>
    <n v="90"/>
    <x v="1"/>
    <s v="M"/>
    <s v="Green"/>
    <s v="Summer"/>
    <n v="4.9000000000000004"/>
    <s v="No"/>
    <s v="No"/>
    <n v="8"/>
    <s v="Credit Card"/>
    <s v="Every 3 Months"/>
    <m/>
  </r>
  <r>
    <n v="3565"/>
    <x v="52"/>
    <x v="1"/>
    <s v="Gloves"/>
    <s v="Accessories"/>
    <n v="38"/>
    <x v="26"/>
    <s v="S"/>
    <s v="Brown"/>
    <s v="Summer"/>
    <n v="4.4000000000000004"/>
    <s v="No"/>
    <s v="No"/>
    <n v="40"/>
    <s v="Venmo"/>
    <s v="Annually"/>
    <m/>
  </r>
  <r>
    <n v="3566"/>
    <x v="34"/>
    <x v="1"/>
    <s v="Handbag"/>
    <s v="Accessories"/>
    <n v="52"/>
    <x v="38"/>
    <s v="S"/>
    <s v="Gray"/>
    <s v="Spring"/>
    <n v="4.2"/>
    <s v="No"/>
    <s v="No"/>
    <n v="35"/>
    <s v="PayPal"/>
    <s v="Monthly"/>
    <m/>
  </r>
  <r>
    <n v="3567"/>
    <x v="48"/>
    <x v="1"/>
    <s v="Jeans"/>
    <s v="Clothing"/>
    <n v="88"/>
    <x v="29"/>
    <s v="S"/>
    <s v="Orange"/>
    <s v="Spring"/>
    <n v="3.1"/>
    <s v="No"/>
    <s v="No"/>
    <n v="14"/>
    <s v="Venmo"/>
    <s v="Monthly"/>
    <m/>
  </r>
  <r>
    <n v="3568"/>
    <x v="45"/>
    <x v="1"/>
    <s v="Scarf"/>
    <s v="Accessories"/>
    <n v="56"/>
    <x v="35"/>
    <s v="S"/>
    <s v="Silver"/>
    <s v="Summer"/>
    <n v="4"/>
    <s v="No"/>
    <s v="No"/>
    <n v="26"/>
    <s v="Credit Card"/>
    <s v="Monthly"/>
    <m/>
  </r>
  <r>
    <n v="3569"/>
    <x v="26"/>
    <x v="1"/>
    <s v="Sandals"/>
    <s v="Footwear"/>
    <n v="71"/>
    <x v="10"/>
    <s v="M"/>
    <s v="Purple"/>
    <s v="Spring"/>
    <n v="4.8"/>
    <s v="No"/>
    <s v="No"/>
    <n v="14"/>
    <s v="PayPal"/>
    <s v="Quarterly"/>
    <m/>
  </r>
  <r>
    <n v="3570"/>
    <x v="25"/>
    <x v="1"/>
    <s v="Sandals"/>
    <s v="Footwear"/>
    <n v="94"/>
    <x v="29"/>
    <s v="M"/>
    <s v="Olive"/>
    <s v="Fall"/>
    <n v="3.3"/>
    <s v="No"/>
    <s v="No"/>
    <n v="9"/>
    <s v="Bank Transfer"/>
    <s v="Fortnightly"/>
    <m/>
  </r>
  <r>
    <n v="3571"/>
    <x v="51"/>
    <x v="1"/>
    <s v="Dress"/>
    <s v="Clothing"/>
    <n v="97"/>
    <x v="7"/>
    <s v="XL"/>
    <s v="Teal"/>
    <s v="Winter"/>
    <n v="4.7"/>
    <s v="No"/>
    <s v="No"/>
    <n v="32"/>
    <s v="Debit Card"/>
    <s v="Annually"/>
    <m/>
  </r>
  <r>
    <n v="3572"/>
    <x v="27"/>
    <x v="1"/>
    <s v="Skirt"/>
    <s v="Clothing"/>
    <n v="27"/>
    <x v="25"/>
    <s v="M"/>
    <s v="White"/>
    <s v="Summer"/>
    <n v="3.2"/>
    <s v="No"/>
    <s v="No"/>
    <n v="15"/>
    <s v="Bank Transfer"/>
    <s v="Every 3 Months"/>
    <m/>
  </r>
  <r>
    <n v="3573"/>
    <x v="51"/>
    <x v="1"/>
    <s v="Shorts"/>
    <s v="Clothing"/>
    <n v="28"/>
    <x v="3"/>
    <s v="M"/>
    <s v="Black"/>
    <s v="Spring"/>
    <n v="5"/>
    <s v="No"/>
    <s v="No"/>
    <n v="25"/>
    <s v="Credit Card"/>
    <s v="Monthly"/>
    <m/>
  </r>
  <r>
    <n v="3574"/>
    <x v="49"/>
    <x v="1"/>
    <s v="Jeans"/>
    <s v="Clothing"/>
    <n v="67"/>
    <x v="39"/>
    <s v="L"/>
    <s v="Maroon"/>
    <s v="Fall"/>
    <n v="4.9000000000000004"/>
    <s v="No"/>
    <s v="No"/>
    <n v="27"/>
    <s v="PayPal"/>
    <s v="Monthly"/>
    <m/>
  </r>
  <r>
    <n v="3575"/>
    <x v="26"/>
    <x v="1"/>
    <s v="Socks"/>
    <s v="Clothing"/>
    <n v="70"/>
    <x v="14"/>
    <s v="M"/>
    <s v="Cyan"/>
    <s v="Fall"/>
    <n v="4.9000000000000004"/>
    <s v="No"/>
    <s v="No"/>
    <n v="39"/>
    <s v="Bank Transfer"/>
    <s v="Quarterly"/>
    <m/>
  </r>
  <r>
    <n v="3576"/>
    <x v="12"/>
    <x v="1"/>
    <s v="Coat"/>
    <s v="Outerwear"/>
    <n v="95"/>
    <x v="0"/>
    <s v="M"/>
    <s v="Violet"/>
    <s v="Fall"/>
    <n v="3.7"/>
    <s v="No"/>
    <s v="No"/>
    <n v="49"/>
    <s v="Venmo"/>
    <s v="Bi-Weekly"/>
    <m/>
  </r>
  <r>
    <n v="3577"/>
    <x v="26"/>
    <x v="1"/>
    <s v="Boots"/>
    <s v="Footwear"/>
    <n v="24"/>
    <x v="1"/>
    <s v="L"/>
    <s v="Yellow"/>
    <s v="Spring"/>
    <n v="3"/>
    <s v="No"/>
    <s v="No"/>
    <n v="12"/>
    <s v="Venmo"/>
    <s v="Bi-Weekly"/>
    <m/>
  </r>
  <r>
    <n v="3578"/>
    <x v="17"/>
    <x v="1"/>
    <s v="Belt"/>
    <s v="Accessories"/>
    <n v="35"/>
    <x v="9"/>
    <s v="S"/>
    <s v="Yellow"/>
    <s v="Winter"/>
    <n v="2.6"/>
    <s v="No"/>
    <s v="No"/>
    <n v="13"/>
    <s v="Bank Transfer"/>
    <s v="Weekly"/>
    <m/>
  </r>
  <r>
    <n v="3579"/>
    <x v="5"/>
    <x v="1"/>
    <s v="Shoes"/>
    <s v="Footwear"/>
    <n v="22"/>
    <x v="42"/>
    <s v="L"/>
    <s v="Olive"/>
    <s v="Winter"/>
    <n v="2.6"/>
    <s v="No"/>
    <s v="No"/>
    <n v="22"/>
    <s v="Bank Transfer"/>
    <s v="Quarterly"/>
    <m/>
  </r>
  <r>
    <n v="3580"/>
    <x v="50"/>
    <x v="1"/>
    <s v="Scarf"/>
    <s v="Accessories"/>
    <n v="66"/>
    <x v="28"/>
    <s v="L"/>
    <s v="Olive"/>
    <s v="Fall"/>
    <n v="4.8"/>
    <s v="No"/>
    <s v="No"/>
    <n v="19"/>
    <s v="Credit Card"/>
    <s v="Every 3 Months"/>
    <m/>
  </r>
  <r>
    <n v="3581"/>
    <x v="47"/>
    <x v="1"/>
    <s v="Blouse"/>
    <s v="Clothing"/>
    <n v="83"/>
    <x v="13"/>
    <s v="M"/>
    <s v="Magenta"/>
    <s v="Summer"/>
    <n v="3.2"/>
    <s v="No"/>
    <s v="No"/>
    <n v="3"/>
    <s v="Cash"/>
    <s v="Bi-Weekly"/>
    <m/>
  </r>
  <r>
    <n v="3582"/>
    <x v="8"/>
    <x v="1"/>
    <s v="Dress"/>
    <s v="Clothing"/>
    <n v="95"/>
    <x v="42"/>
    <s v="M"/>
    <s v="Orange"/>
    <s v="Fall"/>
    <n v="4.9000000000000004"/>
    <s v="No"/>
    <s v="No"/>
    <n v="50"/>
    <s v="Credit Card"/>
    <s v="Weekly"/>
    <m/>
  </r>
  <r>
    <n v="3583"/>
    <x v="51"/>
    <x v="1"/>
    <s v="Shorts"/>
    <s v="Clothing"/>
    <n v="41"/>
    <x v="18"/>
    <s v="S"/>
    <s v="Beige"/>
    <s v="Summer"/>
    <n v="3.4"/>
    <s v="No"/>
    <s v="No"/>
    <n v="15"/>
    <s v="PayPal"/>
    <s v="Annually"/>
    <m/>
  </r>
  <r>
    <n v="3584"/>
    <x v="16"/>
    <x v="1"/>
    <s v="Blouse"/>
    <s v="Clothing"/>
    <n v="77"/>
    <x v="28"/>
    <s v="L"/>
    <s v="Brown"/>
    <s v="Summer"/>
    <n v="2.7"/>
    <s v="No"/>
    <s v="No"/>
    <n v="44"/>
    <s v="Credit Card"/>
    <s v="Every 3 Months"/>
    <m/>
  </r>
  <r>
    <n v="3585"/>
    <x v="31"/>
    <x v="1"/>
    <s v="Sneakers"/>
    <s v="Footwear"/>
    <n v="52"/>
    <x v="20"/>
    <s v="L"/>
    <s v="Indigo"/>
    <s v="Fall"/>
    <n v="4.8"/>
    <s v="No"/>
    <s v="No"/>
    <n v="48"/>
    <s v="Debit Card"/>
    <s v="Monthly"/>
    <m/>
  </r>
  <r>
    <n v="3586"/>
    <x v="31"/>
    <x v="1"/>
    <s v="Gloves"/>
    <s v="Accessories"/>
    <n v="41"/>
    <x v="14"/>
    <s v="XL"/>
    <s v="Gray"/>
    <s v="Winter"/>
    <n v="4.0999999999999996"/>
    <s v="No"/>
    <s v="No"/>
    <n v="4"/>
    <s v="Venmo"/>
    <s v="Bi-Weekly"/>
    <m/>
  </r>
  <r>
    <n v="3587"/>
    <x v="23"/>
    <x v="1"/>
    <s v="Hoodie"/>
    <s v="Clothing"/>
    <n v="28"/>
    <x v="37"/>
    <s v="M"/>
    <s v="Yellow"/>
    <s v="Winter"/>
    <n v="4.5999999999999996"/>
    <s v="No"/>
    <s v="No"/>
    <n v="12"/>
    <s v="PayPal"/>
    <s v="Bi-Weekly"/>
    <m/>
  </r>
  <r>
    <n v="3588"/>
    <x v="23"/>
    <x v="1"/>
    <s v="Sweater"/>
    <s v="Clothing"/>
    <n v="90"/>
    <x v="41"/>
    <s v="S"/>
    <s v="Violet"/>
    <s v="Summer"/>
    <n v="4.4000000000000004"/>
    <s v="No"/>
    <s v="No"/>
    <n v="33"/>
    <s v="Debit Card"/>
    <s v="Annually"/>
    <m/>
  </r>
  <r>
    <n v="3589"/>
    <x v="51"/>
    <x v="1"/>
    <s v="Sunglasses"/>
    <s v="Accessories"/>
    <n v="55"/>
    <x v="49"/>
    <s v="M"/>
    <s v="Magenta"/>
    <s v="Spring"/>
    <n v="3.5"/>
    <s v="No"/>
    <s v="No"/>
    <n v="40"/>
    <s v="Cash"/>
    <s v="Annually"/>
    <m/>
  </r>
  <r>
    <n v="3590"/>
    <x v="18"/>
    <x v="1"/>
    <s v="Belt"/>
    <s v="Accessories"/>
    <n v="73"/>
    <x v="13"/>
    <s v="M"/>
    <s v="Blue"/>
    <s v="Spring"/>
    <n v="4.8"/>
    <s v="No"/>
    <s v="No"/>
    <n v="38"/>
    <s v="Cash"/>
    <s v="Every 3 Months"/>
    <m/>
  </r>
  <r>
    <n v="3591"/>
    <x v="7"/>
    <x v="1"/>
    <s v="Dress"/>
    <s v="Clothing"/>
    <n v="87"/>
    <x v="45"/>
    <s v="M"/>
    <s v="Gray"/>
    <s v="Fall"/>
    <n v="2.9"/>
    <s v="No"/>
    <s v="No"/>
    <n v="19"/>
    <s v="Venmo"/>
    <s v="Every 3 Months"/>
    <m/>
  </r>
  <r>
    <n v="3592"/>
    <x v="39"/>
    <x v="1"/>
    <s v="Jacket"/>
    <s v="Outerwear"/>
    <n v="89"/>
    <x v="45"/>
    <s v="M"/>
    <s v="Gold"/>
    <s v="Winter"/>
    <n v="3.2"/>
    <s v="No"/>
    <s v="No"/>
    <n v="38"/>
    <s v="Bank Transfer"/>
    <s v="Quarterly"/>
    <m/>
  </r>
  <r>
    <n v="3593"/>
    <x v="12"/>
    <x v="1"/>
    <s v="Boots"/>
    <s v="Footwear"/>
    <n v="82"/>
    <x v="32"/>
    <s v="L"/>
    <s v="Lavender"/>
    <s v="Spring"/>
    <n v="4.4000000000000004"/>
    <s v="No"/>
    <s v="No"/>
    <n v="18"/>
    <s v="Venmo"/>
    <s v="Fortnightly"/>
    <m/>
  </r>
  <r>
    <n v="3594"/>
    <x v="6"/>
    <x v="1"/>
    <s v="Sandals"/>
    <s v="Footwear"/>
    <n v="80"/>
    <x v="5"/>
    <s v="M"/>
    <s v="Black"/>
    <s v="Spring"/>
    <n v="4.5999999999999996"/>
    <s v="No"/>
    <s v="No"/>
    <n v="24"/>
    <s v="PayPal"/>
    <s v="Monthly"/>
    <m/>
  </r>
  <r>
    <n v="3595"/>
    <x v="1"/>
    <x v="1"/>
    <s v="Scarf"/>
    <s v="Accessories"/>
    <n v="87"/>
    <x v="15"/>
    <s v="L"/>
    <s v="Charcoal"/>
    <s v="Summer"/>
    <n v="2.6"/>
    <s v="No"/>
    <s v="No"/>
    <n v="29"/>
    <s v="Venmo"/>
    <s v="Quarterly"/>
    <m/>
  </r>
  <r>
    <n v="3596"/>
    <x v="3"/>
    <x v="1"/>
    <s v="Blouse"/>
    <s v="Clothing"/>
    <n v="41"/>
    <x v="45"/>
    <s v="M"/>
    <s v="Violet"/>
    <s v="Spring"/>
    <n v="3.1"/>
    <s v="No"/>
    <s v="No"/>
    <n v="14"/>
    <s v="PayPal"/>
    <s v="Annually"/>
    <m/>
  </r>
  <r>
    <n v="3597"/>
    <x v="48"/>
    <x v="1"/>
    <s v="Hoodie"/>
    <s v="Clothing"/>
    <n v="83"/>
    <x v="36"/>
    <s v="M"/>
    <s v="Charcoal"/>
    <s v="Spring"/>
    <n v="4.3"/>
    <s v="No"/>
    <s v="No"/>
    <n v="44"/>
    <s v="Cash"/>
    <s v="Fortnightly"/>
    <m/>
  </r>
  <r>
    <n v="3598"/>
    <x v="26"/>
    <x v="1"/>
    <s v="Sunglasses"/>
    <s v="Accessories"/>
    <n v="71"/>
    <x v="35"/>
    <s v="M"/>
    <s v="Maroon"/>
    <s v="Summer"/>
    <n v="3.1"/>
    <s v="No"/>
    <s v="No"/>
    <n v="18"/>
    <s v="Bank Transfer"/>
    <s v="Quarterly"/>
    <m/>
  </r>
  <r>
    <n v="3599"/>
    <x v="51"/>
    <x v="1"/>
    <s v="Hoodie"/>
    <s v="Clothing"/>
    <n v="76"/>
    <x v="39"/>
    <s v="XL"/>
    <s v="Purple"/>
    <s v="Spring"/>
    <n v="4.5999999999999996"/>
    <s v="No"/>
    <s v="No"/>
    <n v="19"/>
    <s v="Bank Transfer"/>
    <s v="Bi-Weekly"/>
    <m/>
  </r>
  <r>
    <n v="3600"/>
    <x v="43"/>
    <x v="1"/>
    <s v="Scarf"/>
    <s v="Accessories"/>
    <n v="34"/>
    <x v="23"/>
    <s v="S"/>
    <s v="Peach"/>
    <s v="Spring"/>
    <n v="4.5999999999999996"/>
    <s v="No"/>
    <s v="No"/>
    <n v="4"/>
    <s v="Cash"/>
    <s v="Weekly"/>
    <m/>
  </r>
  <r>
    <n v="3601"/>
    <x v="29"/>
    <x v="1"/>
    <s v="Dress"/>
    <s v="Clothing"/>
    <n v="81"/>
    <x v="36"/>
    <s v="XL"/>
    <s v="Olive"/>
    <s v="Spring"/>
    <n v="2.7"/>
    <s v="No"/>
    <s v="No"/>
    <n v="25"/>
    <s v="Cash"/>
    <s v="Bi-Weekly"/>
    <m/>
  </r>
  <r>
    <n v="3602"/>
    <x v="50"/>
    <x v="1"/>
    <s v="T-shirt"/>
    <s v="Clothing"/>
    <n v="47"/>
    <x v="17"/>
    <s v="M"/>
    <s v="Indigo"/>
    <s v="Summer"/>
    <n v="3"/>
    <s v="No"/>
    <s v="No"/>
    <n v="3"/>
    <s v="PayPal"/>
    <s v="Monthly"/>
    <m/>
  </r>
  <r>
    <n v="3603"/>
    <x v="44"/>
    <x v="1"/>
    <s v="Skirt"/>
    <s v="Clothing"/>
    <n v="36"/>
    <x v="5"/>
    <s v="S"/>
    <s v="Magenta"/>
    <s v="Summer"/>
    <n v="3.3"/>
    <s v="No"/>
    <s v="No"/>
    <n v="40"/>
    <s v="Debit Card"/>
    <s v="Quarterly"/>
    <m/>
  </r>
  <r>
    <n v="3604"/>
    <x v="4"/>
    <x v="1"/>
    <s v="Jeans"/>
    <s v="Clothing"/>
    <n v="51"/>
    <x v="7"/>
    <s v="M"/>
    <s v="Gold"/>
    <s v="Spring"/>
    <n v="2.7"/>
    <s v="No"/>
    <s v="No"/>
    <n v="5"/>
    <s v="Cash"/>
    <s v="Weekly"/>
    <m/>
  </r>
  <r>
    <n v="3605"/>
    <x v="6"/>
    <x v="1"/>
    <s v="Hoodie"/>
    <s v="Clothing"/>
    <n v="86"/>
    <x v="7"/>
    <s v="M"/>
    <s v="Orange"/>
    <s v="Fall"/>
    <n v="3.3"/>
    <s v="No"/>
    <s v="No"/>
    <n v="17"/>
    <s v="Debit Card"/>
    <s v="Annually"/>
    <m/>
  </r>
  <r>
    <n v="3606"/>
    <x v="33"/>
    <x v="1"/>
    <s v="Jeans"/>
    <s v="Clothing"/>
    <n v="41"/>
    <x v="15"/>
    <s v="M"/>
    <s v="Gold"/>
    <s v="Fall"/>
    <n v="4.3"/>
    <s v="No"/>
    <s v="No"/>
    <n v="36"/>
    <s v="Bank Transfer"/>
    <s v="Every 3 Months"/>
    <m/>
  </r>
  <r>
    <n v="3607"/>
    <x v="38"/>
    <x v="1"/>
    <s v="Sandals"/>
    <s v="Footwear"/>
    <n v="90"/>
    <x v="46"/>
    <s v="XL"/>
    <s v="Purple"/>
    <s v="Fall"/>
    <n v="4.8"/>
    <s v="No"/>
    <s v="No"/>
    <n v="41"/>
    <s v="Venmo"/>
    <s v="Annually"/>
    <m/>
  </r>
  <r>
    <n v="3608"/>
    <x v="2"/>
    <x v="1"/>
    <s v="Hat"/>
    <s v="Accessories"/>
    <n v="93"/>
    <x v="35"/>
    <s v="L"/>
    <s v="Charcoal"/>
    <s v="Fall"/>
    <n v="3.3"/>
    <s v="No"/>
    <s v="No"/>
    <n v="20"/>
    <s v="Venmo"/>
    <s v="Bi-Weekly"/>
    <m/>
  </r>
  <r>
    <n v="3609"/>
    <x v="41"/>
    <x v="1"/>
    <s v="Gloves"/>
    <s v="Accessories"/>
    <n v="56"/>
    <x v="30"/>
    <s v="M"/>
    <s v="Cyan"/>
    <s v="Fall"/>
    <n v="4.3"/>
    <s v="No"/>
    <s v="No"/>
    <n v="2"/>
    <s v="Cash"/>
    <s v="Every 3 Months"/>
    <m/>
  </r>
  <r>
    <n v="3610"/>
    <x v="3"/>
    <x v="1"/>
    <s v="Socks"/>
    <s v="Clothing"/>
    <n v="39"/>
    <x v="35"/>
    <s v="M"/>
    <s v="Cyan"/>
    <s v="Summer"/>
    <n v="3"/>
    <s v="No"/>
    <s v="No"/>
    <n v="31"/>
    <s v="Debit Card"/>
    <s v="Monthly"/>
    <m/>
  </r>
  <r>
    <n v="3611"/>
    <x v="20"/>
    <x v="1"/>
    <s v="Jacket"/>
    <s v="Outerwear"/>
    <n v="86"/>
    <x v="21"/>
    <s v="XL"/>
    <s v="Green"/>
    <s v="Fall"/>
    <n v="4.8"/>
    <s v="No"/>
    <s v="No"/>
    <n v="23"/>
    <s v="Bank Transfer"/>
    <s v="Fortnightly"/>
    <m/>
  </r>
  <r>
    <n v="3612"/>
    <x v="6"/>
    <x v="1"/>
    <s v="T-shirt"/>
    <s v="Clothing"/>
    <n v="82"/>
    <x v="47"/>
    <s v="M"/>
    <s v="Silver"/>
    <s v="Spring"/>
    <n v="2.9"/>
    <s v="No"/>
    <s v="No"/>
    <n v="30"/>
    <s v="Credit Card"/>
    <s v="Annually"/>
    <m/>
  </r>
  <r>
    <n v="3613"/>
    <x v="36"/>
    <x v="1"/>
    <s v="Sandals"/>
    <s v="Footwear"/>
    <n v="29"/>
    <x v="49"/>
    <s v="M"/>
    <s v="Teal"/>
    <s v="Summer"/>
    <n v="3.6"/>
    <s v="No"/>
    <s v="No"/>
    <n v="26"/>
    <s v="Cash"/>
    <s v="Every 3 Months"/>
    <m/>
  </r>
  <r>
    <n v="3614"/>
    <x v="44"/>
    <x v="1"/>
    <s v="Hat"/>
    <s v="Accessories"/>
    <n v="27"/>
    <x v="46"/>
    <s v="M"/>
    <s v="Magenta"/>
    <s v="Fall"/>
    <n v="3.5"/>
    <s v="No"/>
    <s v="No"/>
    <n v="40"/>
    <s v="Venmo"/>
    <s v="Annually"/>
    <m/>
  </r>
  <r>
    <n v="3615"/>
    <x v="5"/>
    <x v="1"/>
    <s v="Gloves"/>
    <s v="Accessories"/>
    <n v="25"/>
    <x v="12"/>
    <s v="L"/>
    <s v="Maroon"/>
    <s v="Spring"/>
    <n v="4.7"/>
    <s v="No"/>
    <s v="No"/>
    <n v="19"/>
    <s v="Bank Transfer"/>
    <s v="Annually"/>
    <m/>
  </r>
  <r>
    <n v="3616"/>
    <x v="25"/>
    <x v="1"/>
    <s v="Dress"/>
    <s v="Clothing"/>
    <n v="31"/>
    <x v="18"/>
    <s v="M"/>
    <s v="Gold"/>
    <s v="Winter"/>
    <n v="4.4000000000000004"/>
    <s v="No"/>
    <s v="No"/>
    <n v="4"/>
    <s v="Credit Card"/>
    <s v="Monthly"/>
    <m/>
  </r>
  <r>
    <n v="3617"/>
    <x v="32"/>
    <x v="1"/>
    <s v="Hoodie"/>
    <s v="Clothing"/>
    <n v="23"/>
    <x v="48"/>
    <s v="L"/>
    <s v="Purple"/>
    <s v="Winter"/>
    <n v="3.3"/>
    <s v="No"/>
    <s v="No"/>
    <n v="33"/>
    <s v="Debit Card"/>
    <s v="Fortnightly"/>
    <m/>
  </r>
  <r>
    <n v="3618"/>
    <x v="39"/>
    <x v="1"/>
    <s v="Belt"/>
    <s v="Accessories"/>
    <n v="47"/>
    <x v="0"/>
    <s v="M"/>
    <s v="Lavender"/>
    <s v="Fall"/>
    <n v="4.3"/>
    <s v="No"/>
    <s v="No"/>
    <n v="29"/>
    <s v="Debit Card"/>
    <s v="Monthly"/>
    <m/>
  </r>
  <r>
    <n v="3619"/>
    <x v="48"/>
    <x v="1"/>
    <s v="Gloves"/>
    <s v="Accessories"/>
    <n v="67"/>
    <x v="22"/>
    <s v="M"/>
    <s v="Maroon"/>
    <s v="Fall"/>
    <n v="4"/>
    <s v="No"/>
    <s v="No"/>
    <n v="47"/>
    <s v="PayPal"/>
    <s v="Bi-Weekly"/>
    <m/>
  </r>
  <r>
    <n v="3620"/>
    <x v="42"/>
    <x v="1"/>
    <s v="Scarf"/>
    <s v="Accessories"/>
    <n v="75"/>
    <x v="17"/>
    <s v="S"/>
    <s v="Magenta"/>
    <s v="Winter"/>
    <n v="4.9000000000000004"/>
    <s v="No"/>
    <s v="No"/>
    <n v="50"/>
    <s v="Venmo"/>
    <s v="Weekly"/>
    <m/>
  </r>
  <r>
    <n v="3621"/>
    <x v="52"/>
    <x v="1"/>
    <s v="Sandals"/>
    <s v="Footwear"/>
    <n v="82"/>
    <x v="7"/>
    <s v="M"/>
    <s v="Turquoise"/>
    <s v="Summer"/>
    <n v="2.9"/>
    <s v="No"/>
    <s v="No"/>
    <n v="28"/>
    <s v="Credit Card"/>
    <s v="Fortnightly"/>
    <m/>
  </r>
  <r>
    <n v="3622"/>
    <x v="21"/>
    <x v="1"/>
    <s v="Sneakers"/>
    <s v="Footwear"/>
    <n v="32"/>
    <x v="32"/>
    <s v="XL"/>
    <s v="Silver"/>
    <s v="Summer"/>
    <n v="4"/>
    <s v="No"/>
    <s v="No"/>
    <n v="5"/>
    <s v="Cash"/>
    <s v="Fortnightly"/>
    <m/>
  </r>
  <r>
    <n v="3623"/>
    <x v="5"/>
    <x v="1"/>
    <s v="Dress"/>
    <s v="Clothing"/>
    <n v="41"/>
    <x v="48"/>
    <s v="M"/>
    <s v="Purple"/>
    <s v="Fall"/>
    <n v="4.3"/>
    <s v="No"/>
    <s v="No"/>
    <n v="12"/>
    <s v="Credit Card"/>
    <s v="Annually"/>
    <m/>
  </r>
  <r>
    <n v="3624"/>
    <x v="31"/>
    <x v="1"/>
    <s v="Jewelry"/>
    <s v="Accessories"/>
    <n v="89"/>
    <x v="10"/>
    <s v="M"/>
    <s v="Violet"/>
    <s v="Winter"/>
    <n v="2.7"/>
    <s v="No"/>
    <s v="No"/>
    <n v="4"/>
    <s v="PayPal"/>
    <s v="Weekly"/>
    <m/>
  </r>
  <r>
    <n v="3625"/>
    <x v="40"/>
    <x v="1"/>
    <s v="Hat"/>
    <s v="Accessories"/>
    <n v="82"/>
    <x v="21"/>
    <s v="XL"/>
    <s v="Peach"/>
    <s v="Fall"/>
    <n v="5"/>
    <s v="No"/>
    <s v="No"/>
    <n v="22"/>
    <s v="Bank Transfer"/>
    <s v="Bi-Weekly"/>
    <m/>
  </r>
  <r>
    <n v="3626"/>
    <x v="42"/>
    <x v="1"/>
    <s v="Scarf"/>
    <s v="Accessories"/>
    <n v="99"/>
    <x v="26"/>
    <s v="L"/>
    <s v="Green"/>
    <s v="Winter"/>
    <n v="4.4000000000000004"/>
    <s v="No"/>
    <s v="No"/>
    <n v="32"/>
    <s v="PayPal"/>
    <s v="Weekly"/>
    <m/>
  </r>
  <r>
    <n v="3627"/>
    <x v="28"/>
    <x v="1"/>
    <s v="Blouse"/>
    <s v="Clothing"/>
    <n v="98"/>
    <x v="16"/>
    <s v="L"/>
    <s v="Teal"/>
    <s v="Fall"/>
    <n v="3.5"/>
    <s v="No"/>
    <s v="No"/>
    <n v="32"/>
    <s v="Venmo"/>
    <s v="Quarterly"/>
    <m/>
  </r>
  <r>
    <n v="3628"/>
    <x v="31"/>
    <x v="1"/>
    <s v="Belt"/>
    <s v="Accessories"/>
    <n v="54"/>
    <x v="12"/>
    <s v="M"/>
    <s v="Silver"/>
    <s v="Winter"/>
    <n v="3.3"/>
    <s v="No"/>
    <s v="No"/>
    <n v="48"/>
    <s v="Cash"/>
    <s v="Every 3 Months"/>
    <m/>
  </r>
  <r>
    <n v="3629"/>
    <x v="10"/>
    <x v="1"/>
    <s v="Blouse"/>
    <s v="Clothing"/>
    <n v="88"/>
    <x v="42"/>
    <s v="L"/>
    <s v="Purple"/>
    <s v="Summer"/>
    <n v="3.8"/>
    <s v="No"/>
    <s v="No"/>
    <n v="35"/>
    <s v="Credit Card"/>
    <s v="Monthly"/>
    <m/>
  </r>
  <r>
    <n v="3630"/>
    <x v="16"/>
    <x v="1"/>
    <s v="T-shirt"/>
    <s v="Clothing"/>
    <n v="43"/>
    <x v="23"/>
    <s v="L"/>
    <s v="Lavender"/>
    <s v="Summer"/>
    <n v="4.5"/>
    <s v="No"/>
    <s v="No"/>
    <n v="44"/>
    <s v="Debit Card"/>
    <s v="Fortnightly"/>
    <m/>
  </r>
  <r>
    <n v="3631"/>
    <x v="13"/>
    <x v="1"/>
    <s v="Hat"/>
    <s v="Accessories"/>
    <n v="73"/>
    <x v="19"/>
    <s v="M"/>
    <s v="Lavender"/>
    <s v="Winter"/>
    <n v="4.8"/>
    <s v="No"/>
    <s v="No"/>
    <n v="29"/>
    <s v="Cash"/>
    <s v="Weekly"/>
    <m/>
  </r>
  <r>
    <n v="3632"/>
    <x v="39"/>
    <x v="1"/>
    <s v="Hat"/>
    <s v="Accessories"/>
    <n v="50"/>
    <x v="32"/>
    <s v="M"/>
    <s v="Peach"/>
    <s v="Fall"/>
    <n v="2.9"/>
    <s v="No"/>
    <s v="No"/>
    <n v="26"/>
    <s v="Credit Card"/>
    <s v="Monthly"/>
    <m/>
  </r>
  <r>
    <n v="3633"/>
    <x v="7"/>
    <x v="1"/>
    <s v="Sneakers"/>
    <s v="Footwear"/>
    <n v="73"/>
    <x v="40"/>
    <s v="L"/>
    <s v="Green"/>
    <s v="Spring"/>
    <n v="3.2"/>
    <s v="No"/>
    <s v="No"/>
    <n v="3"/>
    <s v="Debit Card"/>
    <s v="Quarterly"/>
    <m/>
  </r>
  <r>
    <n v="3634"/>
    <x v="31"/>
    <x v="1"/>
    <s v="Gloves"/>
    <s v="Accessories"/>
    <n v="51"/>
    <x v="6"/>
    <s v="M"/>
    <s v="Orange"/>
    <s v="Spring"/>
    <n v="2.8"/>
    <s v="No"/>
    <s v="No"/>
    <n v="1"/>
    <s v="Bank Transfer"/>
    <s v="Bi-Weekly"/>
    <m/>
  </r>
  <r>
    <n v="3635"/>
    <x v="35"/>
    <x v="1"/>
    <s v="Socks"/>
    <s v="Clothing"/>
    <n v="22"/>
    <x v="31"/>
    <s v="M"/>
    <s v="Pink"/>
    <s v="Winter"/>
    <n v="3.3"/>
    <s v="No"/>
    <s v="No"/>
    <n v="17"/>
    <s v="PayPal"/>
    <s v="Annually"/>
    <m/>
  </r>
  <r>
    <n v="3636"/>
    <x v="16"/>
    <x v="1"/>
    <s v="Sandals"/>
    <s v="Footwear"/>
    <n v="32"/>
    <x v="24"/>
    <s v="L"/>
    <s v="Cyan"/>
    <s v="Fall"/>
    <n v="3.3"/>
    <s v="No"/>
    <s v="No"/>
    <n v="17"/>
    <s v="Credit Card"/>
    <s v="Fortnightly"/>
    <m/>
  </r>
  <r>
    <n v="3637"/>
    <x v="2"/>
    <x v="1"/>
    <s v="Sandals"/>
    <s v="Footwear"/>
    <n v="38"/>
    <x v="18"/>
    <s v="L"/>
    <s v="Lavender"/>
    <s v="Summer"/>
    <n v="4.2"/>
    <s v="No"/>
    <s v="No"/>
    <n v="36"/>
    <s v="Cash"/>
    <s v="Weekly"/>
    <m/>
  </r>
  <r>
    <n v="3638"/>
    <x v="45"/>
    <x v="1"/>
    <s v="Boots"/>
    <s v="Footwear"/>
    <n v="66"/>
    <x v="40"/>
    <s v="L"/>
    <s v="Yellow"/>
    <s v="Winter"/>
    <n v="3.6"/>
    <s v="No"/>
    <s v="No"/>
    <n v="32"/>
    <s v="Credit Card"/>
    <s v="Fortnightly"/>
    <m/>
  </r>
  <r>
    <n v="3639"/>
    <x v="37"/>
    <x v="1"/>
    <s v="Backpack"/>
    <s v="Accessories"/>
    <n v="20"/>
    <x v="23"/>
    <s v="M"/>
    <s v="Olive"/>
    <s v="Spring"/>
    <n v="4.5999999999999996"/>
    <s v="No"/>
    <s v="No"/>
    <n v="50"/>
    <s v="PayPal"/>
    <s v="Bi-Weekly"/>
    <m/>
  </r>
  <r>
    <n v="3640"/>
    <x v="8"/>
    <x v="1"/>
    <s v="Coat"/>
    <s v="Outerwear"/>
    <n v="44"/>
    <x v="26"/>
    <s v="M"/>
    <s v="Brown"/>
    <s v="Summer"/>
    <n v="3.6"/>
    <s v="No"/>
    <s v="No"/>
    <n v="39"/>
    <s v="Venmo"/>
    <s v="Annually"/>
    <m/>
  </r>
  <r>
    <n v="3641"/>
    <x v="36"/>
    <x v="1"/>
    <s v="Sunglasses"/>
    <s v="Accessories"/>
    <n v="31"/>
    <x v="46"/>
    <s v="L"/>
    <s v="Pink"/>
    <s v="Spring"/>
    <n v="4"/>
    <s v="No"/>
    <s v="No"/>
    <n v="17"/>
    <s v="PayPal"/>
    <s v="Monthly"/>
    <m/>
  </r>
  <r>
    <n v="3642"/>
    <x v="47"/>
    <x v="1"/>
    <s v="Jacket"/>
    <s v="Outerwear"/>
    <n v="45"/>
    <x v="14"/>
    <s v="M"/>
    <s v="Cyan"/>
    <s v="Fall"/>
    <n v="2.7"/>
    <s v="No"/>
    <s v="No"/>
    <n v="39"/>
    <s v="Bank Transfer"/>
    <s v="Every 3 Months"/>
    <m/>
  </r>
  <r>
    <n v="3643"/>
    <x v="36"/>
    <x v="1"/>
    <s v="Dress"/>
    <s v="Clothing"/>
    <n v="71"/>
    <x v="28"/>
    <s v="L"/>
    <s v="Maroon"/>
    <s v="Summer"/>
    <n v="4.4000000000000004"/>
    <s v="No"/>
    <s v="No"/>
    <n v="5"/>
    <s v="PayPal"/>
    <s v="Annually"/>
    <m/>
  </r>
  <r>
    <n v="3644"/>
    <x v="10"/>
    <x v="1"/>
    <s v="Scarf"/>
    <s v="Accessories"/>
    <n v="96"/>
    <x v="30"/>
    <s v="XL"/>
    <s v="Magenta"/>
    <s v="Fall"/>
    <n v="3.2"/>
    <s v="No"/>
    <s v="No"/>
    <n v="47"/>
    <s v="Debit Card"/>
    <s v="Annually"/>
    <m/>
  </r>
  <r>
    <n v="3645"/>
    <x v="25"/>
    <x v="1"/>
    <s v="Blouse"/>
    <s v="Clothing"/>
    <n v="32"/>
    <x v="10"/>
    <s v="M"/>
    <s v="Violet"/>
    <s v="Winter"/>
    <n v="2.6"/>
    <s v="No"/>
    <s v="No"/>
    <n v="18"/>
    <s v="Venmo"/>
    <s v="Weekly"/>
    <m/>
  </r>
  <r>
    <n v="3646"/>
    <x v="21"/>
    <x v="1"/>
    <s v="Backpack"/>
    <s v="Accessories"/>
    <n v="90"/>
    <x v="24"/>
    <s v="L"/>
    <s v="Silver"/>
    <s v="Summer"/>
    <n v="3.4"/>
    <s v="No"/>
    <s v="No"/>
    <n v="31"/>
    <s v="Credit Card"/>
    <s v="Every 3 Months"/>
    <m/>
  </r>
  <r>
    <n v="3647"/>
    <x v="28"/>
    <x v="1"/>
    <s v="Jewelry"/>
    <s v="Accessories"/>
    <n v="68"/>
    <x v="22"/>
    <s v="M"/>
    <s v="Maroon"/>
    <s v="Spring"/>
    <n v="5"/>
    <s v="No"/>
    <s v="No"/>
    <n v="39"/>
    <s v="Debit Card"/>
    <s v="Fortnightly"/>
    <m/>
  </r>
  <r>
    <n v="3648"/>
    <x v="36"/>
    <x v="1"/>
    <s v="Shorts"/>
    <s v="Clothing"/>
    <n v="45"/>
    <x v="23"/>
    <s v="M"/>
    <s v="Gray"/>
    <s v="Winter"/>
    <n v="2.9"/>
    <s v="No"/>
    <s v="No"/>
    <n v="12"/>
    <s v="Bank Transfer"/>
    <s v="Weekly"/>
    <m/>
  </r>
  <r>
    <n v="3649"/>
    <x v="18"/>
    <x v="1"/>
    <s v="Skirt"/>
    <s v="Clothing"/>
    <n v="67"/>
    <x v="14"/>
    <s v="M"/>
    <s v="White"/>
    <s v="Winter"/>
    <n v="5"/>
    <s v="No"/>
    <s v="No"/>
    <n v="45"/>
    <s v="Cash"/>
    <s v="Bi-Weekly"/>
    <m/>
  </r>
  <r>
    <n v="3650"/>
    <x v="33"/>
    <x v="1"/>
    <s v="Skirt"/>
    <s v="Clothing"/>
    <n v="57"/>
    <x v="46"/>
    <s v="M"/>
    <s v="Brown"/>
    <s v="Fall"/>
    <n v="4.4000000000000004"/>
    <s v="No"/>
    <s v="No"/>
    <n v="33"/>
    <s v="Credit Card"/>
    <s v="Fortnightly"/>
    <m/>
  </r>
  <r>
    <n v="3651"/>
    <x v="47"/>
    <x v="1"/>
    <s v="Jeans"/>
    <s v="Clothing"/>
    <n v="60"/>
    <x v="31"/>
    <s v="M"/>
    <s v="Silver"/>
    <s v="Summer"/>
    <n v="3.5"/>
    <s v="No"/>
    <s v="No"/>
    <n v="3"/>
    <s v="PayPal"/>
    <s v="Annually"/>
    <m/>
  </r>
  <r>
    <n v="3652"/>
    <x v="30"/>
    <x v="1"/>
    <s v="Handbag"/>
    <s v="Accessories"/>
    <n v="32"/>
    <x v="28"/>
    <s v="M"/>
    <s v="Yellow"/>
    <s v="Spring"/>
    <n v="3.8"/>
    <s v="No"/>
    <s v="No"/>
    <n v="5"/>
    <s v="Venmo"/>
    <s v="Every 3 Months"/>
    <m/>
  </r>
  <r>
    <n v="3653"/>
    <x v="7"/>
    <x v="1"/>
    <s v="Handbag"/>
    <s v="Accessories"/>
    <n v="29"/>
    <x v="0"/>
    <s v="S"/>
    <s v="Magenta"/>
    <s v="Fall"/>
    <n v="3.8"/>
    <s v="No"/>
    <s v="No"/>
    <n v="23"/>
    <s v="Debit Card"/>
    <s v="Monthly"/>
    <m/>
  </r>
  <r>
    <n v="3654"/>
    <x v="29"/>
    <x v="1"/>
    <s v="Coat"/>
    <s v="Outerwear"/>
    <n v="20"/>
    <x v="46"/>
    <s v="M"/>
    <s v="Blue"/>
    <s v="Spring"/>
    <n v="3.9"/>
    <s v="No"/>
    <s v="No"/>
    <n v="39"/>
    <s v="Credit Card"/>
    <s v="Fortnightly"/>
    <m/>
  </r>
  <r>
    <n v="3655"/>
    <x v="3"/>
    <x v="1"/>
    <s v="Jewelry"/>
    <s v="Accessories"/>
    <n v="98"/>
    <x v="10"/>
    <s v="M"/>
    <s v="Green"/>
    <s v="Winter"/>
    <n v="3.3"/>
    <s v="No"/>
    <s v="No"/>
    <n v="10"/>
    <s v="Credit Card"/>
    <s v="Annually"/>
    <m/>
  </r>
  <r>
    <n v="3656"/>
    <x v="30"/>
    <x v="1"/>
    <s v="Sweater"/>
    <s v="Clothing"/>
    <n v="27"/>
    <x v="5"/>
    <s v="M"/>
    <s v="Yellow"/>
    <s v="Fall"/>
    <n v="2.9"/>
    <s v="No"/>
    <s v="No"/>
    <n v="4"/>
    <s v="Credit Card"/>
    <s v="Bi-Weekly"/>
    <m/>
  </r>
  <r>
    <n v="3657"/>
    <x v="25"/>
    <x v="1"/>
    <s v="Jacket"/>
    <s v="Outerwear"/>
    <n v="67"/>
    <x v="25"/>
    <s v="XL"/>
    <s v="Cyan"/>
    <s v="Spring"/>
    <n v="3.7"/>
    <s v="No"/>
    <s v="No"/>
    <n v="18"/>
    <s v="Credit Card"/>
    <s v="Monthly"/>
    <m/>
  </r>
  <r>
    <n v="3658"/>
    <x v="44"/>
    <x v="1"/>
    <s v="Shoes"/>
    <s v="Footwear"/>
    <n v="82"/>
    <x v="15"/>
    <s v="L"/>
    <s v="Gold"/>
    <s v="Winter"/>
    <n v="3.7"/>
    <s v="No"/>
    <s v="No"/>
    <n v="1"/>
    <s v="Debit Card"/>
    <s v="Every 3 Months"/>
    <m/>
  </r>
  <r>
    <n v="3659"/>
    <x v="48"/>
    <x v="1"/>
    <s v="T-shirt"/>
    <s v="Clothing"/>
    <n v="72"/>
    <x v="16"/>
    <s v="M"/>
    <s v="Magenta"/>
    <s v="Fall"/>
    <n v="4.5999999999999996"/>
    <s v="No"/>
    <s v="No"/>
    <n v="18"/>
    <s v="PayPal"/>
    <s v="Fortnightly"/>
    <m/>
  </r>
  <r>
    <n v="3660"/>
    <x v="7"/>
    <x v="1"/>
    <s v="Sandals"/>
    <s v="Footwear"/>
    <n v="77"/>
    <x v="26"/>
    <s v="S"/>
    <s v="Gray"/>
    <s v="Fall"/>
    <n v="4.9000000000000004"/>
    <s v="No"/>
    <s v="No"/>
    <n v="46"/>
    <s v="Bank Transfer"/>
    <s v="Annually"/>
    <m/>
  </r>
  <r>
    <n v="3661"/>
    <x v="1"/>
    <x v="1"/>
    <s v="Shoes"/>
    <s v="Footwear"/>
    <n v="74"/>
    <x v="10"/>
    <s v="L"/>
    <s v="Indigo"/>
    <s v="Winter"/>
    <n v="3.1"/>
    <s v="No"/>
    <s v="No"/>
    <n v="13"/>
    <s v="Bank Transfer"/>
    <s v="Fortnightly"/>
    <m/>
  </r>
  <r>
    <n v="3662"/>
    <x v="6"/>
    <x v="1"/>
    <s v="Sandals"/>
    <s v="Footwear"/>
    <n v="39"/>
    <x v="23"/>
    <s v="S"/>
    <s v="White"/>
    <s v="Winter"/>
    <n v="3.5"/>
    <s v="No"/>
    <s v="No"/>
    <n v="5"/>
    <s v="Credit Card"/>
    <s v="Fortnightly"/>
    <m/>
  </r>
  <r>
    <n v="3663"/>
    <x v="28"/>
    <x v="1"/>
    <s v="Shorts"/>
    <s v="Clothing"/>
    <n v="80"/>
    <x v="3"/>
    <s v="M"/>
    <s v="Indigo"/>
    <s v="Spring"/>
    <n v="4.9000000000000004"/>
    <s v="No"/>
    <s v="No"/>
    <n v="11"/>
    <s v="Debit Card"/>
    <s v="Weekly"/>
    <m/>
  </r>
  <r>
    <n v="3664"/>
    <x v="13"/>
    <x v="1"/>
    <s v="Backpack"/>
    <s v="Accessories"/>
    <n v="59"/>
    <x v="20"/>
    <s v="M"/>
    <s v="Green"/>
    <s v="Summer"/>
    <n v="4.4000000000000004"/>
    <s v="No"/>
    <s v="No"/>
    <n v="49"/>
    <s v="Credit Card"/>
    <s v="Weekly"/>
    <m/>
  </r>
  <r>
    <n v="3665"/>
    <x v="6"/>
    <x v="1"/>
    <s v="Jacket"/>
    <s v="Outerwear"/>
    <n v="68"/>
    <x v="9"/>
    <s v="M"/>
    <s v="Turquoise"/>
    <s v="Fall"/>
    <n v="4.4000000000000004"/>
    <s v="No"/>
    <s v="No"/>
    <n v="1"/>
    <s v="Debit Card"/>
    <s v="Fortnightly"/>
    <m/>
  </r>
  <r>
    <n v="3666"/>
    <x v="48"/>
    <x v="1"/>
    <s v="Socks"/>
    <s v="Clothing"/>
    <n v="77"/>
    <x v="17"/>
    <s v="M"/>
    <s v="Peach"/>
    <s v="Fall"/>
    <n v="3.4"/>
    <s v="No"/>
    <s v="No"/>
    <n v="11"/>
    <s v="Credit Card"/>
    <s v="Quarterly"/>
    <m/>
  </r>
  <r>
    <n v="3667"/>
    <x v="29"/>
    <x v="1"/>
    <s v="Jewelry"/>
    <s v="Accessories"/>
    <n v="50"/>
    <x v="15"/>
    <s v="M"/>
    <s v="Olive"/>
    <s v="Winter"/>
    <n v="3"/>
    <s v="No"/>
    <s v="No"/>
    <n v="47"/>
    <s v="Cash"/>
    <s v="Every 3 Months"/>
    <m/>
  </r>
  <r>
    <n v="3668"/>
    <x v="47"/>
    <x v="1"/>
    <s v="Pants"/>
    <s v="Clothing"/>
    <n v="45"/>
    <x v="47"/>
    <s v="L"/>
    <s v="Cyan"/>
    <s v="Fall"/>
    <n v="2.6"/>
    <s v="No"/>
    <s v="No"/>
    <n v="20"/>
    <s v="Venmo"/>
    <s v="Monthly"/>
    <m/>
  </r>
  <r>
    <n v="3669"/>
    <x v="35"/>
    <x v="1"/>
    <s v="Blouse"/>
    <s v="Clothing"/>
    <n v="71"/>
    <x v="49"/>
    <s v="XL"/>
    <s v="Magenta"/>
    <s v="Summer"/>
    <n v="3.2"/>
    <s v="No"/>
    <s v="No"/>
    <n v="18"/>
    <s v="Venmo"/>
    <s v="Annually"/>
    <m/>
  </r>
  <r>
    <n v="3670"/>
    <x v="15"/>
    <x v="1"/>
    <s v="Socks"/>
    <s v="Clothing"/>
    <n v="52"/>
    <x v="47"/>
    <s v="S"/>
    <s v="Silver"/>
    <s v="Fall"/>
    <n v="4.5999999999999996"/>
    <s v="No"/>
    <s v="No"/>
    <n v="43"/>
    <s v="PayPal"/>
    <s v="Quarterly"/>
    <m/>
  </r>
  <r>
    <n v="3671"/>
    <x v="18"/>
    <x v="1"/>
    <s v="Shoes"/>
    <s v="Footwear"/>
    <n v="50"/>
    <x v="34"/>
    <s v="S"/>
    <s v="White"/>
    <s v="Winter"/>
    <n v="3.8"/>
    <s v="No"/>
    <s v="No"/>
    <n v="4"/>
    <s v="PayPal"/>
    <s v="Every 3 Months"/>
    <m/>
  </r>
  <r>
    <n v="3672"/>
    <x v="46"/>
    <x v="1"/>
    <s v="Handbag"/>
    <s v="Accessories"/>
    <n v="66"/>
    <x v="26"/>
    <s v="L"/>
    <s v="Pink"/>
    <s v="Summer"/>
    <n v="4.8"/>
    <s v="No"/>
    <s v="No"/>
    <n v="20"/>
    <s v="Venmo"/>
    <s v="Quarterly"/>
    <m/>
  </r>
  <r>
    <n v="3673"/>
    <x v="47"/>
    <x v="1"/>
    <s v="Sandals"/>
    <s v="Footwear"/>
    <n v="81"/>
    <x v="14"/>
    <s v="S"/>
    <s v="Pink"/>
    <s v="Fall"/>
    <n v="4.5"/>
    <s v="No"/>
    <s v="No"/>
    <n v="7"/>
    <s v="PayPal"/>
    <s v="Monthly"/>
    <m/>
  </r>
  <r>
    <n v="3674"/>
    <x v="45"/>
    <x v="1"/>
    <s v="Socks"/>
    <s v="Clothing"/>
    <n v="28"/>
    <x v="3"/>
    <s v="M"/>
    <s v="Pink"/>
    <s v="Summer"/>
    <n v="4.2"/>
    <s v="No"/>
    <s v="No"/>
    <n v="31"/>
    <s v="Bank Transfer"/>
    <s v="Fortnightly"/>
    <m/>
  </r>
  <r>
    <n v="3675"/>
    <x v="25"/>
    <x v="1"/>
    <s v="Handbag"/>
    <s v="Accessories"/>
    <n v="65"/>
    <x v="47"/>
    <s v="M"/>
    <s v="Blue"/>
    <s v="Winter"/>
    <n v="2.7"/>
    <s v="No"/>
    <s v="No"/>
    <n v="41"/>
    <s v="Venmo"/>
    <s v="Fortnightly"/>
    <m/>
  </r>
  <r>
    <n v="3676"/>
    <x v="27"/>
    <x v="1"/>
    <s v="Hat"/>
    <s v="Accessories"/>
    <n v="80"/>
    <x v="41"/>
    <s v="M"/>
    <s v="White"/>
    <s v="Winter"/>
    <n v="4.5"/>
    <s v="No"/>
    <s v="No"/>
    <n v="3"/>
    <s v="Bank Transfer"/>
    <s v="Monthly"/>
    <m/>
  </r>
  <r>
    <n v="3677"/>
    <x v="1"/>
    <x v="1"/>
    <s v="Jewelry"/>
    <s v="Accessories"/>
    <n v="94"/>
    <x v="48"/>
    <s v="S"/>
    <s v="Teal"/>
    <s v="Spring"/>
    <n v="4.9000000000000004"/>
    <s v="No"/>
    <s v="No"/>
    <n v="16"/>
    <s v="PayPal"/>
    <s v="Monthly"/>
    <m/>
  </r>
  <r>
    <n v="3678"/>
    <x v="45"/>
    <x v="1"/>
    <s v="Backpack"/>
    <s v="Accessories"/>
    <n v="30"/>
    <x v="49"/>
    <s v="M"/>
    <s v="Gray"/>
    <s v="Fall"/>
    <n v="2.8"/>
    <s v="No"/>
    <s v="No"/>
    <n v="43"/>
    <s v="Cash"/>
    <s v="Annually"/>
    <m/>
  </r>
  <r>
    <n v="3679"/>
    <x v="19"/>
    <x v="1"/>
    <s v="Shirt"/>
    <s v="Clothing"/>
    <n v="45"/>
    <x v="21"/>
    <s v="S"/>
    <s v="Beige"/>
    <s v="Fall"/>
    <n v="3.5"/>
    <s v="No"/>
    <s v="No"/>
    <n v="29"/>
    <s v="Bank Transfer"/>
    <s v="Fortnightly"/>
    <m/>
  </r>
  <r>
    <n v="3680"/>
    <x v="10"/>
    <x v="1"/>
    <s v="Coat"/>
    <s v="Outerwear"/>
    <n v="91"/>
    <x v="37"/>
    <s v="M"/>
    <s v="Violet"/>
    <s v="Summer"/>
    <n v="2.5"/>
    <s v="No"/>
    <s v="No"/>
    <n v="5"/>
    <s v="Cash"/>
    <s v="Bi-Weekly"/>
    <m/>
  </r>
  <r>
    <n v="3681"/>
    <x v="40"/>
    <x v="1"/>
    <s v="Sunglasses"/>
    <s v="Accessories"/>
    <n v="36"/>
    <x v="44"/>
    <s v="S"/>
    <s v="Blue"/>
    <s v="Winter"/>
    <n v="2.9"/>
    <s v="No"/>
    <s v="No"/>
    <n v="30"/>
    <s v="Debit Card"/>
    <s v="Quarterly"/>
    <m/>
  </r>
  <r>
    <n v="3682"/>
    <x v="8"/>
    <x v="1"/>
    <s v="Gloves"/>
    <s v="Accessories"/>
    <n v="73"/>
    <x v="39"/>
    <s v="XL"/>
    <s v="Magenta"/>
    <s v="Fall"/>
    <n v="4.2"/>
    <s v="No"/>
    <s v="No"/>
    <n v="33"/>
    <s v="Debit Card"/>
    <s v="Monthly"/>
    <m/>
  </r>
  <r>
    <n v="3683"/>
    <x v="32"/>
    <x v="1"/>
    <s v="Shirt"/>
    <s v="Clothing"/>
    <n v="60"/>
    <x v="5"/>
    <s v="M"/>
    <s v="Maroon"/>
    <s v="Fall"/>
    <n v="4.5999999999999996"/>
    <s v="No"/>
    <s v="No"/>
    <n v="46"/>
    <s v="Venmo"/>
    <s v="Bi-Weekly"/>
    <m/>
  </r>
  <r>
    <n v="3684"/>
    <x v="11"/>
    <x v="1"/>
    <s v="Socks"/>
    <s v="Clothing"/>
    <n v="77"/>
    <x v="16"/>
    <s v="M"/>
    <s v="Purple"/>
    <s v="Winter"/>
    <n v="3"/>
    <s v="No"/>
    <s v="No"/>
    <n v="17"/>
    <s v="Venmo"/>
    <s v="Fortnightly"/>
    <m/>
  </r>
  <r>
    <n v="3685"/>
    <x v="26"/>
    <x v="1"/>
    <s v="Skirt"/>
    <s v="Clothing"/>
    <n v="86"/>
    <x v="38"/>
    <s v="L"/>
    <s v="Charcoal"/>
    <s v="Spring"/>
    <n v="4.4000000000000004"/>
    <s v="No"/>
    <s v="No"/>
    <n v="47"/>
    <s v="Credit Card"/>
    <s v="Bi-Weekly"/>
    <m/>
  </r>
  <r>
    <n v="3686"/>
    <x v="36"/>
    <x v="1"/>
    <s v="Shorts"/>
    <s v="Clothing"/>
    <n v="42"/>
    <x v="30"/>
    <s v="L"/>
    <s v="Red"/>
    <s v="Summer"/>
    <n v="2.6"/>
    <s v="No"/>
    <s v="No"/>
    <n v="17"/>
    <s v="Cash"/>
    <s v="Bi-Weekly"/>
    <m/>
  </r>
  <r>
    <n v="3687"/>
    <x v="35"/>
    <x v="1"/>
    <s v="Sandals"/>
    <s v="Footwear"/>
    <n v="70"/>
    <x v="7"/>
    <s v="M"/>
    <s v="Charcoal"/>
    <s v="Spring"/>
    <n v="4.8"/>
    <s v="No"/>
    <s v="No"/>
    <n v="17"/>
    <s v="Cash"/>
    <s v="Bi-Weekly"/>
    <m/>
  </r>
  <r>
    <n v="3688"/>
    <x v="50"/>
    <x v="1"/>
    <s v="Shirt"/>
    <s v="Clothing"/>
    <n v="44"/>
    <x v="10"/>
    <s v="L"/>
    <s v="Lavender"/>
    <s v="Summer"/>
    <n v="2.9"/>
    <s v="No"/>
    <s v="No"/>
    <n v="28"/>
    <s v="Bank Transfer"/>
    <s v="Every 3 Months"/>
    <m/>
  </r>
  <r>
    <n v="3689"/>
    <x v="16"/>
    <x v="1"/>
    <s v="Sunglasses"/>
    <s v="Accessories"/>
    <n v="91"/>
    <x v="8"/>
    <s v="L"/>
    <s v="White"/>
    <s v="Spring"/>
    <n v="3"/>
    <s v="No"/>
    <s v="No"/>
    <n v="8"/>
    <s v="Cash"/>
    <s v="Monthly"/>
    <m/>
  </r>
  <r>
    <n v="3690"/>
    <x v="36"/>
    <x v="1"/>
    <s v="Jewelry"/>
    <s v="Accessories"/>
    <n v="30"/>
    <x v="36"/>
    <s v="L"/>
    <s v="Red"/>
    <s v="Fall"/>
    <n v="4.5"/>
    <s v="No"/>
    <s v="No"/>
    <n v="8"/>
    <s v="Bank Transfer"/>
    <s v="Quarterly"/>
    <m/>
  </r>
  <r>
    <n v="3691"/>
    <x v="41"/>
    <x v="1"/>
    <s v="Blouse"/>
    <s v="Clothing"/>
    <n v="23"/>
    <x v="23"/>
    <s v="S"/>
    <s v="Violet"/>
    <s v="Fall"/>
    <n v="3.7"/>
    <s v="No"/>
    <s v="No"/>
    <n v="4"/>
    <s v="Bank Transfer"/>
    <s v="Bi-Weekly"/>
    <m/>
  </r>
  <r>
    <n v="3692"/>
    <x v="6"/>
    <x v="1"/>
    <s v="Sandals"/>
    <s v="Footwear"/>
    <n v="21"/>
    <x v="49"/>
    <s v="XL"/>
    <s v="Orange"/>
    <s v="Summer"/>
    <n v="4.8"/>
    <s v="No"/>
    <s v="No"/>
    <n v="24"/>
    <s v="PayPal"/>
    <s v="Weekly"/>
    <m/>
  </r>
  <r>
    <n v="3693"/>
    <x v="35"/>
    <x v="1"/>
    <s v="Coat"/>
    <s v="Outerwear"/>
    <n v="34"/>
    <x v="15"/>
    <s v="L"/>
    <s v="Turquoise"/>
    <s v="Spring"/>
    <n v="4.8"/>
    <s v="No"/>
    <s v="No"/>
    <n v="29"/>
    <s v="Cash"/>
    <s v="Fortnightly"/>
    <m/>
  </r>
  <r>
    <n v="3694"/>
    <x v="17"/>
    <x v="1"/>
    <s v="Blouse"/>
    <s v="Clothing"/>
    <n v="46"/>
    <x v="45"/>
    <s v="M"/>
    <s v="Violet"/>
    <s v="Summer"/>
    <n v="4.7"/>
    <s v="No"/>
    <s v="No"/>
    <n v="10"/>
    <s v="Venmo"/>
    <s v="Weekly"/>
    <m/>
  </r>
  <r>
    <n v="3695"/>
    <x v="4"/>
    <x v="1"/>
    <s v="Sweater"/>
    <s v="Clothing"/>
    <n v="41"/>
    <x v="3"/>
    <s v="M"/>
    <s v="Blue"/>
    <s v="Winter"/>
    <n v="2.6"/>
    <s v="No"/>
    <s v="No"/>
    <n v="11"/>
    <s v="PayPal"/>
    <s v="Bi-Weekly"/>
    <m/>
  </r>
  <r>
    <n v="3696"/>
    <x v="21"/>
    <x v="1"/>
    <s v="Skirt"/>
    <s v="Clothing"/>
    <n v="33"/>
    <x v="20"/>
    <s v="M"/>
    <s v="White"/>
    <s v="Fall"/>
    <n v="4.5999999999999996"/>
    <s v="No"/>
    <s v="No"/>
    <n v="18"/>
    <s v="Bank Transfer"/>
    <s v="Fortnightly"/>
    <m/>
  </r>
  <r>
    <n v="3697"/>
    <x v="6"/>
    <x v="1"/>
    <s v="Blouse"/>
    <s v="Clothing"/>
    <n v="48"/>
    <x v="39"/>
    <s v="L"/>
    <s v="Turquoise"/>
    <s v="Fall"/>
    <n v="3.4"/>
    <s v="No"/>
    <s v="No"/>
    <n v="26"/>
    <s v="Bank Transfer"/>
    <s v="Annually"/>
    <m/>
  </r>
  <r>
    <n v="3698"/>
    <x v="0"/>
    <x v="1"/>
    <s v="Hoodie"/>
    <s v="Clothing"/>
    <n v="66"/>
    <x v="38"/>
    <s v="L"/>
    <s v="Pink"/>
    <s v="Winter"/>
    <n v="3"/>
    <s v="No"/>
    <s v="No"/>
    <n v="39"/>
    <s v="Cash"/>
    <s v="Weekly"/>
    <m/>
  </r>
  <r>
    <n v="3699"/>
    <x v="15"/>
    <x v="1"/>
    <s v="Skirt"/>
    <s v="Clothing"/>
    <n v="54"/>
    <x v="18"/>
    <s v="XL"/>
    <s v="Maroon"/>
    <s v="Spring"/>
    <n v="4"/>
    <s v="No"/>
    <s v="No"/>
    <n v="4"/>
    <s v="Venmo"/>
    <s v="Annually"/>
    <m/>
  </r>
  <r>
    <n v="3700"/>
    <x v="47"/>
    <x v="1"/>
    <s v="Backpack"/>
    <s v="Accessories"/>
    <n v="55"/>
    <x v="19"/>
    <s v="M"/>
    <s v="Olive"/>
    <s v="Fall"/>
    <n v="2.6"/>
    <s v="No"/>
    <s v="No"/>
    <n v="24"/>
    <s v="Bank Transfer"/>
    <s v="Weekly"/>
    <m/>
  </r>
  <r>
    <n v="3701"/>
    <x v="48"/>
    <x v="1"/>
    <s v="Handbag"/>
    <s v="Accessories"/>
    <n v="84"/>
    <x v="25"/>
    <s v="XL"/>
    <s v="Charcoal"/>
    <s v="Summer"/>
    <n v="3.4"/>
    <s v="No"/>
    <s v="No"/>
    <n v="2"/>
    <s v="Bank Transfer"/>
    <s v="Every 3 Months"/>
    <m/>
  </r>
  <r>
    <n v="3702"/>
    <x v="5"/>
    <x v="1"/>
    <s v="Sandals"/>
    <s v="Footwear"/>
    <n v="66"/>
    <x v="35"/>
    <s v="M"/>
    <s v="Charcoal"/>
    <s v="Spring"/>
    <n v="4.5"/>
    <s v="No"/>
    <s v="No"/>
    <n v="36"/>
    <s v="Cash"/>
    <s v="Annually"/>
    <m/>
  </r>
  <r>
    <n v="3703"/>
    <x v="44"/>
    <x v="1"/>
    <s v="Shoes"/>
    <s v="Footwear"/>
    <n v="65"/>
    <x v="36"/>
    <s v="M"/>
    <s v="Indigo"/>
    <s v="Spring"/>
    <n v="2.7"/>
    <s v="No"/>
    <s v="No"/>
    <n v="36"/>
    <s v="Venmo"/>
    <s v="Weekly"/>
    <m/>
  </r>
  <r>
    <n v="3704"/>
    <x v="11"/>
    <x v="1"/>
    <s v="Sandals"/>
    <s v="Footwear"/>
    <n v="83"/>
    <x v="49"/>
    <s v="S"/>
    <s v="Teal"/>
    <s v="Fall"/>
    <n v="2.9"/>
    <s v="No"/>
    <s v="No"/>
    <n v="23"/>
    <s v="PayPal"/>
    <s v="Every 3 Months"/>
    <m/>
  </r>
  <r>
    <n v="3705"/>
    <x v="33"/>
    <x v="1"/>
    <s v="Sunglasses"/>
    <s v="Accessories"/>
    <n v="61"/>
    <x v="9"/>
    <s v="L"/>
    <s v="Black"/>
    <s v="Winter"/>
    <n v="4"/>
    <s v="No"/>
    <s v="No"/>
    <n v="36"/>
    <s v="Credit Card"/>
    <s v="Quarterly"/>
    <m/>
  </r>
  <r>
    <n v="3706"/>
    <x v="48"/>
    <x v="1"/>
    <s v="Skirt"/>
    <s v="Clothing"/>
    <n v="65"/>
    <x v="24"/>
    <s v="L"/>
    <s v="Teal"/>
    <s v="Summer"/>
    <n v="3.2"/>
    <s v="No"/>
    <s v="No"/>
    <n v="2"/>
    <s v="Debit Card"/>
    <s v="Annually"/>
    <m/>
  </r>
  <r>
    <n v="3707"/>
    <x v="8"/>
    <x v="1"/>
    <s v="Sandals"/>
    <s v="Footwear"/>
    <n v="55"/>
    <x v="23"/>
    <s v="M"/>
    <s v="Green"/>
    <s v="Spring"/>
    <n v="4"/>
    <s v="No"/>
    <s v="No"/>
    <n v="17"/>
    <s v="Cash"/>
    <s v="Bi-Weekly"/>
    <m/>
  </r>
  <r>
    <n v="3708"/>
    <x v="25"/>
    <x v="1"/>
    <s v="Gloves"/>
    <s v="Accessories"/>
    <n v="79"/>
    <x v="26"/>
    <s v="M"/>
    <s v="Gold"/>
    <s v="Fall"/>
    <n v="3.4"/>
    <s v="No"/>
    <s v="No"/>
    <n v="19"/>
    <s v="Venmo"/>
    <s v="Weekly"/>
    <m/>
  </r>
  <r>
    <n v="3709"/>
    <x v="37"/>
    <x v="1"/>
    <s v="Hoodie"/>
    <s v="Clothing"/>
    <n v="96"/>
    <x v="36"/>
    <s v="M"/>
    <s v="Red"/>
    <s v="Fall"/>
    <n v="4.9000000000000004"/>
    <s v="No"/>
    <s v="No"/>
    <n v="41"/>
    <s v="PayPal"/>
    <s v="Monthly"/>
    <m/>
  </r>
  <r>
    <n v="3710"/>
    <x v="18"/>
    <x v="1"/>
    <s v="Socks"/>
    <s v="Clothing"/>
    <n v="43"/>
    <x v="40"/>
    <s v="M"/>
    <s v="Silver"/>
    <s v="Fall"/>
    <n v="3.6"/>
    <s v="No"/>
    <s v="No"/>
    <n v="27"/>
    <s v="PayPal"/>
    <s v="Quarterly"/>
    <m/>
  </r>
  <r>
    <n v="3711"/>
    <x v="52"/>
    <x v="1"/>
    <s v="Jewelry"/>
    <s v="Accessories"/>
    <n v="40"/>
    <x v="11"/>
    <s v="M"/>
    <s v="Yellow"/>
    <s v="Summer"/>
    <n v="3.6"/>
    <s v="No"/>
    <s v="No"/>
    <n v="32"/>
    <s v="Bank Transfer"/>
    <s v="Fortnightly"/>
    <m/>
  </r>
  <r>
    <n v="3712"/>
    <x v="28"/>
    <x v="1"/>
    <s v="Hat"/>
    <s v="Accessories"/>
    <n v="62"/>
    <x v="21"/>
    <s v="XL"/>
    <s v="Peach"/>
    <s v="Fall"/>
    <n v="3.2"/>
    <s v="No"/>
    <s v="No"/>
    <n v="33"/>
    <s v="Cash"/>
    <s v="Annually"/>
    <m/>
  </r>
  <r>
    <n v="3713"/>
    <x v="47"/>
    <x v="1"/>
    <s v="Blouse"/>
    <s v="Clothing"/>
    <n v="72"/>
    <x v="4"/>
    <s v="M"/>
    <s v="Turquoise"/>
    <s v="Spring"/>
    <n v="3.7"/>
    <s v="No"/>
    <s v="No"/>
    <n v="24"/>
    <s v="PayPal"/>
    <s v="Quarterly"/>
    <m/>
  </r>
  <r>
    <n v="3714"/>
    <x v="34"/>
    <x v="1"/>
    <s v="Shoes"/>
    <s v="Footwear"/>
    <n v="87"/>
    <x v="28"/>
    <s v="M"/>
    <s v="Peach"/>
    <s v="Spring"/>
    <n v="2.6"/>
    <s v="No"/>
    <s v="No"/>
    <n v="31"/>
    <s v="Debit Card"/>
    <s v="Every 3 Months"/>
    <m/>
  </r>
  <r>
    <n v="3715"/>
    <x v="20"/>
    <x v="1"/>
    <s v="Hat"/>
    <s v="Accessories"/>
    <n v="31"/>
    <x v="14"/>
    <s v="S"/>
    <s v="Peach"/>
    <s v="Winter"/>
    <n v="3.9"/>
    <s v="No"/>
    <s v="No"/>
    <n v="35"/>
    <s v="Credit Card"/>
    <s v="Weekly"/>
    <m/>
  </r>
  <r>
    <n v="3716"/>
    <x v="6"/>
    <x v="1"/>
    <s v="Sunglasses"/>
    <s v="Accessories"/>
    <n v="34"/>
    <x v="43"/>
    <s v="S"/>
    <s v="Orange"/>
    <s v="Fall"/>
    <n v="3.4"/>
    <s v="No"/>
    <s v="No"/>
    <n v="2"/>
    <s v="Bank Transfer"/>
    <s v="Monthly"/>
    <m/>
  </r>
  <r>
    <n v="3717"/>
    <x v="9"/>
    <x v="1"/>
    <s v="Shirt"/>
    <s v="Clothing"/>
    <n v="53"/>
    <x v="34"/>
    <s v="M"/>
    <s v="Charcoal"/>
    <s v="Fall"/>
    <n v="3.4"/>
    <s v="No"/>
    <s v="No"/>
    <n v="42"/>
    <s v="Debit Card"/>
    <s v="Every 3 Months"/>
    <m/>
  </r>
  <r>
    <n v="3718"/>
    <x v="4"/>
    <x v="1"/>
    <s v="T-shirt"/>
    <s v="Clothing"/>
    <n v="85"/>
    <x v="33"/>
    <s v="XL"/>
    <s v="White"/>
    <s v="Summer"/>
    <n v="4.2"/>
    <s v="No"/>
    <s v="No"/>
    <n v="47"/>
    <s v="Bank Transfer"/>
    <s v="Every 3 Months"/>
    <m/>
  </r>
  <r>
    <n v="3719"/>
    <x v="24"/>
    <x v="1"/>
    <s v="Pants"/>
    <s v="Clothing"/>
    <n v="50"/>
    <x v="30"/>
    <s v="L"/>
    <s v="Turquoise"/>
    <s v="Fall"/>
    <n v="2.9"/>
    <s v="No"/>
    <s v="No"/>
    <n v="44"/>
    <s v="Bank Transfer"/>
    <s v="Bi-Weekly"/>
    <m/>
  </r>
  <r>
    <n v="3720"/>
    <x v="30"/>
    <x v="1"/>
    <s v="Pants"/>
    <s v="Clothing"/>
    <n v="91"/>
    <x v="38"/>
    <s v="M"/>
    <s v="Red"/>
    <s v="Summer"/>
    <n v="4.0999999999999996"/>
    <s v="No"/>
    <s v="No"/>
    <n v="8"/>
    <s v="Bank Transfer"/>
    <s v="Every 3 Months"/>
    <m/>
  </r>
  <r>
    <n v="3721"/>
    <x v="3"/>
    <x v="1"/>
    <s v="Hat"/>
    <s v="Accessories"/>
    <n v="56"/>
    <x v="36"/>
    <s v="M"/>
    <s v="Peach"/>
    <s v="Fall"/>
    <n v="3.6"/>
    <s v="No"/>
    <s v="No"/>
    <n v="13"/>
    <s v="Credit Card"/>
    <s v="Quarterly"/>
    <m/>
  </r>
  <r>
    <n v="3722"/>
    <x v="46"/>
    <x v="1"/>
    <s v="Coat"/>
    <s v="Outerwear"/>
    <n v="60"/>
    <x v="39"/>
    <s v="L"/>
    <s v="Pink"/>
    <s v="Fall"/>
    <n v="4"/>
    <s v="No"/>
    <s v="No"/>
    <n v="10"/>
    <s v="Cash"/>
    <s v="Annually"/>
    <m/>
  </r>
  <r>
    <n v="3723"/>
    <x v="51"/>
    <x v="1"/>
    <s v="Jacket"/>
    <s v="Outerwear"/>
    <n v="34"/>
    <x v="0"/>
    <s v="XL"/>
    <s v="Yellow"/>
    <s v="Fall"/>
    <n v="4"/>
    <s v="No"/>
    <s v="No"/>
    <n v="1"/>
    <s v="Credit Card"/>
    <s v="Fortnightly"/>
    <m/>
  </r>
  <r>
    <n v="3724"/>
    <x v="8"/>
    <x v="1"/>
    <s v="Sandals"/>
    <s v="Footwear"/>
    <n v="30"/>
    <x v="3"/>
    <s v="M"/>
    <s v="Beige"/>
    <s v="Spring"/>
    <n v="3.6"/>
    <s v="No"/>
    <s v="No"/>
    <n v="1"/>
    <s v="Debit Card"/>
    <s v="Monthly"/>
    <m/>
  </r>
  <r>
    <n v="3725"/>
    <x v="11"/>
    <x v="1"/>
    <s v="Gloves"/>
    <s v="Accessories"/>
    <n v="71"/>
    <x v="24"/>
    <s v="L"/>
    <s v="Green"/>
    <s v="Winter"/>
    <n v="3.1"/>
    <s v="No"/>
    <s v="No"/>
    <n v="18"/>
    <s v="Bank Transfer"/>
    <s v="Annually"/>
    <m/>
  </r>
  <r>
    <n v="3726"/>
    <x v="20"/>
    <x v="1"/>
    <s v="Dress"/>
    <s v="Clothing"/>
    <n v="100"/>
    <x v="19"/>
    <s v="S"/>
    <s v="Turquoise"/>
    <s v="Winter"/>
    <n v="4.4000000000000004"/>
    <s v="No"/>
    <s v="No"/>
    <n v="2"/>
    <s v="PayPal"/>
    <s v="Annually"/>
    <m/>
  </r>
  <r>
    <n v="3727"/>
    <x v="36"/>
    <x v="1"/>
    <s v="Belt"/>
    <s v="Accessories"/>
    <n v="85"/>
    <x v="37"/>
    <s v="XL"/>
    <s v="Orange"/>
    <s v="Fall"/>
    <n v="4.3"/>
    <s v="No"/>
    <s v="No"/>
    <n v="36"/>
    <s v="Debit Card"/>
    <s v="Every 3 Months"/>
    <m/>
  </r>
  <r>
    <n v="3728"/>
    <x v="38"/>
    <x v="1"/>
    <s v="Socks"/>
    <s v="Clothing"/>
    <n v="83"/>
    <x v="1"/>
    <s v="M"/>
    <s v="Gold"/>
    <s v="Summer"/>
    <n v="3.5"/>
    <s v="No"/>
    <s v="No"/>
    <n v="17"/>
    <s v="Debit Card"/>
    <s v="Bi-Weekly"/>
    <m/>
  </r>
  <r>
    <n v="3729"/>
    <x v="46"/>
    <x v="1"/>
    <s v="Jacket"/>
    <s v="Outerwear"/>
    <n v="31"/>
    <x v="34"/>
    <s v="L"/>
    <s v="Red"/>
    <s v="Winter"/>
    <n v="3"/>
    <s v="No"/>
    <s v="No"/>
    <n v="1"/>
    <s v="Debit Card"/>
    <s v="Annually"/>
    <m/>
  </r>
  <r>
    <n v="3730"/>
    <x v="48"/>
    <x v="1"/>
    <s v="Boots"/>
    <s v="Footwear"/>
    <n v="82"/>
    <x v="3"/>
    <s v="M"/>
    <s v="Teal"/>
    <s v="Spring"/>
    <n v="4.7"/>
    <s v="No"/>
    <s v="No"/>
    <n v="50"/>
    <s v="Cash"/>
    <s v="Quarterly"/>
    <m/>
  </r>
  <r>
    <n v="3731"/>
    <x v="5"/>
    <x v="1"/>
    <s v="Shirt"/>
    <s v="Clothing"/>
    <n v="79"/>
    <x v="20"/>
    <s v="M"/>
    <s v="Teal"/>
    <s v="Summer"/>
    <n v="2.5"/>
    <s v="No"/>
    <s v="No"/>
    <n v="3"/>
    <s v="Credit Card"/>
    <s v="Bi-Weekly"/>
    <m/>
  </r>
  <r>
    <n v="3732"/>
    <x v="22"/>
    <x v="1"/>
    <s v="Hat"/>
    <s v="Accessories"/>
    <n v="62"/>
    <x v="8"/>
    <s v="M"/>
    <s v="Lavender"/>
    <s v="Spring"/>
    <n v="3.1"/>
    <s v="No"/>
    <s v="No"/>
    <n v="45"/>
    <s v="PayPal"/>
    <s v="Quarterly"/>
    <m/>
  </r>
  <r>
    <n v="3733"/>
    <x v="24"/>
    <x v="1"/>
    <s v="Shoes"/>
    <s v="Footwear"/>
    <n v="92"/>
    <x v="27"/>
    <s v="L"/>
    <s v="Pink"/>
    <s v="Spring"/>
    <n v="3.3"/>
    <s v="No"/>
    <s v="No"/>
    <n v="28"/>
    <s v="PayPal"/>
    <s v="Annually"/>
    <m/>
  </r>
  <r>
    <n v="3734"/>
    <x v="15"/>
    <x v="1"/>
    <s v="Socks"/>
    <s v="Clothing"/>
    <n v="58"/>
    <x v="26"/>
    <s v="M"/>
    <s v="Maroon"/>
    <s v="Fall"/>
    <n v="4.7"/>
    <s v="No"/>
    <s v="No"/>
    <n v="6"/>
    <s v="Debit Card"/>
    <s v="Every 3 Months"/>
    <m/>
  </r>
  <r>
    <n v="3735"/>
    <x v="21"/>
    <x v="1"/>
    <s v="Hoodie"/>
    <s v="Clothing"/>
    <n v="88"/>
    <x v="18"/>
    <s v="M"/>
    <s v="Beige"/>
    <s v="Spring"/>
    <n v="3.4"/>
    <s v="No"/>
    <s v="No"/>
    <n v="33"/>
    <s v="Debit Card"/>
    <s v="Every 3 Months"/>
    <m/>
  </r>
  <r>
    <n v="3736"/>
    <x v="21"/>
    <x v="1"/>
    <s v="Sandals"/>
    <s v="Footwear"/>
    <n v="44"/>
    <x v="2"/>
    <s v="L"/>
    <s v="Orange"/>
    <s v="Spring"/>
    <n v="3.1"/>
    <s v="No"/>
    <s v="No"/>
    <n v="29"/>
    <s v="PayPal"/>
    <s v="Annually"/>
    <m/>
  </r>
  <r>
    <n v="3737"/>
    <x v="32"/>
    <x v="1"/>
    <s v="Jeans"/>
    <s v="Clothing"/>
    <n v="56"/>
    <x v="37"/>
    <s v="M"/>
    <s v="Red"/>
    <s v="Spring"/>
    <n v="4.5999999999999996"/>
    <s v="No"/>
    <s v="No"/>
    <n v="2"/>
    <s v="PayPal"/>
    <s v="Every 3 Months"/>
    <m/>
  </r>
  <r>
    <n v="3738"/>
    <x v="1"/>
    <x v="1"/>
    <s v="Jewelry"/>
    <s v="Accessories"/>
    <n v="23"/>
    <x v="0"/>
    <s v="S"/>
    <s v="Maroon"/>
    <s v="Winter"/>
    <n v="4.9000000000000004"/>
    <s v="No"/>
    <s v="No"/>
    <n v="43"/>
    <s v="PayPal"/>
    <s v="Bi-Weekly"/>
    <m/>
  </r>
  <r>
    <n v="3739"/>
    <x v="50"/>
    <x v="1"/>
    <s v="Shorts"/>
    <s v="Clothing"/>
    <n v="45"/>
    <x v="12"/>
    <s v="M"/>
    <s v="Brown"/>
    <s v="Spring"/>
    <n v="2.7"/>
    <s v="No"/>
    <s v="No"/>
    <n v="48"/>
    <s v="Cash"/>
    <s v="Fortnightly"/>
    <m/>
  </r>
  <r>
    <n v="3740"/>
    <x v="21"/>
    <x v="1"/>
    <s v="Sunglasses"/>
    <s v="Accessories"/>
    <n v="31"/>
    <x v="37"/>
    <s v="M"/>
    <s v="Olive"/>
    <s v="Fall"/>
    <n v="4.2"/>
    <s v="No"/>
    <s v="No"/>
    <n v="43"/>
    <s v="Credit Card"/>
    <s v="Weekly"/>
    <m/>
  </r>
  <r>
    <n v="3741"/>
    <x v="32"/>
    <x v="1"/>
    <s v="Pants"/>
    <s v="Clothing"/>
    <n v="96"/>
    <x v="41"/>
    <s v="M"/>
    <s v="Silver"/>
    <s v="Summer"/>
    <n v="2.6"/>
    <s v="No"/>
    <s v="No"/>
    <n v="26"/>
    <s v="Debit Card"/>
    <s v="Bi-Weekly"/>
    <m/>
  </r>
  <r>
    <n v="3742"/>
    <x v="44"/>
    <x v="1"/>
    <s v="Shirt"/>
    <s v="Clothing"/>
    <n v="96"/>
    <x v="28"/>
    <s v="M"/>
    <s v="Purple"/>
    <s v="Spring"/>
    <n v="3.2"/>
    <s v="No"/>
    <s v="No"/>
    <n v="26"/>
    <s v="Debit Card"/>
    <s v="Bi-Weekly"/>
    <m/>
  </r>
  <r>
    <n v="3743"/>
    <x v="19"/>
    <x v="1"/>
    <s v="Shirt"/>
    <s v="Clothing"/>
    <n v="80"/>
    <x v="33"/>
    <s v="M"/>
    <s v="Gray"/>
    <s v="Fall"/>
    <n v="4.4000000000000004"/>
    <s v="No"/>
    <s v="No"/>
    <n v="50"/>
    <s v="Credit Card"/>
    <s v="Bi-Weekly"/>
    <m/>
  </r>
  <r>
    <n v="3744"/>
    <x v="46"/>
    <x v="1"/>
    <s v="Pants"/>
    <s v="Clothing"/>
    <n v="28"/>
    <x v="37"/>
    <s v="L"/>
    <s v="Cyan"/>
    <s v="Fall"/>
    <n v="3.6"/>
    <s v="No"/>
    <s v="No"/>
    <n v="36"/>
    <s v="Debit Card"/>
    <s v="Quarterly"/>
    <m/>
  </r>
  <r>
    <n v="3745"/>
    <x v="41"/>
    <x v="1"/>
    <s v="Hoodie"/>
    <s v="Clothing"/>
    <n v="51"/>
    <x v="32"/>
    <s v="M"/>
    <s v="Gray"/>
    <s v="Summer"/>
    <n v="2.7"/>
    <s v="No"/>
    <s v="No"/>
    <n v="26"/>
    <s v="Bank Transfer"/>
    <s v="Fortnightly"/>
    <m/>
  </r>
  <r>
    <n v="3746"/>
    <x v="52"/>
    <x v="1"/>
    <s v="Socks"/>
    <s v="Clothing"/>
    <n v="41"/>
    <x v="47"/>
    <s v="L"/>
    <s v="Gold"/>
    <s v="Spring"/>
    <n v="4.3"/>
    <s v="No"/>
    <s v="No"/>
    <n v="2"/>
    <s v="Debit Card"/>
    <s v="Monthly"/>
    <m/>
  </r>
  <r>
    <n v="3747"/>
    <x v="10"/>
    <x v="1"/>
    <s v="Coat"/>
    <s v="Outerwear"/>
    <n v="99"/>
    <x v="37"/>
    <s v="XL"/>
    <s v="Cyan"/>
    <s v="Summer"/>
    <n v="2.6"/>
    <s v="No"/>
    <s v="No"/>
    <n v="49"/>
    <s v="PayPal"/>
    <s v="Monthly"/>
    <m/>
  </r>
  <r>
    <n v="3748"/>
    <x v="8"/>
    <x v="1"/>
    <s v="Sweater"/>
    <s v="Clothing"/>
    <n v="53"/>
    <x v="3"/>
    <s v="L"/>
    <s v="Olive"/>
    <s v="Spring"/>
    <n v="4.3"/>
    <s v="No"/>
    <s v="No"/>
    <n v="32"/>
    <s v="Bank Transfer"/>
    <s v="Bi-Weekly"/>
    <m/>
  </r>
  <r>
    <n v="3749"/>
    <x v="50"/>
    <x v="1"/>
    <s v="Backpack"/>
    <s v="Accessories"/>
    <n v="25"/>
    <x v="12"/>
    <s v="M"/>
    <s v="Violet"/>
    <s v="Fall"/>
    <n v="3.9"/>
    <s v="No"/>
    <s v="No"/>
    <n v="3"/>
    <s v="Venmo"/>
    <s v="Annually"/>
    <m/>
  </r>
  <r>
    <n v="3750"/>
    <x v="41"/>
    <x v="1"/>
    <s v="Blouse"/>
    <s v="Clothing"/>
    <n v="95"/>
    <x v="29"/>
    <s v="L"/>
    <s v="Yellow"/>
    <s v="Winter"/>
    <n v="2.9"/>
    <s v="No"/>
    <s v="No"/>
    <n v="38"/>
    <s v="Venmo"/>
    <s v="Every 3 Months"/>
    <m/>
  </r>
  <r>
    <n v="3751"/>
    <x v="32"/>
    <x v="1"/>
    <s v="Hoodie"/>
    <s v="Clothing"/>
    <n v="88"/>
    <x v="28"/>
    <s v="M"/>
    <s v="Gold"/>
    <s v="Fall"/>
    <n v="3.1"/>
    <s v="No"/>
    <s v="No"/>
    <n v="5"/>
    <s v="PayPal"/>
    <s v="Monthly"/>
    <m/>
  </r>
  <r>
    <n v="3752"/>
    <x v="24"/>
    <x v="1"/>
    <s v="Jewelry"/>
    <s v="Accessories"/>
    <n v="97"/>
    <x v="15"/>
    <s v="S"/>
    <s v="Silver"/>
    <s v="Fall"/>
    <n v="4.2"/>
    <s v="No"/>
    <s v="No"/>
    <n v="8"/>
    <s v="Credit Card"/>
    <s v="Every 3 Months"/>
    <m/>
  </r>
  <r>
    <n v="3753"/>
    <x v="41"/>
    <x v="1"/>
    <s v="Coat"/>
    <s v="Outerwear"/>
    <n v="81"/>
    <x v="47"/>
    <s v="L"/>
    <s v="Pink"/>
    <s v="Winter"/>
    <n v="4.0999999999999996"/>
    <s v="No"/>
    <s v="No"/>
    <n v="43"/>
    <s v="Venmo"/>
    <s v="Weekly"/>
    <m/>
  </r>
  <r>
    <n v="3754"/>
    <x v="31"/>
    <x v="1"/>
    <s v="Sunglasses"/>
    <s v="Accessories"/>
    <n v="26"/>
    <x v="7"/>
    <s v="S"/>
    <s v="Turquoise"/>
    <s v="Winter"/>
    <n v="4.2"/>
    <s v="No"/>
    <s v="No"/>
    <n v="22"/>
    <s v="Bank Transfer"/>
    <s v="Fortnightly"/>
    <m/>
  </r>
  <r>
    <n v="3755"/>
    <x v="5"/>
    <x v="1"/>
    <s v="Shoes"/>
    <s v="Footwear"/>
    <n v="41"/>
    <x v="43"/>
    <s v="M"/>
    <s v="Turquoise"/>
    <s v="Summer"/>
    <n v="4.4000000000000004"/>
    <s v="No"/>
    <s v="No"/>
    <n v="10"/>
    <s v="Cash"/>
    <s v="Every 3 Months"/>
    <m/>
  </r>
  <r>
    <n v="3756"/>
    <x v="14"/>
    <x v="1"/>
    <s v="Skirt"/>
    <s v="Clothing"/>
    <n v="93"/>
    <x v="38"/>
    <s v="M"/>
    <s v="Peach"/>
    <s v="Fall"/>
    <n v="3.4"/>
    <s v="No"/>
    <s v="No"/>
    <n v="26"/>
    <s v="Credit Card"/>
    <s v="Monthly"/>
    <m/>
  </r>
  <r>
    <n v="3757"/>
    <x v="14"/>
    <x v="1"/>
    <s v="Skirt"/>
    <s v="Clothing"/>
    <n v="69"/>
    <x v="36"/>
    <s v="L"/>
    <s v="Teal"/>
    <s v="Spring"/>
    <n v="4.8"/>
    <s v="No"/>
    <s v="No"/>
    <n v="42"/>
    <s v="Debit Card"/>
    <s v="Bi-Weekly"/>
    <m/>
  </r>
  <r>
    <n v="3758"/>
    <x v="12"/>
    <x v="1"/>
    <s v="Skirt"/>
    <s v="Clothing"/>
    <n v="44"/>
    <x v="18"/>
    <s v="L"/>
    <s v="Red"/>
    <s v="Fall"/>
    <n v="4.5"/>
    <s v="No"/>
    <s v="No"/>
    <n v="33"/>
    <s v="Cash"/>
    <s v="Weekly"/>
    <m/>
  </r>
  <r>
    <n v="3759"/>
    <x v="12"/>
    <x v="1"/>
    <s v="Sandals"/>
    <s v="Footwear"/>
    <n v="54"/>
    <x v="27"/>
    <s v="S"/>
    <s v="Black"/>
    <s v="Spring"/>
    <n v="2.7"/>
    <s v="No"/>
    <s v="No"/>
    <n v="23"/>
    <s v="Bank Transfer"/>
    <s v="Quarterly"/>
    <m/>
  </r>
  <r>
    <n v="3760"/>
    <x v="42"/>
    <x v="1"/>
    <s v="Sneakers"/>
    <s v="Footwear"/>
    <n v="61"/>
    <x v="9"/>
    <s v="M"/>
    <s v="Pink"/>
    <s v="Spring"/>
    <n v="3.5"/>
    <s v="No"/>
    <s v="No"/>
    <n v="30"/>
    <s v="Venmo"/>
    <s v="Quarterly"/>
    <m/>
  </r>
  <r>
    <n v="3761"/>
    <x v="13"/>
    <x v="1"/>
    <s v="Socks"/>
    <s v="Clothing"/>
    <n v="80"/>
    <x v="39"/>
    <s v="M"/>
    <s v="Peach"/>
    <s v="Fall"/>
    <n v="3.1"/>
    <s v="No"/>
    <s v="No"/>
    <n v="36"/>
    <s v="PayPal"/>
    <s v="Weekly"/>
    <m/>
  </r>
  <r>
    <n v="3762"/>
    <x v="52"/>
    <x v="1"/>
    <s v="Backpack"/>
    <s v="Accessories"/>
    <n v="30"/>
    <x v="22"/>
    <s v="M"/>
    <s v="Green"/>
    <s v="Summer"/>
    <n v="2.8"/>
    <s v="No"/>
    <s v="No"/>
    <n v="3"/>
    <s v="Venmo"/>
    <s v="Every 3 Months"/>
    <m/>
  </r>
  <r>
    <n v="3763"/>
    <x v="13"/>
    <x v="1"/>
    <s v="Shorts"/>
    <s v="Clothing"/>
    <n v="94"/>
    <x v="14"/>
    <s v="L"/>
    <s v="Green"/>
    <s v="Fall"/>
    <n v="2.9"/>
    <s v="No"/>
    <s v="No"/>
    <n v="13"/>
    <s v="PayPal"/>
    <s v="Annually"/>
    <m/>
  </r>
  <r>
    <n v="3764"/>
    <x v="7"/>
    <x v="1"/>
    <s v="Shirt"/>
    <s v="Clothing"/>
    <n v="24"/>
    <x v="19"/>
    <s v="XL"/>
    <s v="Red"/>
    <s v="Winter"/>
    <n v="4.5"/>
    <s v="No"/>
    <s v="No"/>
    <n v="38"/>
    <s v="Cash"/>
    <s v="Every 3 Months"/>
    <m/>
  </r>
  <r>
    <n v="3765"/>
    <x v="24"/>
    <x v="1"/>
    <s v="Socks"/>
    <s v="Clothing"/>
    <n v="21"/>
    <x v="45"/>
    <s v="M"/>
    <s v="Maroon"/>
    <s v="Fall"/>
    <n v="3.5"/>
    <s v="No"/>
    <s v="No"/>
    <n v="19"/>
    <s v="Venmo"/>
    <s v="Monthly"/>
    <m/>
  </r>
  <r>
    <n v="3766"/>
    <x v="40"/>
    <x v="1"/>
    <s v="Jewelry"/>
    <s v="Accessories"/>
    <n v="52"/>
    <x v="9"/>
    <s v="M"/>
    <s v="Green"/>
    <s v="Summer"/>
    <n v="4.3"/>
    <s v="No"/>
    <s v="No"/>
    <n v="14"/>
    <s v="Bank Transfer"/>
    <s v="Bi-Weekly"/>
    <m/>
  </r>
  <r>
    <n v="3767"/>
    <x v="46"/>
    <x v="1"/>
    <s v="Handbag"/>
    <s v="Accessories"/>
    <n v="59"/>
    <x v="21"/>
    <s v="M"/>
    <s v="Black"/>
    <s v="Fall"/>
    <n v="4.9000000000000004"/>
    <s v="No"/>
    <s v="No"/>
    <n v="43"/>
    <s v="Debit Card"/>
    <s v="Annually"/>
    <m/>
  </r>
  <r>
    <n v="3768"/>
    <x v="35"/>
    <x v="1"/>
    <s v="Shorts"/>
    <s v="Clothing"/>
    <n v="51"/>
    <x v="14"/>
    <s v="XL"/>
    <s v="Black"/>
    <s v="Summer"/>
    <n v="3.1"/>
    <s v="No"/>
    <s v="No"/>
    <n v="10"/>
    <s v="Bank Transfer"/>
    <s v="Fortnightly"/>
    <m/>
  </r>
  <r>
    <n v="3769"/>
    <x v="2"/>
    <x v="1"/>
    <s v="Sweater"/>
    <s v="Clothing"/>
    <n v="35"/>
    <x v="34"/>
    <s v="M"/>
    <s v="Yellow"/>
    <s v="Winter"/>
    <n v="4"/>
    <s v="No"/>
    <s v="No"/>
    <n v="34"/>
    <s v="Bank Transfer"/>
    <s v="Quarterly"/>
    <m/>
  </r>
  <r>
    <n v="3770"/>
    <x v="47"/>
    <x v="1"/>
    <s v="Gloves"/>
    <s v="Accessories"/>
    <n v="87"/>
    <x v="28"/>
    <s v="L"/>
    <s v="Green"/>
    <s v="Summer"/>
    <n v="3.6"/>
    <s v="No"/>
    <s v="No"/>
    <n v="31"/>
    <s v="Venmo"/>
    <s v="Annually"/>
    <m/>
  </r>
  <r>
    <n v="3771"/>
    <x v="51"/>
    <x v="1"/>
    <s v="Pants"/>
    <s v="Clothing"/>
    <n v="42"/>
    <x v="6"/>
    <s v="L"/>
    <s v="Black"/>
    <s v="Summer"/>
    <n v="4"/>
    <s v="No"/>
    <s v="No"/>
    <n v="34"/>
    <s v="Bank Transfer"/>
    <s v="Weekly"/>
    <m/>
  </r>
  <r>
    <n v="3772"/>
    <x v="3"/>
    <x v="1"/>
    <s v="T-shirt"/>
    <s v="Clothing"/>
    <n v="86"/>
    <x v="19"/>
    <s v="M"/>
    <s v="Red"/>
    <s v="Winter"/>
    <n v="2.6"/>
    <s v="No"/>
    <s v="No"/>
    <n v="28"/>
    <s v="Venmo"/>
    <s v="Bi-Weekly"/>
    <m/>
  </r>
  <r>
    <n v="3773"/>
    <x v="42"/>
    <x v="1"/>
    <s v="Pants"/>
    <s v="Clothing"/>
    <n v="26"/>
    <x v="13"/>
    <s v="L"/>
    <s v="Yellow"/>
    <s v="Fall"/>
    <n v="3.1"/>
    <s v="No"/>
    <s v="No"/>
    <n v="35"/>
    <s v="Cash"/>
    <s v="Annually"/>
    <m/>
  </r>
  <r>
    <n v="3774"/>
    <x v="15"/>
    <x v="1"/>
    <s v="Sweater"/>
    <s v="Clothing"/>
    <n v="60"/>
    <x v="48"/>
    <s v="M"/>
    <s v="Violet"/>
    <s v="Summer"/>
    <n v="3.5"/>
    <s v="No"/>
    <s v="No"/>
    <n v="41"/>
    <s v="Cash"/>
    <s v="Quarterly"/>
    <m/>
  </r>
  <r>
    <n v="3775"/>
    <x v="9"/>
    <x v="1"/>
    <s v="Gloves"/>
    <s v="Accessories"/>
    <n v="83"/>
    <x v="29"/>
    <s v="S"/>
    <s v="Cyan"/>
    <s v="Winter"/>
    <n v="3.9"/>
    <s v="No"/>
    <s v="No"/>
    <n v="48"/>
    <s v="PayPal"/>
    <s v="Fortnightly"/>
    <m/>
  </r>
  <r>
    <n v="3776"/>
    <x v="38"/>
    <x v="1"/>
    <s v="Belt"/>
    <s v="Accessories"/>
    <n v="63"/>
    <x v="45"/>
    <s v="S"/>
    <s v="Pink"/>
    <s v="Spring"/>
    <n v="2.7"/>
    <s v="No"/>
    <s v="No"/>
    <n v="45"/>
    <s v="Cash"/>
    <s v="Quarterly"/>
    <m/>
  </r>
  <r>
    <n v="3777"/>
    <x v="1"/>
    <x v="1"/>
    <s v="Sneakers"/>
    <s v="Footwear"/>
    <n v="25"/>
    <x v="29"/>
    <s v="L"/>
    <s v="Olive"/>
    <s v="Spring"/>
    <n v="4.0999999999999996"/>
    <s v="No"/>
    <s v="No"/>
    <n v="10"/>
    <s v="Credit Card"/>
    <s v="Fortnightly"/>
    <m/>
  </r>
  <r>
    <n v="3778"/>
    <x v="49"/>
    <x v="1"/>
    <s v="Shorts"/>
    <s v="Clothing"/>
    <n v="65"/>
    <x v="40"/>
    <s v="M"/>
    <s v="Maroon"/>
    <s v="Fall"/>
    <n v="4.3"/>
    <s v="No"/>
    <s v="No"/>
    <n v="9"/>
    <s v="Cash"/>
    <s v="Weekly"/>
    <m/>
  </r>
  <r>
    <n v="3779"/>
    <x v="15"/>
    <x v="1"/>
    <s v="Sneakers"/>
    <s v="Footwear"/>
    <n v="60"/>
    <x v="45"/>
    <s v="M"/>
    <s v="Cyan"/>
    <s v="Fall"/>
    <n v="2.9"/>
    <s v="No"/>
    <s v="No"/>
    <n v="30"/>
    <s v="Debit Card"/>
    <s v="Annually"/>
    <m/>
  </r>
  <r>
    <n v="3780"/>
    <x v="52"/>
    <x v="1"/>
    <s v="Jeans"/>
    <s v="Clothing"/>
    <n v="75"/>
    <x v="18"/>
    <s v="XL"/>
    <s v="Lavender"/>
    <s v="Spring"/>
    <n v="4"/>
    <s v="No"/>
    <s v="No"/>
    <n v="45"/>
    <s v="PayPal"/>
    <s v="Annually"/>
    <m/>
  </r>
  <r>
    <n v="3781"/>
    <x v="22"/>
    <x v="1"/>
    <s v="Sneakers"/>
    <s v="Footwear"/>
    <n v="57"/>
    <x v="16"/>
    <s v="L"/>
    <s v="Yellow"/>
    <s v="Fall"/>
    <n v="4.0999999999999996"/>
    <s v="No"/>
    <s v="No"/>
    <n v="41"/>
    <s v="Venmo"/>
    <s v="Quarterly"/>
    <m/>
  </r>
  <r>
    <n v="3782"/>
    <x v="16"/>
    <x v="1"/>
    <s v="Boots"/>
    <s v="Footwear"/>
    <n v="99"/>
    <x v="30"/>
    <s v="M"/>
    <s v="Pink"/>
    <s v="Winter"/>
    <n v="3.7"/>
    <s v="No"/>
    <s v="No"/>
    <n v="40"/>
    <s v="PayPal"/>
    <s v="Fortnightly"/>
    <m/>
  </r>
  <r>
    <n v="3783"/>
    <x v="37"/>
    <x v="1"/>
    <s v="Jacket"/>
    <s v="Outerwear"/>
    <n v="45"/>
    <x v="15"/>
    <s v="L"/>
    <s v="Orange"/>
    <s v="Spring"/>
    <n v="2.8"/>
    <s v="No"/>
    <s v="No"/>
    <n v="42"/>
    <s v="PayPal"/>
    <s v="Fortnightly"/>
    <m/>
  </r>
  <r>
    <n v="3784"/>
    <x v="31"/>
    <x v="1"/>
    <s v="Gloves"/>
    <s v="Accessories"/>
    <n v="66"/>
    <x v="1"/>
    <s v="XL"/>
    <s v="Orange"/>
    <s v="Summer"/>
    <n v="3.2"/>
    <s v="No"/>
    <s v="No"/>
    <n v="17"/>
    <s v="Debit Card"/>
    <s v="Fortnightly"/>
    <m/>
  </r>
  <r>
    <n v="3785"/>
    <x v="22"/>
    <x v="1"/>
    <s v="Socks"/>
    <s v="Clothing"/>
    <n v="53"/>
    <x v="41"/>
    <s v="M"/>
    <s v="Violet"/>
    <s v="Winter"/>
    <n v="4.5"/>
    <s v="No"/>
    <s v="No"/>
    <n v="4"/>
    <s v="Venmo"/>
    <s v="Annually"/>
    <m/>
  </r>
  <r>
    <n v="3786"/>
    <x v="14"/>
    <x v="1"/>
    <s v="Jeans"/>
    <s v="Clothing"/>
    <n v="94"/>
    <x v="13"/>
    <s v="L"/>
    <s v="Lavender"/>
    <s v="Winter"/>
    <n v="3.8"/>
    <s v="No"/>
    <s v="No"/>
    <n v="6"/>
    <s v="Cash"/>
    <s v="Monthly"/>
    <m/>
  </r>
  <r>
    <n v="3787"/>
    <x v="18"/>
    <x v="1"/>
    <s v="Boots"/>
    <s v="Footwear"/>
    <n v="47"/>
    <x v="30"/>
    <s v="L"/>
    <s v="Yellow"/>
    <s v="Fall"/>
    <n v="3.6"/>
    <s v="No"/>
    <s v="No"/>
    <n v="22"/>
    <s v="Venmo"/>
    <s v="Weekly"/>
    <m/>
  </r>
  <r>
    <n v="3788"/>
    <x v="43"/>
    <x v="1"/>
    <s v="Blouse"/>
    <s v="Clothing"/>
    <n v="80"/>
    <x v="14"/>
    <s v="M"/>
    <s v="Pink"/>
    <s v="Fall"/>
    <n v="3.6"/>
    <s v="No"/>
    <s v="No"/>
    <n v="46"/>
    <s v="PayPal"/>
    <s v="Every 3 Months"/>
    <m/>
  </r>
  <r>
    <n v="3789"/>
    <x v="49"/>
    <x v="1"/>
    <s v="Hat"/>
    <s v="Accessories"/>
    <n v="65"/>
    <x v="23"/>
    <s v="XL"/>
    <s v="Teal"/>
    <s v="Spring"/>
    <n v="3.2"/>
    <s v="No"/>
    <s v="No"/>
    <n v="27"/>
    <s v="Debit Card"/>
    <s v="Monthly"/>
    <m/>
  </r>
  <r>
    <n v="3790"/>
    <x v="19"/>
    <x v="1"/>
    <s v="Shirt"/>
    <s v="Clothing"/>
    <n v="75"/>
    <x v="25"/>
    <s v="M"/>
    <s v="Magenta"/>
    <s v="Summer"/>
    <n v="3.8"/>
    <s v="No"/>
    <s v="No"/>
    <n v="18"/>
    <s v="Bank Transfer"/>
    <s v="Every 3 Months"/>
    <m/>
  </r>
  <r>
    <n v="3791"/>
    <x v="7"/>
    <x v="1"/>
    <s v="Handbag"/>
    <s v="Accessories"/>
    <n v="45"/>
    <x v="29"/>
    <s v="XL"/>
    <s v="Beige"/>
    <s v="Summer"/>
    <n v="4.4000000000000004"/>
    <s v="No"/>
    <s v="No"/>
    <n v="31"/>
    <s v="Credit Card"/>
    <s v="Weekly"/>
    <m/>
  </r>
  <r>
    <n v="3792"/>
    <x v="37"/>
    <x v="1"/>
    <s v="Sunglasses"/>
    <s v="Accessories"/>
    <n v="51"/>
    <x v="21"/>
    <s v="M"/>
    <s v="Gray"/>
    <s v="Spring"/>
    <n v="3.7"/>
    <s v="No"/>
    <s v="No"/>
    <n v="1"/>
    <s v="Venmo"/>
    <s v="Weekly"/>
    <m/>
  </r>
  <r>
    <n v="3793"/>
    <x v="49"/>
    <x v="1"/>
    <s v="Scarf"/>
    <s v="Accessories"/>
    <n v="58"/>
    <x v="2"/>
    <s v="S"/>
    <s v="Turquoise"/>
    <s v="Summer"/>
    <n v="2.6"/>
    <s v="No"/>
    <s v="No"/>
    <n v="2"/>
    <s v="PayPal"/>
    <s v="Fortnightly"/>
    <m/>
  </r>
  <r>
    <n v="3794"/>
    <x v="46"/>
    <x v="1"/>
    <s v="Sunglasses"/>
    <s v="Accessories"/>
    <n v="20"/>
    <x v="12"/>
    <s v="M"/>
    <s v="Pink"/>
    <s v="Fall"/>
    <n v="4"/>
    <s v="No"/>
    <s v="No"/>
    <n v="46"/>
    <s v="Bank Transfer"/>
    <s v="Annually"/>
    <m/>
  </r>
  <r>
    <n v="3795"/>
    <x v="42"/>
    <x v="1"/>
    <s v="Scarf"/>
    <s v="Accessories"/>
    <n v="82"/>
    <x v="45"/>
    <s v="M"/>
    <s v="Violet"/>
    <s v="Summer"/>
    <n v="3.6"/>
    <s v="No"/>
    <s v="No"/>
    <n v="27"/>
    <s v="Venmo"/>
    <s v="Weekly"/>
    <m/>
  </r>
  <r>
    <n v="3796"/>
    <x v="4"/>
    <x v="1"/>
    <s v="Gloves"/>
    <s v="Accessories"/>
    <n v="92"/>
    <x v="10"/>
    <s v="M"/>
    <s v="Charcoal"/>
    <s v="Spring"/>
    <n v="2.5"/>
    <s v="No"/>
    <s v="No"/>
    <n v="3"/>
    <s v="Cash"/>
    <s v="Weekly"/>
    <m/>
  </r>
  <r>
    <n v="3797"/>
    <x v="37"/>
    <x v="1"/>
    <s v="Shorts"/>
    <s v="Clothing"/>
    <n v="81"/>
    <x v="40"/>
    <s v="M"/>
    <s v="Lavender"/>
    <s v="Fall"/>
    <n v="3.2"/>
    <s v="No"/>
    <s v="No"/>
    <n v="47"/>
    <s v="Bank Transfer"/>
    <s v="Quarterly"/>
    <m/>
  </r>
  <r>
    <n v="3798"/>
    <x v="33"/>
    <x v="1"/>
    <s v="Sunglasses"/>
    <s v="Accessories"/>
    <n v="44"/>
    <x v="18"/>
    <s v="M"/>
    <s v="Gray"/>
    <s v="Summer"/>
    <n v="2.5"/>
    <s v="No"/>
    <s v="No"/>
    <n v="20"/>
    <s v="Cash"/>
    <s v="Quarterly"/>
    <m/>
  </r>
  <r>
    <n v="3799"/>
    <x v="6"/>
    <x v="1"/>
    <s v="Jewelry"/>
    <s v="Accessories"/>
    <n v="72"/>
    <x v="3"/>
    <s v="S"/>
    <s v="Brown"/>
    <s v="Winter"/>
    <n v="3.2"/>
    <s v="No"/>
    <s v="No"/>
    <n v="23"/>
    <s v="Credit Card"/>
    <s v="Annually"/>
    <m/>
  </r>
  <r>
    <n v="3800"/>
    <x v="52"/>
    <x v="1"/>
    <s v="Jacket"/>
    <s v="Outerwear"/>
    <n v="26"/>
    <x v="19"/>
    <s v="L"/>
    <s v="Violet"/>
    <s v="Winter"/>
    <n v="2.6"/>
    <s v="No"/>
    <s v="No"/>
    <n v="13"/>
    <s v="Credit Card"/>
    <s v="Monthly"/>
    <m/>
  </r>
  <r>
    <n v="3801"/>
    <x v="1"/>
    <x v="1"/>
    <s v="Sweater"/>
    <s v="Clothing"/>
    <n v="26"/>
    <x v="34"/>
    <s v="M"/>
    <s v="Turquoise"/>
    <s v="Fall"/>
    <n v="4.8"/>
    <s v="No"/>
    <s v="No"/>
    <n v="12"/>
    <s v="Venmo"/>
    <s v="Bi-Weekly"/>
    <m/>
  </r>
  <r>
    <n v="3802"/>
    <x v="8"/>
    <x v="1"/>
    <s v="Blouse"/>
    <s v="Clothing"/>
    <n v="84"/>
    <x v="0"/>
    <s v="M"/>
    <s v="Peach"/>
    <s v="Spring"/>
    <n v="5"/>
    <s v="No"/>
    <s v="No"/>
    <n v="36"/>
    <s v="PayPal"/>
    <s v="Fortnightly"/>
    <m/>
  </r>
  <r>
    <n v="3803"/>
    <x v="27"/>
    <x v="1"/>
    <s v="Scarf"/>
    <s v="Accessories"/>
    <n v="72"/>
    <x v="26"/>
    <s v="S"/>
    <s v="Turquoise"/>
    <s v="Spring"/>
    <n v="3.2"/>
    <s v="No"/>
    <s v="No"/>
    <n v="1"/>
    <s v="Bank Transfer"/>
    <s v="Monthly"/>
    <m/>
  </r>
  <r>
    <n v="3804"/>
    <x v="39"/>
    <x v="1"/>
    <s v="Handbag"/>
    <s v="Accessories"/>
    <n v="55"/>
    <x v="39"/>
    <s v="M"/>
    <s v="Violet"/>
    <s v="Spring"/>
    <n v="3.6"/>
    <s v="No"/>
    <s v="No"/>
    <n v="14"/>
    <s v="Debit Card"/>
    <s v="Weekly"/>
    <m/>
  </r>
  <r>
    <n v="3805"/>
    <x v="43"/>
    <x v="1"/>
    <s v="Hat"/>
    <s v="Accessories"/>
    <n v="77"/>
    <x v="20"/>
    <s v="M"/>
    <s v="Olive"/>
    <s v="Fall"/>
    <n v="2.7"/>
    <s v="No"/>
    <s v="No"/>
    <n v="45"/>
    <s v="Cash"/>
    <s v="Annually"/>
    <m/>
  </r>
  <r>
    <n v="3806"/>
    <x v="39"/>
    <x v="1"/>
    <s v="Scarf"/>
    <s v="Accessories"/>
    <n v="57"/>
    <x v="32"/>
    <s v="M"/>
    <s v="Green"/>
    <s v="Fall"/>
    <n v="3.1"/>
    <s v="No"/>
    <s v="No"/>
    <n v="31"/>
    <s v="Credit Card"/>
    <s v="Quarterly"/>
    <m/>
  </r>
  <r>
    <n v="3807"/>
    <x v="20"/>
    <x v="1"/>
    <s v="Boots"/>
    <s v="Footwear"/>
    <n v="71"/>
    <x v="9"/>
    <s v="M"/>
    <s v="Teal"/>
    <s v="Spring"/>
    <n v="3"/>
    <s v="No"/>
    <s v="No"/>
    <n v="41"/>
    <s v="PayPal"/>
    <s v="Weekly"/>
    <m/>
  </r>
  <r>
    <n v="3808"/>
    <x v="21"/>
    <x v="1"/>
    <s v="Blouse"/>
    <s v="Clothing"/>
    <n v="39"/>
    <x v="49"/>
    <s v="L"/>
    <s v="Peach"/>
    <s v="Spring"/>
    <n v="2.9"/>
    <s v="No"/>
    <s v="No"/>
    <n v="36"/>
    <s v="PayPal"/>
    <s v="Annually"/>
    <m/>
  </r>
  <r>
    <n v="3809"/>
    <x v="23"/>
    <x v="1"/>
    <s v="Socks"/>
    <s v="Clothing"/>
    <n v="28"/>
    <x v="47"/>
    <s v="M"/>
    <s v="Pink"/>
    <s v="Winter"/>
    <n v="4.7"/>
    <s v="No"/>
    <s v="No"/>
    <n v="6"/>
    <s v="Debit Card"/>
    <s v="Bi-Weekly"/>
    <m/>
  </r>
  <r>
    <n v="3810"/>
    <x v="9"/>
    <x v="1"/>
    <s v="Shoes"/>
    <s v="Footwear"/>
    <n v="33"/>
    <x v="14"/>
    <s v="S"/>
    <s v="Maroon"/>
    <s v="Winter"/>
    <n v="3.7"/>
    <s v="No"/>
    <s v="No"/>
    <n v="28"/>
    <s v="Credit Card"/>
    <s v="Annually"/>
    <m/>
  </r>
  <r>
    <n v="3811"/>
    <x v="5"/>
    <x v="1"/>
    <s v="Skirt"/>
    <s v="Clothing"/>
    <n v="79"/>
    <x v="48"/>
    <s v="L"/>
    <s v="Peach"/>
    <s v="Fall"/>
    <n v="3.9"/>
    <s v="No"/>
    <s v="No"/>
    <n v="29"/>
    <s v="Venmo"/>
    <s v="Monthly"/>
    <m/>
  </r>
  <r>
    <n v="3812"/>
    <x v="5"/>
    <x v="1"/>
    <s v="Belt"/>
    <s v="Accessories"/>
    <n v="30"/>
    <x v="37"/>
    <s v="M"/>
    <s v="Maroon"/>
    <s v="Winter"/>
    <n v="4"/>
    <s v="No"/>
    <s v="No"/>
    <n v="14"/>
    <s v="Cash"/>
    <s v="Monthly"/>
    <m/>
  </r>
  <r>
    <n v="3813"/>
    <x v="2"/>
    <x v="1"/>
    <s v="Skirt"/>
    <s v="Clothing"/>
    <n v="75"/>
    <x v="49"/>
    <s v="M"/>
    <s v="Pink"/>
    <s v="Spring"/>
    <n v="2.8"/>
    <s v="No"/>
    <s v="No"/>
    <n v="7"/>
    <s v="Bank Transfer"/>
    <s v="Every 3 Months"/>
    <m/>
  </r>
  <r>
    <n v="3814"/>
    <x v="12"/>
    <x v="1"/>
    <s v="Pants"/>
    <s v="Clothing"/>
    <n v="89"/>
    <x v="42"/>
    <s v="M"/>
    <s v="Orange"/>
    <s v="Summer"/>
    <n v="4.0999999999999996"/>
    <s v="No"/>
    <s v="No"/>
    <n v="31"/>
    <s v="Venmo"/>
    <s v="Bi-Weekly"/>
    <m/>
  </r>
  <r>
    <n v="3815"/>
    <x v="4"/>
    <x v="1"/>
    <s v="Dress"/>
    <s v="Clothing"/>
    <n v="95"/>
    <x v="49"/>
    <s v="M"/>
    <s v="Orange"/>
    <s v="Winter"/>
    <n v="4.2"/>
    <s v="No"/>
    <s v="No"/>
    <n v="26"/>
    <s v="Bank Transfer"/>
    <s v="Every 3 Months"/>
    <m/>
  </r>
  <r>
    <n v="3816"/>
    <x v="45"/>
    <x v="1"/>
    <s v="Hat"/>
    <s v="Accessories"/>
    <n v="44"/>
    <x v="1"/>
    <s v="M"/>
    <s v="Brown"/>
    <s v="Fall"/>
    <n v="4.3"/>
    <s v="No"/>
    <s v="No"/>
    <n v="12"/>
    <s v="Venmo"/>
    <s v="Fortnightly"/>
    <m/>
  </r>
  <r>
    <n v="3817"/>
    <x v="26"/>
    <x v="1"/>
    <s v="Coat"/>
    <s v="Outerwear"/>
    <n v="86"/>
    <x v="33"/>
    <s v="S"/>
    <s v="Silver"/>
    <s v="Summer"/>
    <n v="4.3"/>
    <s v="No"/>
    <s v="No"/>
    <n v="45"/>
    <s v="Credit Card"/>
    <s v="Fortnightly"/>
    <m/>
  </r>
  <r>
    <n v="3818"/>
    <x v="17"/>
    <x v="1"/>
    <s v="Scarf"/>
    <s v="Accessories"/>
    <n v="91"/>
    <x v="9"/>
    <s v="M"/>
    <s v="Magenta"/>
    <s v="Fall"/>
    <n v="2.6"/>
    <s v="No"/>
    <s v="No"/>
    <n v="40"/>
    <s v="PayPal"/>
    <s v="Annually"/>
    <m/>
  </r>
  <r>
    <n v="3819"/>
    <x v="27"/>
    <x v="1"/>
    <s v="Sneakers"/>
    <s v="Footwear"/>
    <n v="41"/>
    <x v="4"/>
    <s v="XL"/>
    <s v="Indigo"/>
    <s v="Winter"/>
    <n v="3.8"/>
    <s v="No"/>
    <s v="No"/>
    <n v="42"/>
    <s v="Cash"/>
    <s v="Monthly"/>
    <m/>
  </r>
  <r>
    <n v="3820"/>
    <x v="24"/>
    <x v="1"/>
    <s v="Pants"/>
    <s v="Clothing"/>
    <n v="99"/>
    <x v="10"/>
    <s v="S"/>
    <s v="Gold"/>
    <s v="Spring"/>
    <n v="2.9"/>
    <s v="No"/>
    <s v="No"/>
    <n v="45"/>
    <s v="Cash"/>
    <s v="Quarterly"/>
    <m/>
  </r>
  <r>
    <n v="3821"/>
    <x v="50"/>
    <x v="1"/>
    <s v="Belt"/>
    <s v="Accessories"/>
    <n v="65"/>
    <x v="13"/>
    <s v="M"/>
    <s v="Purple"/>
    <s v="Winter"/>
    <n v="5"/>
    <s v="No"/>
    <s v="No"/>
    <n v="34"/>
    <s v="Debit Card"/>
    <s v="Quarterly"/>
    <m/>
  </r>
  <r>
    <n v="3822"/>
    <x v="30"/>
    <x v="1"/>
    <s v="Sneakers"/>
    <s v="Footwear"/>
    <n v="48"/>
    <x v="4"/>
    <s v="M"/>
    <s v="Gold"/>
    <s v="Summer"/>
    <n v="4.5999999999999996"/>
    <s v="No"/>
    <s v="No"/>
    <n v="34"/>
    <s v="Credit Card"/>
    <s v="Every 3 Months"/>
    <m/>
  </r>
  <r>
    <n v="3823"/>
    <x v="27"/>
    <x v="1"/>
    <s v="Hat"/>
    <s v="Accessories"/>
    <n v="41"/>
    <x v="23"/>
    <s v="S"/>
    <s v="Gold"/>
    <s v="Spring"/>
    <n v="3.2"/>
    <s v="No"/>
    <s v="No"/>
    <n v="17"/>
    <s v="PayPal"/>
    <s v="Every 3 Months"/>
    <m/>
  </r>
  <r>
    <n v="3824"/>
    <x v="2"/>
    <x v="1"/>
    <s v="Shirt"/>
    <s v="Clothing"/>
    <n v="42"/>
    <x v="18"/>
    <s v="M"/>
    <s v="Gold"/>
    <s v="Summer"/>
    <n v="3"/>
    <s v="No"/>
    <s v="No"/>
    <n v="27"/>
    <s v="Bank Transfer"/>
    <s v="Weekly"/>
    <m/>
  </r>
  <r>
    <n v="3825"/>
    <x v="22"/>
    <x v="1"/>
    <s v="Shorts"/>
    <s v="Clothing"/>
    <n v="26"/>
    <x v="42"/>
    <s v="M"/>
    <s v="Olive"/>
    <s v="Summer"/>
    <n v="4"/>
    <s v="No"/>
    <s v="No"/>
    <n v="31"/>
    <s v="Credit Card"/>
    <s v="Quarterly"/>
    <m/>
  </r>
  <r>
    <n v="3826"/>
    <x v="34"/>
    <x v="1"/>
    <s v="Shorts"/>
    <s v="Clothing"/>
    <n v="35"/>
    <x v="11"/>
    <s v="L"/>
    <s v="Green"/>
    <s v="Fall"/>
    <n v="4.0999999999999996"/>
    <s v="No"/>
    <s v="No"/>
    <n v="47"/>
    <s v="Debit Card"/>
    <s v="Fortnightly"/>
    <m/>
  </r>
  <r>
    <n v="3827"/>
    <x v="2"/>
    <x v="1"/>
    <s v="Jacket"/>
    <s v="Outerwear"/>
    <n v="31"/>
    <x v="6"/>
    <s v="M"/>
    <s v="Gray"/>
    <s v="Summer"/>
    <n v="4"/>
    <s v="No"/>
    <s v="No"/>
    <n v="25"/>
    <s v="Bank Transfer"/>
    <s v="Annually"/>
    <m/>
  </r>
  <r>
    <n v="3828"/>
    <x v="46"/>
    <x v="1"/>
    <s v="Jewelry"/>
    <s v="Accessories"/>
    <n v="73"/>
    <x v="6"/>
    <s v="M"/>
    <s v="Red"/>
    <s v="Summer"/>
    <n v="4.0999999999999996"/>
    <s v="No"/>
    <s v="No"/>
    <n v="47"/>
    <s v="Cash"/>
    <s v="Fortnightly"/>
    <m/>
  </r>
  <r>
    <n v="3829"/>
    <x v="32"/>
    <x v="1"/>
    <s v="Blouse"/>
    <s v="Clothing"/>
    <n v="82"/>
    <x v="16"/>
    <s v="M"/>
    <s v="Charcoal"/>
    <s v="Spring"/>
    <n v="3.4"/>
    <s v="No"/>
    <s v="No"/>
    <n v="8"/>
    <s v="Cash"/>
    <s v="Weekly"/>
    <m/>
  </r>
  <r>
    <n v="3830"/>
    <x v="28"/>
    <x v="1"/>
    <s v="Pants"/>
    <s v="Clothing"/>
    <n v="32"/>
    <x v="47"/>
    <s v="M"/>
    <s v="Indigo"/>
    <s v="Spring"/>
    <n v="2.9"/>
    <s v="No"/>
    <s v="No"/>
    <n v="32"/>
    <s v="Debit Card"/>
    <s v="Fortnightly"/>
    <m/>
  </r>
  <r>
    <n v="3831"/>
    <x v="40"/>
    <x v="1"/>
    <s v="Hat"/>
    <s v="Accessories"/>
    <n v="27"/>
    <x v="38"/>
    <s v="M"/>
    <s v="Indigo"/>
    <s v="Summer"/>
    <n v="3"/>
    <s v="No"/>
    <s v="No"/>
    <n v="33"/>
    <s v="Bank Transfer"/>
    <s v="Every 3 Months"/>
    <m/>
  </r>
  <r>
    <n v="3832"/>
    <x v="24"/>
    <x v="1"/>
    <s v="Backpack"/>
    <s v="Accessories"/>
    <n v="86"/>
    <x v="22"/>
    <s v="L"/>
    <s v="Silver"/>
    <s v="Spring"/>
    <n v="4"/>
    <s v="No"/>
    <s v="No"/>
    <n v="16"/>
    <s v="Debit Card"/>
    <s v="Every 3 Months"/>
    <m/>
  </r>
  <r>
    <n v="3833"/>
    <x v="14"/>
    <x v="1"/>
    <s v="Boots"/>
    <s v="Footwear"/>
    <n v="38"/>
    <x v="23"/>
    <s v="XL"/>
    <s v="Purple"/>
    <s v="Winter"/>
    <n v="4.8"/>
    <s v="No"/>
    <s v="No"/>
    <n v="27"/>
    <s v="Cash"/>
    <s v="Weekly"/>
    <m/>
  </r>
  <r>
    <n v="3834"/>
    <x v="42"/>
    <x v="1"/>
    <s v="Jacket"/>
    <s v="Outerwear"/>
    <n v="93"/>
    <x v="28"/>
    <s v="L"/>
    <s v="Gray"/>
    <s v="Summer"/>
    <n v="4.5999999999999996"/>
    <s v="No"/>
    <s v="No"/>
    <n v="17"/>
    <s v="PayPal"/>
    <s v="Every 3 Months"/>
    <m/>
  </r>
  <r>
    <n v="3835"/>
    <x v="49"/>
    <x v="1"/>
    <s v="Hoodie"/>
    <s v="Clothing"/>
    <n v="59"/>
    <x v="30"/>
    <s v="M"/>
    <s v="Magenta"/>
    <s v="Winter"/>
    <n v="4.0999999999999996"/>
    <s v="No"/>
    <s v="No"/>
    <n v="17"/>
    <s v="Cash"/>
    <s v="Quarterly"/>
    <m/>
  </r>
  <r>
    <n v="3836"/>
    <x v="44"/>
    <x v="1"/>
    <s v="Sandals"/>
    <s v="Footwear"/>
    <n v="58"/>
    <x v="38"/>
    <s v="L"/>
    <s v="Silver"/>
    <s v="Winter"/>
    <n v="2.6"/>
    <s v="No"/>
    <s v="No"/>
    <n v="28"/>
    <s v="PayPal"/>
    <s v="Bi-Weekly"/>
    <m/>
  </r>
  <r>
    <n v="3837"/>
    <x v="46"/>
    <x v="1"/>
    <s v="Skirt"/>
    <s v="Clothing"/>
    <n v="84"/>
    <x v="29"/>
    <s v="M"/>
    <s v="Violet"/>
    <s v="Spring"/>
    <n v="2.5"/>
    <s v="No"/>
    <s v="No"/>
    <n v="38"/>
    <s v="PayPal"/>
    <s v="Fortnightly"/>
    <m/>
  </r>
  <r>
    <n v="3838"/>
    <x v="4"/>
    <x v="1"/>
    <s v="Hoodie"/>
    <s v="Clothing"/>
    <n v="100"/>
    <x v="35"/>
    <s v="M"/>
    <s v="Green"/>
    <s v="Spring"/>
    <n v="4.8"/>
    <s v="No"/>
    <s v="No"/>
    <n v="33"/>
    <s v="Bank Transfer"/>
    <s v="Fortnightly"/>
    <m/>
  </r>
  <r>
    <n v="3839"/>
    <x v="36"/>
    <x v="1"/>
    <s v="Dress"/>
    <s v="Clothing"/>
    <n v="25"/>
    <x v="3"/>
    <s v="L"/>
    <s v="Green"/>
    <s v="Summer"/>
    <n v="4.2"/>
    <s v="No"/>
    <s v="No"/>
    <n v="24"/>
    <s v="Venmo"/>
    <s v="Every 3 Months"/>
    <m/>
  </r>
  <r>
    <n v="3840"/>
    <x v="17"/>
    <x v="1"/>
    <s v="Sandals"/>
    <s v="Footwear"/>
    <n v="29"/>
    <x v="39"/>
    <s v="M"/>
    <s v="Peach"/>
    <s v="Spring"/>
    <n v="3.9"/>
    <s v="No"/>
    <s v="No"/>
    <n v="14"/>
    <s v="Venmo"/>
    <s v="Quarterly"/>
    <m/>
  </r>
  <r>
    <n v="3841"/>
    <x v="11"/>
    <x v="1"/>
    <s v="Jeans"/>
    <s v="Clothing"/>
    <n v="42"/>
    <x v="37"/>
    <s v="M"/>
    <s v="Turquoise"/>
    <s v="Spring"/>
    <n v="3.7"/>
    <s v="No"/>
    <s v="No"/>
    <n v="5"/>
    <s v="Venmo"/>
    <s v="Fortnightly"/>
    <m/>
  </r>
  <r>
    <n v="3842"/>
    <x v="33"/>
    <x v="1"/>
    <s v="Jeans"/>
    <s v="Clothing"/>
    <n v="57"/>
    <x v="16"/>
    <s v="L"/>
    <s v="Pink"/>
    <s v="Fall"/>
    <n v="4.2"/>
    <s v="No"/>
    <s v="No"/>
    <n v="8"/>
    <s v="Bank Transfer"/>
    <s v="Monthly"/>
    <m/>
  </r>
  <r>
    <n v="3843"/>
    <x v="25"/>
    <x v="1"/>
    <s v="Jacket"/>
    <s v="Outerwear"/>
    <n v="84"/>
    <x v="24"/>
    <s v="L"/>
    <s v="Lavender"/>
    <s v="Winter"/>
    <n v="4.2"/>
    <s v="No"/>
    <s v="No"/>
    <n v="42"/>
    <s v="Debit Card"/>
    <s v="Monthly"/>
    <m/>
  </r>
  <r>
    <n v="3844"/>
    <x v="14"/>
    <x v="1"/>
    <s v="Hat"/>
    <s v="Accessories"/>
    <n v="71"/>
    <x v="42"/>
    <s v="L"/>
    <s v="Silver"/>
    <s v="Winter"/>
    <n v="4"/>
    <s v="No"/>
    <s v="No"/>
    <n v="48"/>
    <s v="Venmo"/>
    <s v="Every 3 Months"/>
    <m/>
  </r>
  <r>
    <n v="3845"/>
    <x v="11"/>
    <x v="1"/>
    <s v="Shorts"/>
    <s v="Clothing"/>
    <n v="87"/>
    <x v="6"/>
    <s v="S"/>
    <s v="Cyan"/>
    <s v="Fall"/>
    <n v="5"/>
    <s v="No"/>
    <s v="No"/>
    <n v="40"/>
    <s v="Venmo"/>
    <s v="Quarterly"/>
    <m/>
  </r>
  <r>
    <n v="3846"/>
    <x v="44"/>
    <x v="1"/>
    <s v="Sweater"/>
    <s v="Clothing"/>
    <n v="52"/>
    <x v="18"/>
    <s v="M"/>
    <s v="Green"/>
    <s v="Winter"/>
    <n v="4.9000000000000004"/>
    <s v="No"/>
    <s v="No"/>
    <n v="46"/>
    <s v="Venmo"/>
    <s v="Annually"/>
    <m/>
  </r>
  <r>
    <n v="3847"/>
    <x v="9"/>
    <x v="1"/>
    <s v="Blouse"/>
    <s v="Clothing"/>
    <n v="58"/>
    <x v="38"/>
    <s v="L"/>
    <s v="Orange"/>
    <s v="Summer"/>
    <n v="4"/>
    <s v="No"/>
    <s v="No"/>
    <n v="40"/>
    <s v="PayPal"/>
    <s v="Every 3 Months"/>
    <m/>
  </r>
  <r>
    <n v="3848"/>
    <x v="52"/>
    <x v="1"/>
    <s v="Sweater"/>
    <s v="Clothing"/>
    <n v="34"/>
    <x v="12"/>
    <s v="S"/>
    <s v="Blue"/>
    <s v="Fall"/>
    <n v="3.2"/>
    <s v="No"/>
    <s v="No"/>
    <n v="31"/>
    <s v="PayPal"/>
    <s v="Fortnightly"/>
    <m/>
  </r>
  <r>
    <n v="3849"/>
    <x v="40"/>
    <x v="1"/>
    <s v="Jewelry"/>
    <s v="Accessories"/>
    <n v="60"/>
    <x v="13"/>
    <s v="M"/>
    <s v="Magenta"/>
    <s v="Winter"/>
    <n v="3"/>
    <s v="No"/>
    <s v="No"/>
    <n v="39"/>
    <s v="Cash"/>
    <s v="Every 3 Months"/>
    <m/>
  </r>
  <r>
    <n v="3850"/>
    <x v="5"/>
    <x v="1"/>
    <s v="Hoodie"/>
    <s v="Clothing"/>
    <n v="68"/>
    <x v="20"/>
    <s v="S"/>
    <s v="Cyan"/>
    <s v="Winter"/>
    <n v="2.6"/>
    <s v="No"/>
    <s v="No"/>
    <n v="36"/>
    <s v="PayPal"/>
    <s v="Fortnightly"/>
    <m/>
  </r>
  <r>
    <n v="3851"/>
    <x v="7"/>
    <x v="1"/>
    <s v="Jewelry"/>
    <s v="Accessories"/>
    <n v="74"/>
    <x v="16"/>
    <s v="L"/>
    <s v="Indigo"/>
    <s v="Summer"/>
    <n v="4.4000000000000004"/>
    <s v="No"/>
    <s v="No"/>
    <n v="25"/>
    <s v="Debit Card"/>
    <s v="Every 3 Months"/>
    <m/>
  </r>
  <r>
    <n v="3852"/>
    <x v="2"/>
    <x v="1"/>
    <s v="Scarf"/>
    <s v="Accessories"/>
    <n v="83"/>
    <x v="6"/>
    <s v="M"/>
    <s v="Pink"/>
    <s v="Summer"/>
    <n v="3.9"/>
    <s v="No"/>
    <s v="No"/>
    <n v="24"/>
    <s v="Debit Card"/>
    <s v="Annually"/>
    <m/>
  </r>
  <r>
    <n v="3853"/>
    <x v="13"/>
    <x v="1"/>
    <s v="Hat"/>
    <s v="Accessories"/>
    <n v="79"/>
    <x v="16"/>
    <s v="M"/>
    <s v="Peach"/>
    <s v="Fall"/>
    <n v="4"/>
    <s v="No"/>
    <s v="No"/>
    <n v="19"/>
    <s v="PayPal"/>
    <s v="Weekly"/>
    <m/>
  </r>
  <r>
    <n v="3854"/>
    <x v="12"/>
    <x v="1"/>
    <s v="Sunglasses"/>
    <s v="Accessories"/>
    <n v="76"/>
    <x v="30"/>
    <s v="M"/>
    <s v="Lavender"/>
    <s v="Fall"/>
    <n v="4"/>
    <s v="No"/>
    <s v="No"/>
    <n v="49"/>
    <s v="Debit Card"/>
    <s v="Bi-Weekly"/>
    <m/>
  </r>
  <r>
    <n v="3855"/>
    <x v="9"/>
    <x v="1"/>
    <s v="T-shirt"/>
    <s v="Clothing"/>
    <n v="20"/>
    <x v="20"/>
    <s v="M"/>
    <s v="Black"/>
    <s v="Spring"/>
    <n v="4.2"/>
    <s v="No"/>
    <s v="No"/>
    <n v="4"/>
    <s v="Venmo"/>
    <s v="Annually"/>
    <m/>
  </r>
  <r>
    <n v="3856"/>
    <x v="37"/>
    <x v="1"/>
    <s v="Shirt"/>
    <s v="Clothing"/>
    <n v="61"/>
    <x v="26"/>
    <s v="XL"/>
    <s v="Lavender"/>
    <s v="Summer"/>
    <n v="4.4000000000000004"/>
    <s v="No"/>
    <s v="No"/>
    <n v="36"/>
    <s v="Cash"/>
    <s v="Quarterly"/>
    <m/>
  </r>
  <r>
    <n v="3857"/>
    <x v="31"/>
    <x v="1"/>
    <s v="Sandals"/>
    <s v="Footwear"/>
    <n v="78"/>
    <x v="41"/>
    <s v="S"/>
    <s v="Brown"/>
    <s v="Summer"/>
    <n v="2.5"/>
    <s v="No"/>
    <s v="No"/>
    <n v="8"/>
    <s v="Debit Card"/>
    <s v="Quarterly"/>
    <m/>
  </r>
  <r>
    <n v="3858"/>
    <x v="32"/>
    <x v="1"/>
    <s v="Hat"/>
    <s v="Accessories"/>
    <n v="21"/>
    <x v="21"/>
    <s v="S"/>
    <s v="Yellow"/>
    <s v="Summer"/>
    <n v="3.1"/>
    <s v="No"/>
    <s v="No"/>
    <n v="29"/>
    <s v="Credit Card"/>
    <s v="Every 3 Months"/>
    <m/>
  </r>
  <r>
    <n v="3859"/>
    <x v="11"/>
    <x v="1"/>
    <s v="T-shirt"/>
    <s v="Clothing"/>
    <n v="77"/>
    <x v="9"/>
    <s v="M"/>
    <s v="Olive"/>
    <s v="Winter"/>
    <n v="3.5"/>
    <s v="No"/>
    <s v="No"/>
    <n v="26"/>
    <s v="Credit Card"/>
    <s v="Quarterly"/>
    <m/>
  </r>
  <r>
    <n v="3860"/>
    <x v="13"/>
    <x v="1"/>
    <s v="Shorts"/>
    <s v="Clothing"/>
    <n v="88"/>
    <x v="16"/>
    <s v="S"/>
    <s v="Blue"/>
    <s v="Fall"/>
    <n v="3"/>
    <s v="No"/>
    <s v="No"/>
    <n v="47"/>
    <s v="Bank Transfer"/>
    <s v="Bi-Weekly"/>
    <m/>
  </r>
  <r>
    <n v="3861"/>
    <x v="9"/>
    <x v="1"/>
    <s v="Sunglasses"/>
    <s v="Accessories"/>
    <n v="64"/>
    <x v="38"/>
    <s v="M"/>
    <s v="Turquoise"/>
    <s v="Summer"/>
    <n v="4.4000000000000004"/>
    <s v="No"/>
    <s v="No"/>
    <n v="44"/>
    <s v="Cash"/>
    <s v="Annually"/>
    <m/>
  </r>
  <r>
    <n v="3862"/>
    <x v="14"/>
    <x v="1"/>
    <s v="Jacket"/>
    <s v="Outerwear"/>
    <n v="57"/>
    <x v="5"/>
    <s v="M"/>
    <s v="Yellow"/>
    <s v="Spring"/>
    <n v="4.9000000000000004"/>
    <s v="No"/>
    <s v="No"/>
    <n v="49"/>
    <s v="Credit Card"/>
    <s v="Monthly"/>
    <m/>
  </r>
  <r>
    <n v="3863"/>
    <x v="19"/>
    <x v="1"/>
    <s v="Shirt"/>
    <s v="Clothing"/>
    <n v="49"/>
    <x v="37"/>
    <s v="L"/>
    <s v="Turquoise"/>
    <s v="Winter"/>
    <n v="2.8"/>
    <s v="No"/>
    <s v="No"/>
    <n v="9"/>
    <s v="Venmo"/>
    <s v="Monthly"/>
    <m/>
  </r>
  <r>
    <n v="3864"/>
    <x v="37"/>
    <x v="1"/>
    <s v="Scarf"/>
    <s v="Accessories"/>
    <n v="35"/>
    <x v="13"/>
    <s v="M"/>
    <s v="Orange"/>
    <s v="Summer"/>
    <n v="3.3"/>
    <s v="No"/>
    <s v="No"/>
    <n v="28"/>
    <s v="Cash"/>
    <s v="Fortnightly"/>
    <m/>
  </r>
  <r>
    <n v="3865"/>
    <x v="0"/>
    <x v="1"/>
    <s v="T-shirt"/>
    <s v="Clothing"/>
    <n v="99"/>
    <x v="5"/>
    <s v="S"/>
    <s v="Blue"/>
    <s v="Winter"/>
    <n v="4.9000000000000004"/>
    <s v="No"/>
    <s v="No"/>
    <n v="1"/>
    <s v="Debit Card"/>
    <s v="Fortnightly"/>
    <m/>
  </r>
  <r>
    <n v="3866"/>
    <x v="15"/>
    <x v="1"/>
    <s v="Shorts"/>
    <s v="Clothing"/>
    <n v="42"/>
    <x v="43"/>
    <s v="M"/>
    <s v="Olive"/>
    <s v="Spring"/>
    <n v="4.2"/>
    <s v="No"/>
    <s v="No"/>
    <n v="28"/>
    <s v="Cash"/>
    <s v="Every 3 Months"/>
    <m/>
  </r>
  <r>
    <n v="3867"/>
    <x v="44"/>
    <x v="1"/>
    <s v="Hat"/>
    <s v="Accessories"/>
    <n v="32"/>
    <x v="29"/>
    <s v="M"/>
    <s v="Beige"/>
    <s v="Winter"/>
    <n v="3.3"/>
    <s v="No"/>
    <s v="No"/>
    <n v="33"/>
    <s v="Credit Card"/>
    <s v="Fortnightly"/>
    <m/>
  </r>
  <r>
    <n v="3868"/>
    <x v="5"/>
    <x v="1"/>
    <s v="Jacket"/>
    <s v="Outerwear"/>
    <n v="21"/>
    <x v="33"/>
    <s v="L"/>
    <s v="Lavender"/>
    <s v="Summer"/>
    <n v="2.7"/>
    <s v="No"/>
    <s v="No"/>
    <n v="28"/>
    <s v="Credit Card"/>
    <s v="Monthly"/>
    <m/>
  </r>
  <r>
    <n v="3869"/>
    <x v="20"/>
    <x v="1"/>
    <s v="Dress"/>
    <s v="Clothing"/>
    <n v="29"/>
    <x v="33"/>
    <s v="XL"/>
    <s v="Magenta"/>
    <s v="Winter"/>
    <n v="3.3"/>
    <s v="No"/>
    <s v="No"/>
    <n v="9"/>
    <s v="Cash"/>
    <s v="Annually"/>
    <m/>
  </r>
  <r>
    <n v="3870"/>
    <x v="8"/>
    <x v="1"/>
    <s v="Coat"/>
    <s v="Outerwear"/>
    <n v="64"/>
    <x v="28"/>
    <s v="L"/>
    <s v="Cyan"/>
    <s v="Spring"/>
    <n v="3.8"/>
    <s v="No"/>
    <s v="No"/>
    <n v="28"/>
    <s v="Bank Transfer"/>
    <s v="Annually"/>
    <m/>
  </r>
  <r>
    <n v="3871"/>
    <x v="12"/>
    <x v="1"/>
    <s v="Sandals"/>
    <s v="Footwear"/>
    <n v="46"/>
    <x v="31"/>
    <s v="L"/>
    <s v="Lavender"/>
    <s v="Fall"/>
    <n v="3.2"/>
    <s v="No"/>
    <s v="No"/>
    <n v="19"/>
    <s v="Cash"/>
    <s v="Every 3 Months"/>
    <m/>
  </r>
  <r>
    <n v="3872"/>
    <x v="0"/>
    <x v="1"/>
    <s v="T-shirt"/>
    <s v="Clothing"/>
    <n v="97"/>
    <x v="46"/>
    <s v="M"/>
    <s v="Black"/>
    <s v="Fall"/>
    <n v="4.0999999999999996"/>
    <s v="No"/>
    <s v="No"/>
    <n v="20"/>
    <s v="Bank Transfer"/>
    <s v="Every 3 Months"/>
    <m/>
  </r>
  <r>
    <n v="3873"/>
    <x v="38"/>
    <x v="1"/>
    <s v="Jacket"/>
    <s v="Outerwear"/>
    <n v="94"/>
    <x v="13"/>
    <s v="M"/>
    <s v="Green"/>
    <s v="Spring"/>
    <n v="4.3"/>
    <s v="No"/>
    <s v="No"/>
    <n v="3"/>
    <s v="Cash"/>
    <s v="Monthly"/>
    <m/>
  </r>
  <r>
    <n v="3874"/>
    <x v="32"/>
    <x v="1"/>
    <s v="Sandals"/>
    <s v="Footwear"/>
    <n v="43"/>
    <x v="7"/>
    <s v="L"/>
    <s v="Silver"/>
    <s v="Summer"/>
    <n v="4"/>
    <s v="No"/>
    <s v="No"/>
    <n v="22"/>
    <s v="Credit Card"/>
    <s v="Weekly"/>
    <m/>
  </r>
  <r>
    <n v="3875"/>
    <x v="27"/>
    <x v="1"/>
    <s v="Sweater"/>
    <s v="Clothing"/>
    <n v="54"/>
    <x v="22"/>
    <s v="XL"/>
    <s v="Beige"/>
    <s v="Summer"/>
    <n v="3.9"/>
    <s v="No"/>
    <s v="No"/>
    <n v="33"/>
    <s v="Credit Card"/>
    <s v="Bi-Weekly"/>
    <m/>
  </r>
  <r>
    <n v="3876"/>
    <x v="6"/>
    <x v="1"/>
    <s v="Hat"/>
    <s v="Accessories"/>
    <n v="51"/>
    <x v="13"/>
    <s v="M"/>
    <s v="Pink"/>
    <s v="Winter"/>
    <n v="3.3"/>
    <s v="No"/>
    <s v="No"/>
    <n v="21"/>
    <s v="Credit Card"/>
    <s v="Annually"/>
    <m/>
  </r>
  <r>
    <n v="3877"/>
    <x v="52"/>
    <x v="1"/>
    <s v="Shoes"/>
    <s v="Footwear"/>
    <n v="85"/>
    <x v="48"/>
    <s v="S"/>
    <s v="Cyan"/>
    <s v="Fall"/>
    <n v="2.6"/>
    <s v="No"/>
    <s v="No"/>
    <n v="7"/>
    <s v="Cash"/>
    <s v="Annually"/>
    <m/>
  </r>
  <r>
    <n v="3878"/>
    <x v="48"/>
    <x v="1"/>
    <s v="Hoodie"/>
    <s v="Clothing"/>
    <n v="96"/>
    <x v="22"/>
    <s v="M"/>
    <s v="Olive"/>
    <s v="Spring"/>
    <n v="4.2"/>
    <s v="No"/>
    <s v="No"/>
    <n v="46"/>
    <s v="Debit Card"/>
    <s v="Monthly"/>
    <m/>
  </r>
  <r>
    <n v="3879"/>
    <x v="52"/>
    <x v="1"/>
    <s v="Hat"/>
    <s v="Accessories"/>
    <n v="42"/>
    <x v="36"/>
    <s v="M"/>
    <s v="Pink"/>
    <s v="Summer"/>
    <n v="3.4"/>
    <s v="No"/>
    <s v="No"/>
    <n v="24"/>
    <s v="Credit Card"/>
    <s v="Annually"/>
    <m/>
  </r>
  <r>
    <n v="3880"/>
    <x v="8"/>
    <x v="1"/>
    <s v="Skirt"/>
    <s v="Clothing"/>
    <n v="63"/>
    <x v="20"/>
    <s v="L"/>
    <s v="Maroon"/>
    <s v="Winter"/>
    <n v="4.0999999999999996"/>
    <s v="No"/>
    <s v="No"/>
    <n v="6"/>
    <s v="Debit Card"/>
    <s v="Quarterly"/>
    <m/>
  </r>
  <r>
    <n v="3881"/>
    <x v="32"/>
    <x v="1"/>
    <s v="Shirt"/>
    <s v="Clothing"/>
    <n v="20"/>
    <x v="2"/>
    <s v="M"/>
    <s v="Red"/>
    <s v="Winter"/>
    <n v="3.9"/>
    <s v="No"/>
    <s v="No"/>
    <n v="40"/>
    <s v="PayPal"/>
    <s v="Monthly"/>
    <m/>
  </r>
  <r>
    <n v="3882"/>
    <x v="19"/>
    <x v="1"/>
    <s v="Scarf"/>
    <s v="Accessories"/>
    <n v="25"/>
    <x v="42"/>
    <s v="L"/>
    <s v="Silver"/>
    <s v="Spring"/>
    <n v="2.8"/>
    <s v="No"/>
    <s v="No"/>
    <n v="17"/>
    <s v="Debit Card"/>
    <s v="Weekly"/>
    <m/>
  </r>
  <r>
    <n v="3883"/>
    <x v="25"/>
    <x v="1"/>
    <s v="Pants"/>
    <s v="Clothing"/>
    <n v="95"/>
    <x v="25"/>
    <s v="L"/>
    <s v="Blue"/>
    <s v="Fall"/>
    <n v="2.6"/>
    <s v="No"/>
    <s v="No"/>
    <n v="24"/>
    <s v="Cash"/>
    <s v="Fortnightly"/>
    <m/>
  </r>
  <r>
    <n v="3884"/>
    <x v="50"/>
    <x v="1"/>
    <s v="Hat"/>
    <s v="Accessories"/>
    <n v="38"/>
    <x v="25"/>
    <s v="XL"/>
    <s v="Purple"/>
    <s v="Fall"/>
    <n v="4"/>
    <s v="No"/>
    <s v="No"/>
    <n v="22"/>
    <s v="Cash"/>
    <s v="Fortnightly"/>
    <m/>
  </r>
  <r>
    <n v="3885"/>
    <x v="36"/>
    <x v="1"/>
    <s v="Sandals"/>
    <s v="Footwear"/>
    <n v="29"/>
    <x v="33"/>
    <s v="M"/>
    <s v="Brown"/>
    <s v="Fall"/>
    <n v="4.9000000000000004"/>
    <s v="No"/>
    <s v="No"/>
    <n v="3"/>
    <s v="PayPal"/>
    <s v="Weekly"/>
    <m/>
  </r>
  <r>
    <n v="3886"/>
    <x v="34"/>
    <x v="1"/>
    <s v="Socks"/>
    <s v="Clothing"/>
    <n v="64"/>
    <x v="35"/>
    <s v="L"/>
    <s v="Purple"/>
    <s v="Winter"/>
    <n v="3.2"/>
    <s v="No"/>
    <s v="No"/>
    <n v="39"/>
    <s v="Cash"/>
    <s v="Quarterly"/>
    <m/>
  </r>
  <r>
    <n v="3887"/>
    <x v="43"/>
    <x v="1"/>
    <s v="Jewelry"/>
    <s v="Accessories"/>
    <n v="92"/>
    <x v="44"/>
    <s v="S"/>
    <s v="Brown"/>
    <s v="Summer"/>
    <n v="3.9"/>
    <s v="No"/>
    <s v="No"/>
    <n v="40"/>
    <s v="Debit Card"/>
    <s v="Quarterly"/>
    <m/>
  </r>
  <r>
    <n v="3888"/>
    <x v="37"/>
    <x v="1"/>
    <s v="Shirt"/>
    <s v="Clothing"/>
    <n v="34"/>
    <x v="23"/>
    <s v="M"/>
    <s v="Charcoal"/>
    <s v="Spring"/>
    <n v="2.7"/>
    <s v="No"/>
    <s v="No"/>
    <n v="1"/>
    <s v="Credit Card"/>
    <s v="Quarterly"/>
    <m/>
  </r>
  <r>
    <n v="3889"/>
    <x v="4"/>
    <x v="1"/>
    <s v="Sneakers"/>
    <s v="Footwear"/>
    <n v="69"/>
    <x v="41"/>
    <s v="M"/>
    <s v="Violet"/>
    <s v="Spring"/>
    <n v="3.4"/>
    <s v="No"/>
    <s v="No"/>
    <n v="14"/>
    <s v="Venmo"/>
    <s v="Bi-Weekly"/>
    <m/>
  </r>
  <r>
    <n v="3890"/>
    <x v="9"/>
    <x v="1"/>
    <s v="Dress"/>
    <s v="Clothing"/>
    <n v="65"/>
    <x v="29"/>
    <s v="S"/>
    <s v="Yellow"/>
    <s v="Spring"/>
    <n v="3.5"/>
    <s v="No"/>
    <s v="No"/>
    <n v="49"/>
    <s v="Bank Transfer"/>
    <s v="Annually"/>
    <m/>
  </r>
  <r>
    <n v="3891"/>
    <x v="25"/>
    <x v="1"/>
    <s v="Shirt"/>
    <s v="Clothing"/>
    <n v="81"/>
    <x v="43"/>
    <s v="XL"/>
    <s v="Green"/>
    <s v="Winter"/>
    <n v="2.6"/>
    <s v="No"/>
    <s v="No"/>
    <n v="33"/>
    <s v="Debit Card"/>
    <s v="Annually"/>
    <m/>
  </r>
  <r>
    <n v="3892"/>
    <x v="24"/>
    <x v="1"/>
    <s v="Dress"/>
    <s v="Clothing"/>
    <n v="30"/>
    <x v="24"/>
    <s v="L"/>
    <s v="Peach"/>
    <s v="Winter"/>
    <n v="4.7"/>
    <s v="No"/>
    <s v="No"/>
    <n v="6"/>
    <s v="Bank Transfer"/>
    <s v="Quarterly"/>
    <m/>
  </r>
  <r>
    <n v="3893"/>
    <x v="25"/>
    <x v="1"/>
    <s v="Jewelry"/>
    <s v="Accessories"/>
    <n v="86"/>
    <x v="49"/>
    <s v="L"/>
    <s v="Indigo"/>
    <s v="Summer"/>
    <n v="3.5"/>
    <s v="No"/>
    <s v="No"/>
    <n v="5"/>
    <s v="PayPal"/>
    <s v="Fortnightly"/>
    <m/>
  </r>
  <r>
    <n v="3894"/>
    <x v="3"/>
    <x v="1"/>
    <s v="Hat"/>
    <s v="Accessories"/>
    <n v="64"/>
    <x v="2"/>
    <s v="L"/>
    <s v="White"/>
    <s v="Fall"/>
    <n v="3.3"/>
    <s v="No"/>
    <s v="No"/>
    <n v="29"/>
    <s v="Bank Transfer"/>
    <s v="Bi-Weekly"/>
    <m/>
  </r>
  <r>
    <n v="3895"/>
    <x v="17"/>
    <x v="1"/>
    <s v="Skirt"/>
    <s v="Clothing"/>
    <n v="78"/>
    <x v="39"/>
    <s v="L"/>
    <s v="White"/>
    <s v="Spring"/>
    <n v="3.9"/>
    <s v="No"/>
    <s v="No"/>
    <n v="44"/>
    <s v="Credit Card"/>
    <s v="Every 3 Months"/>
    <m/>
  </r>
  <r>
    <n v="3896"/>
    <x v="37"/>
    <x v="1"/>
    <s v="Hoodie"/>
    <s v="Clothing"/>
    <n v="28"/>
    <x v="41"/>
    <s v="L"/>
    <s v="Turquoise"/>
    <s v="Summer"/>
    <n v="4.2"/>
    <s v="No"/>
    <s v="No"/>
    <n v="32"/>
    <s v="Venmo"/>
    <s v="Weekly"/>
    <m/>
  </r>
  <r>
    <n v="3897"/>
    <x v="16"/>
    <x v="1"/>
    <s v="Backpack"/>
    <s v="Accessories"/>
    <n v="49"/>
    <x v="44"/>
    <s v="L"/>
    <s v="White"/>
    <s v="Spring"/>
    <n v="4.5"/>
    <s v="No"/>
    <s v="No"/>
    <n v="41"/>
    <s v="Bank Transfer"/>
    <s v="Bi-Weekly"/>
    <m/>
  </r>
  <r>
    <n v="3898"/>
    <x v="5"/>
    <x v="1"/>
    <s v="Belt"/>
    <s v="Accessories"/>
    <n v="33"/>
    <x v="32"/>
    <s v="L"/>
    <s v="Green"/>
    <s v="Spring"/>
    <n v="2.9"/>
    <s v="No"/>
    <s v="No"/>
    <n v="24"/>
    <s v="Venmo"/>
    <s v="Quarterly"/>
    <m/>
  </r>
  <r>
    <n v="3899"/>
    <x v="42"/>
    <x v="1"/>
    <s v="Shoes"/>
    <s v="Footwear"/>
    <n v="77"/>
    <x v="46"/>
    <s v="S"/>
    <s v="Brown"/>
    <s v="Summer"/>
    <n v="3.8"/>
    <s v="No"/>
    <s v="No"/>
    <n v="24"/>
    <s v="Venmo"/>
    <s v="Weekly"/>
    <m/>
  </r>
  <r>
    <n v="3900"/>
    <x v="16"/>
    <x v="1"/>
    <s v="Handbag"/>
    <s v="Accessories"/>
    <n v="81"/>
    <x v="18"/>
    <s v="M"/>
    <s v="Beige"/>
    <s v="Spring"/>
    <n v="3.1"/>
    <s v="No"/>
    <s v="No"/>
    <n v="33"/>
    <s v="Venmo"/>
    <s v="Quarterly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1">
  <r>
    <n v="1"/>
    <n v="55"/>
    <s v="Male"/>
    <x v="0"/>
    <x v="0"/>
    <n v="53"/>
    <s v="Kentucky"/>
    <x v="0"/>
    <x v="0"/>
    <x v="0"/>
    <x v="0"/>
    <x v="0"/>
    <x v="0"/>
    <n v="14"/>
    <x v="0"/>
    <x v="0"/>
    <n v="233081"/>
  </r>
  <r>
    <n v="2"/>
    <n v="19"/>
    <s v="Male"/>
    <x v="1"/>
    <x v="0"/>
    <n v="64"/>
    <s v="Maine"/>
    <x v="0"/>
    <x v="1"/>
    <x v="0"/>
    <x v="0"/>
    <x v="0"/>
    <x v="0"/>
    <n v="2"/>
    <x v="1"/>
    <x v="0"/>
    <m/>
  </r>
  <r>
    <n v="3"/>
    <n v="50"/>
    <s v="Male"/>
    <x v="2"/>
    <x v="0"/>
    <n v="73"/>
    <s v="Massachusetts"/>
    <x v="1"/>
    <x v="1"/>
    <x v="1"/>
    <x v="0"/>
    <x v="0"/>
    <x v="0"/>
    <n v="23"/>
    <x v="2"/>
    <x v="1"/>
    <m/>
  </r>
  <r>
    <n v="4"/>
    <n v="21"/>
    <s v="Male"/>
    <x v="3"/>
    <x v="1"/>
    <n v="90"/>
    <s v="Rhode Island"/>
    <x v="2"/>
    <x v="1"/>
    <x v="1"/>
    <x v="0"/>
    <x v="0"/>
    <x v="0"/>
    <n v="49"/>
    <x v="3"/>
    <x v="1"/>
    <m/>
  </r>
  <r>
    <n v="5"/>
    <n v="45"/>
    <s v="Male"/>
    <x v="0"/>
    <x v="0"/>
    <n v="49"/>
    <s v="Oregon"/>
    <x v="2"/>
    <x v="2"/>
    <x v="1"/>
    <x v="0"/>
    <x v="0"/>
    <x v="0"/>
    <n v="31"/>
    <x v="3"/>
    <x v="2"/>
    <m/>
  </r>
  <r>
    <n v="6"/>
    <n v="46"/>
    <s v="Male"/>
    <x v="4"/>
    <x v="1"/>
    <n v="20"/>
    <s v="Wyoming"/>
    <x v="2"/>
    <x v="3"/>
    <x v="2"/>
    <x v="0"/>
    <x v="0"/>
    <x v="0"/>
    <n v="14"/>
    <x v="0"/>
    <x v="1"/>
    <m/>
  </r>
  <r>
    <n v="7"/>
    <n v="63"/>
    <s v="Male"/>
    <x v="5"/>
    <x v="0"/>
    <n v="85"/>
    <s v="Montana"/>
    <x v="2"/>
    <x v="0"/>
    <x v="3"/>
    <x v="0"/>
    <x v="0"/>
    <x v="0"/>
    <n v="49"/>
    <x v="1"/>
    <x v="3"/>
    <m/>
  </r>
  <r>
    <n v="8"/>
    <n v="27"/>
    <s v="Male"/>
    <x v="6"/>
    <x v="0"/>
    <n v="34"/>
    <s v="Louisiana"/>
    <x v="0"/>
    <x v="4"/>
    <x v="0"/>
    <x v="0"/>
    <x v="0"/>
    <x v="0"/>
    <n v="19"/>
    <x v="2"/>
    <x v="1"/>
    <m/>
  </r>
  <r>
    <n v="9"/>
    <n v="26"/>
    <s v="Male"/>
    <x v="7"/>
    <x v="2"/>
    <n v="97"/>
    <s v="West Virginia"/>
    <x v="0"/>
    <x v="5"/>
    <x v="2"/>
    <x v="0"/>
    <x v="0"/>
    <x v="0"/>
    <n v="8"/>
    <x v="0"/>
    <x v="2"/>
    <m/>
  </r>
  <r>
    <n v="10"/>
    <n v="57"/>
    <s v="Male"/>
    <x v="8"/>
    <x v="3"/>
    <n v="31"/>
    <s v="Missouri"/>
    <x v="2"/>
    <x v="6"/>
    <x v="1"/>
    <x v="0"/>
    <x v="0"/>
    <x v="0"/>
    <n v="4"/>
    <x v="1"/>
    <x v="3"/>
    <m/>
  </r>
  <r>
    <n v="11"/>
    <n v="53"/>
    <s v="Male"/>
    <x v="9"/>
    <x v="1"/>
    <n v="34"/>
    <s v="Arkansas"/>
    <x v="0"/>
    <x v="7"/>
    <x v="3"/>
    <x v="0"/>
    <x v="0"/>
    <x v="0"/>
    <n v="26"/>
    <x v="4"/>
    <x v="4"/>
    <m/>
  </r>
  <r>
    <n v="12"/>
    <n v="30"/>
    <s v="Male"/>
    <x v="6"/>
    <x v="0"/>
    <n v="68"/>
    <s v="Hawaii"/>
    <x v="1"/>
    <x v="8"/>
    <x v="0"/>
    <x v="0"/>
    <x v="0"/>
    <x v="0"/>
    <n v="10"/>
    <x v="4"/>
    <x v="0"/>
    <m/>
  </r>
  <r>
    <n v="13"/>
    <n v="61"/>
    <s v="Male"/>
    <x v="7"/>
    <x v="2"/>
    <n v="72"/>
    <s v="Delaware"/>
    <x v="2"/>
    <x v="9"/>
    <x v="0"/>
    <x v="0"/>
    <x v="0"/>
    <x v="0"/>
    <n v="37"/>
    <x v="0"/>
    <x v="0"/>
    <m/>
  </r>
  <r>
    <n v="14"/>
    <n v="65"/>
    <s v="Male"/>
    <x v="10"/>
    <x v="0"/>
    <n v="51"/>
    <s v="New Hampshire"/>
    <x v="2"/>
    <x v="10"/>
    <x v="1"/>
    <x v="0"/>
    <x v="0"/>
    <x v="0"/>
    <n v="31"/>
    <x v="3"/>
    <x v="1"/>
    <m/>
  </r>
  <r>
    <n v="15"/>
    <n v="64"/>
    <s v="Male"/>
    <x v="7"/>
    <x v="2"/>
    <n v="53"/>
    <s v="New York"/>
    <x v="0"/>
    <x v="11"/>
    <x v="0"/>
    <x v="0"/>
    <x v="0"/>
    <x v="0"/>
    <n v="34"/>
    <x v="5"/>
    <x v="1"/>
    <m/>
  </r>
  <r>
    <n v="16"/>
    <n v="64"/>
    <s v="Male"/>
    <x v="11"/>
    <x v="0"/>
    <n v="81"/>
    <s v="Rhode Island"/>
    <x v="2"/>
    <x v="11"/>
    <x v="0"/>
    <x v="0"/>
    <x v="0"/>
    <x v="0"/>
    <n v="8"/>
    <x v="3"/>
    <x v="5"/>
    <m/>
  </r>
  <r>
    <n v="17"/>
    <n v="25"/>
    <s v="Male"/>
    <x v="12"/>
    <x v="3"/>
    <n v="36"/>
    <s v="Alabama"/>
    <x v="1"/>
    <x v="0"/>
    <x v="1"/>
    <x v="0"/>
    <x v="0"/>
    <x v="0"/>
    <n v="44"/>
    <x v="5"/>
    <x v="4"/>
    <m/>
  </r>
  <r>
    <n v="18"/>
    <n v="53"/>
    <s v="Male"/>
    <x v="10"/>
    <x v="0"/>
    <n v="38"/>
    <s v="Mississippi"/>
    <x v="3"/>
    <x v="12"/>
    <x v="0"/>
    <x v="0"/>
    <x v="0"/>
    <x v="0"/>
    <n v="36"/>
    <x v="0"/>
    <x v="3"/>
    <m/>
  </r>
  <r>
    <n v="19"/>
    <n v="52"/>
    <s v="Male"/>
    <x v="1"/>
    <x v="0"/>
    <n v="48"/>
    <s v="Montana"/>
    <x v="1"/>
    <x v="13"/>
    <x v="2"/>
    <x v="0"/>
    <x v="0"/>
    <x v="0"/>
    <n v="17"/>
    <x v="1"/>
    <x v="1"/>
    <m/>
  </r>
  <r>
    <n v="20"/>
    <n v="66"/>
    <s v="Male"/>
    <x v="13"/>
    <x v="0"/>
    <n v="90"/>
    <s v="Rhode Island"/>
    <x v="2"/>
    <x v="14"/>
    <x v="2"/>
    <x v="0"/>
    <x v="0"/>
    <x v="0"/>
    <n v="46"/>
    <x v="5"/>
    <x v="4"/>
    <m/>
  </r>
  <r>
    <n v="21"/>
    <n v="21"/>
    <s v="Male"/>
    <x v="13"/>
    <x v="0"/>
    <n v="51"/>
    <s v="Louisiana"/>
    <x v="2"/>
    <x v="13"/>
    <x v="0"/>
    <x v="0"/>
    <x v="0"/>
    <x v="0"/>
    <n v="50"/>
    <x v="1"/>
    <x v="6"/>
    <m/>
  </r>
  <r>
    <n v="22"/>
    <n v="31"/>
    <s v="Male"/>
    <x v="13"/>
    <x v="0"/>
    <n v="62"/>
    <s v="North Carolina"/>
    <x v="2"/>
    <x v="4"/>
    <x v="0"/>
    <x v="0"/>
    <x v="0"/>
    <x v="0"/>
    <n v="22"/>
    <x v="5"/>
    <x v="3"/>
    <m/>
  </r>
  <r>
    <n v="23"/>
    <n v="56"/>
    <s v="Male"/>
    <x v="13"/>
    <x v="0"/>
    <n v="37"/>
    <s v="California"/>
    <x v="2"/>
    <x v="15"/>
    <x v="2"/>
    <x v="0"/>
    <x v="0"/>
    <x v="0"/>
    <n v="32"/>
    <x v="5"/>
    <x v="2"/>
    <m/>
  </r>
  <r>
    <n v="24"/>
    <n v="31"/>
    <s v="Male"/>
    <x v="13"/>
    <x v="0"/>
    <n v="88"/>
    <s v="Oklahoma"/>
    <x v="3"/>
    <x v="3"/>
    <x v="0"/>
    <x v="0"/>
    <x v="0"/>
    <x v="0"/>
    <n v="40"/>
    <x v="2"/>
    <x v="1"/>
    <m/>
  </r>
  <r>
    <n v="25"/>
    <n v="18"/>
    <s v="Male"/>
    <x v="14"/>
    <x v="2"/>
    <n v="22"/>
    <s v="Florida"/>
    <x v="2"/>
    <x v="14"/>
    <x v="3"/>
    <x v="0"/>
    <x v="0"/>
    <x v="0"/>
    <n v="16"/>
    <x v="5"/>
    <x v="1"/>
    <m/>
  </r>
  <r>
    <n v="26"/>
    <n v="18"/>
    <s v="Male"/>
    <x v="15"/>
    <x v="0"/>
    <n v="25"/>
    <s v="Texas"/>
    <x v="2"/>
    <x v="5"/>
    <x v="2"/>
    <x v="0"/>
    <x v="0"/>
    <x v="0"/>
    <n v="14"/>
    <x v="3"/>
    <x v="2"/>
    <m/>
  </r>
  <r>
    <n v="27"/>
    <n v="38"/>
    <s v="Male"/>
    <x v="16"/>
    <x v="3"/>
    <n v="20"/>
    <s v="Nevada"/>
    <x v="2"/>
    <x v="16"/>
    <x v="1"/>
    <x v="0"/>
    <x v="0"/>
    <x v="0"/>
    <n v="13"/>
    <x v="2"/>
    <x v="2"/>
    <m/>
  </r>
  <r>
    <n v="28"/>
    <n v="56"/>
    <s v="Male"/>
    <x v="6"/>
    <x v="0"/>
    <n v="56"/>
    <s v="Kentucky"/>
    <x v="0"/>
    <x v="17"/>
    <x v="2"/>
    <x v="0"/>
    <x v="0"/>
    <x v="0"/>
    <n v="7"/>
    <x v="4"/>
    <x v="6"/>
    <m/>
  </r>
  <r>
    <n v="29"/>
    <n v="54"/>
    <s v="Male"/>
    <x v="8"/>
    <x v="3"/>
    <n v="94"/>
    <s v="North Carolina"/>
    <x v="2"/>
    <x v="0"/>
    <x v="3"/>
    <x v="0"/>
    <x v="0"/>
    <x v="0"/>
    <n v="41"/>
    <x v="3"/>
    <x v="6"/>
    <m/>
  </r>
  <r>
    <n v="30"/>
    <n v="31"/>
    <s v="Male"/>
    <x v="10"/>
    <x v="0"/>
    <n v="48"/>
    <s v="Wyoming"/>
    <x v="1"/>
    <x v="13"/>
    <x v="3"/>
    <x v="0"/>
    <x v="0"/>
    <x v="0"/>
    <n v="14"/>
    <x v="2"/>
    <x v="1"/>
    <m/>
  </r>
  <r>
    <n v="31"/>
    <n v="57"/>
    <s v="Male"/>
    <x v="16"/>
    <x v="3"/>
    <n v="31"/>
    <s v="North Carolina"/>
    <x v="0"/>
    <x v="13"/>
    <x v="0"/>
    <x v="0"/>
    <x v="0"/>
    <x v="0"/>
    <n v="16"/>
    <x v="2"/>
    <x v="5"/>
    <m/>
  </r>
  <r>
    <n v="32"/>
    <n v="33"/>
    <s v="Male"/>
    <x v="10"/>
    <x v="0"/>
    <n v="79"/>
    <s v="West Virginia"/>
    <x v="0"/>
    <x v="18"/>
    <x v="0"/>
    <x v="0"/>
    <x v="0"/>
    <x v="0"/>
    <n v="45"/>
    <x v="0"/>
    <x v="5"/>
    <m/>
  </r>
  <r>
    <n v="33"/>
    <n v="36"/>
    <s v="Male"/>
    <x v="14"/>
    <x v="2"/>
    <n v="67"/>
    <s v="Kansas"/>
    <x v="2"/>
    <x v="5"/>
    <x v="2"/>
    <x v="0"/>
    <x v="0"/>
    <x v="0"/>
    <n v="37"/>
    <x v="0"/>
    <x v="2"/>
    <m/>
  </r>
  <r>
    <n v="34"/>
    <n v="54"/>
    <s v="Male"/>
    <x v="13"/>
    <x v="0"/>
    <n v="38"/>
    <s v="Colorado"/>
    <x v="0"/>
    <x v="14"/>
    <x v="2"/>
    <x v="0"/>
    <x v="0"/>
    <x v="0"/>
    <n v="45"/>
    <x v="1"/>
    <x v="3"/>
    <m/>
  </r>
  <r>
    <n v="35"/>
    <n v="36"/>
    <s v="Male"/>
    <x v="17"/>
    <x v="0"/>
    <n v="91"/>
    <s v="North Dakota"/>
    <x v="0"/>
    <x v="10"/>
    <x v="1"/>
    <x v="0"/>
    <x v="0"/>
    <x v="0"/>
    <n v="38"/>
    <x v="3"/>
    <x v="3"/>
    <m/>
  </r>
  <r>
    <n v="36"/>
    <n v="54"/>
    <s v="Male"/>
    <x v="0"/>
    <x v="0"/>
    <n v="33"/>
    <s v="Massachusetts"/>
    <x v="2"/>
    <x v="17"/>
    <x v="2"/>
    <x v="0"/>
    <x v="0"/>
    <x v="0"/>
    <n v="48"/>
    <x v="2"/>
    <x v="4"/>
    <m/>
  </r>
  <r>
    <n v="37"/>
    <n v="35"/>
    <s v="Male"/>
    <x v="17"/>
    <x v="0"/>
    <n v="69"/>
    <s v="Illinois"/>
    <x v="2"/>
    <x v="1"/>
    <x v="0"/>
    <x v="0"/>
    <x v="0"/>
    <x v="0"/>
    <n v="44"/>
    <x v="3"/>
    <x v="0"/>
    <m/>
  </r>
  <r>
    <n v="38"/>
    <n v="35"/>
    <s v="Male"/>
    <x v="2"/>
    <x v="0"/>
    <n v="45"/>
    <s v="Indiana"/>
    <x v="1"/>
    <x v="17"/>
    <x v="2"/>
    <x v="0"/>
    <x v="0"/>
    <x v="0"/>
    <n v="10"/>
    <x v="3"/>
    <x v="1"/>
    <m/>
  </r>
  <r>
    <n v="39"/>
    <n v="29"/>
    <s v="Male"/>
    <x v="10"/>
    <x v="0"/>
    <n v="37"/>
    <s v="Florida"/>
    <x v="2"/>
    <x v="16"/>
    <x v="0"/>
    <x v="0"/>
    <x v="0"/>
    <x v="0"/>
    <n v="44"/>
    <x v="0"/>
    <x v="6"/>
    <m/>
  </r>
  <r>
    <n v="40"/>
    <n v="70"/>
    <s v="Male"/>
    <x v="13"/>
    <x v="0"/>
    <n v="60"/>
    <s v="Arizona"/>
    <x v="1"/>
    <x v="2"/>
    <x v="2"/>
    <x v="0"/>
    <x v="0"/>
    <x v="0"/>
    <n v="18"/>
    <x v="2"/>
    <x v="5"/>
    <m/>
  </r>
  <r>
    <n v="41"/>
    <n v="69"/>
    <s v="Male"/>
    <x v="8"/>
    <x v="3"/>
    <n v="76"/>
    <s v="Louisiana"/>
    <x v="0"/>
    <x v="19"/>
    <x v="0"/>
    <x v="0"/>
    <x v="0"/>
    <x v="0"/>
    <n v="31"/>
    <x v="5"/>
    <x v="3"/>
    <m/>
  </r>
  <r>
    <n v="42"/>
    <n v="67"/>
    <s v="Male"/>
    <x v="18"/>
    <x v="3"/>
    <n v="39"/>
    <s v="Alaska"/>
    <x v="2"/>
    <x v="20"/>
    <x v="1"/>
    <x v="0"/>
    <x v="0"/>
    <x v="0"/>
    <n v="40"/>
    <x v="0"/>
    <x v="2"/>
    <m/>
  </r>
  <r>
    <n v="43"/>
    <n v="20"/>
    <s v="Male"/>
    <x v="7"/>
    <x v="2"/>
    <n v="100"/>
    <s v="Tennessee"/>
    <x v="2"/>
    <x v="19"/>
    <x v="1"/>
    <x v="0"/>
    <x v="0"/>
    <x v="0"/>
    <n v="15"/>
    <x v="3"/>
    <x v="2"/>
    <m/>
  </r>
  <r>
    <n v="44"/>
    <n v="25"/>
    <s v="Male"/>
    <x v="18"/>
    <x v="3"/>
    <n v="69"/>
    <s v="Ohio"/>
    <x v="0"/>
    <x v="12"/>
    <x v="3"/>
    <x v="0"/>
    <x v="0"/>
    <x v="0"/>
    <n v="19"/>
    <x v="3"/>
    <x v="0"/>
    <m/>
  </r>
  <r>
    <n v="45"/>
    <n v="39"/>
    <s v="Male"/>
    <x v="19"/>
    <x v="3"/>
    <n v="53"/>
    <s v="Kentucky"/>
    <x v="1"/>
    <x v="5"/>
    <x v="2"/>
    <x v="0"/>
    <x v="0"/>
    <x v="0"/>
    <n v="45"/>
    <x v="3"/>
    <x v="1"/>
    <m/>
  </r>
  <r>
    <n v="46"/>
    <n v="50"/>
    <s v="Male"/>
    <x v="20"/>
    <x v="0"/>
    <n v="21"/>
    <s v="Tennessee"/>
    <x v="3"/>
    <x v="21"/>
    <x v="3"/>
    <x v="0"/>
    <x v="0"/>
    <x v="0"/>
    <n v="25"/>
    <x v="3"/>
    <x v="2"/>
    <m/>
  </r>
  <r>
    <n v="47"/>
    <n v="57"/>
    <s v="Male"/>
    <x v="5"/>
    <x v="0"/>
    <n v="43"/>
    <s v="California"/>
    <x v="0"/>
    <x v="3"/>
    <x v="2"/>
    <x v="0"/>
    <x v="0"/>
    <x v="0"/>
    <n v="45"/>
    <x v="1"/>
    <x v="3"/>
    <m/>
  </r>
  <r>
    <n v="48"/>
    <n v="55"/>
    <s v="Male"/>
    <x v="16"/>
    <x v="3"/>
    <n v="54"/>
    <s v="Montana"/>
    <x v="2"/>
    <x v="4"/>
    <x v="0"/>
    <x v="0"/>
    <x v="0"/>
    <x v="0"/>
    <n v="36"/>
    <x v="1"/>
    <x v="1"/>
    <m/>
  </r>
  <r>
    <n v="49"/>
    <n v="42"/>
    <s v="Male"/>
    <x v="5"/>
    <x v="0"/>
    <n v="55"/>
    <s v="Nevada"/>
    <x v="2"/>
    <x v="20"/>
    <x v="2"/>
    <x v="0"/>
    <x v="0"/>
    <x v="0"/>
    <n v="38"/>
    <x v="1"/>
    <x v="5"/>
    <m/>
  </r>
  <r>
    <n v="50"/>
    <n v="68"/>
    <s v="Male"/>
    <x v="15"/>
    <x v="0"/>
    <n v="30"/>
    <s v="New Jersey"/>
    <x v="1"/>
    <x v="21"/>
    <x v="1"/>
    <x v="0"/>
    <x v="0"/>
    <x v="0"/>
    <n v="34"/>
    <x v="5"/>
    <x v="4"/>
    <m/>
  </r>
  <r>
    <n v="51"/>
    <n v="49"/>
    <s v="Male"/>
    <x v="0"/>
    <x v="0"/>
    <n v="28"/>
    <s v="Maryland"/>
    <x v="2"/>
    <x v="16"/>
    <x v="1"/>
    <x v="0"/>
    <x v="0"/>
    <x v="0"/>
    <n v="39"/>
    <x v="5"/>
    <x v="4"/>
    <m/>
  </r>
  <r>
    <n v="52"/>
    <n v="59"/>
    <s v="Male"/>
    <x v="11"/>
    <x v="0"/>
    <n v="59"/>
    <s v="Vermont"/>
    <x v="3"/>
    <x v="0"/>
    <x v="0"/>
    <x v="0"/>
    <x v="0"/>
    <x v="0"/>
    <n v="7"/>
    <x v="2"/>
    <x v="3"/>
    <m/>
  </r>
  <r>
    <n v="53"/>
    <n v="42"/>
    <s v="Male"/>
    <x v="17"/>
    <x v="0"/>
    <n v="20"/>
    <s v="Alaska"/>
    <x v="2"/>
    <x v="14"/>
    <x v="2"/>
    <x v="0"/>
    <x v="0"/>
    <x v="0"/>
    <n v="26"/>
    <x v="2"/>
    <x v="1"/>
    <m/>
  </r>
  <r>
    <n v="54"/>
    <n v="29"/>
    <s v="Male"/>
    <x v="11"/>
    <x v="0"/>
    <n v="24"/>
    <s v="Mississippi"/>
    <x v="1"/>
    <x v="15"/>
    <x v="0"/>
    <x v="0"/>
    <x v="0"/>
    <x v="0"/>
    <n v="35"/>
    <x v="2"/>
    <x v="1"/>
    <m/>
  </r>
  <r>
    <n v="55"/>
    <n v="47"/>
    <s v="Male"/>
    <x v="7"/>
    <x v="2"/>
    <n v="94"/>
    <s v="New Mexico"/>
    <x v="2"/>
    <x v="18"/>
    <x v="2"/>
    <x v="0"/>
    <x v="0"/>
    <x v="0"/>
    <n v="35"/>
    <x v="5"/>
    <x v="4"/>
    <m/>
  </r>
  <r>
    <n v="56"/>
    <n v="40"/>
    <s v="Male"/>
    <x v="14"/>
    <x v="2"/>
    <n v="28"/>
    <s v="South Carolina"/>
    <x v="2"/>
    <x v="12"/>
    <x v="0"/>
    <x v="0"/>
    <x v="0"/>
    <x v="0"/>
    <n v="49"/>
    <x v="2"/>
    <x v="2"/>
    <m/>
  </r>
  <r>
    <n v="57"/>
    <n v="41"/>
    <s v="Male"/>
    <x v="21"/>
    <x v="3"/>
    <n v="73"/>
    <s v="Mississippi"/>
    <x v="3"/>
    <x v="18"/>
    <x v="2"/>
    <x v="0"/>
    <x v="0"/>
    <x v="0"/>
    <n v="46"/>
    <x v="2"/>
    <x v="1"/>
    <m/>
  </r>
  <r>
    <n v="58"/>
    <n v="21"/>
    <s v="Male"/>
    <x v="7"/>
    <x v="2"/>
    <n v="64"/>
    <s v="West Virginia"/>
    <x v="2"/>
    <x v="3"/>
    <x v="2"/>
    <x v="0"/>
    <x v="0"/>
    <x v="0"/>
    <n v="17"/>
    <x v="5"/>
    <x v="0"/>
    <m/>
  </r>
  <r>
    <n v="59"/>
    <n v="69"/>
    <s v="Male"/>
    <x v="15"/>
    <x v="0"/>
    <n v="54"/>
    <s v="Missouri"/>
    <x v="2"/>
    <x v="4"/>
    <x v="2"/>
    <x v="0"/>
    <x v="0"/>
    <x v="0"/>
    <n v="29"/>
    <x v="0"/>
    <x v="5"/>
    <m/>
  </r>
  <r>
    <n v="60"/>
    <n v="63"/>
    <s v="Male"/>
    <x v="22"/>
    <x v="3"/>
    <n v="79"/>
    <s v="Louisiana"/>
    <x v="0"/>
    <x v="22"/>
    <x v="1"/>
    <x v="0"/>
    <x v="0"/>
    <x v="0"/>
    <n v="4"/>
    <x v="5"/>
    <x v="1"/>
    <m/>
  </r>
  <r>
    <n v="61"/>
    <n v="50"/>
    <s v="Male"/>
    <x v="1"/>
    <x v="0"/>
    <n v="37"/>
    <s v="Idaho"/>
    <x v="0"/>
    <x v="18"/>
    <x v="2"/>
    <x v="0"/>
    <x v="0"/>
    <x v="0"/>
    <n v="17"/>
    <x v="1"/>
    <x v="1"/>
    <m/>
  </r>
  <r>
    <n v="62"/>
    <n v="55"/>
    <s v="Male"/>
    <x v="18"/>
    <x v="3"/>
    <n v="68"/>
    <s v="Texas"/>
    <x v="2"/>
    <x v="20"/>
    <x v="0"/>
    <x v="0"/>
    <x v="0"/>
    <x v="0"/>
    <n v="21"/>
    <x v="2"/>
    <x v="6"/>
    <m/>
  </r>
  <r>
    <n v="63"/>
    <n v="30"/>
    <s v="Male"/>
    <x v="4"/>
    <x v="1"/>
    <n v="21"/>
    <s v="Mississippi"/>
    <x v="1"/>
    <x v="23"/>
    <x v="1"/>
    <x v="0"/>
    <x v="0"/>
    <x v="0"/>
    <n v="31"/>
    <x v="2"/>
    <x v="0"/>
    <m/>
  </r>
  <r>
    <n v="64"/>
    <n v="33"/>
    <s v="Male"/>
    <x v="12"/>
    <x v="3"/>
    <n v="79"/>
    <s v="Arizona"/>
    <x v="0"/>
    <x v="12"/>
    <x v="0"/>
    <x v="0"/>
    <x v="0"/>
    <x v="0"/>
    <n v="43"/>
    <x v="2"/>
    <x v="1"/>
    <m/>
  </r>
  <r>
    <n v="65"/>
    <n v="65"/>
    <s v="Male"/>
    <x v="23"/>
    <x v="1"/>
    <n v="83"/>
    <s v="Alabama"/>
    <x v="1"/>
    <x v="14"/>
    <x v="3"/>
    <x v="0"/>
    <x v="0"/>
    <x v="0"/>
    <n v="18"/>
    <x v="5"/>
    <x v="0"/>
    <m/>
  </r>
  <r>
    <n v="66"/>
    <n v="65"/>
    <s v="Male"/>
    <x v="21"/>
    <x v="3"/>
    <n v="36"/>
    <s v="New Jersey"/>
    <x v="2"/>
    <x v="7"/>
    <x v="1"/>
    <x v="0"/>
    <x v="0"/>
    <x v="0"/>
    <n v="44"/>
    <x v="0"/>
    <x v="6"/>
    <m/>
  </r>
  <r>
    <n v="67"/>
    <n v="31"/>
    <s v="Male"/>
    <x v="0"/>
    <x v="0"/>
    <n v="94"/>
    <s v="Pennsylvania"/>
    <x v="1"/>
    <x v="23"/>
    <x v="0"/>
    <x v="0"/>
    <x v="0"/>
    <x v="0"/>
    <n v="3"/>
    <x v="0"/>
    <x v="6"/>
    <m/>
  </r>
  <r>
    <n v="68"/>
    <n v="45"/>
    <s v="Male"/>
    <x v="7"/>
    <x v="2"/>
    <n v="33"/>
    <s v="Connecticut"/>
    <x v="0"/>
    <x v="0"/>
    <x v="0"/>
    <x v="0"/>
    <x v="0"/>
    <x v="0"/>
    <n v="49"/>
    <x v="5"/>
    <x v="5"/>
    <m/>
  </r>
  <r>
    <n v="69"/>
    <n v="57"/>
    <s v="Male"/>
    <x v="8"/>
    <x v="3"/>
    <n v="46"/>
    <s v="Utah"/>
    <x v="0"/>
    <x v="5"/>
    <x v="2"/>
    <x v="0"/>
    <x v="0"/>
    <x v="0"/>
    <n v="21"/>
    <x v="1"/>
    <x v="6"/>
    <m/>
  </r>
  <r>
    <n v="70"/>
    <n v="48"/>
    <s v="Male"/>
    <x v="22"/>
    <x v="3"/>
    <n v="70"/>
    <s v="Tennessee"/>
    <x v="1"/>
    <x v="17"/>
    <x v="2"/>
    <x v="0"/>
    <x v="0"/>
    <x v="0"/>
    <n v="5"/>
    <x v="1"/>
    <x v="1"/>
    <m/>
  </r>
  <r>
    <n v="71"/>
    <n v="22"/>
    <s v="Male"/>
    <x v="22"/>
    <x v="3"/>
    <n v="29"/>
    <s v="Alabama"/>
    <x v="2"/>
    <x v="23"/>
    <x v="3"/>
    <x v="0"/>
    <x v="0"/>
    <x v="0"/>
    <n v="32"/>
    <x v="5"/>
    <x v="6"/>
    <m/>
  </r>
  <r>
    <n v="72"/>
    <n v="36"/>
    <s v="Male"/>
    <x v="10"/>
    <x v="0"/>
    <n v="48"/>
    <s v="Virginia"/>
    <x v="0"/>
    <x v="9"/>
    <x v="2"/>
    <x v="0"/>
    <x v="0"/>
    <x v="0"/>
    <n v="34"/>
    <x v="4"/>
    <x v="2"/>
    <m/>
  </r>
  <r>
    <n v="73"/>
    <n v="18"/>
    <s v="Male"/>
    <x v="10"/>
    <x v="0"/>
    <n v="26"/>
    <s v="Georgia"/>
    <x v="2"/>
    <x v="8"/>
    <x v="0"/>
    <x v="0"/>
    <x v="0"/>
    <x v="0"/>
    <n v="21"/>
    <x v="4"/>
    <x v="6"/>
    <m/>
  </r>
  <r>
    <n v="74"/>
    <n v="48"/>
    <s v="Male"/>
    <x v="13"/>
    <x v="0"/>
    <n v="85"/>
    <s v="Hawaii"/>
    <x v="2"/>
    <x v="11"/>
    <x v="1"/>
    <x v="0"/>
    <x v="0"/>
    <x v="0"/>
    <n v="43"/>
    <x v="4"/>
    <x v="4"/>
    <m/>
  </r>
  <r>
    <n v="75"/>
    <n v="49"/>
    <s v="Male"/>
    <x v="24"/>
    <x v="3"/>
    <n v="58"/>
    <s v="Indiana"/>
    <x v="0"/>
    <x v="10"/>
    <x v="1"/>
    <x v="0"/>
    <x v="0"/>
    <x v="0"/>
    <n v="3"/>
    <x v="1"/>
    <x v="5"/>
    <m/>
  </r>
  <r>
    <n v="76"/>
    <n v="64"/>
    <s v="Male"/>
    <x v="18"/>
    <x v="3"/>
    <n v="85"/>
    <s v="Utah"/>
    <x v="2"/>
    <x v="24"/>
    <x v="2"/>
    <x v="0"/>
    <x v="0"/>
    <x v="0"/>
    <n v="21"/>
    <x v="2"/>
    <x v="2"/>
    <m/>
  </r>
  <r>
    <n v="77"/>
    <n v="50"/>
    <s v="Male"/>
    <x v="19"/>
    <x v="3"/>
    <n v="43"/>
    <s v="Delaware"/>
    <x v="1"/>
    <x v="11"/>
    <x v="2"/>
    <x v="0"/>
    <x v="0"/>
    <x v="0"/>
    <n v="32"/>
    <x v="0"/>
    <x v="5"/>
    <m/>
  </r>
  <r>
    <n v="78"/>
    <n v="22"/>
    <s v="Male"/>
    <x v="10"/>
    <x v="0"/>
    <n v="53"/>
    <s v="Delaware"/>
    <x v="0"/>
    <x v="9"/>
    <x v="2"/>
    <x v="0"/>
    <x v="0"/>
    <x v="0"/>
    <n v="36"/>
    <x v="5"/>
    <x v="0"/>
    <m/>
  </r>
  <r>
    <n v="79"/>
    <n v="50"/>
    <s v="Male"/>
    <x v="11"/>
    <x v="0"/>
    <n v="91"/>
    <s v="Nebraska"/>
    <x v="2"/>
    <x v="1"/>
    <x v="1"/>
    <x v="0"/>
    <x v="0"/>
    <x v="0"/>
    <n v="50"/>
    <x v="0"/>
    <x v="0"/>
    <m/>
  </r>
  <r>
    <n v="80"/>
    <n v="38"/>
    <s v="Male"/>
    <x v="14"/>
    <x v="2"/>
    <n v="96"/>
    <s v="Iowa"/>
    <x v="2"/>
    <x v="8"/>
    <x v="0"/>
    <x v="0"/>
    <x v="0"/>
    <x v="0"/>
    <n v="43"/>
    <x v="4"/>
    <x v="6"/>
    <m/>
  </r>
  <r>
    <n v="81"/>
    <n v="19"/>
    <s v="Male"/>
    <x v="3"/>
    <x v="1"/>
    <n v="72"/>
    <s v="New York"/>
    <x v="3"/>
    <x v="24"/>
    <x v="2"/>
    <x v="0"/>
    <x v="0"/>
    <x v="0"/>
    <n v="24"/>
    <x v="2"/>
    <x v="6"/>
    <m/>
  </r>
  <r>
    <n v="82"/>
    <n v="67"/>
    <s v="Male"/>
    <x v="9"/>
    <x v="1"/>
    <n v="96"/>
    <s v="Virginia"/>
    <x v="0"/>
    <x v="1"/>
    <x v="2"/>
    <x v="0"/>
    <x v="0"/>
    <x v="0"/>
    <n v="36"/>
    <x v="2"/>
    <x v="6"/>
    <m/>
  </r>
  <r>
    <n v="83"/>
    <n v="19"/>
    <s v="Male"/>
    <x v="13"/>
    <x v="0"/>
    <n v="28"/>
    <s v="Georgia"/>
    <x v="1"/>
    <x v="8"/>
    <x v="1"/>
    <x v="0"/>
    <x v="0"/>
    <x v="0"/>
    <n v="21"/>
    <x v="2"/>
    <x v="6"/>
    <m/>
  </r>
  <r>
    <n v="84"/>
    <n v="36"/>
    <s v="Male"/>
    <x v="10"/>
    <x v="0"/>
    <n v="40"/>
    <s v="Texas"/>
    <x v="2"/>
    <x v="2"/>
    <x v="2"/>
    <x v="0"/>
    <x v="0"/>
    <x v="0"/>
    <n v="34"/>
    <x v="4"/>
    <x v="1"/>
    <m/>
  </r>
  <r>
    <n v="85"/>
    <n v="52"/>
    <s v="Male"/>
    <x v="7"/>
    <x v="2"/>
    <n v="32"/>
    <s v="Arizona"/>
    <x v="1"/>
    <x v="15"/>
    <x v="1"/>
    <x v="0"/>
    <x v="0"/>
    <x v="0"/>
    <n v="42"/>
    <x v="4"/>
    <x v="6"/>
    <m/>
  </r>
  <r>
    <n v="86"/>
    <n v="53"/>
    <s v="Male"/>
    <x v="12"/>
    <x v="3"/>
    <n v="95"/>
    <s v="New Mexico"/>
    <x v="2"/>
    <x v="4"/>
    <x v="0"/>
    <x v="0"/>
    <x v="0"/>
    <x v="0"/>
    <n v="2"/>
    <x v="5"/>
    <x v="4"/>
    <m/>
  </r>
  <r>
    <n v="87"/>
    <n v="24"/>
    <s v="Male"/>
    <x v="15"/>
    <x v="0"/>
    <n v="41"/>
    <s v="Nevada"/>
    <x v="0"/>
    <x v="6"/>
    <x v="1"/>
    <x v="0"/>
    <x v="0"/>
    <x v="0"/>
    <n v="47"/>
    <x v="1"/>
    <x v="4"/>
    <m/>
  </r>
  <r>
    <n v="88"/>
    <n v="52"/>
    <s v="Male"/>
    <x v="9"/>
    <x v="1"/>
    <n v="53"/>
    <s v="Ohio"/>
    <x v="2"/>
    <x v="14"/>
    <x v="3"/>
    <x v="0"/>
    <x v="0"/>
    <x v="0"/>
    <n v="44"/>
    <x v="5"/>
    <x v="0"/>
    <m/>
  </r>
  <r>
    <n v="89"/>
    <n v="33"/>
    <s v="Male"/>
    <x v="17"/>
    <x v="0"/>
    <n v="47"/>
    <s v="Wyoming"/>
    <x v="2"/>
    <x v="20"/>
    <x v="3"/>
    <x v="0"/>
    <x v="0"/>
    <x v="0"/>
    <n v="35"/>
    <x v="2"/>
    <x v="5"/>
    <m/>
  </r>
  <r>
    <n v="90"/>
    <n v="47"/>
    <s v="Male"/>
    <x v="14"/>
    <x v="2"/>
    <n v="83"/>
    <s v="California"/>
    <x v="3"/>
    <x v="6"/>
    <x v="3"/>
    <x v="0"/>
    <x v="0"/>
    <x v="0"/>
    <n v="15"/>
    <x v="1"/>
    <x v="3"/>
    <m/>
  </r>
  <r>
    <n v="91"/>
    <n v="25"/>
    <s v="Male"/>
    <x v="19"/>
    <x v="3"/>
    <n v="48"/>
    <s v="South Carolina"/>
    <x v="0"/>
    <x v="10"/>
    <x v="2"/>
    <x v="0"/>
    <x v="0"/>
    <x v="0"/>
    <n v="29"/>
    <x v="2"/>
    <x v="5"/>
    <m/>
  </r>
  <r>
    <n v="92"/>
    <n v="44"/>
    <s v="Male"/>
    <x v="18"/>
    <x v="3"/>
    <n v="99"/>
    <s v="South Carolina"/>
    <x v="1"/>
    <x v="14"/>
    <x v="0"/>
    <x v="0"/>
    <x v="0"/>
    <x v="0"/>
    <n v="18"/>
    <x v="2"/>
    <x v="6"/>
    <m/>
  </r>
  <r>
    <n v="93"/>
    <n v="61"/>
    <s v="Male"/>
    <x v="14"/>
    <x v="2"/>
    <n v="87"/>
    <s v="Texas"/>
    <x v="2"/>
    <x v="8"/>
    <x v="0"/>
    <x v="0"/>
    <x v="0"/>
    <x v="0"/>
    <n v="13"/>
    <x v="0"/>
    <x v="6"/>
    <m/>
  </r>
  <r>
    <n v="94"/>
    <n v="37"/>
    <s v="Male"/>
    <x v="1"/>
    <x v="0"/>
    <n v="62"/>
    <s v="Florida"/>
    <x v="2"/>
    <x v="7"/>
    <x v="3"/>
    <x v="0"/>
    <x v="0"/>
    <x v="0"/>
    <n v="46"/>
    <x v="2"/>
    <x v="1"/>
    <m/>
  </r>
  <r>
    <n v="95"/>
    <n v="58"/>
    <s v="Male"/>
    <x v="11"/>
    <x v="0"/>
    <n v="76"/>
    <s v="Nevada"/>
    <x v="1"/>
    <x v="5"/>
    <x v="1"/>
    <x v="0"/>
    <x v="0"/>
    <x v="0"/>
    <n v="28"/>
    <x v="2"/>
    <x v="1"/>
    <m/>
  </r>
  <r>
    <n v="96"/>
    <n v="37"/>
    <s v="Male"/>
    <x v="4"/>
    <x v="1"/>
    <n v="100"/>
    <s v="Missouri"/>
    <x v="0"/>
    <x v="6"/>
    <x v="3"/>
    <x v="1"/>
    <x v="0"/>
    <x v="0"/>
    <n v="48"/>
    <x v="3"/>
    <x v="5"/>
    <m/>
  </r>
  <r>
    <n v="97"/>
    <n v="32"/>
    <s v="Male"/>
    <x v="24"/>
    <x v="3"/>
    <n v="73"/>
    <s v="Delaware"/>
    <x v="1"/>
    <x v="9"/>
    <x v="1"/>
    <x v="2"/>
    <x v="0"/>
    <x v="0"/>
    <n v="43"/>
    <x v="0"/>
    <x v="6"/>
    <m/>
  </r>
  <r>
    <n v="98"/>
    <n v="21"/>
    <s v="Male"/>
    <x v="9"/>
    <x v="1"/>
    <n v="92"/>
    <s v="Virginia"/>
    <x v="2"/>
    <x v="11"/>
    <x v="0"/>
    <x v="3"/>
    <x v="0"/>
    <x v="0"/>
    <n v="37"/>
    <x v="1"/>
    <x v="2"/>
    <m/>
  </r>
  <r>
    <n v="99"/>
    <n v="20"/>
    <s v="Male"/>
    <x v="2"/>
    <x v="0"/>
    <n v="67"/>
    <s v="New York"/>
    <x v="3"/>
    <x v="11"/>
    <x v="1"/>
    <x v="4"/>
    <x v="0"/>
    <x v="0"/>
    <n v="20"/>
    <x v="4"/>
    <x v="2"/>
    <m/>
  </r>
  <r>
    <n v="100"/>
    <n v="26"/>
    <s v="Male"/>
    <x v="15"/>
    <x v="0"/>
    <n v="40"/>
    <s v="Missouri"/>
    <x v="3"/>
    <x v="21"/>
    <x v="2"/>
    <x v="5"/>
    <x v="0"/>
    <x v="0"/>
    <n v="33"/>
    <x v="5"/>
    <x v="3"/>
    <m/>
  </r>
  <r>
    <n v="101"/>
    <n v="62"/>
    <s v="Male"/>
    <x v="12"/>
    <x v="3"/>
    <n v="98"/>
    <s v="South Dakota"/>
    <x v="2"/>
    <x v="1"/>
    <x v="3"/>
    <x v="6"/>
    <x v="0"/>
    <x v="0"/>
    <n v="31"/>
    <x v="1"/>
    <x v="0"/>
    <m/>
  </r>
  <r>
    <n v="102"/>
    <n v="27"/>
    <s v="Male"/>
    <x v="7"/>
    <x v="2"/>
    <n v="85"/>
    <s v="North Dakota"/>
    <x v="3"/>
    <x v="3"/>
    <x v="1"/>
    <x v="7"/>
    <x v="0"/>
    <x v="0"/>
    <n v="50"/>
    <x v="2"/>
    <x v="4"/>
    <m/>
  </r>
  <r>
    <n v="103"/>
    <n v="51"/>
    <s v="Male"/>
    <x v="20"/>
    <x v="0"/>
    <n v="67"/>
    <s v="Oklahoma"/>
    <x v="0"/>
    <x v="10"/>
    <x v="0"/>
    <x v="3"/>
    <x v="0"/>
    <x v="0"/>
    <n v="35"/>
    <x v="2"/>
    <x v="3"/>
    <m/>
  </r>
  <r>
    <n v="104"/>
    <n v="54"/>
    <s v="Male"/>
    <x v="23"/>
    <x v="1"/>
    <n v="89"/>
    <s v="West Virginia"/>
    <x v="0"/>
    <x v="16"/>
    <x v="0"/>
    <x v="8"/>
    <x v="0"/>
    <x v="0"/>
    <n v="22"/>
    <x v="0"/>
    <x v="4"/>
    <m/>
  </r>
  <r>
    <n v="105"/>
    <n v="55"/>
    <s v="Male"/>
    <x v="12"/>
    <x v="3"/>
    <n v="24"/>
    <s v="New Hampshire"/>
    <x v="0"/>
    <x v="6"/>
    <x v="1"/>
    <x v="9"/>
    <x v="0"/>
    <x v="0"/>
    <n v="1"/>
    <x v="3"/>
    <x v="5"/>
    <m/>
  </r>
  <r>
    <n v="106"/>
    <n v="69"/>
    <s v="Male"/>
    <x v="21"/>
    <x v="3"/>
    <n v="96"/>
    <s v="New York"/>
    <x v="2"/>
    <x v="4"/>
    <x v="3"/>
    <x v="2"/>
    <x v="0"/>
    <x v="0"/>
    <n v="4"/>
    <x v="4"/>
    <x v="2"/>
    <m/>
  </r>
  <r>
    <n v="107"/>
    <n v="64"/>
    <s v="Male"/>
    <x v="14"/>
    <x v="2"/>
    <n v="35"/>
    <s v="Minnesota"/>
    <x v="0"/>
    <x v="3"/>
    <x v="2"/>
    <x v="5"/>
    <x v="0"/>
    <x v="0"/>
    <n v="31"/>
    <x v="2"/>
    <x v="5"/>
    <m/>
  </r>
  <r>
    <n v="108"/>
    <n v="28"/>
    <s v="Male"/>
    <x v="4"/>
    <x v="1"/>
    <n v="67"/>
    <s v="Maryland"/>
    <x v="0"/>
    <x v="8"/>
    <x v="0"/>
    <x v="0"/>
    <x v="0"/>
    <x v="0"/>
    <n v="46"/>
    <x v="3"/>
    <x v="0"/>
    <m/>
  </r>
  <r>
    <n v="109"/>
    <n v="70"/>
    <s v="Male"/>
    <x v="20"/>
    <x v="0"/>
    <n v="79"/>
    <s v="Montana"/>
    <x v="0"/>
    <x v="7"/>
    <x v="1"/>
    <x v="10"/>
    <x v="0"/>
    <x v="0"/>
    <n v="32"/>
    <x v="4"/>
    <x v="4"/>
    <m/>
  </r>
  <r>
    <n v="110"/>
    <n v="58"/>
    <s v="Male"/>
    <x v="17"/>
    <x v="0"/>
    <n v="85"/>
    <s v="Alabama"/>
    <x v="2"/>
    <x v="10"/>
    <x v="1"/>
    <x v="4"/>
    <x v="0"/>
    <x v="0"/>
    <n v="43"/>
    <x v="4"/>
    <x v="0"/>
    <m/>
  </r>
  <r>
    <n v="111"/>
    <n v="56"/>
    <s v="Male"/>
    <x v="21"/>
    <x v="3"/>
    <n v="26"/>
    <s v="New York"/>
    <x v="2"/>
    <x v="13"/>
    <x v="2"/>
    <x v="8"/>
    <x v="0"/>
    <x v="0"/>
    <n v="26"/>
    <x v="0"/>
    <x v="0"/>
    <m/>
  </r>
  <r>
    <n v="112"/>
    <n v="26"/>
    <s v="Male"/>
    <x v="22"/>
    <x v="3"/>
    <n v="75"/>
    <s v="Massachusetts"/>
    <x v="0"/>
    <x v="7"/>
    <x v="2"/>
    <x v="11"/>
    <x v="0"/>
    <x v="0"/>
    <n v="9"/>
    <x v="2"/>
    <x v="2"/>
    <m/>
  </r>
  <r>
    <n v="113"/>
    <n v="37"/>
    <s v="Male"/>
    <x v="24"/>
    <x v="3"/>
    <n v="65"/>
    <s v="Florida"/>
    <x v="2"/>
    <x v="16"/>
    <x v="1"/>
    <x v="12"/>
    <x v="0"/>
    <x v="0"/>
    <n v="28"/>
    <x v="3"/>
    <x v="4"/>
    <m/>
  </r>
  <r>
    <n v="114"/>
    <n v="44"/>
    <s v="Male"/>
    <x v="19"/>
    <x v="3"/>
    <n v="54"/>
    <s v="New Jersey"/>
    <x v="0"/>
    <x v="1"/>
    <x v="0"/>
    <x v="0"/>
    <x v="0"/>
    <x v="0"/>
    <n v="20"/>
    <x v="3"/>
    <x v="3"/>
    <m/>
  </r>
  <r>
    <n v="115"/>
    <n v="70"/>
    <s v="Male"/>
    <x v="7"/>
    <x v="2"/>
    <n v="95"/>
    <s v="Massachusetts"/>
    <x v="1"/>
    <x v="24"/>
    <x v="2"/>
    <x v="5"/>
    <x v="0"/>
    <x v="0"/>
    <n v="9"/>
    <x v="1"/>
    <x v="1"/>
    <m/>
  </r>
  <r>
    <n v="116"/>
    <n v="53"/>
    <s v="Male"/>
    <x v="11"/>
    <x v="0"/>
    <n v="94"/>
    <s v="Wyoming"/>
    <x v="2"/>
    <x v="0"/>
    <x v="1"/>
    <x v="1"/>
    <x v="0"/>
    <x v="0"/>
    <n v="48"/>
    <x v="5"/>
    <x v="6"/>
    <m/>
  </r>
  <r>
    <n v="117"/>
    <n v="55"/>
    <s v="Male"/>
    <x v="9"/>
    <x v="1"/>
    <n v="86"/>
    <s v="Virginia"/>
    <x v="1"/>
    <x v="24"/>
    <x v="1"/>
    <x v="10"/>
    <x v="0"/>
    <x v="0"/>
    <n v="12"/>
    <x v="0"/>
    <x v="2"/>
    <m/>
  </r>
  <r>
    <n v="118"/>
    <n v="50"/>
    <s v="Male"/>
    <x v="3"/>
    <x v="1"/>
    <n v="32"/>
    <s v="South Dakota"/>
    <x v="0"/>
    <x v="22"/>
    <x v="2"/>
    <x v="7"/>
    <x v="0"/>
    <x v="0"/>
    <n v="29"/>
    <x v="1"/>
    <x v="0"/>
    <m/>
  </r>
  <r>
    <n v="119"/>
    <n v="50"/>
    <s v="Male"/>
    <x v="1"/>
    <x v="0"/>
    <n v="45"/>
    <s v="Kentucky"/>
    <x v="0"/>
    <x v="20"/>
    <x v="3"/>
    <x v="3"/>
    <x v="0"/>
    <x v="0"/>
    <n v="27"/>
    <x v="1"/>
    <x v="4"/>
    <m/>
  </r>
  <r>
    <n v="120"/>
    <n v="38"/>
    <s v="Male"/>
    <x v="7"/>
    <x v="2"/>
    <n v="76"/>
    <s v="Wyoming"/>
    <x v="2"/>
    <x v="20"/>
    <x v="3"/>
    <x v="12"/>
    <x v="0"/>
    <x v="0"/>
    <n v="44"/>
    <x v="1"/>
    <x v="2"/>
    <m/>
  </r>
  <r>
    <n v="121"/>
    <n v="64"/>
    <s v="Male"/>
    <x v="19"/>
    <x v="3"/>
    <n v="84"/>
    <s v="West Virginia"/>
    <x v="0"/>
    <x v="16"/>
    <x v="2"/>
    <x v="8"/>
    <x v="0"/>
    <x v="0"/>
    <n v="32"/>
    <x v="4"/>
    <x v="2"/>
    <m/>
  </r>
  <r>
    <n v="122"/>
    <n v="19"/>
    <s v="Male"/>
    <x v="6"/>
    <x v="0"/>
    <n v="72"/>
    <s v="Virginia"/>
    <x v="2"/>
    <x v="8"/>
    <x v="0"/>
    <x v="13"/>
    <x v="0"/>
    <x v="0"/>
    <n v="11"/>
    <x v="1"/>
    <x v="0"/>
    <m/>
  </r>
  <r>
    <n v="123"/>
    <n v="40"/>
    <s v="Male"/>
    <x v="21"/>
    <x v="3"/>
    <n v="40"/>
    <s v="Washington"/>
    <x v="0"/>
    <x v="18"/>
    <x v="1"/>
    <x v="3"/>
    <x v="0"/>
    <x v="0"/>
    <n v="44"/>
    <x v="1"/>
    <x v="0"/>
    <m/>
  </r>
  <r>
    <n v="124"/>
    <n v="57"/>
    <s v="Male"/>
    <x v="1"/>
    <x v="0"/>
    <n v="89"/>
    <s v="Louisiana"/>
    <x v="0"/>
    <x v="18"/>
    <x v="3"/>
    <x v="0"/>
    <x v="0"/>
    <x v="0"/>
    <n v="46"/>
    <x v="1"/>
    <x v="1"/>
    <m/>
  </r>
  <r>
    <n v="125"/>
    <n v="44"/>
    <s v="Male"/>
    <x v="1"/>
    <x v="0"/>
    <n v="86"/>
    <s v="Nevada"/>
    <x v="2"/>
    <x v="0"/>
    <x v="1"/>
    <x v="0"/>
    <x v="0"/>
    <x v="0"/>
    <n v="50"/>
    <x v="3"/>
    <x v="2"/>
    <m/>
  </r>
  <r>
    <n v="126"/>
    <n v="49"/>
    <s v="Male"/>
    <x v="6"/>
    <x v="0"/>
    <n v="54"/>
    <s v="California"/>
    <x v="2"/>
    <x v="21"/>
    <x v="0"/>
    <x v="2"/>
    <x v="0"/>
    <x v="0"/>
    <n v="45"/>
    <x v="0"/>
    <x v="6"/>
    <m/>
  </r>
  <r>
    <n v="127"/>
    <n v="43"/>
    <s v="Male"/>
    <x v="6"/>
    <x v="0"/>
    <n v="36"/>
    <s v="Mississippi"/>
    <x v="0"/>
    <x v="6"/>
    <x v="1"/>
    <x v="14"/>
    <x v="0"/>
    <x v="0"/>
    <n v="48"/>
    <x v="1"/>
    <x v="6"/>
    <m/>
  </r>
  <r>
    <n v="128"/>
    <n v="24"/>
    <s v="Male"/>
    <x v="1"/>
    <x v="0"/>
    <n v="89"/>
    <s v="Mississippi"/>
    <x v="2"/>
    <x v="0"/>
    <x v="0"/>
    <x v="3"/>
    <x v="0"/>
    <x v="0"/>
    <n v="26"/>
    <x v="2"/>
    <x v="1"/>
    <m/>
  </r>
  <r>
    <n v="129"/>
    <n v="20"/>
    <s v="Male"/>
    <x v="18"/>
    <x v="3"/>
    <n v="32"/>
    <s v="California"/>
    <x v="2"/>
    <x v="9"/>
    <x v="1"/>
    <x v="15"/>
    <x v="0"/>
    <x v="0"/>
    <n v="21"/>
    <x v="2"/>
    <x v="0"/>
    <m/>
  </r>
  <r>
    <n v="130"/>
    <n v="24"/>
    <s v="Male"/>
    <x v="10"/>
    <x v="0"/>
    <n v="67"/>
    <s v="Pennsylvania"/>
    <x v="3"/>
    <x v="8"/>
    <x v="2"/>
    <x v="13"/>
    <x v="0"/>
    <x v="0"/>
    <n v="49"/>
    <x v="3"/>
    <x v="4"/>
    <m/>
  </r>
  <r>
    <n v="131"/>
    <n v="44"/>
    <s v="Male"/>
    <x v="18"/>
    <x v="3"/>
    <n v="39"/>
    <s v="Kentucky"/>
    <x v="0"/>
    <x v="10"/>
    <x v="3"/>
    <x v="5"/>
    <x v="0"/>
    <x v="0"/>
    <n v="13"/>
    <x v="3"/>
    <x v="0"/>
    <m/>
  </r>
  <r>
    <n v="132"/>
    <n v="28"/>
    <s v="Male"/>
    <x v="11"/>
    <x v="0"/>
    <n v="29"/>
    <s v="Maine"/>
    <x v="0"/>
    <x v="21"/>
    <x v="2"/>
    <x v="14"/>
    <x v="0"/>
    <x v="0"/>
    <n v="46"/>
    <x v="2"/>
    <x v="1"/>
    <m/>
  </r>
  <r>
    <n v="133"/>
    <n v="30"/>
    <s v="Male"/>
    <x v="21"/>
    <x v="3"/>
    <n v="58"/>
    <s v="New Mexico"/>
    <x v="2"/>
    <x v="20"/>
    <x v="3"/>
    <x v="15"/>
    <x v="0"/>
    <x v="0"/>
    <n v="42"/>
    <x v="3"/>
    <x v="1"/>
    <m/>
  </r>
  <r>
    <n v="134"/>
    <n v="52"/>
    <s v="Male"/>
    <x v="1"/>
    <x v="0"/>
    <n v="65"/>
    <s v="Montana"/>
    <x v="2"/>
    <x v="10"/>
    <x v="0"/>
    <x v="16"/>
    <x v="0"/>
    <x v="0"/>
    <n v="25"/>
    <x v="0"/>
    <x v="2"/>
    <m/>
  </r>
  <r>
    <n v="135"/>
    <n v="43"/>
    <s v="Male"/>
    <x v="19"/>
    <x v="3"/>
    <n v="94"/>
    <s v="Texas"/>
    <x v="0"/>
    <x v="0"/>
    <x v="3"/>
    <x v="17"/>
    <x v="0"/>
    <x v="0"/>
    <n v="25"/>
    <x v="1"/>
    <x v="5"/>
    <m/>
  </r>
  <r>
    <n v="136"/>
    <n v="43"/>
    <s v="Male"/>
    <x v="3"/>
    <x v="1"/>
    <n v="81"/>
    <s v="Kansas"/>
    <x v="2"/>
    <x v="7"/>
    <x v="3"/>
    <x v="18"/>
    <x v="0"/>
    <x v="0"/>
    <n v="12"/>
    <x v="3"/>
    <x v="3"/>
    <m/>
  </r>
  <r>
    <n v="137"/>
    <n v="39"/>
    <s v="Male"/>
    <x v="0"/>
    <x v="0"/>
    <n v="86"/>
    <s v="South Carolina"/>
    <x v="2"/>
    <x v="3"/>
    <x v="0"/>
    <x v="19"/>
    <x v="0"/>
    <x v="0"/>
    <n v="4"/>
    <x v="5"/>
    <x v="3"/>
    <m/>
  </r>
  <r>
    <n v="138"/>
    <n v="68"/>
    <s v="Male"/>
    <x v="4"/>
    <x v="1"/>
    <n v="43"/>
    <s v="Colorado"/>
    <x v="2"/>
    <x v="2"/>
    <x v="1"/>
    <x v="15"/>
    <x v="0"/>
    <x v="0"/>
    <n v="38"/>
    <x v="3"/>
    <x v="1"/>
    <m/>
  </r>
  <r>
    <n v="139"/>
    <n v="68"/>
    <s v="Male"/>
    <x v="11"/>
    <x v="0"/>
    <n v="29"/>
    <s v="Georgia"/>
    <x v="2"/>
    <x v="1"/>
    <x v="0"/>
    <x v="9"/>
    <x v="0"/>
    <x v="0"/>
    <n v="42"/>
    <x v="4"/>
    <x v="1"/>
    <m/>
  </r>
  <r>
    <n v="140"/>
    <n v="49"/>
    <s v="Male"/>
    <x v="7"/>
    <x v="2"/>
    <n v="95"/>
    <s v="Florida"/>
    <x v="2"/>
    <x v="3"/>
    <x v="3"/>
    <x v="1"/>
    <x v="0"/>
    <x v="0"/>
    <n v="30"/>
    <x v="0"/>
    <x v="2"/>
    <m/>
  </r>
  <r>
    <n v="141"/>
    <n v="63"/>
    <s v="Male"/>
    <x v="5"/>
    <x v="0"/>
    <n v="28"/>
    <s v="North Carolina"/>
    <x v="0"/>
    <x v="22"/>
    <x v="3"/>
    <x v="14"/>
    <x v="0"/>
    <x v="0"/>
    <n v="50"/>
    <x v="2"/>
    <x v="1"/>
    <m/>
  </r>
  <r>
    <n v="142"/>
    <n v="56"/>
    <s v="Male"/>
    <x v="24"/>
    <x v="3"/>
    <n v="46"/>
    <s v="Virginia"/>
    <x v="2"/>
    <x v="2"/>
    <x v="3"/>
    <x v="17"/>
    <x v="0"/>
    <x v="0"/>
    <n v="45"/>
    <x v="3"/>
    <x v="1"/>
    <m/>
  </r>
  <r>
    <n v="143"/>
    <n v="37"/>
    <s v="Male"/>
    <x v="14"/>
    <x v="2"/>
    <n v="58"/>
    <s v="Nebraska"/>
    <x v="0"/>
    <x v="10"/>
    <x v="3"/>
    <x v="0"/>
    <x v="0"/>
    <x v="0"/>
    <n v="33"/>
    <x v="2"/>
    <x v="0"/>
    <m/>
  </r>
  <r>
    <n v="144"/>
    <n v="30"/>
    <s v="Male"/>
    <x v="7"/>
    <x v="2"/>
    <n v="48"/>
    <s v="Missouri"/>
    <x v="2"/>
    <x v="19"/>
    <x v="3"/>
    <x v="6"/>
    <x v="0"/>
    <x v="0"/>
    <n v="25"/>
    <x v="3"/>
    <x v="3"/>
    <m/>
  </r>
  <r>
    <n v="145"/>
    <n v="19"/>
    <s v="Male"/>
    <x v="9"/>
    <x v="1"/>
    <n v="43"/>
    <s v="New Jersey"/>
    <x v="2"/>
    <x v="5"/>
    <x v="3"/>
    <x v="20"/>
    <x v="0"/>
    <x v="0"/>
    <n v="25"/>
    <x v="1"/>
    <x v="5"/>
    <m/>
  </r>
  <r>
    <n v="146"/>
    <n v="24"/>
    <s v="Male"/>
    <x v="16"/>
    <x v="3"/>
    <n v="95"/>
    <s v="Missouri"/>
    <x v="2"/>
    <x v="11"/>
    <x v="3"/>
    <x v="21"/>
    <x v="0"/>
    <x v="0"/>
    <n v="44"/>
    <x v="5"/>
    <x v="3"/>
    <m/>
  </r>
  <r>
    <n v="147"/>
    <n v="52"/>
    <s v="Male"/>
    <x v="11"/>
    <x v="0"/>
    <n v="30"/>
    <s v="Colorado"/>
    <x v="1"/>
    <x v="13"/>
    <x v="3"/>
    <x v="8"/>
    <x v="0"/>
    <x v="0"/>
    <n v="21"/>
    <x v="0"/>
    <x v="0"/>
    <m/>
  </r>
  <r>
    <n v="148"/>
    <n v="63"/>
    <s v="Male"/>
    <x v="9"/>
    <x v="1"/>
    <n v="64"/>
    <s v="Idaho"/>
    <x v="2"/>
    <x v="7"/>
    <x v="2"/>
    <x v="22"/>
    <x v="0"/>
    <x v="0"/>
    <n v="31"/>
    <x v="4"/>
    <x v="0"/>
    <m/>
  </r>
  <r>
    <n v="149"/>
    <n v="37"/>
    <s v="Male"/>
    <x v="24"/>
    <x v="3"/>
    <n v="90"/>
    <s v="Wyoming"/>
    <x v="2"/>
    <x v="0"/>
    <x v="3"/>
    <x v="4"/>
    <x v="0"/>
    <x v="0"/>
    <n v="47"/>
    <x v="5"/>
    <x v="2"/>
    <m/>
  </r>
  <r>
    <n v="150"/>
    <n v="38"/>
    <s v="Male"/>
    <x v="13"/>
    <x v="0"/>
    <n v="76"/>
    <s v="Delaware"/>
    <x v="2"/>
    <x v="3"/>
    <x v="2"/>
    <x v="20"/>
    <x v="0"/>
    <x v="0"/>
    <n v="14"/>
    <x v="3"/>
    <x v="5"/>
    <m/>
  </r>
  <r>
    <n v="151"/>
    <n v="35"/>
    <s v="Male"/>
    <x v="23"/>
    <x v="1"/>
    <n v="96"/>
    <s v="California"/>
    <x v="0"/>
    <x v="17"/>
    <x v="3"/>
    <x v="17"/>
    <x v="0"/>
    <x v="0"/>
    <n v="17"/>
    <x v="5"/>
    <x v="6"/>
    <m/>
  </r>
  <r>
    <n v="152"/>
    <n v="28"/>
    <s v="Male"/>
    <x v="12"/>
    <x v="3"/>
    <n v="47"/>
    <s v="North Dakota"/>
    <x v="0"/>
    <x v="2"/>
    <x v="3"/>
    <x v="21"/>
    <x v="0"/>
    <x v="0"/>
    <n v="3"/>
    <x v="0"/>
    <x v="2"/>
    <m/>
  </r>
  <r>
    <n v="153"/>
    <n v="30"/>
    <s v="Male"/>
    <x v="5"/>
    <x v="0"/>
    <n v="85"/>
    <s v="South Carolina"/>
    <x v="1"/>
    <x v="18"/>
    <x v="2"/>
    <x v="12"/>
    <x v="0"/>
    <x v="0"/>
    <n v="42"/>
    <x v="0"/>
    <x v="2"/>
    <m/>
  </r>
  <r>
    <n v="154"/>
    <n v="69"/>
    <s v="Male"/>
    <x v="15"/>
    <x v="0"/>
    <n v="55"/>
    <s v="North Carolina"/>
    <x v="2"/>
    <x v="1"/>
    <x v="0"/>
    <x v="20"/>
    <x v="0"/>
    <x v="0"/>
    <n v="22"/>
    <x v="5"/>
    <x v="2"/>
    <m/>
  </r>
  <r>
    <n v="155"/>
    <n v="41"/>
    <s v="Male"/>
    <x v="10"/>
    <x v="0"/>
    <n v="98"/>
    <s v="Oklahoma"/>
    <x v="2"/>
    <x v="4"/>
    <x v="3"/>
    <x v="2"/>
    <x v="0"/>
    <x v="0"/>
    <n v="21"/>
    <x v="0"/>
    <x v="3"/>
    <m/>
  </r>
  <r>
    <n v="156"/>
    <n v="63"/>
    <s v="Male"/>
    <x v="20"/>
    <x v="0"/>
    <n v="77"/>
    <s v="Maine"/>
    <x v="1"/>
    <x v="8"/>
    <x v="1"/>
    <x v="12"/>
    <x v="0"/>
    <x v="0"/>
    <n v="21"/>
    <x v="4"/>
    <x v="3"/>
    <m/>
  </r>
  <r>
    <n v="157"/>
    <n v="35"/>
    <s v="Male"/>
    <x v="6"/>
    <x v="0"/>
    <n v="26"/>
    <s v="Missouri"/>
    <x v="2"/>
    <x v="12"/>
    <x v="3"/>
    <x v="8"/>
    <x v="0"/>
    <x v="0"/>
    <n v="40"/>
    <x v="5"/>
    <x v="2"/>
    <m/>
  </r>
  <r>
    <n v="158"/>
    <n v="36"/>
    <s v="Male"/>
    <x v="19"/>
    <x v="3"/>
    <n v="68"/>
    <s v="Vermont"/>
    <x v="1"/>
    <x v="22"/>
    <x v="3"/>
    <x v="23"/>
    <x v="0"/>
    <x v="0"/>
    <n v="1"/>
    <x v="4"/>
    <x v="0"/>
    <m/>
  </r>
  <r>
    <n v="159"/>
    <n v="25"/>
    <s v="Male"/>
    <x v="5"/>
    <x v="0"/>
    <n v="73"/>
    <s v="Connecticut"/>
    <x v="3"/>
    <x v="11"/>
    <x v="3"/>
    <x v="18"/>
    <x v="0"/>
    <x v="0"/>
    <n v="50"/>
    <x v="4"/>
    <x v="5"/>
    <m/>
  </r>
  <r>
    <n v="160"/>
    <n v="58"/>
    <s v="Male"/>
    <x v="24"/>
    <x v="3"/>
    <n v="27"/>
    <s v="New Hampshire"/>
    <x v="2"/>
    <x v="4"/>
    <x v="3"/>
    <x v="1"/>
    <x v="0"/>
    <x v="0"/>
    <n v="39"/>
    <x v="4"/>
    <x v="6"/>
    <m/>
  </r>
  <r>
    <n v="161"/>
    <n v="27"/>
    <s v="Male"/>
    <x v="24"/>
    <x v="3"/>
    <n v="23"/>
    <s v="Texas"/>
    <x v="2"/>
    <x v="20"/>
    <x v="2"/>
    <x v="7"/>
    <x v="0"/>
    <x v="0"/>
    <n v="34"/>
    <x v="0"/>
    <x v="5"/>
    <m/>
  </r>
  <r>
    <n v="162"/>
    <n v="65"/>
    <s v="Male"/>
    <x v="21"/>
    <x v="3"/>
    <n v="49"/>
    <s v="North Dakota"/>
    <x v="2"/>
    <x v="8"/>
    <x v="3"/>
    <x v="23"/>
    <x v="0"/>
    <x v="0"/>
    <n v="29"/>
    <x v="0"/>
    <x v="0"/>
    <m/>
  </r>
  <r>
    <n v="163"/>
    <n v="54"/>
    <s v="Male"/>
    <x v="12"/>
    <x v="3"/>
    <n v="74"/>
    <s v="California"/>
    <x v="2"/>
    <x v="2"/>
    <x v="2"/>
    <x v="23"/>
    <x v="0"/>
    <x v="0"/>
    <n v="31"/>
    <x v="3"/>
    <x v="4"/>
    <m/>
  </r>
  <r>
    <n v="164"/>
    <n v="54"/>
    <s v="Male"/>
    <x v="11"/>
    <x v="0"/>
    <n v="67"/>
    <s v="Virginia"/>
    <x v="2"/>
    <x v="7"/>
    <x v="2"/>
    <x v="10"/>
    <x v="0"/>
    <x v="0"/>
    <n v="8"/>
    <x v="5"/>
    <x v="1"/>
    <m/>
  </r>
  <r>
    <n v="165"/>
    <n v="59"/>
    <s v="Male"/>
    <x v="8"/>
    <x v="3"/>
    <n v="65"/>
    <s v="Delaware"/>
    <x v="1"/>
    <x v="7"/>
    <x v="1"/>
    <x v="4"/>
    <x v="0"/>
    <x v="0"/>
    <n v="5"/>
    <x v="2"/>
    <x v="0"/>
    <m/>
  </r>
  <r>
    <n v="166"/>
    <n v="42"/>
    <s v="Male"/>
    <x v="8"/>
    <x v="3"/>
    <n v="60"/>
    <s v="Kentucky"/>
    <x v="1"/>
    <x v="22"/>
    <x v="0"/>
    <x v="24"/>
    <x v="0"/>
    <x v="0"/>
    <n v="7"/>
    <x v="1"/>
    <x v="5"/>
    <m/>
  </r>
  <r>
    <n v="167"/>
    <n v="46"/>
    <s v="Male"/>
    <x v="4"/>
    <x v="1"/>
    <n v="31"/>
    <s v="Delaware"/>
    <x v="3"/>
    <x v="21"/>
    <x v="3"/>
    <x v="8"/>
    <x v="0"/>
    <x v="0"/>
    <n v="30"/>
    <x v="1"/>
    <x v="5"/>
    <m/>
  </r>
  <r>
    <n v="168"/>
    <n v="33"/>
    <s v="Male"/>
    <x v="24"/>
    <x v="3"/>
    <n v="27"/>
    <s v="Arkansas"/>
    <x v="2"/>
    <x v="14"/>
    <x v="3"/>
    <x v="8"/>
    <x v="0"/>
    <x v="0"/>
    <n v="14"/>
    <x v="2"/>
    <x v="6"/>
    <m/>
  </r>
  <r>
    <n v="169"/>
    <n v="34"/>
    <s v="Male"/>
    <x v="9"/>
    <x v="1"/>
    <n v="80"/>
    <s v="Louisiana"/>
    <x v="2"/>
    <x v="23"/>
    <x v="2"/>
    <x v="23"/>
    <x v="0"/>
    <x v="0"/>
    <n v="5"/>
    <x v="1"/>
    <x v="0"/>
    <m/>
  </r>
  <r>
    <n v="170"/>
    <n v="27"/>
    <s v="Male"/>
    <x v="14"/>
    <x v="2"/>
    <n v="30"/>
    <s v="Nevada"/>
    <x v="1"/>
    <x v="9"/>
    <x v="2"/>
    <x v="19"/>
    <x v="0"/>
    <x v="0"/>
    <n v="3"/>
    <x v="3"/>
    <x v="6"/>
    <m/>
  </r>
  <r>
    <n v="171"/>
    <n v="52"/>
    <s v="Male"/>
    <x v="5"/>
    <x v="0"/>
    <n v="25"/>
    <s v="Wyoming"/>
    <x v="2"/>
    <x v="1"/>
    <x v="3"/>
    <x v="4"/>
    <x v="0"/>
    <x v="0"/>
    <n v="46"/>
    <x v="0"/>
    <x v="4"/>
    <m/>
  </r>
  <r>
    <n v="172"/>
    <n v="29"/>
    <s v="Male"/>
    <x v="6"/>
    <x v="0"/>
    <n v="35"/>
    <s v="Virginia"/>
    <x v="2"/>
    <x v="24"/>
    <x v="2"/>
    <x v="2"/>
    <x v="0"/>
    <x v="0"/>
    <n v="4"/>
    <x v="2"/>
    <x v="1"/>
    <m/>
  </r>
  <r>
    <n v="173"/>
    <n v="54"/>
    <s v="Male"/>
    <x v="16"/>
    <x v="3"/>
    <n v="67"/>
    <s v="Nebraska"/>
    <x v="2"/>
    <x v="10"/>
    <x v="2"/>
    <x v="14"/>
    <x v="0"/>
    <x v="0"/>
    <n v="42"/>
    <x v="2"/>
    <x v="4"/>
    <m/>
  </r>
  <r>
    <n v="174"/>
    <n v="25"/>
    <s v="Male"/>
    <x v="19"/>
    <x v="3"/>
    <n v="46"/>
    <s v="Hawaii"/>
    <x v="2"/>
    <x v="2"/>
    <x v="3"/>
    <x v="0"/>
    <x v="0"/>
    <x v="0"/>
    <n v="30"/>
    <x v="1"/>
    <x v="2"/>
    <m/>
  </r>
  <r>
    <n v="175"/>
    <n v="41"/>
    <s v="Male"/>
    <x v="9"/>
    <x v="1"/>
    <n v="35"/>
    <s v="Vermont"/>
    <x v="0"/>
    <x v="18"/>
    <x v="0"/>
    <x v="22"/>
    <x v="0"/>
    <x v="0"/>
    <n v="37"/>
    <x v="0"/>
    <x v="2"/>
    <m/>
  </r>
  <r>
    <n v="176"/>
    <n v="53"/>
    <s v="Male"/>
    <x v="7"/>
    <x v="2"/>
    <n v="86"/>
    <s v="Oklahoma"/>
    <x v="0"/>
    <x v="10"/>
    <x v="3"/>
    <x v="24"/>
    <x v="0"/>
    <x v="0"/>
    <n v="2"/>
    <x v="4"/>
    <x v="2"/>
    <m/>
  </r>
  <r>
    <n v="177"/>
    <n v="53"/>
    <s v="Male"/>
    <x v="21"/>
    <x v="3"/>
    <n v="81"/>
    <s v="New Hampshire"/>
    <x v="0"/>
    <x v="13"/>
    <x v="1"/>
    <x v="6"/>
    <x v="0"/>
    <x v="0"/>
    <n v="30"/>
    <x v="2"/>
    <x v="3"/>
    <m/>
  </r>
  <r>
    <n v="178"/>
    <n v="21"/>
    <s v="Male"/>
    <x v="15"/>
    <x v="0"/>
    <n v="42"/>
    <s v="Kansas"/>
    <x v="0"/>
    <x v="23"/>
    <x v="3"/>
    <x v="5"/>
    <x v="0"/>
    <x v="0"/>
    <n v="47"/>
    <x v="4"/>
    <x v="5"/>
    <m/>
  </r>
  <r>
    <n v="179"/>
    <n v="61"/>
    <s v="Male"/>
    <x v="11"/>
    <x v="0"/>
    <n v="43"/>
    <s v="Idaho"/>
    <x v="0"/>
    <x v="12"/>
    <x v="3"/>
    <x v="12"/>
    <x v="0"/>
    <x v="0"/>
    <n v="21"/>
    <x v="3"/>
    <x v="3"/>
    <m/>
  </r>
  <r>
    <n v="180"/>
    <n v="64"/>
    <s v="Male"/>
    <x v="23"/>
    <x v="1"/>
    <n v="31"/>
    <s v="Illinois"/>
    <x v="2"/>
    <x v="10"/>
    <x v="3"/>
    <x v="17"/>
    <x v="0"/>
    <x v="0"/>
    <n v="9"/>
    <x v="4"/>
    <x v="0"/>
    <m/>
  </r>
  <r>
    <n v="181"/>
    <n v="51"/>
    <s v="Male"/>
    <x v="3"/>
    <x v="1"/>
    <n v="81"/>
    <s v="South Dakota"/>
    <x v="0"/>
    <x v="14"/>
    <x v="3"/>
    <x v="19"/>
    <x v="0"/>
    <x v="0"/>
    <n v="12"/>
    <x v="5"/>
    <x v="0"/>
    <m/>
  </r>
  <r>
    <n v="182"/>
    <n v="32"/>
    <s v="Male"/>
    <x v="13"/>
    <x v="0"/>
    <n v="61"/>
    <s v="Massachusetts"/>
    <x v="2"/>
    <x v="19"/>
    <x v="2"/>
    <x v="15"/>
    <x v="0"/>
    <x v="0"/>
    <n v="4"/>
    <x v="4"/>
    <x v="1"/>
    <m/>
  </r>
  <r>
    <n v="183"/>
    <n v="38"/>
    <s v="Male"/>
    <x v="24"/>
    <x v="3"/>
    <n v="96"/>
    <s v="Alabama"/>
    <x v="3"/>
    <x v="7"/>
    <x v="2"/>
    <x v="24"/>
    <x v="0"/>
    <x v="0"/>
    <n v="10"/>
    <x v="5"/>
    <x v="2"/>
    <m/>
  </r>
  <r>
    <n v="184"/>
    <n v="58"/>
    <s v="Male"/>
    <x v="11"/>
    <x v="0"/>
    <n v="29"/>
    <s v="Ohio"/>
    <x v="3"/>
    <x v="19"/>
    <x v="1"/>
    <x v="2"/>
    <x v="0"/>
    <x v="0"/>
    <n v="26"/>
    <x v="2"/>
    <x v="1"/>
    <m/>
  </r>
  <r>
    <n v="185"/>
    <n v="32"/>
    <s v="Male"/>
    <x v="4"/>
    <x v="1"/>
    <n v="33"/>
    <s v="Hawaii"/>
    <x v="0"/>
    <x v="17"/>
    <x v="1"/>
    <x v="23"/>
    <x v="0"/>
    <x v="0"/>
    <n v="40"/>
    <x v="1"/>
    <x v="0"/>
    <m/>
  </r>
  <r>
    <n v="186"/>
    <n v="46"/>
    <s v="Male"/>
    <x v="17"/>
    <x v="0"/>
    <n v="32"/>
    <s v="Wisconsin"/>
    <x v="3"/>
    <x v="5"/>
    <x v="2"/>
    <x v="21"/>
    <x v="0"/>
    <x v="0"/>
    <n v="34"/>
    <x v="4"/>
    <x v="0"/>
    <m/>
  </r>
  <r>
    <n v="187"/>
    <n v="39"/>
    <s v="Male"/>
    <x v="21"/>
    <x v="3"/>
    <n v="56"/>
    <s v="Minnesota"/>
    <x v="1"/>
    <x v="12"/>
    <x v="2"/>
    <x v="25"/>
    <x v="0"/>
    <x v="0"/>
    <n v="31"/>
    <x v="5"/>
    <x v="2"/>
    <m/>
  </r>
  <r>
    <n v="188"/>
    <n v="19"/>
    <s v="Male"/>
    <x v="9"/>
    <x v="1"/>
    <n v="94"/>
    <s v="Georgia"/>
    <x v="1"/>
    <x v="7"/>
    <x v="1"/>
    <x v="19"/>
    <x v="0"/>
    <x v="0"/>
    <n v="1"/>
    <x v="4"/>
    <x v="4"/>
    <m/>
  </r>
  <r>
    <n v="189"/>
    <n v="50"/>
    <s v="Male"/>
    <x v="15"/>
    <x v="0"/>
    <n v="53"/>
    <s v="Arkansas"/>
    <x v="2"/>
    <x v="6"/>
    <x v="1"/>
    <x v="0"/>
    <x v="0"/>
    <x v="0"/>
    <n v="5"/>
    <x v="4"/>
    <x v="4"/>
    <m/>
  </r>
  <r>
    <n v="190"/>
    <n v="36"/>
    <s v="Male"/>
    <x v="0"/>
    <x v="0"/>
    <n v="82"/>
    <s v="West Virginia"/>
    <x v="2"/>
    <x v="1"/>
    <x v="3"/>
    <x v="9"/>
    <x v="0"/>
    <x v="0"/>
    <n v="4"/>
    <x v="2"/>
    <x v="1"/>
    <m/>
  </r>
  <r>
    <n v="191"/>
    <n v="65"/>
    <s v="Male"/>
    <x v="7"/>
    <x v="2"/>
    <n v="70"/>
    <s v="Indiana"/>
    <x v="3"/>
    <x v="19"/>
    <x v="3"/>
    <x v="23"/>
    <x v="0"/>
    <x v="0"/>
    <n v="48"/>
    <x v="0"/>
    <x v="3"/>
    <m/>
  </r>
  <r>
    <n v="192"/>
    <n v="64"/>
    <s v="Male"/>
    <x v="19"/>
    <x v="3"/>
    <n v="76"/>
    <s v="Utah"/>
    <x v="2"/>
    <x v="0"/>
    <x v="3"/>
    <x v="14"/>
    <x v="0"/>
    <x v="0"/>
    <n v="29"/>
    <x v="1"/>
    <x v="6"/>
    <m/>
  </r>
  <r>
    <n v="193"/>
    <n v="46"/>
    <s v="Male"/>
    <x v="9"/>
    <x v="1"/>
    <n v="29"/>
    <s v="Nebraska"/>
    <x v="0"/>
    <x v="2"/>
    <x v="2"/>
    <x v="25"/>
    <x v="0"/>
    <x v="0"/>
    <n v="12"/>
    <x v="3"/>
    <x v="4"/>
    <m/>
  </r>
  <r>
    <n v="194"/>
    <n v="36"/>
    <s v="Male"/>
    <x v="22"/>
    <x v="3"/>
    <n v="100"/>
    <s v="North Dakota"/>
    <x v="1"/>
    <x v="5"/>
    <x v="3"/>
    <x v="23"/>
    <x v="0"/>
    <x v="0"/>
    <n v="29"/>
    <x v="0"/>
    <x v="2"/>
    <m/>
  </r>
  <r>
    <n v="195"/>
    <n v="51"/>
    <s v="Male"/>
    <x v="21"/>
    <x v="3"/>
    <n v="94"/>
    <s v="Missouri"/>
    <x v="2"/>
    <x v="8"/>
    <x v="1"/>
    <x v="0"/>
    <x v="0"/>
    <x v="0"/>
    <n v="15"/>
    <x v="5"/>
    <x v="3"/>
    <m/>
  </r>
  <r>
    <n v="196"/>
    <n v="51"/>
    <s v="Male"/>
    <x v="14"/>
    <x v="2"/>
    <n v="25"/>
    <s v="New York"/>
    <x v="2"/>
    <x v="23"/>
    <x v="3"/>
    <x v="12"/>
    <x v="0"/>
    <x v="0"/>
    <n v="34"/>
    <x v="2"/>
    <x v="5"/>
    <m/>
  </r>
  <r>
    <n v="197"/>
    <n v="38"/>
    <s v="Male"/>
    <x v="23"/>
    <x v="1"/>
    <n v="88"/>
    <s v="Washington"/>
    <x v="2"/>
    <x v="12"/>
    <x v="2"/>
    <x v="14"/>
    <x v="0"/>
    <x v="0"/>
    <n v="41"/>
    <x v="2"/>
    <x v="0"/>
    <m/>
  </r>
  <r>
    <n v="198"/>
    <n v="59"/>
    <s v="Male"/>
    <x v="18"/>
    <x v="3"/>
    <n v="78"/>
    <s v="South Carolina"/>
    <x v="2"/>
    <x v="13"/>
    <x v="3"/>
    <x v="20"/>
    <x v="0"/>
    <x v="0"/>
    <n v="41"/>
    <x v="2"/>
    <x v="5"/>
    <m/>
  </r>
  <r>
    <n v="199"/>
    <n v="57"/>
    <s v="Male"/>
    <x v="16"/>
    <x v="3"/>
    <n v="45"/>
    <s v="Utah"/>
    <x v="2"/>
    <x v="2"/>
    <x v="0"/>
    <x v="3"/>
    <x v="0"/>
    <x v="0"/>
    <n v="39"/>
    <x v="2"/>
    <x v="0"/>
    <m/>
  </r>
  <r>
    <n v="200"/>
    <n v="54"/>
    <s v="Male"/>
    <x v="19"/>
    <x v="3"/>
    <n v="73"/>
    <s v="Idaho"/>
    <x v="3"/>
    <x v="14"/>
    <x v="2"/>
    <x v="1"/>
    <x v="0"/>
    <x v="0"/>
    <n v="32"/>
    <x v="1"/>
    <x v="1"/>
    <m/>
  </r>
  <r>
    <n v="201"/>
    <n v="25"/>
    <s v="Male"/>
    <x v="10"/>
    <x v="0"/>
    <n v="61"/>
    <s v="Pennsylvania"/>
    <x v="1"/>
    <x v="11"/>
    <x v="2"/>
    <x v="19"/>
    <x v="0"/>
    <x v="0"/>
    <n v="29"/>
    <x v="0"/>
    <x v="5"/>
    <m/>
  </r>
  <r>
    <n v="202"/>
    <n v="69"/>
    <s v="Male"/>
    <x v="0"/>
    <x v="0"/>
    <n v="22"/>
    <s v="Missouri"/>
    <x v="1"/>
    <x v="19"/>
    <x v="3"/>
    <x v="12"/>
    <x v="0"/>
    <x v="0"/>
    <n v="15"/>
    <x v="4"/>
    <x v="2"/>
    <m/>
  </r>
  <r>
    <n v="203"/>
    <n v="57"/>
    <s v="Male"/>
    <x v="19"/>
    <x v="3"/>
    <n v="38"/>
    <s v="Nebraska"/>
    <x v="0"/>
    <x v="23"/>
    <x v="1"/>
    <x v="6"/>
    <x v="0"/>
    <x v="0"/>
    <n v="33"/>
    <x v="0"/>
    <x v="2"/>
    <m/>
  </r>
  <r>
    <n v="204"/>
    <n v="70"/>
    <s v="Male"/>
    <x v="18"/>
    <x v="3"/>
    <n v="38"/>
    <s v="Indiana"/>
    <x v="1"/>
    <x v="22"/>
    <x v="3"/>
    <x v="20"/>
    <x v="0"/>
    <x v="0"/>
    <n v="18"/>
    <x v="4"/>
    <x v="1"/>
    <m/>
  </r>
  <r>
    <n v="205"/>
    <n v="24"/>
    <s v="Male"/>
    <x v="4"/>
    <x v="1"/>
    <n v="100"/>
    <s v="Arizona"/>
    <x v="2"/>
    <x v="22"/>
    <x v="3"/>
    <x v="8"/>
    <x v="0"/>
    <x v="0"/>
    <n v="35"/>
    <x v="1"/>
    <x v="4"/>
    <m/>
  </r>
  <r>
    <n v="206"/>
    <n v="67"/>
    <s v="Male"/>
    <x v="5"/>
    <x v="0"/>
    <n v="64"/>
    <s v="Hawaii"/>
    <x v="2"/>
    <x v="5"/>
    <x v="0"/>
    <x v="23"/>
    <x v="0"/>
    <x v="0"/>
    <n v="25"/>
    <x v="3"/>
    <x v="1"/>
    <m/>
  </r>
  <r>
    <n v="207"/>
    <n v="24"/>
    <s v="Male"/>
    <x v="17"/>
    <x v="0"/>
    <n v="55"/>
    <s v="Wisconsin"/>
    <x v="0"/>
    <x v="5"/>
    <x v="2"/>
    <x v="13"/>
    <x v="0"/>
    <x v="0"/>
    <n v="6"/>
    <x v="0"/>
    <x v="0"/>
    <m/>
  </r>
  <r>
    <n v="208"/>
    <n v="62"/>
    <s v="Male"/>
    <x v="24"/>
    <x v="3"/>
    <n v="91"/>
    <s v="Rhode Island"/>
    <x v="2"/>
    <x v="5"/>
    <x v="2"/>
    <x v="25"/>
    <x v="0"/>
    <x v="0"/>
    <n v="17"/>
    <x v="4"/>
    <x v="4"/>
    <m/>
  </r>
  <r>
    <n v="209"/>
    <n v="57"/>
    <s v="Male"/>
    <x v="11"/>
    <x v="0"/>
    <n v="38"/>
    <s v="Wisconsin"/>
    <x v="2"/>
    <x v="9"/>
    <x v="1"/>
    <x v="18"/>
    <x v="0"/>
    <x v="0"/>
    <n v="17"/>
    <x v="2"/>
    <x v="5"/>
    <m/>
  </r>
  <r>
    <n v="210"/>
    <n v="55"/>
    <s v="Male"/>
    <x v="3"/>
    <x v="1"/>
    <n v="97"/>
    <s v="Minnesota"/>
    <x v="1"/>
    <x v="8"/>
    <x v="0"/>
    <x v="20"/>
    <x v="0"/>
    <x v="0"/>
    <n v="44"/>
    <x v="1"/>
    <x v="6"/>
    <m/>
  </r>
  <r>
    <n v="211"/>
    <n v="45"/>
    <s v="Male"/>
    <x v="14"/>
    <x v="2"/>
    <n v="22"/>
    <s v="Vermont"/>
    <x v="0"/>
    <x v="11"/>
    <x v="3"/>
    <x v="23"/>
    <x v="0"/>
    <x v="0"/>
    <n v="6"/>
    <x v="3"/>
    <x v="0"/>
    <m/>
  </r>
  <r>
    <n v="212"/>
    <n v="69"/>
    <s v="Male"/>
    <x v="11"/>
    <x v="0"/>
    <n v="92"/>
    <s v="South Dakota"/>
    <x v="0"/>
    <x v="1"/>
    <x v="3"/>
    <x v="13"/>
    <x v="0"/>
    <x v="0"/>
    <n v="45"/>
    <x v="5"/>
    <x v="0"/>
    <m/>
  </r>
  <r>
    <n v="213"/>
    <n v="67"/>
    <s v="Male"/>
    <x v="8"/>
    <x v="3"/>
    <n v="84"/>
    <s v="Virginia"/>
    <x v="0"/>
    <x v="24"/>
    <x v="3"/>
    <x v="13"/>
    <x v="0"/>
    <x v="0"/>
    <n v="7"/>
    <x v="5"/>
    <x v="2"/>
    <m/>
  </r>
  <r>
    <n v="214"/>
    <n v="30"/>
    <s v="Male"/>
    <x v="8"/>
    <x v="3"/>
    <n v="93"/>
    <s v="Nevada"/>
    <x v="0"/>
    <x v="15"/>
    <x v="3"/>
    <x v="9"/>
    <x v="0"/>
    <x v="0"/>
    <n v="11"/>
    <x v="5"/>
    <x v="6"/>
    <m/>
  </r>
  <r>
    <n v="215"/>
    <n v="24"/>
    <s v="Male"/>
    <x v="14"/>
    <x v="2"/>
    <n v="50"/>
    <s v="Hawaii"/>
    <x v="0"/>
    <x v="24"/>
    <x v="2"/>
    <x v="13"/>
    <x v="0"/>
    <x v="0"/>
    <n v="41"/>
    <x v="1"/>
    <x v="6"/>
    <m/>
  </r>
  <r>
    <n v="216"/>
    <n v="62"/>
    <s v="Male"/>
    <x v="18"/>
    <x v="3"/>
    <n v="64"/>
    <s v="New Jersey"/>
    <x v="1"/>
    <x v="20"/>
    <x v="1"/>
    <x v="24"/>
    <x v="0"/>
    <x v="0"/>
    <n v="24"/>
    <x v="3"/>
    <x v="4"/>
    <m/>
  </r>
  <r>
    <n v="217"/>
    <n v="43"/>
    <s v="Male"/>
    <x v="6"/>
    <x v="0"/>
    <n v="61"/>
    <s v="Massachusetts"/>
    <x v="0"/>
    <x v="22"/>
    <x v="1"/>
    <x v="5"/>
    <x v="0"/>
    <x v="0"/>
    <n v="21"/>
    <x v="0"/>
    <x v="1"/>
    <m/>
  </r>
  <r>
    <n v="218"/>
    <n v="35"/>
    <s v="Male"/>
    <x v="12"/>
    <x v="3"/>
    <n v="48"/>
    <s v="Oklahoma"/>
    <x v="2"/>
    <x v="7"/>
    <x v="0"/>
    <x v="22"/>
    <x v="0"/>
    <x v="0"/>
    <n v="24"/>
    <x v="4"/>
    <x v="2"/>
    <m/>
  </r>
  <r>
    <n v="219"/>
    <n v="28"/>
    <s v="Male"/>
    <x v="17"/>
    <x v="0"/>
    <n v="45"/>
    <s v="California"/>
    <x v="1"/>
    <x v="23"/>
    <x v="1"/>
    <x v="25"/>
    <x v="0"/>
    <x v="0"/>
    <n v="8"/>
    <x v="2"/>
    <x v="3"/>
    <m/>
  </r>
  <r>
    <n v="220"/>
    <n v="32"/>
    <s v="Male"/>
    <x v="22"/>
    <x v="3"/>
    <n v="88"/>
    <s v="Nevada"/>
    <x v="2"/>
    <x v="17"/>
    <x v="1"/>
    <x v="23"/>
    <x v="0"/>
    <x v="0"/>
    <n v="12"/>
    <x v="1"/>
    <x v="0"/>
    <m/>
  </r>
  <r>
    <n v="221"/>
    <n v="39"/>
    <s v="Male"/>
    <x v="4"/>
    <x v="1"/>
    <n v="57"/>
    <s v="Arizona"/>
    <x v="1"/>
    <x v="21"/>
    <x v="1"/>
    <x v="5"/>
    <x v="0"/>
    <x v="0"/>
    <n v="48"/>
    <x v="5"/>
    <x v="0"/>
    <m/>
  </r>
  <r>
    <n v="222"/>
    <n v="28"/>
    <s v="Male"/>
    <x v="19"/>
    <x v="3"/>
    <n v="68"/>
    <s v="North Carolina"/>
    <x v="3"/>
    <x v="23"/>
    <x v="2"/>
    <x v="9"/>
    <x v="0"/>
    <x v="0"/>
    <n v="6"/>
    <x v="4"/>
    <x v="3"/>
    <m/>
  </r>
  <r>
    <n v="223"/>
    <n v="47"/>
    <s v="Male"/>
    <x v="24"/>
    <x v="3"/>
    <n v="94"/>
    <s v="New York"/>
    <x v="3"/>
    <x v="0"/>
    <x v="1"/>
    <x v="21"/>
    <x v="0"/>
    <x v="0"/>
    <n v="14"/>
    <x v="3"/>
    <x v="0"/>
    <m/>
  </r>
  <r>
    <n v="224"/>
    <n v="20"/>
    <s v="Male"/>
    <x v="13"/>
    <x v="0"/>
    <n v="41"/>
    <s v="Wyoming"/>
    <x v="2"/>
    <x v="2"/>
    <x v="1"/>
    <x v="3"/>
    <x v="0"/>
    <x v="0"/>
    <n v="34"/>
    <x v="3"/>
    <x v="2"/>
    <m/>
  </r>
  <r>
    <n v="225"/>
    <n v="63"/>
    <s v="Male"/>
    <x v="20"/>
    <x v="0"/>
    <n v="83"/>
    <s v="South Dakota"/>
    <x v="1"/>
    <x v="19"/>
    <x v="2"/>
    <x v="25"/>
    <x v="0"/>
    <x v="0"/>
    <n v="12"/>
    <x v="1"/>
    <x v="6"/>
    <m/>
  </r>
  <r>
    <n v="226"/>
    <n v="25"/>
    <s v="Male"/>
    <x v="14"/>
    <x v="2"/>
    <n v="22"/>
    <s v="Arkansas"/>
    <x v="2"/>
    <x v="8"/>
    <x v="1"/>
    <x v="20"/>
    <x v="0"/>
    <x v="0"/>
    <n v="11"/>
    <x v="4"/>
    <x v="2"/>
    <m/>
  </r>
  <r>
    <n v="227"/>
    <n v="29"/>
    <s v="Male"/>
    <x v="9"/>
    <x v="1"/>
    <n v="74"/>
    <s v="Texas"/>
    <x v="0"/>
    <x v="10"/>
    <x v="1"/>
    <x v="19"/>
    <x v="0"/>
    <x v="0"/>
    <n v="5"/>
    <x v="3"/>
    <x v="5"/>
    <m/>
  </r>
  <r>
    <n v="228"/>
    <n v="50"/>
    <s v="Male"/>
    <x v="2"/>
    <x v="0"/>
    <n v="90"/>
    <s v="Rhode Island"/>
    <x v="2"/>
    <x v="2"/>
    <x v="0"/>
    <x v="13"/>
    <x v="0"/>
    <x v="0"/>
    <n v="25"/>
    <x v="0"/>
    <x v="0"/>
    <m/>
  </r>
  <r>
    <n v="229"/>
    <n v="18"/>
    <s v="Male"/>
    <x v="20"/>
    <x v="0"/>
    <n v="79"/>
    <s v="New Hampshire"/>
    <x v="2"/>
    <x v="3"/>
    <x v="1"/>
    <x v="25"/>
    <x v="0"/>
    <x v="0"/>
    <n v="11"/>
    <x v="2"/>
    <x v="2"/>
    <m/>
  </r>
  <r>
    <n v="230"/>
    <n v="70"/>
    <s v="Male"/>
    <x v="3"/>
    <x v="1"/>
    <n v="28"/>
    <s v="Ohio"/>
    <x v="1"/>
    <x v="5"/>
    <x v="1"/>
    <x v="7"/>
    <x v="0"/>
    <x v="0"/>
    <n v="27"/>
    <x v="3"/>
    <x v="6"/>
    <m/>
  </r>
  <r>
    <n v="231"/>
    <n v="66"/>
    <s v="Male"/>
    <x v="18"/>
    <x v="3"/>
    <n v="88"/>
    <s v="Utah"/>
    <x v="0"/>
    <x v="8"/>
    <x v="3"/>
    <x v="18"/>
    <x v="0"/>
    <x v="0"/>
    <n v="43"/>
    <x v="2"/>
    <x v="2"/>
    <m/>
  </r>
  <r>
    <n v="232"/>
    <n v="28"/>
    <s v="Male"/>
    <x v="0"/>
    <x v="0"/>
    <n v="26"/>
    <s v="Tennessee"/>
    <x v="2"/>
    <x v="24"/>
    <x v="1"/>
    <x v="0"/>
    <x v="0"/>
    <x v="0"/>
    <n v="18"/>
    <x v="5"/>
    <x v="6"/>
    <m/>
  </r>
  <r>
    <n v="233"/>
    <n v="54"/>
    <s v="Male"/>
    <x v="16"/>
    <x v="3"/>
    <n v="27"/>
    <s v="Hawaii"/>
    <x v="0"/>
    <x v="7"/>
    <x v="0"/>
    <x v="13"/>
    <x v="0"/>
    <x v="0"/>
    <n v="32"/>
    <x v="4"/>
    <x v="4"/>
    <m/>
  </r>
  <r>
    <n v="234"/>
    <n v="19"/>
    <s v="Male"/>
    <x v="1"/>
    <x v="0"/>
    <n v="83"/>
    <s v="Arizona"/>
    <x v="3"/>
    <x v="22"/>
    <x v="3"/>
    <x v="21"/>
    <x v="0"/>
    <x v="0"/>
    <n v="27"/>
    <x v="4"/>
    <x v="6"/>
    <m/>
  </r>
  <r>
    <n v="235"/>
    <n v="20"/>
    <s v="Male"/>
    <x v="24"/>
    <x v="3"/>
    <n v="39"/>
    <s v="South Dakota"/>
    <x v="1"/>
    <x v="5"/>
    <x v="2"/>
    <x v="5"/>
    <x v="0"/>
    <x v="0"/>
    <n v="24"/>
    <x v="2"/>
    <x v="1"/>
    <m/>
  </r>
  <r>
    <n v="236"/>
    <n v="43"/>
    <s v="Male"/>
    <x v="12"/>
    <x v="3"/>
    <n v="89"/>
    <s v="New Jersey"/>
    <x v="2"/>
    <x v="17"/>
    <x v="0"/>
    <x v="5"/>
    <x v="0"/>
    <x v="0"/>
    <n v="31"/>
    <x v="5"/>
    <x v="3"/>
    <m/>
  </r>
  <r>
    <n v="237"/>
    <n v="38"/>
    <s v="Male"/>
    <x v="7"/>
    <x v="2"/>
    <n v="68"/>
    <s v="North Dakota"/>
    <x v="0"/>
    <x v="14"/>
    <x v="0"/>
    <x v="10"/>
    <x v="0"/>
    <x v="0"/>
    <n v="39"/>
    <x v="3"/>
    <x v="0"/>
    <m/>
  </r>
  <r>
    <n v="238"/>
    <n v="50"/>
    <s v="Male"/>
    <x v="10"/>
    <x v="0"/>
    <n v="90"/>
    <s v="Iowa"/>
    <x v="2"/>
    <x v="19"/>
    <x v="2"/>
    <x v="23"/>
    <x v="0"/>
    <x v="0"/>
    <n v="36"/>
    <x v="5"/>
    <x v="0"/>
    <m/>
  </r>
  <r>
    <n v="239"/>
    <n v="64"/>
    <s v="Male"/>
    <x v="11"/>
    <x v="0"/>
    <n v="34"/>
    <s v="Ohio"/>
    <x v="2"/>
    <x v="15"/>
    <x v="3"/>
    <x v="13"/>
    <x v="0"/>
    <x v="0"/>
    <n v="5"/>
    <x v="1"/>
    <x v="2"/>
    <m/>
  </r>
  <r>
    <n v="240"/>
    <n v="49"/>
    <s v="Male"/>
    <x v="13"/>
    <x v="0"/>
    <n v="51"/>
    <s v="Vermont"/>
    <x v="0"/>
    <x v="22"/>
    <x v="2"/>
    <x v="25"/>
    <x v="0"/>
    <x v="0"/>
    <n v="47"/>
    <x v="2"/>
    <x v="4"/>
    <m/>
  </r>
  <r>
    <n v="241"/>
    <n v="47"/>
    <s v="Male"/>
    <x v="1"/>
    <x v="0"/>
    <n v="45"/>
    <s v="Montana"/>
    <x v="3"/>
    <x v="2"/>
    <x v="0"/>
    <x v="22"/>
    <x v="0"/>
    <x v="0"/>
    <n v="29"/>
    <x v="4"/>
    <x v="0"/>
    <m/>
  </r>
  <r>
    <n v="242"/>
    <n v="36"/>
    <s v="Male"/>
    <x v="15"/>
    <x v="0"/>
    <n v="88"/>
    <s v="Delaware"/>
    <x v="2"/>
    <x v="15"/>
    <x v="0"/>
    <x v="18"/>
    <x v="0"/>
    <x v="0"/>
    <n v="43"/>
    <x v="0"/>
    <x v="4"/>
    <m/>
  </r>
  <r>
    <n v="243"/>
    <n v="55"/>
    <s v="Male"/>
    <x v="7"/>
    <x v="2"/>
    <n v="85"/>
    <s v="New York"/>
    <x v="0"/>
    <x v="0"/>
    <x v="2"/>
    <x v="12"/>
    <x v="0"/>
    <x v="0"/>
    <n v="40"/>
    <x v="5"/>
    <x v="6"/>
    <m/>
  </r>
  <r>
    <n v="244"/>
    <n v="25"/>
    <s v="Male"/>
    <x v="16"/>
    <x v="3"/>
    <n v="100"/>
    <s v="Kentucky"/>
    <x v="2"/>
    <x v="8"/>
    <x v="0"/>
    <x v="24"/>
    <x v="0"/>
    <x v="0"/>
    <n v="4"/>
    <x v="5"/>
    <x v="5"/>
    <m/>
  </r>
  <r>
    <n v="245"/>
    <n v="53"/>
    <s v="Male"/>
    <x v="22"/>
    <x v="3"/>
    <n v="42"/>
    <s v="Oregon"/>
    <x v="1"/>
    <x v="21"/>
    <x v="1"/>
    <x v="17"/>
    <x v="0"/>
    <x v="0"/>
    <n v="39"/>
    <x v="3"/>
    <x v="1"/>
    <m/>
  </r>
  <r>
    <n v="246"/>
    <n v="49"/>
    <s v="Male"/>
    <x v="3"/>
    <x v="1"/>
    <n v="53"/>
    <s v="Rhode Island"/>
    <x v="0"/>
    <x v="4"/>
    <x v="2"/>
    <x v="19"/>
    <x v="0"/>
    <x v="0"/>
    <n v="45"/>
    <x v="0"/>
    <x v="0"/>
    <m/>
  </r>
  <r>
    <n v="247"/>
    <n v="35"/>
    <s v="Male"/>
    <x v="12"/>
    <x v="3"/>
    <n v="86"/>
    <s v="Nevada"/>
    <x v="3"/>
    <x v="19"/>
    <x v="1"/>
    <x v="20"/>
    <x v="0"/>
    <x v="0"/>
    <n v="20"/>
    <x v="0"/>
    <x v="4"/>
    <m/>
  </r>
  <r>
    <n v="248"/>
    <n v="29"/>
    <s v="Male"/>
    <x v="1"/>
    <x v="0"/>
    <n v="66"/>
    <s v="Montana"/>
    <x v="3"/>
    <x v="18"/>
    <x v="1"/>
    <x v="9"/>
    <x v="0"/>
    <x v="0"/>
    <n v="14"/>
    <x v="5"/>
    <x v="1"/>
    <m/>
  </r>
  <r>
    <n v="249"/>
    <n v="47"/>
    <s v="Male"/>
    <x v="22"/>
    <x v="3"/>
    <n v="100"/>
    <s v="Pennsylvania"/>
    <x v="2"/>
    <x v="24"/>
    <x v="0"/>
    <x v="3"/>
    <x v="0"/>
    <x v="0"/>
    <n v="33"/>
    <x v="3"/>
    <x v="1"/>
    <m/>
  </r>
  <r>
    <n v="250"/>
    <n v="53"/>
    <s v="Male"/>
    <x v="8"/>
    <x v="3"/>
    <n v="47"/>
    <s v="Alaska"/>
    <x v="1"/>
    <x v="11"/>
    <x v="3"/>
    <x v="13"/>
    <x v="0"/>
    <x v="0"/>
    <n v="18"/>
    <x v="2"/>
    <x v="2"/>
    <m/>
  </r>
  <r>
    <n v="251"/>
    <n v="33"/>
    <s v="Male"/>
    <x v="11"/>
    <x v="0"/>
    <n v="25"/>
    <s v="Mississippi"/>
    <x v="0"/>
    <x v="13"/>
    <x v="3"/>
    <x v="8"/>
    <x v="0"/>
    <x v="0"/>
    <n v="9"/>
    <x v="4"/>
    <x v="1"/>
    <m/>
  </r>
  <r>
    <n v="252"/>
    <n v="21"/>
    <s v="Male"/>
    <x v="8"/>
    <x v="3"/>
    <n v="51"/>
    <s v="Wyoming"/>
    <x v="3"/>
    <x v="9"/>
    <x v="0"/>
    <x v="16"/>
    <x v="0"/>
    <x v="0"/>
    <n v="34"/>
    <x v="3"/>
    <x v="2"/>
    <m/>
  </r>
  <r>
    <n v="253"/>
    <n v="32"/>
    <s v="Male"/>
    <x v="6"/>
    <x v="0"/>
    <n v="41"/>
    <s v="Delaware"/>
    <x v="2"/>
    <x v="10"/>
    <x v="2"/>
    <x v="14"/>
    <x v="0"/>
    <x v="0"/>
    <n v="33"/>
    <x v="0"/>
    <x v="0"/>
    <m/>
  </r>
  <r>
    <n v="254"/>
    <n v="52"/>
    <s v="Male"/>
    <x v="23"/>
    <x v="1"/>
    <n v="73"/>
    <s v="Oklahoma"/>
    <x v="0"/>
    <x v="17"/>
    <x v="0"/>
    <x v="17"/>
    <x v="0"/>
    <x v="0"/>
    <n v="15"/>
    <x v="4"/>
    <x v="4"/>
    <m/>
  </r>
  <r>
    <n v="255"/>
    <n v="67"/>
    <s v="Male"/>
    <x v="12"/>
    <x v="3"/>
    <n v="42"/>
    <s v="Indiana"/>
    <x v="2"/>
    <x v="3"/>
    <x v="0"/>
    <x v="22"/>
    <x v="0"/>
    <x v="0"/>
    <n v="4"/>
    <x v="3"/>
    <x v="4"/>
    <m/>
  </r>
  <r>
    <n v="256"/>
    <n v="43"/>
    <s v="Male"/>
    <x v="18"/>
    <x v="3"/>
    <n v="20"/>
    <s v="Maryland"/>
    <x v="2"/>
    <x v="4"/>
    <x v="1"/>
    <x v="13"/>
    <x v="0"/>
    <x v="0"/>
    <n v="25"/>
    <x v="5"/>
    <x v="2"/>
    <m/>
  </r>
  <r>
    <n v="257"/>
    <n v="58"/>
    <s v="Male"/>
    <x v="16"/>
    <x v="3"/>
    <n v="30"/>
    <s v="South Dakota"/>
    <x v="3"/>
    <x v="10"/>
    <x v="1"/>
    <x v="15"/>
    <x v="0"/>
    <x v="0"/>
    <n v="20"/>
    <x v="2"/>
    <x v="6"/>
    <m/>
  </r>
  <r>
    <n v="258"/>
    <n v="20"/>
    <s v="Male"/>
    <x v="8"/>
    <x v="3"/>
    <n v="53"/>
    <s v="West Virginia"/>
    <x v="2"/>
    <x v="16"/>
    <x v="2"/>
    <x v="21"/>
    <x v="0"/>
    <x v="0"/>
    <n v="5"/>
    <x v="2"/>
    <x v="3"/>
    <m/>
  </r>
  <r>
    <n v="259"/>
    <n v="61"/>
    <s v="Male"/>
    <x v="24"/>
    <x v="3"/>
    <n v="74"/>
    <s v="Alabama"/>
    <x v="1"/>
    <x v="12"/>
    <x v="1"/>
    <x v="24"/>
    <x v="0"/>
    <x v="0"/>
    <n v="16"/>
    <x v="1"/>
    <x v="3"/>
    <m/>
  </r>
  <r>
    <n v="260"/>
    <n v="32"/>
    <s v="Male"/>
    <x v="2"/>
    <x v="0"/>
    <n v="57"/>
    <s v="Louisiana"/>
    <x v="2"/>
    <x v="9"/>
    <x v="3"/>
    <x v="25"/>
    <x v="0"/>
    <x v="0"/>
    <n v="13"/>
    <x v="5"/>
    <x v="2"/>
    <m/>
  </r>
  <r>
    <n v="261"/>
    <n v="38"/>
    <s v="Male"/>
    <x v="19"/>
    <x v="3"/>
    <n v="57"/>
    <s v="Montana"/>
    <x v="1"/>
    <x v="16"/>
    <x v="0"/>
    <x v="20"/>
    <x v="0"/>
    <x v="0"/>
    <n v="11"/>
    <x v="2"/>
    <x v="6"/>
    <m/>
  </r>
  <r>
    <n v="262"/>
    <n v="21"/>
    <s v="Male"/>
    <x v="2"/>
    <x v="0"/>
    <n v="77"/>
    <s v="California"/>
    <x v="0"/>
    <x v="23"/>
    <x v="0"/>
    <x v="17"/>
    <x v="0"/>
    <x v="0"/>
    <n v="21"/>
    <x v="2"/>
    <x v="2"/>
    <m/>
  </r>
  <r>
    <n v="263"/>
    <n v="37"/>
    <s v="Male"/>
    <x v="13"/>
    <x v="0"/>
    <n v="40"/>
    <s v="Hawaii"/>
    <x v="2"/>
    <x v="11"/>
    <x v="2"/>
    <x v="5"/>
    <x v="0"/>
    <x v="0"/>
    <n v="6"/>
    <x v="5"/>
    <x v="2"/>
    <m/>
  </r>
  <r>
    <n v="264"/>
    <n v="27"/>
    <s v="Male"/>
    <x v="6"/>
    <x v="0"/>
    <n v="46"/>
    <s v="Iowa"/>
    <x v="2"/>
    <x v="7"/>
    <x v="2"/>
    <x v="12"/>
    <x v="0"/>
    <x v="0"/>
    <n v="29"/>
    <x v="0"/>
    <x v="5"/>
    <m/>
  </r>
  <r>
    <n v="265"/>
    <n v="36"/>
    <s v="Male"/>
    <x v="13"/>
    <x v="0"/>
    <n v="78"/>
    <s v="Colorado"/>
    <x v="1"/>
    <x v="4"/>
    <x v="3"/>
    <x v="14"/>
    <x v="0"/>
    <x v="0"/>
    <n v="15"/>
    <x v="1"/>
    <x v="2"/>
    <m/>
  </r>
  <r>
    <n v="266"/>
    <n v="32"/>
    <s v="Male"/>
    <x v="21"/>
    <x v="3"/>
    <n v="59"/>
    <s v="Michigan"/>
    <x v="2"/>
    <x v="0"/>
    <x v="1"/>
    <x v="20"/>
    <x v="0"/>
    <x v="0"/>
    <n v="17"/>
    <x v="4"/>
    <x v="4"/>
    <m/>
  </r>
  <r>
    <n v="267"/>
    <n v="51"/>
    <s v="Male"/>
    <x v="16"/>
    <x v="3"/>
    <n v="75"/>
    <s v="Louisiana"/>
    <x v="0"/>
    <x v="3"/>
    <x v="2"/>
    <x v="0"/>
    <x v="0"/>
    <x v="0"/>
    <n v="32"/>
    <x v="2"/>
    <x v="1"/>
    <m/>
  </r>
  <r>
    <n v="268"/>
    <n v="64"/>
    <s v="Male"/>
    <x v="1"/>
    <x v="0"/>
    <n v="54"/>
    <s v="Maryland"/>
    <x v="2"/>
    <x v="8"/>
    <x v="1"/>
    <x v="14"/>
    <x v="0"/>
    <x v="0"/>
    <n v="42"/>
    <x v="0"/>
    <x v="2"/>
    <m/>
  </r>
  <r>
    <n v="269"/>
    <n v="68"/>
    <s v="Male"/>
    <x v="9"/>
    <x v="1"/>
    <n v="42"/>
    <s v="Georgia"/>
    <x v="2"/>
    <x v="4"/>
    <x v="1"/>
    <x v="4"/>
    <x v="0"/>
    <x v="0"/>
    <n v="21"/>
    <x v="1"/>
    <x v="5"/>
    <m/>
  </r>
  <r>
    <n v="270"/>
    <n v="68"/>
    <s v="Male"/>
    <x v="0"/>
    <x v="0"/>
    <n v="44"/>
    <s v="Georgia"/>
    <x v="2"/>
    <x v="4"/>
    <x v="0"/>
    <x v="19"/>
    <x v="0"/>
    <x v="0"/>
    <n v="9"/>
    <x v="1"/>
    <x v="4"/>
    <m/>
  </r>
  <r>
    <n v="271"/>
    <n v="33"/>
    <s v="Male"/>
    <x v="2"/>
    <x v="0"/>
    <n v="52"/>
    <s v="North Dakota"/>
    <x v="3"/>
    <x v="20"/>
    <x v="3"/>
    <x v="7"/>
    <x v="0"/>
    <x v="0"/>
    <n v="16"/>
    <x v="4"/>
    <x v="2"/>
    <m/>
  </r>
  <r>
    <n v="272"/>
    <n v="65"/>
    <s v="Male"/>
    <x v="12"/>
    <x v="3"/>
    <n v="69"/>
    <s v="Maryland"/>
    <x v="3"/>
    <x v="22"/>
    <x v="2"/>
    <x v="7"/>
    <x v="0"/>
    <x v="0"/>
    <n v="42"/>
    <x v="2"/>
    <x v="0"/>
    <m/>
  </r>
  <r>
    <n v="273"/>
    <n v="48"/>
    <s v="Male"/>
    <x v="16"/>
    <x v="3"/>
    <n v="26"/>
    <s v="Oregon"/>
    <x v="2"/>
    <x v="19"/>
    <x v="2"/>
    <x v="9"/>
    <x v="0"/>
    <x v="0"/>
    <n v="37"/>
    <x v="5"/>
    <x v="4"/>
    <m/>
  </r>
  <r>
    <n v="274"/>
    <n v="69"/>
    <s v="Male"/>
    <x v="7"/>
    <x v="2"/>
    <n v="33"/>
    <s v="North Dakota"/>
    <x v="1"/>
    <x v="5"/>
    <x v="1"/>
    <x v="13"/>
    <x v="0"/>
    <x v="0"/>
    <n v="32"/>
    <x v="5"/>
    <x v="3"/>
    <m/>
  </r>
  <r>
    <n v="275"/>
    <n v="59"/>
    <s v="Male"/>
    <x v="16"/>
    <x v="3"/>
    <n v="32"/>
    <s v="Maryland"/>
    <x v="2"/>
    <x v="21"/>
    <x v="1"/>
    <x v="23"/>
    <x v="0"/>
    <x v="0"/>
    <n v="28"/>
    <x v="1"/>
    <x v="4"/>
    <m/>
  </r>
  <r>
    <n v="276"/>
    <n v="48"/>
    <s v="Male"/>
    <x v="21"/>
    <x v="3"/>
    <n v="85"/>
    <s v="Virginia"/>
    <x v="3"/>
    <x v="12"/>
    <x v="0"/>
    <x v="8"/>
    <x v="0"/>
    <x v="0"/>
    <n v="13"/>
    <x v="2"/>
    <x v="1"/>
    <m/>
  </r>
  <r>
    <n v="277"/>
    <n v="25"/>
    <s v="Male"/>
    <x v="11"/>
    <x v="0"/>
    <n v="30"/>
    <s v="South Dakota"/>
    <x v="3"/>
    <x v="2"/>
    <x v="3"/>
    <x v="22"/>
    <x v="0"/>
    <x v="0"/>
    <n v="11"/>
    <x v="4"/>
    <x v="0"/>
    <m/>
  </r>
  <r>
    <n v="278"/>
    <n v="29"/>
    <s v="Male"/>
    <x v="5"/>
    <x v="0"/>
    <n v="29"/>
    <s v="Georgia"/>
    <x v="2"/>
    <x v="14"/>
    <x v="0"/>
    <x v="23"/>
    <x v="0"/>
    <x v="0"/>
    <n v="36"/>
    <x v="4"/>
    <x v="4"/>
    <m/>
  </r>
  <r>
    <n v="279"/>
    <n v="57"/>
    <s v="Male"/>
    <x v="1"/>
    <x v="0"/>
    <n v="95"/>
    <s v="Hawaii"/>
    <x v="2"/>
    <x v="20"/>
    <x v="1"/>
    <x v="5"/>
    <x v="0"/>
    <x v="0"/>
    <n v="23"/>
    <x v="5"/>
    <x v="2"/>
    <m/>
  </r>
  <r>
    <n v="280"/>
    <n v="23"/>
    <s v="Male"/>
    <x v="4"/>
    <x v="1"/>
    <n v="69"/>
    <s v="Arkansas"/>
    <x v="0"/>
    <x v="2"/>
    <x v="2"/>
    <x v="8"/>
    <x v="0"/>
    <x v="0"/>
    <n v="37"/>
    <x v="4"/>
    <x v="5"/>
    <m/>
  </r>
  <r>
    <n v="281"/>
    <n v="45"/>
    <s v="Male"/>
    <x v="3"/>
    <x v="1"/>
    <n v="69"/>
    <s v="Montana"/>
    <x v="1"/>
    <x v="17"/>
    <x v="3"/>
    <x v="13"/>
    <x v="0"/>
    <x v="0"/>
    <n v="21"/>
    <x v="1"/>
    <x v="4"/>
    <m/>
  </r>
  <r>
    <n v="282"/>
    <n v="38"/>
    <s v="Male"/>
    <x v="22"/>
    <x v="3"/>
    <n v="61"/>
    <s v="Oklahoma"/>
    <x v="3"/>
    <x v="4"/>
    <x v="1"/>
    <x v="16"/>
    <x v="0"/>
    <x v="0"/>
    <n v="22"/>
    <x v="5"/>
    <x v="4"/>
    <m/>
  </r>
  <r>
    <n v="283"/>
    <n v="21"/>
    <s v="Male"/>
    <x v="11"/>
    <x v="0"/>
    <n v="94"/>
    <s v="Minnesota"/>
    <x v="2"/>
    <x v="11"/>
    <x v="2"/>
    <x v="23"/>
    <x v="0"/>
    <x v="0"/>
    <n v="9"/>
    <x v="1"/>
    <x v="5"/>
    <m/>
  </r>
  <r>
    <n v="284"/>
    <n v="32"/>
    <s v="Male"/>
    <x v="1"/>
    <x v="0"/>
    <n v="30"/>
    <s v="Montana"/>
    <x v="1"/>
    <x v="1"/>
    <x v="3"/>
    <x v="20"/>
    <x v="0"/>
    <x v="0"/>
    <n v="16"/>
    <x v="0"/>
    <x v="2"/>
    <m/>
  </r>
  <r>
    <n v="285"/>
    <n v="63"/>
    <s v="Male"/>
    <x v="11"/>
    <x v="0"/>
    <n v="45"/>
    <s v="Ohio"/>
    <x v="2"/>
    <x v="16"/>
    <x v="2"/>
    <x v="22"/>
    <x v="0"/>
    <x v="0"/>
    <n v="4"/>
    <x v="3"/>
    <x v="3"/>
    <m/>
  </r>
  <r>
    <n v="286"/>
    <n v="29"/>
    <s v="Male"/>
    <x v="8"/>
    <x v="3"/>
    <n v="39"/>
    <s v="Kentucky"/>
    <x v="3"/>
    <x v="22"/>
    <x v="2"/>
    <x v="3"/>
    <x v="0"/>
    <x v="0"/>
    <n v="3"/>
    <x v="5"/>
    <x v="4"/>
    <m/>
  </r>
  <r>
    <n v="287"/>
    <n v="27"/>
    <s v="Male"/>
    <x v="16"/>
    <x v="3"/>
    <n v="51"/>
    <s v="Nebraska"/>
    <x v="0"/>
    <x v="0"/>
    <x v="2"/>
    <x v="4"/>
    <x v="0"/>
    <x v="0"/>
    <n v="6"/>
    <x v="5"/>
    <x v="2"/>
    <m/>
  </r>
  <r>
    <n v="288"/>
    <n v="56"/>
    <s v="Male"/>
    <x v="18"/>
    <x v="3"/>
    <n v="37"/>
    <s v="Delaware"/>
    <x v="0"/>
    <x v="24"/>
    <x v="1"/>
    <x v="10"/>
    <x v="0"/>
    <x v="0"/>
    <n v="18"/>
    <x v="0"/>
    <x v="0"/>
    <m/>
  </r>
  <r>
    <n v="289"/>
    <n v="30"/>
    <s v="Male"/>
    <x v="17"/>
    <x v="0"/>
    <n v="62"/>
    <s v="North Carolina"/>
    <x v="2"/>
    <x v="12"/>
    <x v="0"/>
    <x v="5"/>
    <x v="0"/>
    <x v="0"/>
    <n v="34"/>
    <x v="0"/>
    <x v="4"/>
    <m/>
  </r>
  <r>
    <n v="290"/>
    <n v="49"/>
    <s v="Male"/>
    <x v="7"/>
    <x v="2"/>
    <n v="85"/>
    <s v="New York"/>
    <x v="2"/>
    <x v="22"/>
    <x v="3"/>
    <x v="21"/>
    <x v="0"/>
    <x v="0"/>
    <n v="26"/>
    <x v="2"/>
    <x v="5"/>
    <m/>
  </r>
  <r>
    <n v="291"/>
    <n v="58"/>
    <s v="Male"/>
    <x v="17"/>
    <x v="0"/>
    <n v="33"/>
    <s v="Colorado"/>
    <x v="2"/>
    <x v="21"/>
    <x v="0"/>
    <x v="5"/>
    <x v="0"/>
    <x v="0"/>
    <n v="50"/>
    <x v="3"/>
    <x v="1"/>
    <m/>
  </r>
  <r>
    <n v="292"/>
    <n v="57"/>
    <s v="Male"/>
    <x v="10"/>
    <x v="0"/>
    <n v="26"/>
    <s v="Delaware"/>
    <x v="3"/>
    <x v="10"/>
    <x v="3"/>
    <x v="19"/>
    <x v="0"/>
    <x v="0"/>
    <n v="40"/>
    <x v="4"/>
    <x v="5"/>
    <m/>
  </r>
  <r>
    <n v="293"/>
    <n v="60"/>
    <s v="Male"/>
    <x v="9"/>
    <x v="1"/>
    <n v="99"/>
    <s v="Utah"/>
    <x v="2"/>
    <x v="14"/>
    <x v="1"/>
    <x v="15"/>
    <x v="0"/>
    <x v="0"/>
    <n v="24"/>
    <x v="1"/>
    <x v="3"/>
    <m/>
  </r>
  <r>
    <n v="294"/>
    <n v="69"/>
    <s v="Male"/>
    <x v="8"/>
    <x v="3"/>
    <n v="39"/>
    <s v="Connecticut"/>
    <x v="2"/>
    <x v="3"/>
    <x v="1"/>
    <x v="6"/>
    <x v="0"/>
    <x v="0"/>
    <n v="33"/>
    <x v="3"/>
    <x v="2"/>
    <m/>
  </r>
  <r>
    <n v="295"/>
    <n v="70"/>
    <s v="Male"/>
    <x v="11"/>
    <x v="0"/>
    <n v="20"/>
    <s v="New Jersey"/>
    <x v="2"/>
    <x v="9"/>
    <x v="1"/>
    <x v="7"/>
    <x v="0"/>
    <x v="0"/>
    <n v="19"/>
    <x v="2"/>
    <x v="6"/>
    <m/>
  </r>
  <r>
    <n v="296"/>
    <n v="53"/>
    <s v="Male"/>
    <x v="12"/>
    <x v="3"/>
    <n v="42"/>
    <s v="West Virginia"/>
    <x v="2"/>
    <x v="21"/>
    <x v="0"/>
    <x v="6"/>
    <x v="0"/>
    <x v="0"/>
    <n v="24"/>
    <x v="2"/>
    <x v="3"/>
    <m/>
  </r>
  <r>
    <n v="297"/>
    <n v="25"/>
    <s v="Male"/>
    <x v="3"/>
    <x v="1"/>
    <n v="74"/>
    <s v="Indiana"/>
    <x v="1"/>
    <x v="12"/>
    <x v="1"/>
    <x v="3"/>
    <x v="0"/>
    <x v="0"/>
    <n v="19"/>
    <x v="2"/>
    <x v="1"/>
    <m/>
  </r>
  <r>
    <n v="298"/>
    <n v="48"/>
    <s v="Male"/>
    <x v="9"/>
    <x v="1"/>
    <n v="26"/>
    <s v="Delaware"/>
    <x v="3"/>
    <x v="7"/>
    <x v="2"/>
    <x v="9"/>
    <x v="0"/>
    <x v="0"/>
    <n v="4"/>
    <x v="2"/>
    <x v="4"/>
    <m/>
  </r>
  <r>
    <n v="299"/>
    <n v="69"/>
    <s v="Male"/>
    <x v="17"/>
    <x v="0"/>
    <n v="53"/>
    <s v="Maryland"/>
    <x v="2"/>
    <x v="12"/>
    <x v="0"/>
    <x v="8"/>
    <x v="0"/>
    <x v="0"/>
    <n v="11"/>
    <x v="0"/>
    <x v="6"/>
    <m/>
  </r>
  <r>
    <n v="300"/>
    <n v="25"/>
    <s v="Male"/>
    <x v="4"/>
    <x v="1"/>
    <n v="80"/>
    <s v="Pennsylvania"/>
    <x v="2"/>
    <x v="1"/>
    <x v="2"/>
    <x v="20"/>
    <x v="0"/>
    <x v="0"/>
    <n v="28"/>
    <x v="3"/>
    <x v="0"/>
    <m/>
  </r>
  <r>
    <n v="301"/>
    <n v="29"/>
    <s v="Male"/>
    <x v="19"/>
    <x v="3"/>
    <n v="98"/>
    <s v="Iowa"/>
    <x v="2"/>
    <x v="11"/>
    <x v="1"/>
    <x v="9"/>
    <x v="0"/>
    <x v="0"/>
    <n v="24"/>
    <x v="3"/>
    <x v="1"/>
    <m/>
  </r>
  <r>
    <n v="302"/>
    <n v="46"/>
    <s v="Male"/>
    <x v="11"/>
    <x v="0"/>
    <n v="95"/>
    <s v="Pennsylvania"/>
    <x v="2"/>
    <x v="14"/>
    <x v="1"/>
    <x v="1"/>
    <x v="0"/>
    <x v="0"/>
    <n v="25"/>
    <x v="2"/>
    <x v="6"/>
    <m/>
  </r>
  <r>
    <n v="303"/>
    <n v="37"/>
    <s v="Male"/>
    <x v="1"/>
    <x v="0"/>
    <n v="44"/>
    <s v="Delaware"/>
    <x v="0"/>
    <x v="8"/>
    <x v="2"/>
    <x v="2"/>
    <x v="0"/>
    <x v="0"/>
    <n v="27"/>
    <x v="4"/>
    <x v="6"/>
    <m/>
  </r>
  <r>
    <n v="304"/>
    <n v="20"/>
    <s v="Male"/>
    <x v="3"/>
    <x v="1"/>
    <n v="60"/>
    <s v="Oregon"/>
    <x v="2"/>
    <x v="2"/>
    <x v="2"/>
    <x v="19"/>
    <x v="0"/>
    <x v="0"/>
    <n v="49"/>
    <x v="0"/>
    <x v="1"/>
    <m/>
  </r>
  <r>
    <n v="305"/>
    <n v="40"/>
    <s v="Male"/>
    <x v="10"/>
    <x v="0"/>
    <n v="84"/>
    <s v="Oregon"/>
    <x v="2"/>
    <x v="14"/>
    <x v="0"/>
    <x v="10"/>
    <x v="0"/>
    <x v="0"/>
    <n v="45"/>
    <x v="2"/>
    <x v="4"/>
    <m/>
  </r>
  <r>
    <n v="306"/>
    <n v="60"/>
    <s v="Male"/>
    <x v="1"/>
    <x v="0"/>
    <n v="59"/>
    <s v="Utah"/>
    <x v="2"/>
    <x v="11"/>
    <x v="3"/>
    <x v="22"/>
    <x v="0"/>
    <x v="0"/>
    <n v="26"/>
    <x v="3"/>
    <x v="2"/>
    <m/>
  </r>
  <r>
    <n v="307"/>
    <n v="26"/>
    <s v="Male"/>
    <x v="14"/>
    <x v="2"/>
    <n v="49"/>
    <s v="North Dakota"/>
    <x v="1"/>
    <x v="3"/>
    <x v="2"/>
    <x v="2"/>
    <x v="0"/>
    <x v="0"/>
    <n v="4"/>
    <x v="1"/>
    <x v="2"/>
    <m/>
  </r>
  <r>
    <n v="308"/>
    <n v="29"/>
    <s v="Male"/>
    <x v="24"/>
    <x v="3"/>
    <n v="32"/>
    <s v="Florida"/>
    <x v="2"/>
    <x v="20"/>
    <x v="0"/>
    <x v="20"/>
    <x v="0"/>
    <x v="0"/>
    <n v="3"/>
    <x v="2"/>
    <x v="6"/>
    <m/>
  </r>
  <r>
    <n v="309"/>
    <n v="66"/>
    <s v="Male"/>
    <x v="8"/>
    <x v="3"/>
    <n v="29"/>
    <s v="Maryland"/>
    <x v="2"/>
    <x v="19"/>
    <x v="3"/>
    <x v="5"/>
    <x v="0"/>
    <x v="0"/>
    <n v="45"/>
    <x v="0"/>
    <x v="4"/>
    <m/>
  </r>
  <r>
    <n v="310"/>
    <n v="66"/>
    <s v="Male"/>
    <x v="10"/>
    <x v="0"/>
    <n v="22"/>
    <s v="Minnesota"/>
    <x v="2"/>
    <x v="22"/>
    <x v="1"/>
    <x v="21"/>
    <x v="0"/>
    <x v="0"/>
    <n v="21"/>
    <x v="1"/>
    <x v="0"/>
    <m/>
  </r>
  <r>
    <n v="311"/>
    <n v="56"/>
    <s v="Male"/>
    <x v="13"/>
    <x v="0"/>
    <n v="85"/>
    <s v="Montana"/>
    <x v="2"/>
    <x v="4"/>
    <x v="0"/>
    <x v="7"/>
    <x v="0"/>
    <x v="0"/>
    <n v="50"/>
    <x v="1"/>
    <x v="0"/>
    <m/>
  </r>
  <r>
    <n v="312"/>
    <n v="69"/>
    <s v="Male"/>
    <x v="2"/>
    <x v="0"/>
    <n v="52"/>
    <s v="Rhode Island"/>
    <x v="0"/>
    <x v="5"/>
    <x v="0"/>
    <x v="18"/>
    <x v="0"/>
    <x v="0"/>
    <n v="19"/>
    <x v="4"/>
    <x v="5"/>
    <m/>
  </r>
  <r>
    <n v="313"/>
    <n v="38"/>
    <s v="Male"/>
    <x v="13"/>
    <x v="0"/>
    <n v="89"/>
    <s v="Massachusetts"/>
    <x v="0"/>
    <x v="14"/>
    <x v="1"/>
    <x v="10"/>
    <x v="0"/>
    <x v="0"/>
    <n v="6"/>
    <x v="3"/>
    <x v="2"/>
    <m/>
  </r>
  <r>
    <n v="314"/>
    <n v="42"/>
    <s v="Male"/>
    <x v="10"/>
    <x v="0"/>
    <n v="77"/>
    <s v="Vermont"/>
    <x v="2"/>
    <x v="6"/>
    <x v="1"/>
    <x v="5"/>
    <x v="0"/>
    <x v="0"/>
    <n v="50"/>
    <x v="2"/>
    <x v="6"/>
    <m/>
  </r>
  <r>
    <n v="315"/>
    <n v="30"/>
    <s v="Male"/>
    <x v="13"/>
    <x v="0"/>
    <n v="24"/>
    <s v="New Jersey"/>
    <x v="2"/>
    <x v="7"/>
    <x v="2"/>
    <x v="19"/>
    <x v="0"/>
    <x v="0"/>
    <n v="17"/>
    <x v="5"/>
    <x v="6"/>
    <m/>
  </r>
  <r>
    <n v="316"/>
    <n v="66"/>
    <s v="Male"/>
    <x v="16"/>
    <x v="3"/>
    <n v="24"/>
    <s v="Wisconsin"/>
    <x v="3"/>
    <x v="20"/>
    <x v="1"/>
    <x v="21"/>
    <x v="0"/>
    <x v="0"/>
    <n v="24"/>
    <x v="5"/>
    <x v="2"/>
    <m/>
  </r>
  <r>
    <n v="317"/>
    <n v="36"/>
    <s v="Male"/>
    <x v="8"/>
    <x v="3"/>
    <n v="22"/>
    <s v="California"/>
    <x v="2"/>
    <x v="4"/>
    <x v="3"/>
    <x v="19"/>
    <x v="0"/>
    <x v="0"/>
    <n v="46"/>
    <x v="0"/>
    <x v="5"/>
    <m/>
  </r>
  <r>
    <n v="318"/>
    <n v="58"/>
    <s v="Male"/>
    <x v="1"/>
    <x v="0"/>
    <n v="82"/>
    <s v="West Virginia"/>
    <x v="0"/>
    <x v="11"/>
    <x v="3"/>
    <x v="12"/>
    <x v="0"/>
    <x v="0"/>
    <n v="42"/>
    <x v="1"/>
    <x v="6"/>
    <m/>
  </r>
  <r>
    <n v="319"/>
    <n v="45"/>
    <s v="Male"/>
    <x v="21"/>
    <x v="3"/>
    <n v="67"/>
    <s v="South Dakota"/>
    <x v="2"/>
    <x v="19"/>
    <x v="0"/>
    <x v="16"/>
    <x v="0"/>
    <x v="0"/>
    <n v="10"/>
    <x v="1"/>
    <x v="2"/>
    <m/>
  </r>
  <r>
    <n v="320"/>
    <n v="47"/>
    <s v="Male"/>
    <x v="6"/>
    <x v="0"/>
    <n v="74"/>
    <s v="Maine"/>
    <x v="3"/>
    <x v="3"/>
    <x v="1"/>
    <x v="4"/>
    <x v="0"/>
    <x v="0"/>
    <n v="1"/>
    <x v="1"/>
    <x v="6"/>
    <m/>
  </r>
  <r>
    <n v="321"/>
    <n v="66"/>
    <s v="Male"/>
    <x v="16"/>
    <x v="3"/>
    <n v="72"/>
    <s v="Kansas"/>
    <x v="0"/>
    <x v="3"/>
    <x v="2"/>
    <x v="17"/>
    <x v="0"/>
    <x v="0"/>
    <n v="28"/>
    <x v="5"/>
    <x v="3"/>
    <m/>
  </r>
  <r>
    <n v="322"/>
    <n v="41"/>
    <s v="Male"/>
    <x v="4"/>
    <x v="1"/>
    <n v="36"/>
    <s v="Vermont"/>
    <x v="0"/>
    <x v="20"/>
    <x v="2"/>
    <x v="15"/>
    <x v="0"/>
    <x v="0"/>
    <n v="48"/>
    <x v="5"/>
    <x v="3"/>
    <m/>
  </r>
  <r>
    <n v="323"/>
    <n v="41"/>
    <s v="Male"/>
    <x v="22"/>
    <x v="3"/>
    <n v="95"/>
    <s v="Tennessee"/>
    <x v="1"/>
    <x v="17"/>
    <x v="0"/>
    <x v="23"/>
    <x v="0"/>
    <x v="0"/>
    <n v="47"/>
    <x v="2"/>
    <x v="5"/>
    <m/>
  </r>
  <r>
    <n v="324"/>
    <n v="66"/>
    <s v="Male"/>
    <x v="15"/>
    <x v="0"/>
    <n v="78"/>
    <s v="Tennessee"/>
    <x v="2"/>
    <x v="20"/>
    <x v="0"/>
    <x v="22"/>
    <x v="0"/>
    <x v="0"/>
    <n v="29"/>
    <x v="3"/>
    <x v="4"/>
    <m/>
  </r>
  <r>
    <n v="325"/>
    <n v="37"/>
    <s v="Male"/>
    <x v="5"/>
    <x v="0"/>
    <n v="82"/>
    <s v="Wyoming"/>
    <x v="2"/>
    <x v="8"/>
    <x v="2"/>
    <x v="3"/>
    <x v="0"/>
    <x v="0"/>
    <n v="37"/>
    <x v="0"/>
    <x v="3"/>
    <m/>
  </r>
  <r>
    <n v="326"/>
    <n v="70"/>
    <s v="Male"/>
    <x v="13"/>
    <x v="0"/>
    <n v="70"/>
    <s v="Vermont"/>
    <x v="2"/>
    <x v="4"/>
    <x v="0"/>
    <x v="12"/>
    <x v="0"/>
    <x v="0"/>
    <n v="38"/>
    <x v="5"/>
    <x v="2"/>
    <m/>
  </r>
  <r>
    <n v="327"/>
    <n v="62"/>
    <s v="Male"/>
    <x v="18"/>
    <x v="3"/>
    <n v="41"/>
    <s v="New Jersey"/>
    <x v="2"/>
    <x v="3"/>
    <x v="3"/>
    <x v="20"/>
    <x v="0"/>
    <x v="0"/>
    <n v="48"/>
    <x v="4"/>
    <x v="1"/>
    <m/>
  </r>
  <r>
    <n v="328"/>
    <n v="61"/>
    <s v="Male"/>
    <x v="7"/>
    <x v="2"/>
    <n v="42"/>
    <s v="Iowa"/>
    <x v="2"/>
    <x v="11"/>
    <x v="2"/>
    <x v="0"/>
    <x v="0"/>
    <x v="0"/>
    <n v="36"/>
    <x v="3"/>
    <x v="1"/>
    <m/>
  </r>
  <r>
    <n v="329"/>
    <n v="48"/>
    <s v="Male"/>
    <x v="7"/>
    <x v="2"/>
    <n v="50"/>
    <s v="Florida"/>
    <x v="2"/>
    <x v="22"/>
    <x v="3"/>
    <x v="24"/>
    <x v="0"/>
    <x v="0"/>
    <n v="9"/>
    <x v="2"/>
    <x v="1"/>
    <m/>
  </r>
  <r>
    <n v="330"/>
    <n v="70"/>
    <s v="Male"/>
    <x v="20"/>
    <x v="0"/>
    <n v="31"/>
    <s v="Nevada"/>
    <x v="1"/>
    <x v="3"/>
    <x v="2"/>
    <x v="25"/>
    <x v="0"/>
    <x v="0"/>
    <n v="34"/>
    <x v="4"/>
    <x v="5"/>
    <m/>
  </r>
  <r>
    <n v="331"/>
    <n v="46"/>
    <s v="Male"/>
    <x v="1"/>
    <x v="0"/>
    <n v="51"/>
    <s v="North Dakota"/>
    <x v="2"/>
    <x v="19"/>
    <x v="0"/>
    <x v="5"/>
    <x v="0"/>
    <x v="0"/>
    <n v="43"/>
    <x v="0"/>
    <x v="4"/>
    <m/>
  </r>
  <r>
    <n v="332"/>
    <n v="31"/>
    <s v="Male"/>
    <x v="5"/>
    <x v="0"/>
    <n v="98"/>
    <s v="Florida"/>
    <x v="0"/>
    <x v="19"/>
    <x v="3"/>
    <x v="19"/>
    <x v="0"/>
    <x v="0"/>
    <n v="46"/>
    <x v="3"/>
    <x v="3"/>
    <m/>
  </r>
  <r>
    <n v="333"/>
    <n v="19"/>
    <s v="Male"/>
    <x v="5"/>
    <x v="0"/>
    <n v="86"/>
    <s v="New York"/>
    <x v="2"/>
    <x v="1"/>
    <x v="0"/>
    <x v="24"/>
    <x v="0"/>
    <x v="0"/>
    <n v="5"/>
    <x v="2"/>
    <x v="5"/>
    <m/>
  </r>
  <r>
    <n v="334"/>
    <n v="39"/>
    <s v="Male"/>
    <x v="1"/>
    <x v="0"/>
    <n v="64"/>
    <s v="Alaska"/>
    <x v="2"/>
    <x v="11"/>
    <x v="0"/>
    <x v="21"/>
    <x v="0"/>
    <x v="0"/>
    <n v="15"/>
    <x v="4"/>
    <x v="4"/>
    <m/>
  </r>
  <r>
    <n v="335"/>
    <n v="41"/>
    <s v="Male"/>
    <x v="0"/>
    <x v="0"/>
    <n v="46"/>
    <s v="Kansas"/>
    <x v="2"/>
    <x v="12"/>
    <x v="3"/>
    <x v="4"/>
    <x v="0"/>
    <x v="0"/>
    <n v="30"/>
    <x v="2"/>
    <x v="2"/>
    <m/>
  </r>
  <r>
    <n v="336"/>
    <n v="20"/>
    <s v="Male"/>
    <x v="1"/>
    <x v="0"/>
    <n v="85"/>
    <s v="Oregon"/>
    <x v="0"/>
    <x v="1"/>
    <x v="1"/>
    <x v="5"/>
    <x v="0"/>
    <x v="0"/>
    <n v="44"/>
    <x v="0"/>
    <x v="6"/>
    <m/>
  </r>
  <r>
    <n v="337"/>
    <n v="36"/>
    <s v="Male"/>
    <x v="19"/>
    <x v="3"/>
    <n v="81"/>
    <s v="Rhode Island"/>
    <x v="1"/>
    <x v="20"/>
    <x v="3"/>
    <x v="9"/>
    <x v="0"/>
    <x v="0"/>
    <n v="16"/>
    <x v="3"/>
    <x v="2"/>
    <m/>
  </r>
  <r>
    <n v="338"/>
    <n v="32"/>
    <s v="Male"/>
    <x v="1"/>
    <x v="0"/>
    <n v="59"/>
    <s v="New Mexico"/>
    <x v="2"/>
    <x v="17"/>
    <x v="0"/>
    <x v="12"/>
    <x v="0"/>
    <x v="0"/>
    <n v="16"/>
    <x v="4"/>
    <x v="2"/>
    <m/>
  </r>
  <r>
    <n v="339"/>
    <n v="69"/>
    <s v="Male"/>
    <x v="15"/>
    <x v="0"/>
    <n v="79"/>
    <s v="Massachusetts"/>
    <x v="2"/>
    <x v="5"/>
    <x v="0"/>
    <x v="22"/>
    <x v="0"/>
    <x v="0"/>
    <n v="16"/>
    <x v="1"/>
    <x v="1"/>
    <m/>
  </r>
  <r>
    <n v="340"/>
    <n v="40"/>
    <s v="Male"/>
    <x v="6"/>
    <x v="0"/>
    <n v="33"/>
    <s v="Pennsylvania"/>
    <x v="2"/>
    <x v="11"/>
    <x v="1"/>
    <x v="1"/>
    <x v="0"/>
    <x v="0"/>
    <n v="21"/>
    <x v="2"/>
    <x v="6"/>
    <m/>
  </r>
  <r>
    <n v="341"/>
    <n v="40"/>
    <s v="Male"/>
    <x v="6"/>
    <x v="0"/>
    <n v="47"/>
    <s v="New Jersey"/>
    <x v="0"/>
    <x v="24"/>
    <x v="2"/>
    <x v="22"/>
    <x v="0"/>
    <x v="0"/>
    <n v="39"/>
    <x v="0"/>
    <x v="6"/>
    <m/>
  </r>
  <r>
    <n v="342"/>
    <n v="20"/>
    <s v="Male"/>
    <x v="19"/>
    <x v="3"/>
    <n v="20"/>
    <s v="Utah"/>
    <x v="1"/>
    <x v="24"/>
    <x v="2"/>
    <x v="7"/>
    <x v="0"/>
    <x v="0"/>
    <n v="40"/>
    <x v="5"/>
    <x v="4"/>
    <m/>
  </r>
  <r>
    <n v="343"/>
    <n v="64"/>
    <s v="Male"/>
    <x v="7"/>
    <x v="2"/>
    <n v="36"/>
    <s v="Kentucky"/>
    <x v="2"/>
    <x v="8"/>
    <x v="1"/>
    <x v="4"/>
    <x v="0"/>
    <x v="0"/>
    <n v="48"/>
    <x v="2"/>
    <x v="6"/>
    <m/>
  </r>
  <r>
    <n v="344"/>
    <n v="27"/>
    <s v="Male"/>
    <x v="3"/>
    <x v="1"/>
    <n v="39"/>
    <s v="Nebraska"/>
    <x v="2"/>
    <x v="7"/>
    <x v="2"/>
    <x v="9"/>
    <x v="0"/>
    <x v="0"/>
    <n v="26"/>
    <x v="0"/>
    <x v="5"/>
    <m/>
  </r>
  <r>
    <n v="345"/>
    <n v="24"/>
    <s v="Male"/>
    <x v="11"/>
    <x v="0"/>
    <n v="71"/>
    <s v="Virginia"/>
    <x v="2"/>
    <x v="4"/>
    <x v="0"/>
    <x v="8"/>
    <x v="0"/>
    <x v="0"/>
    <n v="46"/>
    <x v="5"/>
    <x v="5"/>
    <m/>
  </r>
  <r>
    <n v="346"/>
    <n v="48"/>
    <s v="Male"/>
    <x v="9"/>
    <x v="1"/>
    <n v="59"/>
    <s v="Wyoming"/>
    <x v="1"/>
    <x v="8"/>
    <x v="0"/>
    <x v="9"/>
    <x v="0"/>
    <x v="0"/>
    <n v="27"/>
    <x v="4"/>
    <x v="2"/>
    <m/>
  </r>
  <r>
    <n v="347"/>
    <n v="49"/>
    <s v="Male"/>
    <x v="2"/>
    <x v="0"/>
    <n v="50"/>
    <s v="New Mexico"/>
    <x v="0"/>
    <x v="10"/>
    <x v="1"/>
    <x v="15"/>
    <x v="0"/>
    <x v="0"/>
    <n v="5"/>
    <x v="1"/>
    <x v="1"/>
    <m/>
  </r>
  <r>
    <n v="348"/>
    <n v="36"/>
    <s v="Male"/>
    <x v="3"/>
    <x v="1"/>
    <n v="41"/>
    <s v="Oregon"/>
    <x v="0"/>
    <x v="16"/>
    <x v="3"/>
    <x v="14"/>
    <x v="0"/>
    <x v="0"/>
    <n v="43"/>
    <x v="3"/>
    <x v="0"/>
    <m/>
  </r>
  <r>
    <n v="349"/>
    <n v="56"/>
    <s v="Male"/>
    <x v="0"/>
    <x v="0"/>
    <n v="59"/>
    <s v="South Carolina"/>
    <x v="2"/>
    <x v="19"/>
    <x v="3"/>
    <x v="6"/>
    <x v="0"/>
    <x v="0"/>
    <n v="17"/>
    <x v="3"/>
    <x v="0"/>
    <m/>
  </r>
  <r>
    <n v="350"/>
    <n v="37"/>
    <s v="Male"/>
    <x v="19"/>
    <x v="3"/>
    <n v="87"/>
    <s v="Arizona"/>
    <x v="2"/>
    <x v="14"/>
    <x v="0"/>
    <x v="5"/>
    <x v="0"/>
    <x v="0"/>
    <n v="3"/>
    <x v="4"/>
    <x v="4"/>
    <m/>
  </r>
  <r>
    <n v="351"/>
    <n v="42"/>
    <s v="Male"/>
    <x v="1"/>
    <x v="0"/>
    <n v="68"/>
    <s v="Kentucky"/>
    <x v="2"/>
    <x v="10"/>
    <x v="1"/>
    <x v="4"/>
    <x v="0"/>
    <x v="0"/>
    <n v="47"/>
    <x v="4"/>
    <x v="0"/>
    <m/>
  </r>
  <r>
    <n v="352"/>
    <n v="28"/>
    <s v="Male"/>
    <x v="11"/>
    <x v="0"/>
    <n v="90"/>
    <s v="New York"/>
    <x v="2"/>
    <x v="11"/>
    <x v="0"/>
    <x v="14"/>
    <x v="0"/>
    <x v="0"/>
    <n v="24"/>
    <x v="5"/>
    <x v="4"/>
    <m/>
  </r>
  <r>
    <n v="353"/>
    <n v="27"/>
    <s v="Male"/>
    <x v="2"/>
    <x v="0"/>
    <n v="71"/>
    <s v="Texas"/>
    <x v="3"/>
    <x v="22"/>
    <x v="3"/>
    <x v="17"/>
    <x v="0"/>
    <x v="0"/>
    <n v="12"/>
    <x v="1"/>
    <x v="6"/>
    <m/>
  </r>
  <r>
    <n v="354"/>
    <n v="63"/>
    <s v="Male"/>
    <x v="4"/>
    <x v="1"/>
    <n v="64"/>
    <s v="Missouri"/>
    <x v="0"/>
    <x v="22"/>
    <x v="3"/>
    <x v="18"/>
    <x v="0"/>
    <x v="0"/>
    <n v="35"/>
    <x v="5"/>
    <x v="5"/>
    <m/>
  </r>
  <r>
    <n v="355"/>
    <n v="58"/>
    <s v="Male"/>
    <x v="16"/>
    <x v="3"/>
    <n v="76"/>
    <s v="Pennsylvania"/>
    <x v="1"/>
    <x v="8"/>
    <x v="3"/>
    <x v="23"/>
    <x v="0"/>
    <x v="0"/>
    <n v="42"/>
    <x v="0"/>
    <x v="1"/>
    <m/>
  </r>
  <r>
    <n v="356"/>
    <n v="37"/>
    <s v="Male"/>
    <x v="16"/>
    <x v="3"/>
    <n v="42"/>
    <s v="Oregon"/>
    <x v="3"/>
    <x v="23"/>
    <x v="3"/>
    <x v="18"/>
    <x v="0"/>
    <x v="0"/>
    <n v="1"/>
    <x v="3"/>
    <x v="6"/>
    <m/>
  </r>
  <r>
    <n v="357"/>
    <n v="56"/>
    <s v="Male"/>
    <x v="13"/>
    <x v="0"/>
    <n v="80"/>
    <s v="Nevada"/>
    <x v="0"/>
    <x v="13"/>
    <x v="1"/>
    <x v="1"/>
    <x v="0"/>
    <x v="0"/>
    <n v="27"/>
    <x v="1"/>
    <x v="1"/>
    <m/>
  </r>
  <r>
    <n v="358"/>
    <n v="18"/>
    <s v="Male"/>
    <x v="22"/>
    <x v="3"/>
    <n v="56"/>
    <s v="Arkansas"/>
    <x v="2"/>
    <x v="8"/>
    <x v="1"/>
    <x v="8"/>
    <x v="0"/>
    <x v="0"/>
    <n v="16"/>
    <x v="2"/>
    <x v="4"/>
    <m/>
  </r>
  <r>
    <n v="359"/>
    <n v="48"/>
    <s v="Male"/>
    <x v="19"/>
    <x v="3"/>
    <n v="25"/>
    <s v="Minnesota"/>
    <x v="3"/>
    <x v="23"/>
    <x v="2"/>
    <x v="2"/>
    <x v="0"/>
    <x v="0"/>
    <n v="36"/>
    <x v="2"/>
    <x v="6"/>
    <m/>
  </r>
  <r>
    <n v="360"/>
    <n v="31"/>
    <s v="Male"/>
    <x v="4"/>
    <x v="1"/>
    <n v="74"/>
    <s v="Georgia"/>
    <x v="2"/>
    <x v="8"/>
    <x v="0"/>
    <x v="23"/>
    <x v="0"/>
    <x v="0"/>
    <n v="30"/>
    <x v="2"/>
    <x v="6"/>
    <m/>
  </r>
  <r>
    <n v="361"/>
    <n v="51"/>
    <s v="Male"/>
    <x v="13"/>
    <x v="0"/>
    <n v="30"/>
    <s v="Rhode Island"/>
    <x v="2"/>
    <x v="11"/>
    <x v="2"/>
    <x v="23"/>
    <x v="0"/>
    <x v="0"/>
    <n v="18"/>
    <x v="5"/>
    <x v="0"/>
    <m/>
  </r>
  <r>
    <n v="362"/>
    <n v="65"/>
    <s v="Male"/>
    <x v="17"/>
    <x v="0"/>
    <n v="96"/>
    <s v="Nevada"/>
    <x v="2"/>
    <x v="3"/>
    <x v="1"/>
    <x v="4"/>
    <x v="0"/>
    <x v="0"/>
    <n v="45"/>
    <x v="1"/>
    <x v="2"/>
    <m/>
  </r>
  <r>
    <n v="363"/>
    <n v="53"/>
    <s v="Male"/>
    <x v="4"/>
    <x v="1"/>
    <n v="64"/>
    <s v="Texas"/>
    <x v="2"/>
    <x v="4"/>
    <x v="3"/>
    <x v="10"/>
    <x v="0"/>
    <x v="0"/>
    <n v="1"/>
    <x v="0"/>
    <x v="0"/>
    <m/>
  </r>
  <r>
    <n v="364"/>
    <n v="55"/>
    <s v="Male"/>
    <x v="6"/>
    <x v="0"/>
    <n v="88"/>
    <s v="Florida"/>
    <x v="0"/>
    <x v="22"/>
    <x v="0"/>
    <x v="0"/>
    <x v="0"/>
    <x v="0"/>
    <n v="42"/>
    <x v="4"/>
    <x v="0"/>
    <m/>
  </r>
  <r>
    <n v="365"/>
    <n v="62"/>
    <s v="Male"/>
    <x v="9"/>
    <x v="1"/>
    <n v="88"/>
    <s v="North Dakota"/>
    <x v="0"/>
    <x v="4"/>
    <x v="2"/>
    <x v="23"/>
    <x v="0"/>
    <x v="0"/>
    <n v="7"/>
    <x v="0"/>
    <x v="6"/>
    <m/>
  </r>
  <r>
    <n v="366"/>
    <n v="55"/>
    <s v="Male"/>
    <x v="24"/>
    <x v="3"/>
    <n v="88"/>
    <s v="West Virginia"/>
    <x v="3"/>
    <x v="0"/>
    <x v="2"/>
    <x v="5"/>
    <x v="0"/>
    <x v="0"/>
    <n v="50"/>
    <x v="3"/>
    <x v="3"/>
    <m/>
  </r>
  <r>
    <n v="367"/>
    <n v="64"/>
    <s v="Male"/>
    <x v="20"/>
    <x v="0"/>
    <n v="36"/>
    <s v="Nebraska"/>
    <x v="2"/>
    <x v="2"/>
    <x v="1"/>
    <x v="22"/>
    <x v="0"/>
    <x v="0"/>
    <n v="37"/>
    <x v="0"/>
    <x v="0"/>
    <m/>
  </r>
  <r>
    <n v="368"/>
    <n v="52"/>
    <s v="Male"/>
    <x v="10"/>
    <x v="0"/>
    <n v="40"/>
    <s v="Tennessee"/>
    <x v="3"/>
    <x v="17"/>
    <x v="1"/>
    <x v="24"/>
    <x v="0"/>
    <x v="0"/>
    <n v="18"/>
    <x v="4"/>
    <x v="5"/>
    <m/>
  </r>
  <r>
    <n v="369"/>
    <n v="24"/>
    <s v="Male"/>
    <x v="8"/>
    <x v="3"/>
    <n v="39"/>
    <s v="Oklahoma"/>
    <x v="2"/>
    <x v="4"/>
    <x v="1"/>
    <x v="21"/>
    <x v="0"/>
    <x v="0"/>
    <n v="29"/>
    <x v="1"/>
    <x v="5"/>
    <m/>
  </r>
  <r>
    <n v="370"/>
    <n v="38"/>
    <s v="Male"/>
    <x v="22"/>
    <x v="3"/>
    <n v="40"/>
    <s v="Wisconsin"/>
    <x v="2"/>
    <x v="5"/>
    <x v="2"/>
    <x v="19"/>
    <x v="0"/>
    <x v="0"/>
    <n v="45"/>
    <x v="3"/>
    <x v="3"/>
    <m/>
  </r>
  <r>
    <n v="371"/>
    <n v="59"/>
    <s v="Male"/>
    <x v="18"/>
    <x v="3"/>
    <n v="34"/>
    <s v="Oregon"/>
    <x v="2"/>
    <x v="8"/>
    <x v="0"/>
    <x v="10"/>
    <x v="0"/>
    <x v="0"/>
    <n v="13"/>
    <x v="3"/>
    <x v="1"/>
    <m/>
  </r>
  <r>
    <n v="372"/>
    <n v="27"/>
    <s v="Male"/>
    <x v="4"/>
    <x v="1"/>
    <n v="83"/>
    <s v="North Carolina"/>
    <x v="1"/>
    <x v="6"/>
    <x v="0"/>
    <x v="20"/>
    <x v="0"/>
    <x v="0"/>
    <n v="47"/>
    <x v="3"/>
    <x v="5"/>
    <m/>
  </r>
  <r>
    <n v="373"/>
    <n v="24"/>
    <s v="Male"/>
    <x v="1"/>
    <x v="0"/>
    <n v="85"/>
    <s v="Pennsylvania"/>
    <x v="0"/>
    <x v="20"/>
    <x v="2"/>
    <x v="5"/>
    <x v="0"/>
    <x v="0"/>
    <n v="7"/>
    <x v="5"/>
    <x v="1"/>
    <m/>
  </r>
  <r>
    <n v="374"/>
    <n v="23"/>
    <s v="Male"/>
    <x v="7"/>
    <x v="2"/>
    <n v="27"/>
    <s v="North Dakota"/>
    <x v="0"/>
    <x v="3"/>
    <x v="2"/>
    <x v="7"/>
    <x v="0"/>
    <x v="0"/>
    <n v="11"/>
    <x v="0"/>
    <x v="4"/>
    <m/>
  </r>
  <r>
    <n v="375"/>
    <n v="69"/>
    <s v="Male"/>
    <x v="16"/>
    <x v="3"/>
    <n v="78"/>
    <s v="Ohio"/>
    <x v="1"/>
    <x v="7"/>
    <x v="1"/>
    <x v="11"/>
    <x v="0"/>
    <x v="0"/>
    <n v="39"/>
    <x v="4"/>
    <x v="5"/>
    <m/>
  </r>
  <r>
    <n v="376"/>
    <n v="59"/>
    <s v="Male"/>
    <x v="12"/>
    <x v="3"/>
    <n v="32"/>
    <s v="Oklahoma"/>
    <x v="2"/>
    <x v="8"/>
    <x v="2"/>
    <x v="9"/>
    <x v="0"/>
    <x v="0"/>
    <n v="6"/>
    <x v="5"/>
    <x v="3"/>
    <m/>
  </r>
  <r>
    <n v="377"/>
    <n v="51"/>
    <s v="Male"/>
    <x v="9"/>
    <x v="1"/>
    <n v="51"/>
    <s v="South Carolina"/>
    <x v="1"/>
    <x v="0"/>
    <x v="3"/>
    <x v="17"/>
    <x v="0"/>
    <x v="0"/>
    <n v="2"/>
    <x v="0"/>
    <x v="4"/>
    <m/>
  </r>
  <r>
    <n v="378"/>
    <n v="63"/>
    <s v="Male"/>
    <x v="18"/>
    <x v="3"/>
    <n v="32"/>
    <s v="Maine"/>
    <x v="2"/>
    <x v="5"/>
    <x v="1"/>
    <x v="18"/>
    <x v="0"/>
    <x v="0"/>
    <n v="39"/>
    <x v="2"/>
    <x v="6"/>
    <m/>
  </r>
  <r>
    <n v="379"/>
    <n v="54"/>
    <s v="Male"/>
    <x v="10"/>
    <x v="0"/>
    <n v="62"/>
    <s v="Nevada"/>
    <x v="0"/>
    <x v="20"/>
    <x v="0"/>
    <x v="17"/>
    <x v="0"/>
    <x v="0"/>
    <n v="23"/>
    <x v="2"/>
    <x v="5"/>
    <m/>
  </r>
  <r>
    <n v="380"/>
    <n v="32"/>
    <s v="Male"/>
    <x v="17"/>
    <x v="0"/>
    <n v="29"/>
    <s v="Montana"/>
    <x v="1"/>
    <x v="23"/>
    <x v="3"/>
    <x v="15"/>
    <x v="0"/>
    <x v="0"/>
    <n v="46"/>
    <x v="5"/>
    <x v="4"/>
    <m/>
  </r>
  <r>
    <n v="381"/>
    <n v="39"/>
    <s v="Male"/>
    <x v="21"/>
    <x v="3"/>
    <n v="69"/>
    <s v="New Hampshire"/>
    <x v="3"/>
    <x v="19"/>
    <x v="3"/>
    <x v="23"/>
    <x v="0"/>
    <x v="0"/>
    <n v="19"/>
    <x v="4"/>
    <x v="1"/>
    <m/>
  </r>
  <r>
    <n v="382"/>
    <n v="66"/>
    <s v="Male"/>
    <x v="16"/>
    <x v="3"/>
    <n v="25"/>
    <s v="Maine"/>
    <x v="0"/>
    <x v="12"/>
    <x v="0"/>
    <x v="10"/>
    <x v="0"/>
    <x v="0"/>
    <n v="3"/>
    <x v="2"/>
    <x v="6"/>
    <m/>
  </r>
  <r>
    <n v="383"/>
    <n v="28"/>
    <s v="Male"/>
    <x v="2"/>
    <x v="0"/>
    <n v="76"/>
    <s v="California"/>
    <x v="2"/>
    <x v="15"/>
    <x v="0"/>
    <x v="20"/>
    <x v="0"/>
    <x v="0"/>
    <n v="47"/>
    <x v="3"/>
    <x v="3"/>
    <m/>
  </r>
  <r>
    <n v="384"/>
    <n v="50"/>
    <s v="Male"/>
    <x v="12"/>
    <x v="3"/>
    <n v="77"/>
    <s v="West Virginia"/>
    <x v="1"/>
    <x v="23"/>
    <x v="3"/>
    <x v="25"/>
    <x v="0"/>
    <x v="0"/>
    <n v="6"/>
    <x v="3"/>
    <x v="3"/>
    <m/>
  </r>
  <r>
    <n v="385"/>
    <n v="70"/>
    <s v="Male"/>
    <x v="1"/>
    <x v="0"/>
    <n v="33"/>
    <s v="California"/>
    <x v="2"/>
    <x v="19"/>
    <x v="3"/>
    <x v="21"/>
    <x v="0"/>
    <x v="0"/>
    <n v="6"/>
    <x v="0"/>
    <x v="2"/>
    <m/>
  </r>
  <r>
    <n v="386"/>
    <n v="67"/>
    <s v="Male"/>
    <x v="6"/>
    <x v="0"/>
    <n v="93"/>
    <s v="West Virginia"/>
    <x v="1"/>
    <x v="22"/>
    <x v="3"/>
    <x v="6"/>
    <x v="0"/>
    <x v="0"/>
    <n v="12"/>
    <x v="2"/>
    <x v="4"/>
    <m/>
  </r>
  <r>
    <n v="387"/>
    <n v="64"/>
    <s v="Male"/>
    <x v="16"/>
    <x v="3"/>
    <n v="39"/>
    <s v="Louisiana"/>
    <x v="0"/>
    <x v="18"/>
    <x v="1"/>
    <x v="10"/>
    <x v="0"/>
    <x v="0"/>
    <n v="40"/>
    <x v="3"/>
    <x v="3"/>
    <m/>
  </r>
  <r>
    <n v="388"/>
    <n v="45"/>
    <s v="Male"/>
    <x v="7"/>
    <x v="2"/>
    <n v="93"/>
    <s v="Georgia"/>
    <x v="0"/>
    <x v="5"/>
    <x v="2"/>
    <x v="7"/>
    <x v="0"/>
    <x v="0"/>
    <n v="38"/>
    <x v="3"/>
    <x v="0"/>
    <m/>
  </r>
  <r>
    <n v="389"/>
    <n v="22"/>
    <s v="Male"/>
    <x v="8"/>
    <x v="3"/>
    <n v="82"/>
    <s v="Washington"/>
    <x v="2"/>
    <x v="20"/>
    <x v="2"/>
    <x v="6"/>
    <x v="0"/>
    <x v="0"/>
    <n v="10"/>
    <x v="3"/>
    <x v="3"/>
    <m/>
  </r>
  <r>
    <n v="390"/>
    <n v="27"/>
    <s v="Male"/>
    <x v="23"/>
    <x v="1"/>
    <n v="42"/>
    <s v="Virginia"/>
    <x v="0"/>
    <x v="7"/>
    <x v="1"/>
    <x v="13"/>
    <x v="0"/>
    <x v="0"/>
    <n v="28"/>
    <x v="4"/>
    <x v="5"/>
    <m/>
  </r>
  <r>
    <n v="391"/>
    <n v="25"/>
    <s v="Male"/>
    <x v="24"/>
    <x v="3"/>
    <n v="71"/>
    <s v="Indiana"/>
    <x v="2"/>
    <x v="21"/>
    <x v="0"/>
    <x v="20"/>
    <x v="0"/>
    <x v="0"/>
    <n v="19"/>
    <x v="3"/>
    <x v="2"/>
    <m/>
  </r>
  <r>
    <n v="392"/>
    <n v="37"/>
    <s v="Male"/>
    <x v="1"/>
    <x v="0"/>
    <n v="86"/>
    <s v="Minnesota"/>
    <x v="0"/>
    <x v="0"/>
    <x v="1"/>
    <x v="3"/>
    <x v="0"/>
    <x v="0"/>
    <n v="25"/>
    <x v="1"/>
    <x v="0"/>
    <m/>
  </r>
  <r>
    <n v="393"/>
    <n v="26"/>
    <s v="Male"/>
    <x v="17"/>
    <x v="0"/>
    <n v="82"/>
    <s v="Idaho"/>
    <x v="3"/>
    <x v="13"/>
    <x v="1"/>
    <x v="19"/>
    <x v="0"/>
    <x v="0"/>
    <n v="38"/>
    <x v="2"/>
    <x v="2"/>
    <m/>
  </r>
  <r>
    <n v="394"/>
    <n v="33"/>
    <s v="Male"/>
    <x v="9"/>
    <x v="1"/>
    <n v="65"/>
    <s v="Vermont"/>
    <x v="0"/>
    <x v="1"/>
    <x v="3"/>
    <x v="13"/>
    <x v="0"/>
    <x v="0"/>
    <n v="6"/>
    <x v="3"/>
    <x v="0"/>
    <m/>
  </r>
  <r>
    <n v="395"/>
    <n v="43"/>
    <s v="Male"/>
    <x v="18"/>
    <x v="3"/>
    <n v="29"/>
    <s v="North Dakota"/>
    <x v="2"/>
    <x v="19"/>
    <x v="1"/>
    <x v="3"/>
    <x v="0"/>
    <x v="0"/>
    <n v="7"/>
    <x v="5"/>
    <x v="4"/>
    <m/>
  </r>
  <r>
    <n v="396"/>
    <n v="37"/>
    <s v="Male"/>
    <x v="4"/>
    <x v="1"/>
    <n v="65"/>
    <s v="Rhode Island"/>
    <x v="0"/>
    <x v="18"/>
    <x v="0"/>
    <x v="17"/>
    <x v="0"/>
    <x v="0"/>
    <n v="2"/>
    <x v="3"/>
    <x v="2"/>
    <m/>
  </r>
  <r>
    <n v="397"/>
    <n v="46"/>
    <s v="Male"/>
    <x v="10"/>
    <x v="0"/>
    <n v="88"/>
    <s v="South Carolina"/>
    <x v="1"/>
    <x v="13"/>
    <x v="3"/>
    <x v="14"/>
    <x v="0"/>
    <x v="0"/>
    <n v="24"/>
    <x v="4"/>
    <x v="2"/>
    <m/>
  </r>
  <r>
    <n v="398"/>
    <n v="22"/>
    <s v="Male"/>
    <x v="22"/>
    <x v="3"/>
    <n v="46"/>
    <s v="Mississippi"/>
    <x v="2"/>
    <x v="21"/>
    <x v="3"/>
    <x v="23"/>
    <x v="0"/>
    <x v="0"/>
    <n v="26"/>
    <x v="1"/>
    <x v="2"/>
    <m/>
  </r>
  <r>
    <n v="399"/>
    <n v="20"/>
    <s v="Male"/>
    <x v="23"/>
    <x v="1"/>
    <n v="67"/>
    <s v="Montana"/>
    <x v="1"/>
    <x v="5"/>
    <x v="0"/>
    <x v="7"/>
    <x v="0"/>
    <x v="0"/>
    <n v="25"/>
    <x v="5"/>
    <x v="6"/>
    <m/>
  </r>
  <r>
    <n v="400"/>
    <n v="60"/>
    <s v="Male"/>
    <x v="18"/>
    <x v="3"/>
    <n v="35"/>
    <s v="Idaho"/>
    <x v="0"/>
    <x v="24"/>
    <x v="3"/>
    <x v="22"/>
    <x v="0"/>
    <x v="0"/>
    <n v="10"/>
    <x v="5"/>
    <x v="5"/>
    <m/>
  </r>
  <r>
    <n v="401"/>
    <n v="39"/>
    <s v="Male"/>
    <x v="23"/>
    <x v="1"/>
    <n v="66"/>
    <s v="Utah"/>
    <x v="2"/>
    <x v="14"/>
    <x v="0"/>
    <x v="3"/>
    <x v="0"/>
    <x v="0"/>
    <n v="14"/>
    <x v="3"/>
    <x v="0"/>
    <m/>
  </r>
  <r>
    <n v="402"/>
    <n v="43"/>
    <s v="Male"/>
    <x v="17"/>
    <x v="0"/>
    <n v="91"/>
    <s v="Oklahoma"/>
    <x v="0"/>
    <x v="20"/>
    <x v="3"/>
    <x v="3"/>
    <x v="0"/>
    <x v="0"/>
    <n v="21"/>
    <x v="1"/>
    <x v="3"/>
    <m/>
  </r>
  <r>
    <n v="403"/>
    <n v="31"/>
    <s v="Male"/>
    <x v="21"/>
    <x v="3"/>
    <n v="78"/>
    <s v="California"/>
    <x v="0"/>
    <x v="17"/>
    <x v="3"/>
    <x v="23"/>
    <x v="0"/>
    <x v="0"/>
    <n v="26"/>
    <x v="3"/>
    <x v="5"/>
    <m/>
  </r>
  <r>
    <n v="404"/>
    <n v="19"/>
    <s v="Male"/>
    <x v="4"/>
    <x v="1"/>
    <n v="45"/>
    <s v="Nevada"/>
    <x v="2"/>
    <x v="20"/>
    <x v="0"/>
    <x v="21"/>
    <x v="0"/>
    <x v="0"/>
    <n v="12"/>
    <x v="4"/>
    <x v="2"/>
    <m/>
  </r>
  <r>
    <n v="405"/>
    <n v="35"/>
    <s v="Male"/>
    <x v="17"/>
    <x v="0"/>
    <n v="93"/>
    <s v="Delaware"/>
    <x v="2"/>
    <x v="21"/>
    <x v="1"/>
    <x v="3"/>
    <x v="0"/>
    <x v="0"/>
    <n v="11"/>
    <x v="2"/>
    <x v="5"/>
    <m/>
  </r>
  <r>
    <n v="406"/>
    <n v="41"/>
    <s v="Male"/>
    <x v="2"/>
    <x v="0"/>
    <n v="74"/>
    <s v="South Carolina"/>
    <x v="1"/>
    <x v="5"/>
    <x v="2"/>
    <x v="1"/>
    <x v="0"/>
    <x v="0"/>
    <n v="15"/>
    <x v="1"/>
    <x v="2"/>
    <m/>
  </r>
  <r>
    <n v="407"/>
    <n v="52"/>
    <s v="Male"/>
    <x v="24"/>
    <x v="3"/>
    <n v="55"/>
    <s v="Maryland"/>
    <x v="2"/>
    <x v="15"/>
    <x v="1"/>
    <x v="7"/>
    <x v="0"/>
    <x v="0"/>
    <n v="13"/>
    <x v="1"/>
    <x v="5"/>
    <m/>
  </r>
  <r>
    <n v="408"/>
    <n v="45"/>
    <s v="Male"/>
    <x v="15"/>
    <x v="0"/>
    <n v="76"/>
    <s v="North Carolina"/>
    <x v="3"/>
    <x v="11"/>
    <x v="1"/>
    <x v="0"/>
    <x v="0"/>
    <x v="0"/>
    <n v="5"/>
    <x v="2"/>
    <x v="4"/>
    <m/>
  </r>
  <r>
    <n v="409"/>
    <n v="34"/>
    <s v="Male"/>
    <x v="4"/>
    <x v="1"/>
    <n v="66"/>
    <s v="Alabama"/>
    <x v="0"/>
    <x v="3"/>
    <x v="1"/>
    <x v="10"/>
    <x v="0"/>
    <x v="0"/>
    <n v="36"/>
    <x v="1"/>
    <x v="0"/>
    <m/>
  </r>
  <r>
    <n v="410"/>
    <n v="35"/>
    <s v="Male"/>
    <x v="6"/>
    <x v="0"/>
    <n v="51"/>
    <s v="Minnesota"/>
    <x v="2"/>
    <x v="18"/>
    <x v="0"/>
    <x v="19"/>
    <x v="0"/>
    <x v="0"/>
    <n v="32"/>
    <x v="4"/>
    <x v="5"/>
    <m/>
  </r>
  <r>
    <n v="411"/>
    <n v="29"/>
    <s v="Male"/>
    <x v="1"/>
    <x v="0"/>
    <n v="26"/>
    <s v="Virginia"/>
    <x v="0"/>
    <x v="12"/>
    <x v="1"/>
    <x v="3"/>
    <x v="0"/>
    <x v="0"/>
    <n v="1"/>
    <x v="2"/>
    <x v="3"/>
    <m/>
  </r>
  <r>
    <n v="412"/>
    <n v="59"/>
    <s v="Male"/>
    <x v="2"/>
    <x v="0"/>
    <n v="29"/>
    <s v="Michigan"/>
    <x v="2"/>
    <x v="21"/>
    <x v="2"/>
    <x v="24"/>
    <x v="0"/>
    <x v="0"/>
    <n v="15"/>
    <x v="3"/>
    <x v="2"/>
    <m/>
  </r>
  <r>
    <n v="413"/>
    <n v="24"/>
    <s v="Male"/>
    <x v="14"/>
    <x v="2"/>
    <n v="74"/>
    <s v="Maine"/>
    <x v="2"/>
    <x v="22"/>
    <x v="2"/>
    <x v="0"/>
    <x v="0"/>
    <x v="0"/>
    <n v="3"/>
    <x v="4"/>
    <x v="1"/>
    <m/>
  </r>
  <r>
    <n v="414"/>
    <n v="70"/>
    <s v="Male"/>
    <x v="16"/>
    <x v="3"/>
    <n v="99"/>
    <s v="Nevada"/>
    <x v="1"/>
    <x v="3"/>
    <x v="2"/>
    <x v="7"/>
    <x v="0"/>
    <x v="0"/>
    <n v="48"/>
    <x v="1"/>
    <x v="5"/>
    <m/>
  </r>
  <r>
    <n v="415"/>
    <n v="29"/>
    <s v="Male"/>
    <x v="21"/>
    <x v="3"/>
    <n v="88"/>
    <s v="Wyoming"/>
    <x v="0"/>
    <x v="10"/>
    <x v="0"/>
    <x v="4"/>
    <x v="0"/>
    <x v="0"/>
    <n v="30"/>
    <x v="5"/>
    <x v="1"/>
    <m/>
  </r>
  <r>
    <n v="416"/>
    <n v="67"/>
    <s v="Male"/>
    <x v="7"/>
    <x v="2"/>
    <n v="31"/>
    <s v="Connecticut"/>
    <x v="2"/>
    <x v="12"/>
    <x v="0"/>
    <x v="4"/>
    <x v="0"/>
    <x v="0"/>
    <n v="40"/>
    <x v="4"/>
    <x v="5"/>
    <m/>
  </r>
  <r>
    <n v="417"/>
    <n v="36"/>
    <s v="Male"/>
    <x v="22"/>
    <x v="3"/>
    <n v="55"/>
    <s v="Oregon"/>
    <x v="0"/>
    <x v="8"/>
    <x v="1"/>
    <x v="1"/>
    <x v="0"/>
    <x v="0"/>
    <n v="24"/>
    <x v="4"/>
    <x v="0"/>
    <m/>
  </r>
  <r>
    <n v="418"/>
    <n v="23"/>
    <s v="Male"/>
    <x v="3"/>
    <x v="1"/>
    <n v="81"/>
    <s v="Mississippi"/>
    <x v="0"/>
    <x v="19"/>
    <x v="3"/>
    <x v="21"/>
    <x v="0"/>
    <x v="0"/>
    <n v="48"/>
    <x v="5"/>
    <x v="3"/>
    <m/>
  </r>
  <r>
    <n v="419"/>
    <n v="18"/>
    <s v="Male"/>
    <x v="1"/>
    <x v="0"/>
    <n v="73"/>
    <s v="Illinois"/>
    <x v="0"/>
    <x v="7"/>
    <x v="1"/>
    <x v="23"/>
    <x v="0"/>
    <x v="0"/>
    <n v="27"/>
    <x v="0"/>
    <x v="4"/>
    <m/>
  </r>
  <r>
    <n v="420"/>
    <n v="53"/>
    <s v="Male"/>
    <x v="6"/>
    <x v="0"/>
    <n v="91"/>
    <s v="Utah"/>
    <x v="1"/>
    <x v="11"/>
    <x v="0"/>
    <x v="22"/>
    <x v="0"/>
    <x v="0"/>
    <n v="14"/>
    <x v="2"/>
    <x v="6"/>
    <m/>
  </r>
  <r>
    <n v="421"/>
    <n v="32"/>
    <s v="Male"/>
    <x v="20"/>
    <x v="0"/>
    <n v="54"/>
    <s v="North Carolina"/>
    <x v="1"/>
    <x v="15"/>
    <x v="1"/>
    <x v="1"/>
    <x v="0"/>
    <x v="0"/>
    <n v="18"/>
    <x v="5"/>
    <x v="4"/>
    <m/>
  </r>
  <r>
    <n v="422"/>
    <n v="38"/>
    <s v="Male"/>
    <x v="5"/>
    <x v="0"/>
    <n v="40"/>
    <s v="Kentucky"/>
    <x v="2"/>
    <x v="10"/>
    <x v="0"/>
    <x v="22"/>
    <x v="0"/>
    <x v="0"/>
    <n v="48"/>
    <x v="1"/>
    <x v="4"/>
    <m/>
  </r>
  <r>
    <n v="423"/>
    <n v="47"/>
    <s v="Male"/>
    <x v="13"/>
    <x v="0"/>
    <n v="59"/>
    <s v="Minnesota"/>
    <x v="2"/>
    <x v="7"/>
    <x v="3"/>
    <x v="0"/>
    <x v="0"/>
    <x v="0"/>
    <n v="32"/>
    <x v="5"/>
    <x v="2"/>
    <m/>
  </r>
  <r>
    <n v="424"/>
    <n v="46"/>
    <s v="Male"/>
    <x v="18"/>
    <x v="3"/>
    <n v="26"/>
    <s v="New York"/>
    <x v="0"/>
    <x v="11"/>
    <x v="1"/>
    <x v="23"/>
    <x v="0"/>
    <x v="0"/>
    <n v="21"/>
    <x v="2"/>
    <x v="4"/>
    <m/>
  </r>
  <r>
    <n v="425"/>
    <n v="66"/>
    <s v="Male"/>
    <x v="1"/>
    <x v="0"/>
    <n v="23"/>
    <s v="Illinois"/>
    <x v="2"/>
    <x v="9"/>
    <x v="0"/>
    <x v="12"/>
    <x v="0"/>
    <x v="0"/>
    <n v="42"/>
    <x v="3"/>
    <x v="0"/>
    <m/>
  </r>
  <r>
    <n v="426"/>
    <n v="40"/>
    <s v="Male"/>
    <x v="2"/>
    <x v="0"/>
    <n v="87"/>
    <s v="North Dakota"/>
    <x v="1"/>
    <x v="11"/>
    <x v="0"/>
    <x v="19"/>
    <x v="0"/>
    <x v="0"/>
    <n v="4"/>
    <x v="2"/>
    <x v="3"/>
    <m/>
  </r>
  <r>
    <n v="427"/>
    <n v="43"/>
    <s v="Male"/>
    <x v="13"/>
    <x v="0"/>
    <n v="71"/>
    <s v="Louisiana"/>
    <x v="2"/>
    <x v="10"/>
    <x v="0"/>
    <x v="15"/>
    <x v="0"/>
    <x v="0"/>
    <n v="19"/>
    <x v="2"/>
    <x v="3"/>
    <m/>
  </r>
  <r>
    <n v="428"/>
    <n v="58"/>
    <s v="Male"/>
    <x v="21"/>
    <x v="3"/>
    <n v="91"/>
    <s v="Illinois"/>
    <x v="0"/>
    <x v="13"/>
    <x v="0"/>
    <x v="21"/>
    <x v="0"/>
    <x v="0"/>
    <n v="6"/>
    <x v="2"/>
    <x v="3"/>
    <m/>
  </r>
  <r>
    <n v="429"/>
    <n v="21"/>
    <s v="Male"/>
    <x v="7"/>
    <x v="2"/>
    <n v="64"/>
    <s v="Wyoming"/>
    <x v="3"/>
    <x v="9"/>
    <x v="0"/>
    <x v="25"/>
    <x v="0"/>
    <x v="0"/>
    <n v="2"/>
    <x v="5"/>
    <x v="0"/>
    <m/>
  </r>
  <r>
    <n v="430"/>
    <n v="42"/>
    <s v="Male"/>
    <x v="3"/>
    <x v="1"/>
    <n v="94"/>
    <s v="Washington"/>
    <x v="2"/>
    <x v="9"/>
    <x v="0"/>
    <x v="18"/>
    <x v="0"/>
    <x v="0"/>
    <n v="21"/>
    <x v="1"/>
    <x v="0"/>
    <m/>
  </r>
  <r>
    <n v="431"/>
    <n v="24"/>
    <s v="Male"/>
    <x v="5"/>
    <x v="0"/>
    <n v="40"/>
    <s v="Texas"/>
    <x v="2"/>
    <x v="18"/>
    <x v="2"/>
    <x v="22"/>
    <x v="0"/>
    <x v="0"/>
    <n v="40"/>
    <x v="5"/>
    <x v="2"/>
    <m/>
  </r>
  <r>
    <n v="432"/>
    <n v="43"/>
    <s v="Male"/>
    <x v="19"/>
    <x v="3"/>
    <n v="76"/>
    <s v="New Hampshire"/>
    <x v="0"/>
    <x v="17"/>
    <x v="0"/>
    <x v="10"/>
    <x v="0"/>
    <x v="0"/>
    <n v="33"/>
    <x v="1"/>
    <x v="0"/>
    <m/>
  </r>
  <r>
    <n v="433"/>
    <n v="47"/>
    <s v="Male"/>
    <x v="5"/>
    <x v="0"/>
    <n v="86"/>
    <s v="Indiana"/>
    <x v="1"/>
    <x v="21"/>
    <x v="3"/>
    <x v="19"/>
    <x v="0"/>
    <x v="0"/>
    <n v="26"/>
    <x v="0"/>
    <x v="1"/>
    <m/>
  </r>
  <r>
    <n v="434"/>
    <n v="49"/>
    <s v="Male"/>
    <x v="11"/>
    <x v="0"/>
    <n v="92"/>
    <s v="Alabama"/>
    <x v="2"/>
    <x v="20"/>
    <x v="3"/>
    <x v="20"/>
    <x v="0"/>
    <x v="0"/>
    <n v="23"/>
    <x v="2"/>
    <x v="0"/>
    <m/>
  </r>
  <r>
    <n v="435"/>
    <n v="50"/>
    <s v="Male"/>
    <x v="9"/>
    <x v="1"/>
    <n v="52"/>
    <s v="Oklahoma"/>
    <x v="0"/>
    <x v="6"/>
    <x v="1"/>
    <x v="8"/>
    <x v="0"/>
    <x v="0"/>
    <n v="39"/>
    <x v="3"/>
    <x v="6"/>
    <m/>
  </r>
  <r>
    <n v="436"/>
    <n v="51"/>
    <s v="Male"/>
    <x v="7"/>
    <x v="2"/>
    <n v="28"/>
    <s v="Montana"/>
    <x v="3"/>
    <x v="8"/>
    <x v="0"/>
    <x v="2"/>
    <x v="0"/>
    <x v="0"/>
    <n v="42"/>
    <x v="4"/>
    <x v="5"/>
    <m/>
  </r>
  <r>
    <n v="437"/>
    <n v="40"/>
    <s v="Male"/>
    <x v="13"/>
    <x v="0"/>
    <n v="46"/>
    <s v="Tennessee"/>
    <x v="0"/>
    <x v="17"/>
    <x v="2"/>
    <x v="7"/>
    <x v="0"/>
    <x v="0"/>
    <n v="41"/>
    <x v="4"/>
    <x v="1"/>
    <m/>
  </r>
  <r>
    <n v="438"/>
    <n v="45"/>
    <s v="Male"/>
    <x v="16"/>
    <x v="3"/>
    <n v="50"/>
    <s v="New Mexico"/>
    <x v="2"/>
    <x v="15"/>
    <x v="2"/>
    <x v="4"/>
    <x v="0"/>
    <x v="0"/>
    <n v="41"/>
    <x v="3"/>
    <x v="2"/>
    <m/>
  </r>
  <r>
    <n v="439"/>
    <n v="52"/>
    <s v="Male"/>
    <x v="22"/>
    <x v="3"/>
    <n v="23"/>
    <s v="Iowa"/>
    <x v="2"/>
    <x v="2"/>
    <x v="0"/>
    <x v="12"/>
    <x v="0"/>
    <x v="0"/>
    <n v="12"/>
    <x v="2"/>
    <x v="0"/>
    <m/>
  </r>
  <r>
    <n v="440"/>
    <n v="62"/>
    <s v="Male"/>
    <x v="14"/>
    <x v="2"/>
    <n v="50"/>
    <s v="Idaho"/>
    <x v="2"/>
    <x v="2"/>
    <x v="2"/>
    <x v="10"/>
    <x v="0"/>
    <x v="0"/>
    <n v="31"/>
    <x v="1"/>
    <x v="5"/>
    <m/>
  </r>
  <r>
    <n v="441"/>
    <n v="20"/>
    <s v="Male"/>
    <x v="5"/>
    <x v="0"/>
    <n v="89"/>
    <s v="Oklahoma"/>
    <x v="3"/>
    <x v="1"/>
    <x v="0"/>
    <x v="22"/>
    <x v="0"/>
    <x v="0"/>
    <n v="34"/>
    <x v="5"/>
    <x v="0"/>
    <m/>
  </r>
  <r>
    <n v="442"/>
    <n v="43"/>
    <s v="Male"/>
    <x v="15"/>
    <x v="0"/>
    <n v="81"/>
    <s v="Florida"/>
    <x v="2"/>
    <x v="1"/>
    <x v="0"/>
    <x v="13"/>
    <x v="0"/>
    <x v="0"/>
    <n v="32"/>
    <x v="2"/>
    <x v="2"/>
    <m/>
  </r>
  <r>
    <n v="443"/>
    <n v="29"/>
    <s v="Male"/>
    <x v="12"/>
    <x v="3"/>
    <n v="69"/>
    <s v="Michigan"/>
    <x v="2"/>
    <x v="8"/>
    <x v="3"/>
    <x v="22"/>
    <x v="0"/>
    <x v="0"/>
    <n v="31"/>
    <x v="2"/>
    <x v="3"/>
    <m/>
  </r>
  <r>
    <n v="444"/>
    <n v="22"/>
    <s v="Male"/>
    <x v="12"/>
    <x v="3"/>
    <n v="67"/>
    <s v="Hawaii"/>
    <x v="2"/>
    <x v="23"/>
    <x v="2"/>
    <x v="2"/>
    <x v="0"/>
    <x v="0"/>
    <n v="24"/>
    <x v="3"/>
    <x v="2"/>
    <m/>
  </r>
  <r>
    <n v="445"/>
    <n v="48"/>
    <s v="Male"/>
    <x v="10"/>
    <x v="0"/>
    <n v="20"/>
    <s v="California"/>
    <x v="2"/>
    <x v="16"/>
    <x v="2"/>
    <x v="12"/>
    <x v="0"/>
    <x v="0"/>
    <n v="31"/>
    <x v="5"/>
    <x v="2"/>
    <m/>
  </r>
  <r>
    <n v="446"/>
    <n v="42"/>
    <s v="Male"/>
    <x v="23"/>
    <x v="1"/>
    <n v="29"/>
    <s v="Iowa"/>
    <x v="2"/>
    <x v="8"/>
    <x v="3"/>
    <x v="17"/>
    <x v="0"/>
    <x v="0"/>
    <n v="18"/>
    <x v="0"/>
    <x v="2"/>
    <m/>
  </r>
  <r>
    <n v="447"/>
    <n v="19"/>
    <s v="Male"/>
    <x v="5"/>
    <x v="0"/>
    <n v="74"/>
    <s v="West Virginia"/>
    <x v="2"/>
    <x v="5"/>
    <x v="2"/>
    <x v="18"/>
    <x v="0"/>
    <x v="0"/>
    <n v="15"/>
    <x v="0"/>
    <x v="5"/>
    <m/>
  </r>
  <r>
    <n v="448"/>
    <n v="60"/>
    <s v="Male"/>
    <x v="6"/>
    <x v="0"/>
    <n v="82"/>
    <s v="Washington"/>
    <x v="1"/>
    <x v="2"/>
    <x v="1"/>
    <x v="2"/>
    <x v="0"/>
    <x v="0"/>
    <n v="7"/>
    <x v="4"/>
    <x v="6"/>
    <m/>
  </r>
  <r>
    <n v="449"/>
    <n v="32"/>
    <s v="Male"/>
    <x v="24"/>
    <x v="3"/>
    <n v="23"/>
    <s v="Missouri"/>
    <x v="2"/>
    <x v="22"/>
    <x v="2"/>
    <x v="10"/>
    <x v="0"/>
    <x v="0"/>
    <n v="35"/>
    <x v="4"/>
    <x v="0"/>
    <m/>
  </r>
  <r>
    <n v="450"/>
    <n v="26"/>
    <s v="Male"/>
    <x v="16"/>
    <x v="3"/>
    <n v="45"/>
    <s v="New York"/>
    <x v="0"/>
    <x v="15"/>
    <x v="2"/>
    <x v="25"/>
    <x v="0"/>
    <x v="0"/>
    <n v="35"/>
    <x v="4"/>
    <x v="5"/>
    <m/>
  </r>
  <r>
    <n v="451"/>
    <n v="25"/>
    <s v="Male"/>
    <x v="23"/>
    <x v="1"/>
    <n v="21"/>
    <s v="Connecticut"/>
    <x v="0"/>
    <x v="19"/>
    <x v="2"/>
    <x v="6"/>
    <x v="0"/>
    <x v="0"/>
    <n v="19"/>
    <x v="2"/>
    <x v="5"/>
    <m/>
  </r>
  <r>
    <n v="452"/>
    <n v="66"/>
    <s v="Male"/>
    <x v="16"/>
    <x v="3"/>
    <n v="31"/>
    <s v="Virginia"/>
    <x v="2"/>
    <x v="6"/>
    <x v="2"/>
    <x v="12"/>
    <x v="0"/>
    <x v="0"/>
    <n v="26"/>
    <x v="2"/>
    <x v="0"/>
    <m/>
  </r>
  <r>
    <n v="453"/>
    <n v="45"/>
    <s v="Male"/>
    <x v="13"/>
    <x v="0"/>
    <n v="45"/>
    <s v="Missouri"/>
    <x v="2"/>
    <x v="10"/>
    <x v="2"/>
    <x v="19"/>
    <x v="0"/>
    <x v="0"/>
    <n v="39"/>
    <x v="3"/>
    <x v="0"/>
    <m/>
  </r>
  <r>
    <n v="454"/>
    <n v="54"/>
    <s v="Male"/>
    <x v="16"/>
    <x v="3"/>
    <n v="56"/>
    <s v="Nebraska"/>
    <x v="3"/>
    <x v="15"/>
    <x v="0"/>
    <x v="24"/>
    <x v="0"/>
    <x v="0"/>
    <n v="22"/>
    <x v="2"/>
    <x v="1"/>
    <m/>
  </r>
  <r>
    <n v="455"/>
    <n v="37"/>
    <s v="Male"/>
    <x v="14"/>
    <x v="2"/>
    <n v="97"/>
    <s v="New Jersey"/>
    <x v="1"/>
    <x v="9"/>
    <x v="2"/>
    <x v="20"/>
    <x v="0"/>
    <x v="0"/>
    <n v="14"/>
    <x v="1"/>
    <x v="4"/>
    <m/>
  </r>
  <r>
    <n v="456"/>
    <n v="54"/>
    <s v="Male"/>
    <x v="0"/>
    <x v="0"/>
    <n v="100"/>
    <s v="Utah"/>
    <x v="3"/>
    <x v="9"/>
    <x v="3"/>
    <x v="2"/>
    <x v="0"/>
    <x v="0"/>
    <n v="50"/>
    <x v="5"/>
    <x v="0"/>
    <m/>
  </r>
  <r>
    <n v="457"/>
    <n v="50"/>
    <s v="Male"/>
    <x v="0"/>
    <x v="0"/>
    <n v="96"/>
    <s v="North Carolina"/>
    <x v="1"/>
    <x v="21"/>
    <x v="3"/>
    <x v="8"/>
    <x v="0"/>
    <x v="0"/>
    <n v="33"/>
    <x v="2"/>
    <x v="3"/>
    <m/>
  </r>
  <r>
    <n v="458"/>
    <n v="25"/>
    <s v="Male"/>
    <x v="24"/>
    <x v="3"/>
    <n v="99"/>
    <s v="Rhode Island"/>
    <x v="2"/>
    <x v="24"/>
    <x v="1"/>
    <x v="17"/>
    <x v="0"/>
    <x v="0"/>
    <n v="48"/>
    <x v="5"/>
    <x v="6"/>
    <m/>
  </r>
  <r>
    <n v="459"/>
    <n v="47"/>
    <s v="Male"/>
    <x v="6"/>
    <x v="0"/>
    <n v="91"/>
    <s v="Arkansas"/>
    <x v="0"/>
    <x v="13"/>
    <x v="0"/>
    <x v="8"/>
    <x v="0"/>
    <x v="0"/>
    <n v="48"/>
    <x v="3"/>
    <x v="5"/>
    <m/>
  </r>
  <r>
    <n v="460"/>
    <n v="63"/>
    <s v="Male"/>
    <x v="19"/>
    <x v="3"/>
    <n v="30"/>
    <s v="Maryland"/>
    <x v="0"/>
    <x v="13"/>
    <x v="0"/>
    <x v="1"/>
    <x v="0"/>
    <x v="0"/>
    <n v="27"/>
    <x v="3"/>
    <x v="0"/>
    <m/>
  </r>
  <r>
    <n v="461"/>
    <n v="64"/>
    <s v="Male"/>
    <x v="9"/>
    <x v="1"/>
    <n v="65"/>
    <s v="South Carolina"/>
    <x v="0"/>
    <x v="11"/>
    <x v="2"/>
    <x v="5"/>
    <x v="0"/>
    <x v="0"/>
    <n v="27"/>
    <x v="4"/>
    <x v="1"/>
    <m/>
  </r>
  <r>
    <n v="462"/>
    <n v="18"/>
    <s v="Male"/>
    <x v="23"/>
    <x v="1"/>
    <n v="93"/>
    <s v="Ohio"/>
    <x v="2"/>
    <x v="22"/>
    <x v="0"/>
    <x v="14"/>
    <x v="0"/>
    <x v="0"/>
    <n v="20"/>
    <x v="0"/>
    <x v="1"/>
    <m/>
  </r>
  <r>
    <n v="463"/>
    <n v="59"/>
    <s v="Male"/>
    <x v="14"/>
    <x v="2"/>
    <n v="81"/>
    <s v="Illinois"/>
    <x v="2"/>
    <x v="3"/>
    <x v="3"/>
    <x v="19"/>
    <x v="0"/>
    <x v="0"/>
    <n v="48"/>
    <x v="0"/>
    <x v="6"/>
    <m/>
  </r>
  <r>
    <n v="464"/>
    <n v="37"/>
    <s v="Male"/>
    <x v="16"/>
    <x v="3"/>
    <n v="81"/>
    <s v="Georgia"/>
    <x v="1"/>
    <x v="20"/>
    <x v="2"/>
    <x v="6"/>
    <x v="0"/>
    <x v="0"/>
    <n v="29"/>
    <x v="0"/>
    <x v="1"/>
    <m/>
  </r>
  <r>
    <n v="465"/>
    <n v="23"/>
    <s v="Male"/>
    <x v="12"/>
    <x v="3"/>
    <n v="52"/>
    <s v="Alabama"/>
    <x v="2"/>
    <x v="5"/>
    <x v="0"/>
    <x v="15"/>
    <x v="0"/>
    <x v="0"/>
    <n v="45"/>
    <x v="3"/>
    <x v="5"/>
    <m/>
  </r>
  <r>
    <n v="466"/>
    <n v="54"/>
    <s v="Male"/>
    <x v="11"/>
    <x v="0"/>
    <n v="88"/>
    <s v="Oklahoma"/>
    <x v="2"/>
    <x v="6"/>
    <x v="2"/>
    <x v="24"/>
    <x v="0"/>
    <x v="0"/>
    <n v="25"/>
    <x v="1"/>
    <x v="3"/>
    <m/>
  </r>
  <r>
    <n v="467"/>
    <n v="38"/>
    <s v="Male"/>
    <x v="2"/>
    <x v="0"/>
    <n v="24"/>
    <s v="Vermont"/>
    <x v="0"/>
    <x v="2"/>
    <x v="0"/>
    <x v="7"/>
    <x v="0"/>
    <x v="0"/>
    <n v="25"/>
    <x v="3"/>
    <x v="1"/>
    <m/>
  </r>
  <r>
    <n v="468"/>
    <n v="19"/>
    <s v="Male"/>
    <x v="21"/>
    <x v="3"/>
    <n v="51"/>
    <s v="Nebraska"/>
    <x v="1"/>
    <x v="20"/>
    <x v="1"/>
    <x v="21"/>
    <x v="0"/>
    <x v="0"/>
    <n v="37"/>
    <x v="5"/>
    <x v="6"/>
    <m/>
  </r>
  <r>
    <n v="469"/>
    <n v="34"/>
    <s v="Male"/>
    <x v="21"/>
    <x v="3"/>
    <n v="38"/>
    <s v="Georgia"/>
    <x v="1"/>
    <x v="15"/>
    <x v="3"/>
    <x v="11"/>
    <x v="0"/>
    <x v="0"/>
    <n v="16"/>
    <x v="1"/>
    <x v="3"/>
    <m/>
  </r>
  <r>
    <n v="470"/>
    <n v="21"/>
    <s v="Male"/>
    <x v="6"/>
    <x v="0"/>
    <n v="46"/>
    <s v="Alabama"/>
    <x v="0"/>
    <x v="6"/>
    <x v="3"/>
    <x v="18"/>
    <x v="0"/>
    <x v="0"/>
    <n v="30"/>
    <x v="5"/>
    <x v="4"/>
    <m/>
  </r>
  <r>
    <n v="471"/>
    <n v="50"/>
    <s v="Male"/>
    <x v="10"/>
    <x v="0"/>
    <n v="63"/>
    <s v="Minnesota"/>
    <x v="0"/>
    <x v="11"/>
    <x v="2"/>
    <x v="7"/>
    <x v="0"/>
    <x v="0"/>
    <n v="6"/>
    <x v="1"/>
    <x v="6"/>
    <m/>
  </r>
  <r>
    <n v="472"/>
    <n v="55"/>
    <s v="Male"/>
    <x v="18"/>
    <x v="3"/>
    <n v="72"/>
    <s v="Missouri"/>
    <x v="3"/>
    <x v="3"/>
    <x v="0"/>
    <x v="17"/>
    <x v="0"/>
    <x v="0"/>
    <n v="36"/>
    <x v="4"/>
    <x v="3"/>
    <m/>
  </r>
  <r>
    <n v="473"/>
    <n v="20"/>
    <s v="Male"/>
    <x v="2"/>
    <x v="0"/>
    <n v="39"/>
    <s v="Georgia"/>
    <x v="0"/>
    <x v="0"/>
    <x v="0"/>
    <x v="14"/>
    <x v="0"/>
    <x v="0"/>
    <n v="3"/>
    <x v="4"/>
    <x v="3"/>
    <m/>
  </r>
  <r>
    <n v="474"/>
    <n v="34"/>
    <s v="Male"/>
    <x v="7"/>
    <x v="2"/>
    <n v="42"/>
    <s v="West Virginia"/>
    <x v="0"/>
    <x v="8"/>
    <x v="1"/>
    <x v="14"/>
    <x v="0"/>
    <x v="0"/>
    <n v="29"/>
    <x v="3"/>
    <x v="6"/>
    <m/>
  </r>
  <r>
    <n v="475"/>
    <n v="62"/>
    <s v="Male"/>
    <x v="1"/>
    <x v="0"/>
    <n v="76"/>
    <s v="Arkansas"/>
    <x v="3"/>
    <x v="1"/>
    <x v="2"/>
    <x v="4"/>
    <x v="0"/>
    <x v="0"/>
    <n v="15"/>
    <x v="1"/>
    <x v="3"/>
    <m/>
  </r>
  <r>
    <n v="476"/>
    <n v="21"/>
    <s v="Male"/>
    <x v="4"/>
    <x v="1"/>
    <n v="66"/>
    <s v="Ohio"/>
    <x v="0"/>
    <x v="23"/>
    <x v="2"/>
    <x v="6"/>
    <x v="0"/>
    <x v="0"/>
    <n v="18"/>
    <x v="5"/>
    <x v="2"/>
    <m/>
  </r>
  <r>
    <n v="477"/>
    <n v="21"/>
    <s v="Male"/>
    <x v="18"/>
    <x v="3"/>
    <n v="90"/>
    <s v="Connecticut"/>
    <x v="2"/>
    <x v="23"/>
    <x v="1"/>
    <x v="22"/>
    <x v="0"/>
    <x v="0"/>
    <n v="2"/>
    <x v="5"/>
    <x v="0"/>
    <m/>
  </r>
  <r>
    <n v="478"/>
    <n v="42"/>
    <s v="Male"/>
    <x v="1"/>
    <x v="0"/>
    <n v="56"/>
    <s v="North Dakota"/>
    <x v="2"/>
    <x v="14"/>
    <x v="2"/>
    <x v="5"/>
    <x v="0"/>
    <x v="0"/>
    <n v="49"/>
    <x v="5"/>
    <x v="1"/>
    <m/>
  </r>
  <r>
    <n v="479"/>
    <n v="35"/>
    <s v="Male"/>
    <x v="16"/>
    <x v="3"/>
    <n v="43"/>
    <s v="Kansas"/>
    <x v="3"/>
    <x v="2"/>
    <x v="0"/>
    <x v="20"/>
    <x v="0"/>
    <x v="0"/>
    <n v="48"/>
    <x v="0"/>
    <x v="2"/>
    <m/>
  </r>
  <r>
    <n v="480"/>
    <n v="39"/>
    <s v="Male"/>
    <x v="8"/>
    <x v="3"/>
    <n v="84"/>
    <s v="Iowa"/>
    <x v="0"/>
    <x v="22"/>
    <x v="0"/>
    <x v="19"/>
    <x v="0"/>
    <x v="0"/>
    <n v="43"/>
    <x v="0"/>
    <x v="5"/>
    <m/>
  </r>
  <r>
    <n v="481"/>
    <n v="68"/>
    <s v="Male"/>
    <x v="15"/>
    <x v="0"/>
    <n v="88"/>
    <s v="Vermont"/>
    <x v="2"/>
    <x v="0"/>
    <x v="2"/>
    <x v="3"/>
    <x v="0"/>
    <x v="0"/>
    <n v="30"/>
    <x v="5"/>
    <x v="4"/>
    <m/>
  </r>
  <r>
    <n v="482"/>
    <n v="46"/>
    <s v="Male"/>
    <x v="19"/>
    <x v="3"/>
    <n v="88"/>
    <s v="Wisconsin"/>
    <x v="0"/>
    <x v="15"/>
    <x v="3"/>
    <x v="20"/>
    <x v="0"/>
    <x v="0"/>
    <n v="10"/>
    <x v="3"/>
    <x v="0"/>
    <m/>
  </r>
  <r>
    <n v="483"/>
    <n v="41"/>
    <s v="Male"/>
    <x v="22"/>
    <x v="3"/>
    <n v="42"/>
    <s v="Connecticut"/>
    <x v="2"/>
    <x v="22"/>
    <x v="0"/>
    <x v="16"/>
    <x v="0"/>
    <x v="0"/>
    <n v="11"/>
    <x v="0"/>
    <x v="2"/>
    <m/>
  </r>
  <r>
    <n v="484"/>
    <n v="23"/>
    <s v="Male"/>
    <x v="15"/>
    <x v="0"/>
    <n v="73"/>
    <s v="Oklahoma"/>
    <x v="2"/>
    <x v="3"/>
    <x v="3"/>
    <x v="14"/>
    <x v="0"/>
    <x v="0"/>
    <n v="12"/>
    <x v="5"/>
    <x v="1"/>
    <m/>
  </r>
  <r>
    <n v="485"/>
    <n v="68"/>
    <s v="Male"/>
    <x v="19"/>
    <x v="3"/>
    <n v="73"/>
    <s v="Missouri"/>
    <x v="0"/>
    <x v="12"/>
    <x v="2"/>
    <x v="15"/>
    <x v="0"/>
    <x v="0"/>
    <n v="28"/>
    <x v="4"/>
    <x v="3"/>
    <m/>
  </r>
  <r>
    <n v="486"/>
    <n v="48"/>
    <s v="Male"/>
    <x v="9"/>
    <x v="1"/>
    <n v="44"/>
    <s v="Tennessee"/>
    <x v="1"/>
    <x v="24"/>
    <x v="1"/>
    <x v="4"/>
    <x v="0"/>
    <x v="0"/>
    <n v="36"/>
    <x v="5"/>
    <x v="0"/>
    <m/>
  </r>
  <r>
    <n v="487"/>
    <n v="38"/>
    <s v="Male"/>
    <x v="3"/>
    <x v="1"/>
    <n v="63"/>
    <s v="New Mexico"/>
    <x v="2"/>
    <x v="4"/>
    <x v="3"/>
    <x v="24"/>
    <x v="0"/>
    <x v="0"/>
    <n v="37"/>
    <x v="0"/>
    <x v="6"/>
    <m/>
  </r>
  <r>
    <n v="488"/>
    <n v="41"/>
    <s v="Male"/>
    <x v="14"/>
    <x v="2"/>
    <n v="68"/>
    <s v="Iowa"/>
    <x v="0"/>
    <x v="16"/>
    <x v="0"/>
    <x v="9"/>
    <x v="0"/>
    <x v="0"/>
    <n v="22"/>
    <x v="2"/>
    <x v="3"/>
    <m/>
  </r>
  <r>
    <n v="489"/>
    <n v="58"/>
    <s v="Male"/>
    <x v="1"/>
    <x v="0"/>
    <n v="29"/>
    <s v="Maine"/>
    <x v="0"/>
    <x v="8"/>
    <x v="1"/>
    <x v="7"/>
    <x v="0"/>
    <x v="0"/>
    <n v="32"/>
    <x v="0"/>
    <x v="1"/>
    <m/>
  </r>
  <r>
    <n v="490"/>
    <n v="49"/>
    <s v="Male"/>
    <x v="20"/>
    <x v="0"/>
    <n v="85"/>
    <s v="South Dakota"/>
    <x v="2"/>
    <x v="14"/>
    <x v="2"/>
    <x v="20"/>
    <x v="0"/>
    <x v="0"/>
    <n v="40"/>
    <x v="3"/>
    <x v="2"/>
    <m/>
  </r>
  <r>
    <n v="491"/>
    <n v="57"/>
    <s v="Male"/>
    <x v="4"/>
    <x v="1"/>
    <n v="42"/>
    <s v="Colorado"/>
    <x v="2"/>
    <x v="5"/>
    <x v="0"/>
    <x v="13"/>
    <x v="0"/>
    <x v="0"/>
    <n v="47"/>
    <x v="1"/>
    <x v="5"/>
    <m/>
  </r>
  <r>
    <n v="492"/>
    <n v="49"/>
    <s v="Male"/>
    <x v="7"/>
    <x v="2"/>
    <n v="69"/>
    <s v="Vermont"/>
    <x v="2"/>
    <x v="5"/>
    <x v="2"/>
    <x v="5"/>
    <x v="0"/>
    <x v="0"/>
    <n v="24"/>
    <x v="2"/>
    <x v="4"/>
    <m/>
  </r>
  <r>
    <n v="493"/>
    <n v="50"/>
    <s v="Male"/>
    <x v="5"/>
    <x v="0"/>
    <n v="62"/>
    <s v="Michigan"/>
    <x v="2"/>
    <x v="13"/>
    <x v="3"/>
    <x v="14"/>
    <x v="0"/>
    <x v="0"/>
    <n v="11"/>
    <x v="5"/>
    <x v="1"/>
    <m/>
  </r>
  <r>
    <n v="494"/>
    <n v="28"/>
    <s v="Male"/>
    <x v="21"/>
    <x v="3"/>
    <n v="48"/>
    <s v="Nevada"/>
    <x v="3"/>
    <x v="16"/>
    <x v="2"/>
    <x v="15"/>
    <x v="0"/>
    <x v="0"/>
    <n v="19"/>
    <x v="1"/>
    <x v="4"/>
    <m/>
  </r>
  <r>
    <n v="495"/>
    <n v="38"/>
    <s v="Male"/>
    <x v="23"/>
    <x v="1"/>
    <n v="68"/>
    <s v="Indiana"/>
    <x v="2"/>
    <x v="21"/>
    <x v="0"/>
    <x v="21"/>
    <x v="0"/>
    <x v="0"/>
    <n v="42"/>
    <x v="5"/>
    <x v="1"/>
    <m/>
  </r>
  <r>
    <n v="496"/>
    <n v="33"/>
    <s v="Male"/>
    <x v="8"/>
    <x v="3"/>
    <n v="36"/>
    <s v="Michigan"/>
    <x v="3"/>
    <x v="17"/>
    <x v="3"/>
    <x v="19"/>
    <x v="0"/>
    <x v="0"/>
    <n v="6"/>
    <x v="5"/>
    <x v="0"/>
    <m/>
  </r>
  <r>
    <n v="497"/>
    <n v="30"/>
    <s v="Male"/>
    <x v="10"/>
    <x v="0"/>
    <n v="63"/>
    <s v="California"/>
    <x v="1"/>
    <x v="1"/>
    <x v="3"/>
    <x v="19"/>
    <x v="0"/>
    <x v="0"/>
    <n v="31"/>
    <x v="0"/>
    <x v="0"/>
    <m/>
  </r>
  <r>
    <n v="498"/>
    <n v="43"/>
    <s v="Male"/>
    <x v="4"/>
    <x v="1"/>
    <n v="39"/>
    <s v="Oklahoma"/>
    <x v="1"/>
    <x v="5"/>
    <x v="0"/>
    <x v="7"/>
    <x v="0"/>
    <x v="0"/>
    <n v="31"/>
    <x v="1"/>
    <x v="1"/>
    <m/>
  </r>
  <r>
    <n v="499"/>
    <n v="43"/>
    <s v="Male"/>
    <x v="23"/>
    <x v="1"/>
    <n v="78"/>
    <s v="Iowa"/>
    <x v="2"/>
    <x v="12"/>
    <x v="1"/>
    <x v="2"/>
    <x v="0"/>
    <x v="0"/>
    <n v="27"/>
    <x v="4"/>
    <x v="5"/>
    <m/>
  </r>
  <r>
    <n v="500"/>
    <n v="36"/>
    <s v="Male"/>
    <x v="9"/>
    <x v="1"/>
    <n v="99"/>
    <s v="Rhode Island"/>
    <x v="0"/>
    <x v="5"/>
    <x v="0"/>
    <x v="3"/>
    <x v="0"/>
    <x v="0"/>
    <n v="24"/>
    <x v="3"/>
    <x v="5"/>
    <m/>
  </r>
  <r>
    <n v="501"/>
    <n v="36"/>
    <s v="Male"/>
    <x v="17"/>
    <x v="0"/>
    <n v="31"/>
    <s v="Washington"/>
    <x v="0"/>
    <x v="7"/>
    <x v="3"/>
    <x v="3"/>
    <x v="0"/>
    <x v="0"/>
    <n v="35"/>
    <x v="0"/>
    <x v="6"/>
    <m/>
  </r>
  <r>
    <n v="502"/>
    <n v="64"/>
    <s v="Male"/>
    <x v="23"/>
    <x v="1"/>
    <n v="45"/>
    <s v="Florida"/>
    <x v="2"/>
    <x v="17"/>
    <x v="1"/>
    <x v="25"/>
    <x v="0"/>
    <x v="0"/>
    <n v="21"/>
    <x v="0"/>
    <x v="2"/>
    <m/>
  </r>
  <r>
    <n v="503"/>
    <n v="59"/>
    <s v="Male"/>
    <x v="13"/>
    <x v="0"/>
    <n v="30"/>
    <s v="South Carolina"/>
    <x v="1"/>
    <x v="17"/>
    <x v="3"/>
    <x v="24"/>
    <x v="0"/>
    <x v="0"/>
    <n v="8"/>
    <x v="3"/>
    <x v="0"/>
    <m/>
  </r>
  <r>
    <n v="504"/>
    <n v="55"/>
    <s v="Male"/>
    <x v="9"/>
    <x v="1"/>
    <n v="24"/>
    <s v="West Virginia"/>
    <x v="2"/>
    <x v="12"/>
    <x v="2"/>
    <x v="20"/>
    <x v="0"/>
    <x v="0"/>
    <n v="26"/>
    <x v="4"/>
    <x v="3"/>
    <m/>
  </r>
  <r>
    <n v="505"/>
    <n v="42"/>
    <s v="Male"/>
    <x v="9"/>
    <x v="1"/>
    <n v="22"/>
    <s v="Missouri"/>
    <x v="2"/>
    <x v="1"/>
    <x v="0"/>
    <x v="14"/>
    <x v="0"/>
    <x v="0"/>
    <n v="26"/>
    <x v="3"/>
    <x v="2"/>
    <m/>
  </r>
  <r>
    <n v="506"/>
    <n v="61"/>
    <s v="Male"/>
    <x v="17"/>
    <x v="0"/>
    <n v="63"/>
    <s v="Maine"/>
    <x v="0"/>
    <x v="0"/>
    <x v="1"/>
    <x v="12"/>
    <x v="0"/>
    <x v="0"/>
    <n v="9"/>
    <x v="1"/>
    <x v="4"/>
    <m/>
  </r>
  <r>
    <n v="507"/>
    <n v="28"/>
    <s v="Male"/>
    <x v="18"/>
    <x v="3"/>
    <n v="40"/>
    <s v="Georgia"/>
    <x v="2"/>
    <x v="8"/>
    <x v="3"/>
    <x v="6"/>
    <x v="0"/>
    <x v="0"/>
    <n v="48"/>
    <x v="5"/>
    <x v="2"/>
    <m/>
  </r>
  <r>
    <n v="508"/>
    <n v="65"/>
    <s v="Male"/>
    <x v="6"/>
    <x v="0"/>
    <n v="20"/>
    <s v="Maine"/>
    <x v="2"/>
    <x v="23"/>
    <x v="1"/>
    <x v="11"/>
    <x v="0"/>
    <x v="0"/>
    <n v="33"/>
    <x v="5"/>
    <x v="0"/>
    <m/>
  </r>
  <r>
    <n v="509"/>
    <n v="27"/>
    <s v="Male"/>
    <x v="16"/>
    <x v="3"/>
    <n v="20"/>
    <s v="Illinois"/>
    <x v="1"/>
    <x v="22"/>
    <x v="0"/>
    <x v="5"/>
    <x v="0"/>
    <x v="0"/>
    <n v="31"/>
    <x v="3"/>
    <x v="3"/>
    <m/>
  </r>
  <r>
    <n v="510"/>
    <n v="41"/>
    <s v="Male"/>
    <x v="17"/>
    <x v="0"/>
    <n v="80"/>
    <s v="Delaware"/>
    <x v="0"/>
    <x v="17"/>
    <x v="2"/>
    <x v="14"/>
    <x v="0"/>
    <x v="0"/>
    <n v="17"/>
    <x v="5"/>
    <x v="1"/>
    <m/>
  </r>
  <r>
    <n v="511"/>
    <n v="21"/>
    <s v="Male"/>
    <x v="5"/>
    <x v="0"/>
    <n v="87"/>
    <s v="West Virginia"/>
    <x v="2"/>
    <x v="11"/>
    <x v="3"/>
    <x v="14"/>
    <x v="0"/>
    <x v="0"/>
    <n v="22"/>
    <x v="0"/>
    <x v="2"/>
    <m/>
  </r>
  <r>
    <n v="512"/>
    <n v="61"/>
    <s v="Male"/>
    <x v="5"/>
    <x v="0"/>
    <n v="46"/>
    <s v="Hawaii"/>
    <x v="0"/>
    <x v="22"/>
    <x v="3"/>
    <x v="0"/>
    <x v="0"/>
    <x v="0"/>
    <n v="8"/>
    <x v="3"/>
    <x v="2"/>
    <m/>
  </r>
  <r>
    <n v="513"/>
    <n v="19"/>
    <s v="Male"/>
    <x v="24"/>
    <x v="3"/>
    <n v="49"/>
    <s v="New York"/>
    <x v="0"/>
    <x v="15"/>
    <x v="0"/>
    <x v="19"/>
    <x v="0"/>
    <x v="0"/>
    <n v="2"/>
    <x v="4"/>
    <x v="5"/>
    <m/>
  </r>
  <r>
    <n v="514"/>
    <n v="22"/>
    <s v="Male"/>
    <x v="18"/>
    <x v="3"/>
    <n v="65"/>
    <s v="New Mexico"/>
    <x v="2"/>
    <x v="15"/>
    <x v="3"/>
    <x v="2"/>
    <x v="0"/>
    <x v="0"/>
    <n v="45"/>
    <x v="0"/>
    <x v="2"/>
    <m/>
  </r>
  <r>
    <n v="515"/>
    <n v="64"/>
    <s v="Male"/>
    <x v="11"/>
    <x v="0"/>
    <n v="62"/>
    <s v="Indiana"/>
    <x v="1"/>
    <x v="8"/>
    <x v="0"/>
    <x v="12"/>
    <x v="0"/>
    <x v="0"/>
    <n v="47"/>
    <x v="3"/>
    <x v="3"/>
    <m/>
  </r>
  <r>
    <n v="516"/>
    <n v="28"/>
    <s v="Male"/>
    <x v="19"/>
    <x v="3"/>
    <n v="67"/>
    <s v="Kentucky"/>
    <x v="0"/>
    <x v="4"/>
    <x v="1"/>
    <x v="21"/>
    <x v="0"/>
    <x v="0"/>
    <n v="7"/>
    <x v="1"/>
    <x v="5"/>
    <m/>
  </r>
  <r>
    <n v="517"/>
    <n v="34"/>
    <s v="Male"/>
    <x v="15"/>
    <x v="0"/>
    <n v="41"/>
    <s v="West Virginia"/>
    <x v="0"/>
    <x v="21"/>
    <x v="3"/>
    <x v="24"/>
    <x v="0"/>
    <x v="0"/>
    <n v="19"/>
    <x v="5"/>
    <x v="4"/>
    <m/>
  </r>
  <r>
    <n v="518"/>
    <n v="61"/>
    <s v="Male"/>
    <x v="23"/>
    <x v="1"/>
    <n v="49"/>
    <s v="North Dakota"/>
    <x v="0"/>
    <x v="5"/>
    <x v="3"/>
    <x v="6"/>
    <x v="0"/>
    <x v="0"/>
    <n v="44"/>
    <x v="1"/>
    <x v="6"/>
    <m/>
  </r>
  <r>
    <n v="519"/>
    <n v="24"/>
    <s v="Male"/>
    <x v="0"/>
    <x v="0"/>
    <n v="100"/>
    <s v="Oregon"/>
    <x v="2"/>
    <x v="19"/>
    <x v="3"/>
    <x v="25"/>
    <x v="0"/>
    <x v="0"/>
    <n v="16"/>
    <x v="0"/>
    <x v="6"/>
    <m/>
  </r>
  <r>
    <n v="520"/>
    <n v="19"/>
    <s v="Male"/>
    <x v="22"/>
    <x v="3"/>
    <n v="54"/>
    <s v="Minnesota"/>
    <x v="0"/>
    <x v="24"/>
    <x v="2"/>
    <x v="9"/>
    <x v="0"/>
    <x v="0"/>
    <n v="17"/>
    <x v="4"/>
    <x v="3"/>
    <m/>
  </r>
  <r>
    <n v="521"/>
    <n v="51"/>
    <s v="Male"/>
    <x v="12"/>
    <x v="3"/>
    <n v="84"/>
    <s v="South Carolina"/>
    <x v="2"/>
    <x v="3"/>
    <x v="1"/>
    <x v="14"/>
    <x v="0"/>
    <x v="0"/>
    <n v="20"/>
    <x v="5"/>
    <x v="3"/>
    <m/>
  </r>
  <r>
    <n v="522"/>
    <n v="36"/>
    <s v="Male"/>
    <x v="6"/>
    <x v="0"/>
    <n v="41"/>
    <s v="Vermont"/>
    <x v="0"/>
    <x v="9"/>
    <x v="0"/>
    <x v="22"/>
    <x v="0"/>
    <x v="0"/>
    <n v="50"/>
    <x v="4"/>
    <x v="2"/>
    <m/>
  </r>
  <r>
    <n v="523"/>
    <n v="65"/>
    <s v="Male"/>
    <x v="24"/>
    <x v="3"/>
    <n v="88"/>
    <s v="Minnesota"/>
    <x v="2"/>
    <x v="24"/>
    <x v="1"/>
    <x v="16"/>
    <x v="0"/>
    <x v="0"/>
    <n v="37"/>
    <x v="1"/>
    <x v="3"/>
    <m/>
  </r>
  <r>
    <n v="524"/>
    <n v="46"/>
    <s v="Male"/>
    <x v="3"/>
    <x v="1"/>
    <n v="40"/>
    <s v="Delaware"/>
    <x v="2"/>
    <x v="20"/>
    <x v="1"/>
    <x v="17"/>
    <x v="0"/>
    <x v="0"/>
    <n v="5"/>
    <x v="3"/>
    <x v="3"/>
    <m/>
  </r>
  <r>
    <n v="525"/>
    <n v="59"/>
    <s v="Male"/>
    <x v="5"/>
    <x v="0"/>
    <n v="39"/>
    <s v="Pennsylvania"/>
    <x v="2"/>
    <x v="9"/>
    <x v="2"/>
    <x v="3"/>
    <x v="0"/>
    <x v="0"/>
    <n v="44"/>
    <x v="3"/>
    <x v="2"/>
    <m/>
  </r>
  <r>
    <n v="526"/>
    <n v="51"/>
    <s v="Male"/>
    <x v="7"/>
    <x v="2"/>
    <n v="37"/>
    <s v="Iowa"/>
    <x v="2"/>
    <x v="17"/>
    <x v="1"/>
    <x v="20"/>
    <x v="0"/>
    <x v="0"/>
    <n v="41"/>
    <x v="5"/>
    <x v="5"/>
    <m/>
  </r>
  <r>
    <n v="527"/>
    <n v="51"/>
    <s v="Male"/>
    <x v="13"/>
    <x v="0"/>
    <n v="52"/>
    <s v="New Jersey"/>
    <x v="1"/>
    <x v="16"/>
    <x v="0"/>
    <x v="17"/>
    <x v="0"/>
    <x v="0"/>
    <n v="19"/>
    <x v="1"/>
    <x v="5"/>
    <m/>
  </r>
  <r>
    <n v="528"/>
    <n v="21"/>
    <s v="Male"/>
    <x v="17"/>
    <x v="0"/>
    <n v="23"/>
    <s v="South Carolina"/>
    <x v="0"/>
    <x v="22"/>
    <x v="0"/>
    <x v="12"/>
    <x v="0"/>
    <x v="0"/>
    <n v="47"/>
    <x v="4"/>
    <x v="6"/>
    <m/>
  </r>
  <r>
    <n v="529"/>
    <n v="34"/>
    <s v="Male"/>
    <x v="4"/>
    <x v="1"/>
    <n v="88"/>
    <s v="Maryland"/>
    <x v="1"/>
    <x v="19"/>
    <x v="0"/>
    <x v="20"/>
    <x v="0"/>
    <x v="0"/>
    <n v="40"/>
    <x v="1"/>
    <x v="2"/>
    <m/>
  </r>
  <r>
    <n v="530"/>
    <n v="32"/>
    <s v="Male"/>
    <x v="6"/>
    <x v="0"/>
    <n v="84"/>
    <s v="California"/>
    <x v="2"/>
    <x v="20"/>
    <x v="3"/>
    <x v="5"/>
    <x v="0"/>
    <x v="0"/>
    <n v="6"/>
    <x v="2"/>
    <x v="5"/>
    <m/>
  </r>
  <r>
    <n v="531"/>
    <n v="48"/>
    <s v="Male"/>
    <x v="7"/>
    <x v="2"/>
    <n v="37"/>
    <s v="Montana"/>
    <x v="3"/>
    <x v="23"/>
    <x v="0"/>
    <x v="20"/>
    <x v="0"/>
    <x v="0"/>
    <n v="25"/>
    <x v="2"/>
    <x v="4"/>
    <m/>
  </r>
  <r>
    <n v="532"/>
    <n v="50"/>
    <s v="Male"/>
    <x v="3"/>
    <x v="1"/>
    <n v="51"/>
    <s v="Vermont"/>
    <x v="0"/>
    <x v="7"/>
    <x v="3"/>
    <x v="10"/>
    <x v="0"/>
    <x v="0"/>
    <n v="42"/>
    <x v="1"/>
    <x v="1"/>
    <m/>
  </r>
  <r>
    <n v="533"/>
    <n v="26"/>
    <s v="Male"/>
    <x v="13"/>
    <x v="0"/>
    <n v="76"/>
    <s v="Texas"/>
    <x v="0"/>
    <x v="13"/>
    <x v="0"/>
    <x v="18"/>
    <x v="0"/>
    <x v="0"/>
    <n v="35"/>
    <x v="4"/>
    <x v="6"/>
    <m/>
  </r>
  <r>
    <n v="534"/>
    <n v="57"/>
    <s v="Male"/>
    <x v="3"/>
    <x v="1"/>
    <n v="60"/>
    <s v="North Carolina"/>
    <x v="0"/>
    <x v="6"/>
    <x v="1"/>
    <x v="21"/>
    <x v="0"/>
    <x v="0"/>
    <n v="17"/>
    <x v="5"/>
    <x v="1"/>
    <m/>
  </r>
  <r>
    <n v="535"/>
    <n v="65"/>
    <s v="Male"/>
    <x v="24"/>
    <x v="3"/>
    <n v="72"/>
    <s v="Florida"/>
    <x v="0"/>
    <x v="6"/>
    <x v="3"/>
    <x v="21"/>
    <x v="0"/>
    <x v="0"/>
    <n v="4"/>
    <x v="3"/>
    <x v="3"/>
    <m/>
  </r>
  <r>
    <n v="536"/>
    <n v="56"/>
    <s v="Male"/>
    <x v="17"/>
    <x v="0"/>
    <n v="45"/>
    <s v="West Virginia"/>
    <x v="0"/>
    <x v="1"/>
    <x v="1"/>
    <x v="20"/>
    <x v="0"/>
    <x v="0"/>
    <n v="24"/>
    <x v="4"/>
    <x v="1"/>
    <m/>
  </r>
  <r>
    <n v="537"/>
    <n v="44"/>
    <s v="Male"/>
    <x v="14"/>
    <x v="2"/>
    <n v="84"/>
    <s v="Illinois"/>
    <x v="1"/>
    <x v="1"/>
    <x v="3"/>
    <x v="9"/>
    <x v="0"/>
    <x v="0"/>
    <n v="16"/>
    <x v="5"/>
    <x v="6"/>
    <m/>
  </r>
  <r>
    <n v="538"/>
    <n v="50"/>
    <s v="Male"/>
    <x v="0"/>
    <x v="0"/>
    <n v="49"/>
    <s v="Virginia"/>
    <x v="1"/>
    <x v="2"/>
    <x v="2"/>
    <x v="23"/>
    <x v="0"/>
    <x v="0"/>
    <n v="14"/>
    <x v="5"/>
    <x v="2"/>
    <m/>
  </r>
  <r>
    <n v="539"/>
    <n v="27"/>
    <s v="Male"/>
    <x v="20"/>
    <x v="0"/>
    <n v="22"/>
    <s v="Virginia"/>
    <x v="3"/>
    <x v="14"/>
    <x v="1"/>
    <x v="20"/>
    <x v="0"/>
    <x v="0"/>
    <n v="43"/>
    <x v="1"/>
    <x v="1"/>
    <m/>
  </r>
  <r>
    <n v="540"/>
    <n v="49"/>
    <s v="Male"/>
    <x v="7"/>
    <x v="2"/>
    <n v="48"/>
    <s v="Wyoming"/>
    <x v="2"/>
    <x v="10"/>
    <x v="0"/>
    <x v="8"/>
    <x v="0"/>
    <x v="0"/>
    <n v="49"/>
    <x v="5"/>
    <x v="1"/>
    <m/>
  </r>
  <r>
    <n v="541"/>
    <n v="49"/>
    <s v="Male"/>
    <x v="10"/>
    <x v="0"/>
    <n v="37"/>
    <s v="South Carolina"/>
    <x v="2"/>
    <x v="12"/>
    <x v="1"/>
    <x v="0"/>
    <x v="0"/>
    <x v="0"/>
    <n v="33"/>
    <x v="1"/>
    <x v="6"/>
    <m/>
  </r>
  <r>
    <n v="542"/>
    <n v="52"/>
    <s v="Male"/>
    <x v="14"/>
    <x v="2"/>
    <n v="27"/>
    <s v="Connecticut"/>
    <x v="0"/>
    <x v="0"/>
    <x v="3"/>
    <x v="24"/>
    <x v="0"/>
    <x v="0"/>
    <n v="45"/>
    <x v="1"/>
    <x v="4"/>
    <m/>
  </r>
  <r>
    <n v="543"/>
    <n v="27"/>
    <s v="Male"/>
    <x v="23"/>
    <x v="1"/>
    <n v="79"/>
    <s v="Illinois"/>
    <x v="3"/>
    <x v="11"/>
    <x v="1"/>
    <x v="7"/>
    <x v="0"/>
    <x v="0"/>
    <n v="35"/>
    <x v="1"/>
    <x v="4"/>
    <m/>
  </r>
  <r>
    <n v="544"/>
    <n v="53"/>
    <s v="Male"/>
    <x v="11"/>
    <x v="0"/>
    <n v="98"/>
    <s v="Alabama"/>
    <x v="1"/>
    <x v="16"/>
    <x v="1"/>
    <x v="12"/>
    <x v="0"/>
    <x v="0"/>
    <n v="11"/>
    <x v="2"/>
    <x v="5"/>
    <m/>
  </r>
  <r>
    <n v="545"/>
    <n v="34"/>
    <s v="Male"/>
    <x v="3"/>
    <x v="1"/>
    <n v="64"/>
    <s v="Washington"/>
    <x v="1"/>
    <x v="22"/>
    <x v="2"/>
    <x v="19"/>
    <x v="0"/>
    <x v="0"/>
    <n v="30"/>
    <x v="4"/>
    <x v="6"/>
    <m/>
  </r>
  <r>
    <n v="546"/>
    <n v="33"/>
    <s v="Male"/>
    <x v="7"/>
    <x v="2"/>
    <n v="32"/>
    <s v="Alabama"/>
    <x v="0"/>
    <x v="23"/>
    <x v="2"/>
    <x v="22"/>
    <x v="0"/>
    <x v="0"/>
    <n v="48"/>
    <x v="5"/>
    <x v="2"/>
    <m/>
  </r>
  <r>
    <n v="547"/>
    <n v="62"/>
    <s v="Male"/>
    <x v="15"/>
    <x v="0"/>
    <n v="74"/>
    <s v="New Mexico"/>
    <x v="2"/>
    <x v="18"/>
    <x v="0"/>
    <x v="10"/>
    <x v="0"/>
    <x v="0"/>
    <n v="45"/>
    <x v="0"/>
    <x v="4"/>
    <m/>
  </r>
  <r>
    <n v="548"/>
    <n v="38"/>
    <s v="Male"/>
    <x v="14"/>
    <x v="2"/>
    <n v="50"/>
    <s v="Nevada"/>
    <x v="2"/>
    <x v="24"/>
    <x v="0"/>
    <x v="24"/>
    <x v="0"/>
    <x v="0"/>
    <n v="26"/>
    <x v="0"/>
    <x v="1"/>
    <m/>
  </r>
  <r>
    <n v="549"/>
    <n v="36"/>
    <s v="Male"/>
    <x v="21"/>
    <x v="3"/>
    <n v="64"/>
    <s v="Nebraska"/>
    <x v="2"/>
    <x v="13"/>
    <x v="0"/>
    <x v="7"/>
    <x v="0"/>
    <x v="0"/>
    <n v="41"/>
    <x v="5"/>
    <x v="6"/>
    <m/>
  </r>
  <r>
    <n v="550"/>
    <n v="31"/>
    <s v="Male"/>
    <x v="21"/>
    <x v="3"/>
    <n v="29"/>
    <s v="Arizona"/>
    <x v="1"/>
    <x v="8"/>
    <x v="3"/>
    <x v="2"/>
    <x v="0"/>
    <x v="0"/>
    <n v="37"/>
    <x v="0"/>
    <x v="4"/>
    <m/>
  </r>
  <r>
    <n v="551"/>
    <n v="62"/>
    <s v="Male"/>
    <x v="22"/>
    <x v="3"/>
    <n v="62"/>
    <s v="Georgia"/>
    <x v="2"/>
    <x v="8"/>
    <x v="2"/>
    <x v="19"/>
    <x v="0"/>
    <x v="0"/>
    <n v="12"/>
    <x v="3"/>
    <x v="1"/>
    <m/>
  </r>
  <r>
    <n v="552"/>
    <n v="29"/>
    <s v="Male"/>
    <x v="7"/>
    <x v="2"/>
    <n v="78"/>
    <s v="Idaho"/>
    <x v="3"/>
    <x v="14"/>
    <x v="3"/>
    <x v="0"/>
    <x v="0"/>
    <x v="0"/>
    <n v="27"/>
    <x v="1"/>
    <x v="4"/>
    <m/>
  </r>
  <r>
    <n v="553"/>
    <n v="24"/>
    <s v="Male"/>
    <x v="17"/>
    <x v="0"/>
    <n v="94"/>
    <s v="Missouri"/>
    <x v="2"/>
    <x v="15"/>
    <x v="3"/>
    <x v="22"/>
    <x v="0"/>
    <x v="0"/>
    <n v="18"/>
    <x v="4"/>
    <x v="1"/>
    <m/>
  </r>
  <r>
    <n v="554"/>
    <n v="63"/>
    <s v="Male"/>
    <x v="12"/>
    <x v="3"/>
    <n v="59"/>
    <s v="Florida"/>
    <x v="2"/>
    <x v="3"/>
    <x v="0"/>
    <x v="20"/>
    <x v="0"/>
    <x v="0"/>
    <n v="15"/>
    <x v="2"/>
    <x v="3"/>
    <m/>
  </r>
  <r>
    <n v="555"/>
    <n v="56"/>
    <s v="Male"/>
    <x v="4"/>
    <x v="1"/>
    <n v="47"/>
    <s v="Minnesota"/>
    <x v="2"/>
    <x v="16"/>
    <x v="2"/>
    <x v="23"/>
    <x v="0"/>
    <x v="0"/>
    <n v="34"/>
    <x v="4"/>
    <x v="1"/>
    <m/>
  </r>
  <r>
    <n v="556"/>
    <n v="63"/>
    <s v="Male"/>
    <x v="24"/>
    <x v="3"/>
    <n v="57"/>
    <s v="Maine"/>
    <x v="2"/>
    <x v="3"/>
    <x v="3"/>
    <x v="3"/>
    <x v="0"/>
    <x v="0"/>
    <n v="37"/>
    <x v="0"/>
    <x v="2"/>
    <m/>
  </r>
  <r>
    <n v="557"/>
    <n v="40"/>
    <s v="Male"/>
    <x v="7"/>
    <x v="2"/>
    <n v="90"/>
    <s v="Montana"/>
    <x v="0"/>
    <x v="21"/>
    <x v="0"/>
    <x v="11"/>
    <x v="0"/>
    <x v="0"/>
    <n v="21"/>
    <x v="1"/>
    <x v="0"/>
    <m/>
  </r>
  <r>
    <n v="558"/>
    <n v="18"/>
    <s v="Male"/>
    <x v="5"/>
    <x v="0"/>
    <n v="60"/>
    <s v="Alaska"/>
    <x v="2"/>
    <x v="3"/>
    <x v="1"/>
    <x v="25"/>
    <x v="0"/>
    <x v="0"/>
    <n v="31"/>
    <x v="5"/>
    <x v="1"/>
    <m/>
  </r>
  <r>
    <n v="559"/>
    <n v="50"/>
    <s v="Male"/>
    <x v="4"/>
    <x v="1"/>
    <n v="77"/>
    <s v="Iowa"/>
    <x v="0"/>
    <x v="11"/>
    <x v="3"/>
    <x v="20"/>
    <x v="0"/>
    <x v="0"/>
    <n v="43"/>
    <x v="5"/>
    <x v="6"/>
    <m/>
  </r>
  <r>
    <n v="560"/>
    <n v="66"/>
    <s v="Male"/>
    <x v="18"/>
    <x v="3"/>
    <n v="41"/>
    <s v="Arizona"/>
    <x v="2"/>
    <x v="21"/>
    <x v="3"/>
    <x v="25"/>
    <x v="0"/>
    <x v="0"/>
    <n v="22"/>
    <x v="4"/>
    <x v="5"/>
    <m/>
  </r>
  <r>
    <n v="561"/>
    <n v="25"/>
    <s v="Male"/>
    <x v="16"/>
    <x v="3"/>
    <n v="48"/>
    <s v="Louisiana"/>
    <x v="0"/>
    <x v="16"/>
    <x v="3"/>
    <x v="19"/>
    <x v="0"/>
    <x v="0"/>
    <n v="12"/>
    <x v="5"/>
    <x v="2"/>
    <m/>
  </r>
  <r>
    <n v="562"/>
    <n v="65"/>
    <s v="Male"/>
    <x v="14"/>
    <x v="2"/>
    <n v="65"/>
    <s v="Alabama"/>
    <x v="2"/>
    <x v="24"/>
    <x v="3"/>
    <x v="4"/>
    <x v="0"/>
    <x v="0"/>
    <n v="25"/>
    <x v="3"/>
    <x v="0"/>
    <m/>
  </r>
  <r>
    <n v="563"/>
    <n v="53"/>
    <s v="Male"/>
    <x v="2"/>
    <x v="0"/>
    <n v="62"/>
    <s v="Missouri"/>
    <x v="2"/>
    <x v="24"/>
    <x v="2"/>
    <x v="22"/>
    <x v="0"/>
    <x v="0"/>
    <n v="40"/>
    <x v="5"/>
    <x v="2"/>
    <m/>
  </r>
  <r>
    <n v="564"/>
    <n v="61"/>
    <s v="Male"/>
    <x v="9"/>
    <x v="1"/>
    <n v="99"/>
    <s v="Idaho"/>
    <x v="2"/>
    <x v="13"/>
    <x v="3"/>
    <x v="9"/>
    <x v="0"/>
    <x v="0"/>
    <n v="16"/>
    <x v="5"/>
    <x v="3"/>
    <m/>
  </r>
  <r>
    <n v="565"/>
    <n v="67"/>
    <s v="Male"/>
    <x v="15"/>
    <x v="0"/>
    <n v="58"/>
    <s v="Florida"/>
    <x v="2"/>
    <x v="8"/>
    <x v="0"/>
    <x v="10"/>
    <x v="0"/>
    <x v="0"/>
    <n v="30"/>
    <x v="4"/>
    <x v="1"/>
    <m/>
  </r>
  <r>
    <n v="566"/>
    <n v="59"/>
    <s v="Male"/>
    <x v="21"/>
    <x v="3"/>
    <n v="43"/>
    <s v="Idaho"/>
    <x v="0"/>
    <x v="12"/>
    <x v="3"/>
    <x v="13"/>
    <x v="0"/>
    <x v="0"/>
    <n v="10"/>
    <x v="0"/>
    <x v="1"/>
    <m/>
  </r>
  <r>
    <n v="567"/>
    <n v="55"/>
    <s v="Male"/>
    <x v="4"/>
    <x v="1"/>
    <n v="93"/>
    <s v="Alabama"/>
    <x v="2"/>
    <x v="21"/>
    <x v="1"/>
    <x v="2"/>
    <x v="0"/>
    <x v="0"/>
    <n v="1"/>
    <x v="5"/>
    <x v="0"/>
    <m/>
  </r>
  <r>
    <n v="568"/>
    <n v="21"/>
    <s v="Male"/>
    <x v="0"/>
    <x v="0"/>
    <n v="50"/>
    <s v="New Hampshire"/>
    <x v="1"/>
    <x v="16"/>
    <x v="0"/>
    <x v="23"/>
    <x v="0"/>
    <x v="0"/>
    <n v="24"/>
    <x v="0"/>
    <x v="0"/>
    <m/>
  </r>
  <r>
    <n v="569"/>
    <n v="44"/>
    <s v="Male"/>
    <x v="13"/>
    <x v="0"/>
    <n v="88"/>
    <s v="Utah"/>
    <x v="0"/>
    <x v="16"/>
    <x v="2"/>
    <x v="8"/>
    <x v="0"/>
    <x v="0"/>
    <n v="36"/>
    <x v="3"/>
    <x v="5"/>
    <m/>
  </r>
  <r>
    <n v="570"/>
    <n v="65"/>
    <s v="Male"/>
    <x v="11"/>
    <x v="0"/>
    <n v="33"/>
    <s v="Alabama"/>
    <x v="2"/>
    <x v="6"/>
    <x v="3"/>
    <x v="9"/>
    <x v="0"/>
    <x v="0"/>
    <n v="46"/>
    <x v="2"/>
    <x v="6"/>
    <m/>
  </r>
  <r>
    <n v="571"/>
    <n v="65"/>
    <s v="Male"/>
    <x v="17"/>
    <x v="0"/>
    <n v="99"/>
    <s v="Iowa"/>
    <x v="3"/>
    <x v="7"/>
    <x v="3"/>
    <x v="18"/>
    <x v="0"/>
    <x v="0"/>
    <n v="20"/>
    <x v="1"/>
    <x v="2"/>
    <m/>
  </r>
  <r>
    <n v="572"/>
    <n v="54"/>
    <s v="Male"/>
    <x v="14"/>
    <x v="2"/>
    <n v="76"/>
    <s v="Kentucky"/>
    <x v="3"/>
    <x v="17"/>
    <x v="1"/>
    <x v="2"/>
    <x v="0"/>
    <x v="0"/>
    <n v="37"/>
    <x v="0"/>
    <x v="1"/>
    <m/>
  </r>
  <r>
    <n v="573"/>
    <n v="56"/>
    <s v="Male"/>
    <x v="18"/>
    <x v="3"/>
    <n v="97"/>
    <s v="South Carolina"/>
    <x v="3"/>
    <x v="17"/>
    <x v="2"/>
    <x v="7"/>
    <x v="0"/>
    <x v="0"/>
    <n v="26"/>
    <x v="4"/>
    <x v="2"/>
    <m/>
  </r>
  <r>
    <n v="574"/>
    <n v="58"/>
    <s v="Male"/>
    <x v="13"/>
    <x v="0"/>
    <n v="68"/>
    <s v="California"/>
    <x v="2"/>
    <x v="4"/>
    <x v="2"/>
    <x v="20"/>
    <x v="0"/>
    <x v="0"/>
    <n v="23"/>
    <x v="2"/>
    <x v="4"/>
    <m/>
  </r>
  <r>
    <n v="575"/>
    <n v="54"/>
    <s v="Male"/>
    <x v="4"/>
    <x v="1"/>
    <n v="79"/>
    <s v="Maine"/>
    <x v="0"/>
    <x v="16"/>
    <x v="3"/>
    <x v="3"/>
    <x v="0"/>
    <x v="0"/>
    <n v="20"/>
    <x v="4"/>
    <x v="4"/>
    <m/>
  </r>
  <r>
    <n v="576"/>
    <n v="58"/>
    <s v="Male"/>
    <x v="2"/>
    <x v="0"/>
    <n v="86"/>
    <s v="Nebraska"/>
    <x v="2"/>
    <x v="15"/>
    <x v="3"/>
    <x v="3"/>
    <x v="0"/>
    <x v="0"/>
    <n v="38"/>
    <x v="3"/>
    <x v="5"/>
    <m/>
  </r>
  <r>
    <n v="577"/>
    <n v="48"/>
    <s v="Male"/>
    <x v="19"/>
    <x v="3"/>
    <n v="68"/>
    <s v="Washington"/>
    <x v="2"/>
    <x v="13"/>
    <x v="0"/>
    <x v="11"/>
    <x v="0"/>
    <x v="0"/>
    <n v="5"/>
    <x v="2"/>
    <x v="6"/>
    <m/>
  </r>
  <r>
    <n v="578"/>
    <n v="19"/>
    <s v="Male"/>
    <x v="11"/>
    <x v="0"/>
    <n v="52"/>
    <s v="Alabama"/>
    <x v="2"/>
    <x v="13"/>
    <x v="3"/>
    <x v="5"/>
    <x v="0"/>
    <x v="0"/>
    <n v="41"/>
    <x v="0"/>
    <x v="2"/>
    <m/>
  </r>
  <r>
    <n v="579"/>
    <n v="69"/>
    <s v="Male"/>
    <x v="3"/>
    <x v="1"/>
    <n v="90"/>
    <s v="Maine"/>
    <x v="2"/>
    <x v="7"/>
    <x v="3"/>
    <x v="7"/>
    <x v="0"/>
    <x v="0"/>
    <n v="22"/>
    <x v="2"/>
    <x v="0"/>
    <m/>
  </r>
  <r>
    <n v="580"/>
    <n v="58"/>
    <s v="Male"/>
    <x v="3"/>
    <x v="1"/>
    <n v="41"/>
    <s v="California"/>
    <x v="2"/>
    <x v="10"/>
    <x v="0"/>
    <x v="5"/>
    <x v="0"/>
    <x v="0"/>
    <n v="48"/>
    <x v="2"/>
    <x v="2"/>
    <m/>
  </r>
  <r>
    <n v="581"/>
    <n v="49"/>
    <s v="Male"/>
    <x v="1"/>
    <x v="0"/>
    <n v="80"/>
    <s v="Iowa"/>
    <x v="2"/>
    <x v="20"/>
    <x v="1"/>
    <x v="18"/>
    <x v="0"/>
    <x v="0"/>
    <n v="10"/>
    <x v="3"/>
    <x v="1"/>
    <m/>
  </r>
  <r>
    <n v="582"/>
    <n v="32"/>
    <s v="Male"/>
    <x v="1"/>
    <x v="0"/>
    <n v="100"/>
    <s v="Iowa"/>
    <x v="3"/>
    <x v="4"/>
    <x v="0"/>
    <x v="6"/>
    <x v="0"/>
    <x v="0"/>
    <n v="12"/>
    <x v="4"/>
    <x v="6"/>
    <m/>
  </r>
  <r>
    <n v="583"/>
    <n v="40"/>
    <s v="Male"/>
    <x v="14"/>
    <x v="2"/>
    <n v="77"/>
    <s v="Colorado"/>
    <x v="0"/>
    <x v="2"/>
    <x v="1"/>
    <x v="17"/>
    <x v="0"/>
    <x v="0"/>
    <n v="2"/>
    <x v="4"/>
    <x v="3"/>
    <m/>
  </r>
  <r>
    <n v="584"/>
    <n v="25"/>
    <s v="Male"/>
    <x v="6"/>
    <x v="0"/>
    <n v="78"/>
    <s v="California"/>
    <x v="0"/>
    <x v="22"/>
    <x v="1"/>
    <x v="8"/>
    <x v="0"/>
    <x v="0"/>
    <n v="38"/>
    <x v="3"/>
    <x v="5"/>
    <m/>
  </r>
  <r>
    <n v="585"/>
    <n v="70"/>
    <s v="Male"/>
    <x v="20"/>
    <x v="0"/>
    <n v="94"/>
    <s v="Indiana"/>
    <x v="2"/>
    <x v="3"/>
    <x v="1"/>
    <x v="15"/>
    <x v="0"/>
    <x v="0"/>
    <n v="20"/>
    <x v="5"/>
    <x v="5"/>
    <m/>
  </r>
  <r>
    <n v="586"/>
    <n v="69"/>
    <s v="Male"/>
    <x v="20"/>
    <x v="0"/>
    <n v="23"/>
    <s v="South Carolina"/>
    <x v="2"/>
    <x v="0"/>
    <x v="3"/>
    <x v="24"/>
    <x v="0"/>
    <x v="0"/>
    <n v="5"/>
    <x v="1"/>
    <x v="6"/>
    <m/>
  </r>
  <r>
    <n v="587"/>
    <n v="45"/>
    <s v="Male"/>
    <x v="15"/>
    <x v="0"/>
    <n v="20"/>
    <s v="Wisconsin"/>
    <x v="1"/>
    <x v="24"/>
    <x v="0"/>
    <x v="17"/>
    <x v="0"/>
    <x v="0"/>
    <n v="9"/>
    <x v="0"/>
    <x v="2"/>
    <m/>
  </r>
  <r>
    <n v="588"/>
    <n v="29"/>
    <s v="Male"/>
    <x v="20"/>
    <x v="0"/>
    <n v="86"/>
    <s v="Washington"/>
    <x v="1"/>
    <x v="1"/>
    <x v="3"/>
    <x v="13"/>
    <x v="0"/>
    <x v="0"/>
    <n v="48"/>
    <x v="5"/>
    <x v="6"/>
    <m/>
  </r>
  <r>
    <n v="589"/>
    <n v="47"/>
    <s v="Male"/>
    <x v="23"/>
    <x v="1"/>
    <n v="60"/>
    <s v="South Dakota"/>
    <x v="2"/>
    <x v="10"/>
    <x v="3"/>
    <x v="23"/>
    <x v="0"/>
    <x v="0"/>
    <n v="9"/>
    <x v="5"/>
    <x v="3"/>
    <m/>
  </r>
  <r>
    <n v="590"/>
    <n v="28"/>
    <s v="Male"/>
    <x v="5"/>
    <x v="0"/>
    <n v="70"/>
    <s v="Minnesota"/>
    <x v="2"/>
    <x v="20"/>
    <x v="3"/>
    <x v="10"/>
    <x v="0"/>
    <x v="0"/>
    <n v="40"/>
    <x v="3"/>
    <x v="2"/>
    <m/>
  </r>
  <r>
    <n v="591"/>
    <n v="64"/>
    <s v="Male"/>
    <x v="22"/>
    <x v="3"/>
    <n v="39"/>
    <s v="Alaska"/>
    <x v="1"/>
    <x v="2"/>
    <x v="3"/>
    <x v="7"/>
    <x v="0"/>
    <x v="0"/>
    <n v="30"/>
    <x v="0"/>
    <x v="0"/>
    <m/>
  </r>
  <r>
    <n v="592"/>
    <n v="47"/>
    <s v="Male"/>
    <x v="21"/>
    <x v="3"/>
    <n v="37"/>
    <s v="Kentucky"/>
    <x v="0"/>
    <x v="8"/>
    <x v="3"/>
    <x v="13"/>
    <x v="0"/>
    <x v="0"/>
    <n v="6"/>
    <x v="5"/>
    <x v="4"/>
    <m/>
  </r>
  <r>
    <n v="593"/>
    <n v="60"/>
    <s v="Male"/>
    <x v="23"/>
    <x v="1"/>
    <n v="29"/>
    <s v="North Dakota"/>
    <x v="2"/>
    <x v="18"/>
    <x v="3"/>
    <x v="20"/>
    <x v="0"/>
    <x v="0"/>
    <n v="42"/>
    <x v="0"/>
    <x v="6"/>
    <m/>
  </r>
  <r>
    <n v="594"/>
    <n v="67"/>
    <s v="Male"/>
    <x v="7"/>
    <x v="2"/>
    <n v="35"/>
    <s v="Alaska"/>
    <x v="1"/>
    <x v="14"/>
    <x v="0"/>
    <x v="9"/>
    <x v="0"/>
    <x v="0"/>
    <n v="9"/>
    <x v="3"/>
    <x v="6"/>
    <m/>
  </r>
  <r>
    <n v="595"/>
    <n v="35"/>
    <s v="Male"/>
    <x v="15"/>
    <x v="0"/>
    <n v="83"/>
    <s v="Oklahoma"/>
    <x v="1"/>
    <x v="18"/>
    <x v="0"/>
    <x v="16"/>
    <x v="0"/>
    <x v="0"/>
    <n v="6"/>
    <x v="5"/>
    <x v="5"/>
    <m/>
  </r>
  <r>
    <n v="596"/>
    <n v="30"/>
    <s v="Male"/>
    <x v="9"/>
    <x v="1"/>
    <n v="77"/>
    <s v="Delaware"/>
    <x v="2"/>
    <x v="5"/>
    <x v="2"/>
    <x v="2"/>
    <x v="0"/>
    <x v="0"/>
    <n v="47"/>
    <x v="3"/>
    <x v="3"/>
    <m/>
  </r>
  <r>
    <n v="597"/>
    <n v="23"/>
    <s v="Male"/>
    <x v="9"/>
    <x v="1"/>
    <n v="37"/>
    <s v="Montana"/>
    <x v="3"/>
    <x v="3"/>
    <x v="2"/>
    <x v="21"/>
    <x v="0"/>
    <x v="0"/>
    <n v="36"/>
    <x v="0"/>
    <x v="2"/>
    <m/>
  </r>
  <r>
    <n v="598"/>
    <n v="70"/>
    <s v="Male"/>
    <x v="16"/>
    <x v="3"/>
    <n v="69"/>
    <s v="Alaska"/>
    <x v="0"/>
    <x v="9"/>
    <x v="2"/>
    <x v="10"/>
    <x v="0"/>
    <x v="0"/>
    <n v="19"/>
    <x v="4"/>
    <x v="0"/>
    <m/>
  </r>
  <r>
    <n v="599"/>
    <n v="21"/>
    <s v="Male"/>
    <x v="10"/>
    <x v="0"/>
    <n v="66"/>
    <s v="California"/>
    <x v="0"/>
    <x v="14"/>
    <x v="0"/>
    <x v="20"/>
    <x v="0"/>
    <x v="0"/>
    <n v="30"/>
    <x v="1"/>
    <x v="6"/>
    <m/>
  </r>
  <r>
    <n v="600"/>
    <n v="51"/>
    <s v="Male"/>
    <x v="23"/>
    <x v="1"/>
    <n v="26"/>
    <s v="Massachusetts"/>
    <x v="0"/>
    <x v="11"/>
    <x v="1"/>
    <x v="13"/>
    <x v="0"/>
    <x v="0"/>
    <n v="27"/>
    <x v="5"/>
    <x v="6"/>
    <m/>
  </r>
  <r>
    <n v="601"/>
    <n v="22"/>
    <s v="Male"/>
    <x v="19"/>
    <x v="3"/>
    <n v="63"/>
    <s v="South Carolina"/>
    <x v="2"/>
    <x v="4"/>
    <x v="1"/>
    <x v="11"/>
    <x v="0"/>
    <x v="0"/>
    <n v="25"/>
    <x v="0"/>
    <x v="5"/>
    <m/>
  </r>
  <r>
    <n v="602"/>
    <n v="32"/>
    <s v="Male"/>
    <x v="21"/>
    <x v="3"/>
    <n v="38"/>
    <s v="West Virginia"/>
    <x v="2"/>
    <x v="1"/>
    <x v="2"/>
    <x v="15"/>
    <x v="0"/>
    <x v="0"/>
    <n v="5"/>
    <x v="1"/>
    <x v="0"/>
    <m/>
  </r>
  <r>
    <n v="603"/>
    <n v="37"/>
    <s v="Male"/>
    <x v="9"/>
    <x v="1"/>
    <n v="58"/>
    <s v="Oregon"/>
    <x v="0"/>
    <x v="12"/>
    <x v="2"/>
    <x v="13"/>
    <x v="0"/>
    <x v="0"/>
    <n v="10"/>
    <x v="1"/>
    <x v="6"/>
    <m/>
  </r>
  <r>
    <n v="604"/>
    <n v="31"/>
    <s v="Male"/>
    <x v="8"/>
    <x v="3"/>
    <n v="46"/>
    <s v="Massachusetts"/>
    <x v="0"/>
    <x v="14"/>
    <x v="0"/>
    <x v="10"/>
    <x v="0"/>
    <x v="0"/>
    <n v="26"/>
    <x v="3"/>
    <x v="6"/>
    <m/>
  </r>
  <r>
    <n v="605"/>
    <n v="44"/>
    <s v="Male"/>
    <x v="12"/>
    <x v="3"/>
    <n v="92"/>
    <s v="West Virginia"/>
    <x v="1"/>
    <x v="6"/>
    <x v="3"/>
    <x v="9"/>
    <x v="0"/>
    <x v="0"/>
    <n v="11"/>
    <x v="2"/>
    <x v="6"/>
    <m/>
  </r>
  <r>
    <n v="606"/>
    <n v="40"/>
    <s v="Male"/>
    <x v="19"/>
    <x v="3"/>
    <n v="32"/>
    <s v="California"/>
    <x v="3"/>
    <x v="4"/>
    <x v="0"/>
    <x v="13"/>
    <x v="0"/>
    <x v="0"/>
    <n v="17"/>
    <x v="4"/>
    <x v="1"/>
    <m/>
  </r>
  <r>
    <n v="607"/>
    <n v="27"/>
    <s v="Male"/>
    <x v="18"/>
    <x v="3"/>
    <n v="90"/>
    <s v="Colorado"/>
    <x v="2"/>
    <x v="24"/>
    <x v="1"/>
    <x v="21"/>
    <x v="0"/>
    <x v="0"/>
    <n v="44"/>
    <x v="3"/>
    <x v="5"/>
    <m/>
  </r>
  <r>
    <n v="608"/>
    <n v="47"/>
    <s v="Male"/>
    <x v="15"/>
    <x v="0"/>
    <n v="23"/>
    <s v="Indiana"/>
    <x v="0"/>
    <x v="7"/>
    <x v="3"/>
    <x v="24"/>
    <x v="0"/>
    <x v="0"/>
    <n v="44"/>
    <x v="1"/>
    <x v="5"/>
    <m/>
  </r>
  <r>
    <n v="609"/>
    <n v="41"/>
    <s v="Male"/>
    <x v="21"/>
    <x v="3"/>
    <n v="25"/>
    <s v="Delaware"/>
    <x v="1"/>
    <x v="9"/>
    <x v="3"/>
    <x v="19"/>
    <x v="0"/>
    <x v="0"/>
    <n v="21"/>
    <x v="0"/>
    <x v="6"/>
    <m/>
  </r>
  <r>
    <n v="610"/>
    <n v="51"/>
    <s v="Male"/>
    <x v="1"/>
    <x v="0"/>
    <n v="54"/>
    <s v="Ohio"/>
    <x v="0"/>
    <x v="7"/>
    <x v="3"/>
    <x v="7"/>
    <x v="0"/>
    <x v="0"/>
    <n v="49"/>
    <x v="2"/>
    <x v="0"/>
    <m/>
  </r>
  <r>
    <n v="611"/>
    <n v="53"/>
    <s v="Male"/>
    <x v="6"/>
    <x v="0"/>
    <n v="72"/>
    <s v="Oklahoma"/>
    <x v="2"/>
    <x v="4"/>
    <x v="2"/>
    <x v="16"/>
    <x v="0"/>
    <x v="0"/>
    <n v="27"/>
    <x v="4"/>
    <x v="6"/>
    <m/>
  </r>
  <r>
    <n v="612"/>
    <n v="43"/>
    <s v="Male"/>
    <x v="18"/>
    <x v="3"/>
    <n v="33"/>
    <s v="California"/>
    <x v="2"/>
    <x v="13"/>
    <x v="0"/>
    <x v="15"/>
    <x v="0"/>
    <x v="0"/>
    <n v="19"/>
    <x v="1"/>
    <x v="5"/>
    <m/>
  </r>
  <r>
    <n v="613"/>
    <n v="67"/>
    <s v="Male"/>
    <x v="19"/>
    <x v="3"/>
    <n v="43"/>
    <s v="New Hampshire"/>
    <x v="0"/>
    <x v="12"/>
    <x v="3"/>
    <x v="7"/>
    <x v="0"/>
    <x v="0"/>
    <n v="33"/>
    <x v="2"/>
    <x v="3"/>
    <m/>
  </r>
  <r>
    <n v="614"/>
    <n v="61"/>
    <s v="Male"/>
    <x v="7"/>
    <x v="2"/>
    <n v="51"/>
    <s v="Pennsylvania"/>
    <x v="0"/>
    <x v="12"/>
    <x v="3"/>
    <x v="4"/>
    <x v="0"/>
    <x v="0"/>
    <n v="46"/>
    <x v="1"/>
    <x v="4"/>
    <m/>
  </r>
  <r>
    <n v="615"/>
    <n v="68"/>
    <s v="Male"/>
    <x v="16"/>
    <x v="3"/>
    <n v="85"/>
    <s v="Idaho"/>
    <x v="2"/>
    <x v="12"/>
    <x v="0"/>
    <x v="8"/>
    <x v="0"/>
    <x v="0"/>
    <n v="21"/>
    <x v="2"/>
    <x v="4"/>
    <m/>
  </r>
  <r>
    <n v="616"/>
    <n v="67"/>
    <s v="Male"/>
    <x v="3"/>
    <x v="1"/>
    <n v="100"/>
    <s v="Maryland"/>
    <x v="0"/>
    <x v="8"/>
    <x v="2"/>
    <x v="4"/>
    <x v="0"/>
    <x v="0"/>
    <n v="23"/>
    <x v="0"/>
    <x v="2"/>
    <m/>
  </r>
  <r>
    <n v="617"/>
    <n v="29"/>
    <s v="Male"/>
    <x v="24"/>
    <x v="3"/>
    <n v="72"/>
    <s v="Pennsylvania"/>
    <x v="0"/>
    <x v="11"/>
    <x v="1"/>
    <x v="7"/>
    <x v="0"/>
    <x v="0"/>
    <n v="38"/>
    <x v="2"/>
    <x v="6"/>
    <m/>
  </r>
  <r>
    <n v="618"/>
    <n v="50"/>
    <s v="Male"/>
    <x v="21"/>
    <x v="3"/>
    <n v="57"/>
    <s v="Colorado"/>
    <x v="2"/>
    <x v="1"/>
    <x v="3"/>
    <x v="4"/>
    <x v="0"/>
    <x v="0"/>
    <n v="2"/>
    <x v="4"/>
    <x v="3"/>
    <m/>
  </r>
  <r>
    <n v="619"/>
    <n v="61"/>
    <s v="Male"/>
    <x v="14"/>
    <x v="2"/>
    <n v="94"/>
    <s v="Indiana"/>
    <x v="0"/>
    <x v="17"/>
    <x v="1"/>
    <x v="8"/>
    <x v="0"/>
    <x v="0"/>
    <n v="21"/>
    <x v="5"/>
    <x v="4"/>
    <m/>
  </r>
  <r>
    <n v="620"/>
    <n v="19"/>
    <s v="Male"/>
    <x v="21"/>
    <x v="3"/>
    <n v="34"/>
    <s v="Nebraska"/>
    <x v="2"/>
    <x v="4"/>
    <x v="2"/>
    <x v="7"/>
    <x v="0"/>
    <x v="0"/>
    <n v="1"/>
    <x v="5"/>
    <x v="6"/>
    <m/>
  </r>
  <r>
    <n v="621"/>
    <n v="33"/>
    <s v="Male"/>
    <x v="21"/>
    <x v="3"/>
    <n v="89"/>
    <s v="Rhode Island"/>
    <x v="2"/>
    <x v="13"/>
    <x v="3"/>
    <x v="5"/>
    <x v="0"/>
    <x v="0"/>
    <n v="10"/>
    <x v="0"/>
    <x v="6"/>
    <m/>
  </r>
  <r>
    <n v="622"/>
    <n v="51"/>
    <s v="Male"/>
    <x v="12"/>
    <x v="3"/>
    <n v="27"/>
    <s v="Kansas"/>
    <x v="1"/>
    <x v="16"/>
    <x v="3"/>
    <x v="9"/>
    <x v="0"/>
    <x v="0"/>
    <n v="45"/>
    <x v="2"/>
    <x v="1"/>
    <m/>
  </r>
  <r>
    <n v="623"/>
    <n v="69"/>
    <s v="Male"/>
    <x v="20"/>
    <x v="0"/>
    <n v="63"/>
    <s v="Georgia"/>
    <x v="1"/>
    <x v="15"/>
    <x v="1"/>
    <x v="8"/>
    <x v="0"/>
    <x v="0"/>
    <n v="44"/>
    <x v="4"/>
    <x v="0"/>
    <m/>
  </r>
  <r>
    <n v="624"/>
    <n v="19"/>
    <s v="Male"/>
    <x v="9"/>
    <x v="1"/>
    <n v="70"/>
    <s v="Nevada"/>
    <x v="2"/>
    <x v="3"/>
    <x v="3"/>
    <x v="15"/>
    <x v="0"/>
    <x v="0"/>
    <n v="48"/>
    <x v="3"/>
    <x v="4"/>
    <m/>
  </r>
  <r>
    <n v="625"/>
    <n v="55"/>
    <s v="Male"/>
    <x v="13"/>
    <x v="0"/>
    <n v="87"/>
    <s v="South Carolina"/>
    <x v="3"/>
    <x v="6"/>
    <x v="3"/>
    <x v="10"/>
    <x v="0"/>
    <x v="0"/>
    <n v="21"/>
    <x v="3"/>
    <x v="2"/>
    <m/>
  </r>
  <r>
    <n v="626"/>
    <n v="49"/>
    <s v="Male"/>
    <x v="16"/>
    <x v="3"/>
    <n v="79"/>
    <s v="Delaware"/>
    <x v="2"/>
    <x v="16"/>
    <x v="3"/>
    <x v="8"/>
    <x v="0"/>
    <x v="0"/>
    <n v="1"/>
    <x v="0"/>
    <x v="1"/>
    <m/>
  </r>
  <r>
    <n v="627"/>
    <n v="31"/>
    <s v="Male"/>
    <x v="12"/>
    <x v="3"/>
    <n v="79"/>
    <s v="New Hampshire"/>
    <x v="2"/>
    <x v="21"/>
    <x v="1"/>
    <x v="14"/>
    <x v="0"/>
    <x v="0"/>
    <n v="10"/>
    <x v="0"/>
    <x v="2"/>
    <m/>
  </r>
  <r>
    <n v="628"/>
    <n v="42"/>
    <s v="Male"/>
    <x v="3"/>
    <x v="1"/>
    <n v="44"/>
    <s v="Oregon"/>
    <x v="0"/>
    <x v="13"/>
    <x v="0"/>
    <x v="18"/>
    <x v="0"/>
    <x v="0"/>
    <n v="24"/>
    <x v="3"/>
    <x v="5"/>
    <m/>
  </r>
  <r>
    <n v="629"/>
    <n v="69"/>
    <s v="Male"/>
    <x v="1"/>
    <x v="0"/>
    <n v="85"/>
    <s v="Massachusetts"/>
    <x v="2"/>
    <x v="3"/>
    <x v="3"/>
    <x v="5"/>
    <x v="0"/>
    <x v="0"/>
    <n v="29"/>
    <x v="2"/>
    <x v="5"/>
    <m/>
  </r>
  <r>
    <n v="630"/>
    <n v="26"/>
    <s v="Male"/>
    <x v="9"/>
    <x v="1"/>
    <n v="90"/>
    <s v="Vermont"/>
    <x v="0"/>
    <x v="19"/>
    <x v="1"/>
    <x v="15"/>
    <x v="0"/>
    <x v="0"/>
    <n v="11"/>
    <x v="5"/>
    <x v="2"/>
    <m/>
  </r>
  <r>
    <n v="631"/>
    <n v="41"/>
    <s v="Male"/>
    <x v="16"/>
    <x v="3"/>
    <n v="94"/>
    <s v="Mississippi"/>
    <x v="1"/>
    <x v="5"/>
    <x v="3"/>
    <x v="12"/>
    <x v="0"/>
    <x v="0"/>
    <n v="33"/>
    <x v="5"/>
    <x v="2"/>
    <m/>
  </r>
  <r>
    <n v="632"/>
    <n v="55"/>
    <s v="Male"/>
    <x v="23"/>
    <x v="1"/>
    <n v="68"/>
    <s v="Washington"/>
    <x v="1"/>
    <x v="10"/>
    <x v="2"/>
    <x v="18"/>
    <x v="0"/>
    <x v="0"/>
    <n v="27"/>
    <x v="1"/>
    <x v="0"/>
    <m/>
  </r>
  <r>
    <n v="633"/>
    <n v="35"/>
    <s v="Male"/>
    <x v="21"/>
    <x v="3"/>
    <n v="51"/>
    <s v="Wyoming"/>
    <x v="2"/>
    <x v="16"/>
    <x v="0"/>
    <x v="14"/>
    <x v="0"/>
    <x v="0"/>
    <n v="19"/>
    <x v="0"/>
    <x v="0"/>
    <m/>
  </r>
  <r>
    <n v="634"/>
    <n v="66"/>
    <s v="Male"/>
    <x v="3"/>
    <x v="1"/>
    <n v="33"/>
    <s v="Minnesota"/>
    <x v="2"/>
    <x v="20"/>
    <x v="1"/>
    <x v="25"/>
    <x v="0"/>
    <x v="0"/>
    <n v="50"/>
    <x v="5"/>
    <x v="3"/>
    <m/>
  </r>
  <r>
    <n v="635"/>
    <n v="36"/>
    <s v="Male"/>
    <x v="4"/>
    <x v="1"/>
    <n v="60"/>
    <s v="Ohio"/>
    <x v="2"/>
    <x v="11"/>
    <x v="2"/>
    <x v="14"/>
    <x v="0"/>
    <x v="0"/>
    <n v="46"/>
    <x v="3"/>
    <x v="1"/>
    <m/>
  </r>
  <r>
    <n v="636"/>
    <n v="27"/>
    <s v="Male"/>
    <x v="15"/>
    <x v="0"/>
    <n v="59"/>
    <s v="South Carolina"/>
    <x v="2"/>
    <x v="18"/>
    <x v="3"/>
    <x v="12"/>
    <x v="0"/>
    <x v="0"/>
    <n v="28"/>
    <x v="1"/>
    <x v="3"/>
    <m/>
  </r>
  <r>
    <n v="637"/>
    <n v="41"/>
    <s v="Male"/>
    <x v="8"/>
    <x v="3"/>
    <n v="30"/>
    <s v="Wisconsin"/>
    <x v="2"/>
    <x v="21"/>
    <x v="2"/>
    <x v="24"/>
    <x v="0"/>
    <x v="0"/>
    <n v="14"/>
    <x v="4"/>
    <x v="6"/>
    <m/>
  </r>
  <r>
    <n v="638"/>
    <n v="21"/>
    <s v="Male"/>
    <x v="1"/>
    <x v="0"/>
    <n v="20"/>
    <s v="Tennessee"/>
    <x v="2"/>
    <x v="17"/>
    <x v="0"/>
    <x v="10"/>
    <x v="0"/>
    <x v="0"/>
    <n v="46"/>
    <x v="1"/>
    <x v="0"/>
    <m/>
  </r>
  <r>
    <n v="639"/>
    <n v="53"/>
    <s v="Male"/>
    <x v="3"/>
    <x v="1"/>
    <n v="20"/>
    <s v="Maryland"/>
    <x v="1"/>
    <x v="24"/>
    <x v="2"/>
    <x v="6"/>
    <x v="0"/>
    <x v="0"/>
    <n v="41"/>
    <x v="3"/>
    <x v="5"/>
    <m/>
  </r>
  <r>
    <n v="640"/>
    <n v="54"/>
    <s v="Male"/>
    <x v="10"/>
    <x v="0"/>
    <n v="24"/>
    <s v="Mississippi"/>
    <x v="0"/>
    <x v="8"/>
    <x v="1"/>
    <x v="8"/>
    <x v="0"/>
    <x v="0"/>
    <n v="50"/>
    <x v="2"/>
    <x v="2"/>
    <m/>
  </r>
  <r>
    <n v="641"/>
    <n v="53"/>
    <s v="Male"/>
    <x v="11"/>
    <x v="0"/>
    <n v="88"/>
    <s v="Minnesota"/>
    <x v="2"/>
    <x v="0"/>
    <x v="2"/>
    <x v="9"/>
    <x v="0"/>
    <x v="0"/>
    <n v="28"/>
    <x v="5"/>
    <x v="0"/>
    <m/>
  </r>
  <r>
    <n v="642"/>
    <n v="47"/>
    <s v="Male"/>
    <x v="0"/>
    <x v="0"/>
    <n v="78"/>
    <s v="Alaska"/>
    <x v="2"/>
    <x v="16"/>
    <x v="0"/>
    <x v="14"/>
    <x v="0"/>
    <x v="0"/>
    <n v="23"/>
    <x v="2"/>
    <x v="6"/>
    <m/>
  </r>
  <r>
    <n v="643"/>
    <n v="64"/>
    <s v="Male"/>
    <x v="11"/>
    <x v="0"/>
    <n v="25"/>
    <s v="Arkansas"/>
    <x v="0"/>
    <x v="16"/>
    <x v="1"/>
    <x v="24"/>
    <x v="0"/>
    <x v="0"/>
    <n v="14"/>
    <x v="5"/>
    <x v="4"/>
    <m/>
  </r>
  <r>
    <n v="644"/>
    <n v="18"/>
    <s v="Male"/>
    <x v="1"/>
    <x v="0"/>
    <n v="57"/>
    <s v="Oregon"/>
    <x v="3"/>
    <x v="14"/>
    <x v="0"/>
    <x v="20"/>
    <x v="0"/>
    <x v="0"/>
    <n v="10"/>
    <x v="4"/>
    <x v="6"/>
    <m/>
  </r>
  <r>
    <n v="645"/>
    <n v="68"/>
    <s v="Male"/>
    <x v="21"/>
    <x v="3"/>
    <n v="93"/>
    <s v="Louisiana"/>
    <x v="1"/>
    <x v="24"/>
    <x v="2"/>
    <x v="12"/>
    <x v="0"/>
    <x v="0"/>
    <n v="37"/>
    <x v="1"/>
    <x v="1"/>
    <m/>
  </r>
  <r>
    <n v="646"/>
    <n v="62"/>
    <s v="Male"/>
    <x v="15"/>
    <x v="0"/>
    <n v="42"/>
    <s v="Oklahoma"/>
    <x v="1"/>
    <x v="7"/>
    <x v="2"/>
    <x v="13"/>
    <x v="0"/>
    <x v="0"/>
    <n v="15"/>
    <x v="0"/>
    <x v="4"/>
    <m/>
  </r>
  <r>
    <n v="647"/>
    <n v="51"/>
    <s v="Male"/>
    <x v="23"/>
    <x v="1"/>
    <n v="54"/>
    <s v="Indiana"/>
    <x v="3"/>
    <x v="6"/>
    <x v="1"/>
    <x v="17"/>
    <x v="0"/>
    <x v="0"/>
    <n v="19"/>
    <x v="0"/>
    <x v="4"/>
    <m/>
  </r>
  <r>
    <n v="648"/>
    <n v="54"/>
    <s v="Male"/>
    <x v="0"/>
    <x v="0"/>
    <n v="70"/>
    <s v="Mississippi"/>
    <x v="3"/>
    <x v="4"/>
    <x v="2"/>
    <x v="5"/>
    <x v="0"/>
    <x v="0"/>
    <n v="23"/>
    <x v="2"/>
    <x v="0"/>
    <m/>
  </r>
  <r>
    <n v="649"/>
    <n v="22"/>
    <s v="Male"/>
    <x v="15"/>
    <x v="0"/>
    <n v="31"/>
    <s v="Michigan"/>
    <x v="2"/>
    <x v="18"/>
    <x v="0"/>
    <x v="18"/>
    <x v="0"/>
    <x v="0"/>
    <n v="35"/>
    <x v="2"/>
    <x v="1"/>
    <m/>
  </r>
  <r>
    <n v="650"/>
    <n v="53"/>
    <s v="Male"/>
    <x v="13"/>
    <x v="0"/>
    <n v="93"/>
    <s v="Delaware"/>
    <x v="0"/>
    <x v="20"/>
    <x v="1"/>
    <x v="13"/>
    <x v="0"/>
    <x v="0"/>
    <n v="33"/>
    <x v="3"/>
    <x v="6"/>
    <m/>
  </r>
  <r>
    <n v="651"/>
    <n v="34"/>
    <s v="Male"/>
    <x v="24"/>
    <x v="3"/>
    <n v="40"/>
    <s v="Florida"/>
    <x v="2"/>
    <x v="23"/>
    <x v="1"/>
    <x v="14"/>
    <x v="0"/>
    <x v="0"/>
    <n v="12"/>
    <x v="4"/>
    <x v="2"/>
    <m/>
  </r>
  <r>
    <n v="652"/>
    <n v="32"/>
    <s v="Male"/>
    <x v="19"/>
    <x v="3"/>
    <n v="32"/>
    <s v="Arkansas"/>
    <x v="0"/>
    <x v="22"/>
    <x v="2"/>
    <x v="25"/>
    <x v="0"/>
    <x v="0"/>
    <n v="41"/>
    <x v="0"/>
    <x v="0"/>
    <m/>
  </r>
  <r>
    <n v="653"/>
    <n v="64"/>
    <s v="Male"/>
    <x v="12"/>
    <x v="3"/>
    <n v="27"/>
    <s v="Minnesota"/>
    <x v="2"/>
    <x v="19"/>
    <x v="0"/>
    <x v="0"/>
    <x v="0"/>
    <x v="0"/>
    <n v="27"/>
    <x v="0"/>
    <x v="1"/>
    <m/>
  </r>
  <r>
    <n v="654"/>
    <n v="20"/>
    <s v="Male"/>
    <x v="18"/>
    <x v="3"/>
    <n v="68"/>
    <s v="North Dakota"/>
    <x v="2"/>
    <x v="8"/>
    <x v="0"/>
    <x v="2"/>
    <x v="0"/>
    <x v="0"/>
    <n v="45"/>
    <x v="1"/>
    <x v="0"/>
    <m/>
  </r>
  <r>
    <n v="655"/>
    <n v="24"/>
    <s v="Male"/>
    <x v="8"/>
    <x v="3"/>
    <n v="59"/>
    <s v="California"/>
    <x v="0"/>
    <x v="0"/>
    <x v="2"/>
    <x v="9"/>
    <x v="0"/>
    <x v="0"/>
    <n v="23"/>
    <x v="0"/>
    <x v="2"/>
    <m/>
  </r>
  <r>
    <n v="656"/>
    <n v="20"/>
    <s v="Male"/>
    <x v="8"/>
    <x v="3"/>
    <n v="36"/>
    <s v="Mississippi"/>
    <x v="1"/>
    <x v="7"/>
    <x v="3"/>
    <x v="0"/>
    <x v="0"/>
    <x v="0"/>
    <n v="19"/>
    <x v="0"/>
    <x v="5"/>
    <m/>
  </r>
  <r>
    <n v="657"/>
    <n v="42"/>
    <s v="Male"/>
    <x v="2"/>
    <x v="0"/>
    <n v="23"/>
    <s v="Pennsylvania"/>
    <x v="2"/>
    <x v="19"/>
    <x v="2"/>
    <x v="14"/>
    <x v="0"/>
    <x v="0"/>
    <n v="6"/>
    <x v="3"/>
    <x v="3"/>
    <m/>
  </r>
  <r>
    <n v="658"/>
    <n v="48"/>
    <s v="Male"/>
    <x v="14"/>
    <x v="2"/>
    <n v="80"/>
    <s v="Arizona"/>
    <x v="2"/>
    <x v="3"/>
    <x v="0"/>
    <x v="12"/>
    <x v="0"/>
    <x v="0"/>
    <n v="6"/>
    <x v="3"/>
    <x v="3"/>
    <m/>
  </r>
  <r>
    <n v="659"/>
    <n v="62"/>
    <s v="Male"/>
    <x v="21"/>
    <x v="3"/>
    <n v="37"/>
    <s v="Louisiana"/>
    <x v="1"/>
    <x v="3"/>
    <x v="3"/>
    <x v="17"/>
    <x v="0"/>
    <x v="0"/>
    <n v="20"/>
    <x v="0"/>
    <x v="1"/>
    <m/>
  </r>
  <r>
    <n v="660"/>
    <n v="62"/>
    <s v="Male"/>
    <x v="6"/>
    <x v="0"/>
    <n v="52"/>
    <s v="Virginia"/>
    <x v="1"/>
    <x v="9"/>
    <x v="1"/>
    <x v="2"/>
    <x v="0"/>
    <x v="0"/>
    <n v="8"/>
    <x v="1"/>
    <x v="1"/>
    <m/>
  </r>
  <r>
    <n v="661"/>
    <n v="50"/>
    <s v="Male"/>
    <x v="7"/>
    <x v="2"/>
    <n v="79"/>
    <s v="Montana"/>
    <x v="2"/>
    <x v="8"/>
    <x v="3"/>
    <x v="11"/>
    <x v="0"/>
    <x v="0"/>
    <n v="39"/>
    <x v="2"/>
    <x v="3"/>
    <m/>
  </r>
  <r>
    <n v="662"/>
    <n v="57"/>
    <s v="Male"/>
    <x v="5"/>
    <x v="0"/>
    <n v="68"/>
    <s v="Iowa"/>
    <x v="3"/>
    <x v="14"/>
    <x v="3"/>
    <x v="18"/>
    <x v="0"/>
    <x v="0"/>
    <n v="39"/>
    <x v="2"/>
    <x v="3"/>
    <m/>
  </r>
  <r>
    <n v="663"/>
    <n v="24"/>
    <s v="Male"/>
    <x v="24"/>
    <x v="3"/>
    <n v="98"/>
    <s v="Illinois"/>
    <x v="0"/>
    <x v="23"/>
    <x v="3"/>
    <x v="24"/>
    <x v="0"/>
    <x v="0"/>
    <n v="39"/>
    <x v="0"/>
    <x v="4"/>
    <m/>
  </r>
  <r>
    <n v="664"/>
    <n v="59"/>
    <s v="Male"/>
    <x v="10"/>
    <x v="0"/>
    <n v="83"/>
    <s v="Alaska"/>
    <x v="2"/>
    <x v="4"/>
    <x v="3"/>
    <x v="15"/>
    <x v="0"/>
    <x v="0"/>
    <n v="23"/>
    <x v="2"/>
    <x v="5"/>
    <m/>
  </r>
  <r>
    <n v="665"/>
    <n v="63"/>
    <s v="Male"/>
    <x v="13"/>
    <x v="0"/>
    <n v="83"/>
    <s v="Colorado"/>
    <x v="2"/>
    <x v="21"/>
    <x v="0"/>
    <x v="9"/>
    <x v="0"/>
    <x v="0"/>
    <n v="41"/>
    <x v="3"/>
    <x v="4"/>
    <m/>
  </r>
  <r>
    <n v="666"/>
    <n v="41"/>
    <s v="Male"/>
    <x v="13"/>
    <x v="0"/>
    <n v="55"/>
    <s v="New Mexico"/>
    <x v="2"/>
    <x v="15"/>
    <x v="1"/>
    <x v="17"/>
    <x v="0"/>
    <x v="0"/>
    <n v="50"/>
    <x v="2"/>
    <x v="2"/>
    <m/>
  </r>
  <r>
    <n v="667"/>
    <n v="35"/>
    <s v="Male"/>
    <x v="15"/>
    <x v="0"/>
    <n v="26"/>
    <s v="Colorado"/>
    <x v="0"/>
    <x v="2"/>
    <x v="0"/>
    <x v="0"/>
    <x v="0"/>
    <x v="0"/>
    <n v="30"/>
    <x v="5"/>
    <x v="3"/>
    <m/>
  </r>
  <r>
    <n v="668"/>
    <n v="34"/>
    <s v="Male"/>
    <x v="12"/>
    <x v="3"/>
    <n v="76"/>
    <s v="Arizona"/>
    <x v="1"/>
    <x v="24"/>
    <x v="0"/>
    <x v="4"/>
    <x v="0"/>
    <x v="0"/>
    <n v="32"/>
    <x v="4"/>
    <x v="3"/>
    <m/>
  </r>
  <r>
    <n v="669"/>
    <n v="49"/>
    <s v="Male"/>
    <x v="17"/>
    <x v="0"/>
    <n v="85"/>
    <s v="Hawaii"/>
    <x v="1"/>
    <x v="2"/>
    <x v="3"/>
    <x v="25"/>
    <x v="0"/>
    <x v="0"/>
    <n v="35"/>
    <x v="4"/>
    <x v="5"/>
    <m/>
  </r>
  <r>
    <n v="670"/>
    <n v="43"/>
    <s v="Male"/>
    <x v="14"/>
    <x v="2"/>
    <n v="89"/>
    <s v="Illinois"/>
    <x v="2"/>
    <x v="0"/>
    <x v="1"/>
    <x v="19"/>
    <x v="0"/>
    <x v="0"/>
    <n v="45"/>
    <x v="0"/>
    <x v="4"/>
    <m/>
  </r>
  <r>
    <n v="671"/>
    <n v="63"/>
    <s v="Male"/>
    <x v="1"/>
    <x v="0"/>
    <n v="41"/>
    <s v="Louisiana"/>
    <x v="3"/>
    <x v="7"/>
    <x v="1"/>
    <x v="3"/>
    <x v="0"/>
    <x v="0"/>
    <n v="37"/>
    <x v="1"/>
    <x v="4"/>
    <m/>
  </r>
  <r>
    <n v="672"/>
    <n v="38"/>
    <s v="Male"/>
    <x v="14"/>
    <x v="2"/>
    <n v="30"/>
    <s v="Iowa"/>
    <x v="0"/>
    <x v="13"/>
    <x v="0"/>
    <x v="15"/>
    <x v="0"/>
    <x v="0"/>
    <n v="45"/>
    <x v="1"/>
    <x v="1"/>
    <m/>
  </r>
  <r>
    <n v="673"/>
    <n v="59"/>
    <s v="Male"/>
    <x v="20"/>
    <x v="0"/>
    <n v="53"/>
    <s v="Washington"/>
    <x v="2"/>
    <x v="15"/>
    <x v="0"/>
    <x v="19"/>
    <x v="0"/>
    <x v="0"/>
    <n v="29"/>
    <x v="1"/>
    <x v="3"/>
    <m/>
  </r>
  <r>
    <n v="674"/>
    <n v="35"/>
    <s v="Male"/>
    <x v="5"/>
    <x v="0"/>
    <n v="66"/>
    <s v="Oklahoma"/>
    <x v="2"/>
    <x v="21"/>
    <x v="1"/>
    <x v="13"/>
    <x v="0"/>
    <x v="0"/>
    <n v="27"/>
    <x v="0"/>
    <x v="4"/>
    <m/>
  </r>
  <r>
    <n v="675"/>
    <n v="48"/>
    <s v="Male"/>
    <x v="16"/>
    <x v="3"/>
    <n v="33"/>
    <s v="Washington"/>
    <x v="3"/>
    <x v="19"/>
    <x v="0"/>
    <x v="15"/>
    <x v="0"/>
    <x v="0"/>
    <n v="36"/>
    <x v="4"/>
    <x v="2"/>
    <m/>
  </r>
  <r>
    <n v="676"/>
    <n v="64"/>
    <s v="Male"/>
    <x v="12"/>
    <x v="3"/>
    <n v="86"/>
    <s v="Arkansas"/>
    <x v="2"/>
    <x v="22"/>
    <x v="1"/>
    <x v="4"/>
    <x v="0"/>
    <x v="0"/>
    <n v="9"/>
    <x v="1"/>
    <x v="2"/>
    <m/>
  </r>
  <r>
    <n v="677"/>
    <n v="28"/>
    <s v="Male"/>
    <x v="13"/>
    <x v="0"/>
    <n v="60"/>
    <s v="Connecticut"/>
    <x v="2"/>
    <x v="15"/>
    <x v="0"/>
    <x v="25"/>
    <x v="0"/>
    <x v="0"/>
    <n v="38"/>
    <x v="0"/>
    <x v="4"/>
    <m/>
  </r>
  <r>
    <n v="678"/>
    <n v="60"/>
    <s v="Male"/>
    <x v="20"/>
    <x v="0"/>
    <n v="62"/>
    <s v="Washington"/>
    <x v="1"/>
    <x v="2"/>
    <x v="2"/>
    <x v="6"/>
    <x v="0"/>
    <x v="0"/>
    <n v="41"/>
    <x v="3"/>
    <x v="2"/>
    <m/>
  </r>
  <r>
    <n v="679"/>
    <n v="27"/>
    <s v="Male"/>
    <x v="0"/>
    <x v="0"/>
    <n v="74"/>
    <s v="Maine"/>
    <x v="2"/>
    <x v="11"/>
    <x v="3"/>
    <x v="19"/>
    <x v="0"/>
    <x v="0"/>
    <n v="25"/>
    <x v="5"/>
    <x v="6"/>
    <m/>
  </r>
  <r>
    <n v="680"/>
    <n v="56"/>
    <s v="Male"/>
    <x v="3"/>
    <x v="1"/>
    <n v="95"/>
    <s v="Michigan"/>
    <x v="2"/>
    <x v="2"/>
    <x v="3"/>
    <x v="10"/>
    <x v="0"/>
    <x v="0"/>
    <n v="37"/>
    <x v="0"/>
    <x v="0"/>
    <m/>
  </r>
  <r>
    <n v="681"/>
    <n v="58"/>
    <s v="Male"/>
    <x v="4"/>
    <x v="1"/>
    <n v="25"/>
    <s v="Tennessee"/>
    <x v="2"/>
    <x v="23"/>
    <x v="1"/>
    <x v="13"/>
    <x v="0"/>
    <x v="0"/>
    <n v="3"/>
    <x v="3"/>
    <x v="2"/>
    <m/>
  </r>
  <r>
    <n v="682"/>
    <n v="30"/>
    <s v="Male"/>
    <x v="5"/>
    <x v="0"/>
    <n v="59"/>
    <s v="Louisiana"/>
    <x v="3"/>
    <x v="7"/>
    <x v="0"/>
    <x v="1"/>
    <x v="0"/>
    <x v="0"/>
    <n v="24"/>
    <x v="2"/>
    <x v="6"/>
    <m/>
  </r>
  <r>
    <n v="683"/>
    <n v="23"/>
    <s v="Male"/>
    <x v="14"/>
    <x v="2"/>
    <n v="29"/>
    <s v="Missouri"/>
    <x v="2"/>
    <x v="18"/>
    <x v="2"/>
    <x v="8"/>
    <x v="0"/>
    <x v="0"/>
    <n v="49"/>
    <x v="2"/>
    <x v="4"/>
    <m/>
  </r>
  <r>
    <n v="684"/>
    <n v="33"/>
    <s v="Male"/>
    <x v="3"/>
    <x v="1"/>
    <n v="36"/>
    <s v="Michigan"/>
    <x v="1"/>
    <x v="10"/>
    <x v="0"/>
    <x v="6"/>
    <x v="0"/>
    <x v="0"/>
    <n v="3"/>
    <x v="4"/>
    <x v="5"/>
    <m/>
  </r>
  <r>
    <n v="685"/>
    <n v="63"/>
    <s v="Male"/>
    <x v="19"/>
    <x v="3"/>
    <n v="82"/>
    <s v="Alabama"/>
    <x v="2"/>
    <x v="22"/>
    <x v="2"/>
    <x v="15"/>
    <x v="0"/>
    <x v="0"/>
    <n v="42"/>
    <x v="5"/>
    <x v="5"/>
    <m/>
  </r>
  <r>
    <n v="686"/>
    <n v="70"/>
    <s v="Male"/>
    <x v="0"/>
    <x v="0"/>
    <n v="71"/>
    <s v="Massachusetts"/>
    <x v="3"/>
    <x v="23"/>
    <x v="0"/>
    <x v="22"/>
    <x v="0"/>
    <x v="0"/>
    <n v="32"/>
    <x v="1"/>
    <x v="0"/>
    <m/>
  </r>
  <r>
    <n v="687"/>
    <n v="70"/>
    <s v="Male"/>
    <x v="1"/>
    <x v="0"/>
    <n v="35"/>
    <s v="Indiana"/>
    <x v="0"/>
    <x v="19"/>
    <x v="3"/>
    <x v="23"/>
    <x v="0"/>
    <x v="0"/>
    <n v="33"/>
    <x v="0"/>
    <x v="0"/>
    <m/>
  </r>
  <r>
    <n v="688"/>
    <n v="19"/>
    <s v="Male"/>
    <x v="24"/>
    <x v="3"/>
    <n v="38"/>
    <s v="West Virginia"/>
    <x v="3"/>
    <x v="2"/>
    <x v="0"/>
    <x v="19"/>
    <x v="0"/>
    <x v="0"/>
    <n v="46"/>
    <x v="4"/>
    <x v="3"/>
    <m/>
  </r>
  <r>
    <n v="689"/>
    <n v="25"/>
    <s v="Male"/>
    <x v="18"/>
    <x v="3"/>
    <n v="59"/>
    <s v="Michigan"/>
    <x v="1"/>
    <x v="15"/>
    <x v="2"/>
    <x v="15"/>
    <x v="0"/>
    <x v="0"/>
    <n v="44"/>
    <x v="0"/>
    <x v="5"/>
    <m/>
  </r>
  <r>
    <n v="690"/>
    <n v="19"/>
    <s v="Male"/>
    <x v="15"/>
    <x v="0"/>
    <n v="91"/>
    <s v="Pennsylvania"/>
    <x v="2"/>
    <x v="20"/>
    <x v="2"/>
    <x v="15"/>
    <x v="0"/>
    <x v="0"/>
    <n v="35"/>
    <x v="2"/>
    <x v="6"/>
    <m/>
  </r>
  <r>
    <n v="691"/>
    <n v="25"/>
    <s v="Male"/>
    <x v="6"/>
    <x v="0"/>
    <n v="68"/>
    <s v="Alaska"/>
    <x v="3"/>
    <x v="16"/>
    <x v="1"/>
    <x v="3"/>
    <x v="0"/>
    <x v="0"/>
    <n v="45"/>
    <x v="4"/>
    <x v="1"/>
    <m/>
  </r>
  <r>
    <n v="692"/>
    <n v="60"/>
    <s v="Male"/>
    <x v="21"/>
    <x v="3"/>
    <n v="21"/>
    <s v="Massachusetts"/>
    <x v="0"/>
    <x v="5"/>
    <x v="2"/>
    <x v="25"/>
    <x v="0"/>
    <x v="0"/>
    <n v="37"/>
    <x v="3"/>
    <x v="4"/>
    <m/>
  </r>
  <r>
    <n v="693"/>
    <n v="35"/>
    <s v="Male"/>
    <x v="12"/>
    <x v="3"/>
    <n v="95"/>
    <s v="North Dakota"/>
    <x v="2"/>
    <x v="17"/>
    <x v="1"/>
    <x v="8"/>
    <x v="0"/>
    <x v="0"/>
    <n v="40"/>
    <x v="5"/>
    <x v="6"/>
    <m/>
  </r>
  <r>
    <n v="694"/>
    <n v="46"/>
    <s v="Male"/>
    <x v="6"/>
    <x v="0"/>
    <n v="52"/>
    <s v="Vermont"/>
    <x v="0"/>
    <x v="2"/>
    <x v="1"/>
    <x v="0"/>
    <x v="0"/>
    <x v="0"/>
    <n v="30"/>
    <x v="1"/>
    <x v="6"/>
    <m/>
  </r>
  <r>
    <n v="695"/>
    <n v="41"/>
    <s v="Male"/>
    <x v="10"/>
    <x v="0"/>
    <n v="21"/>
    <s v="Kentucky"/>
    <x v="1"/>
    <x v="4"/>
    <x v="3"/>
    <x v="22"/>
    <x v="0"/>
    <x v="0"/>
    <n v="38"/>
    <x v="0"/>
    <x v="6"/>
    <m/>
  </r>
  <r>
    <n v="696"/>
    <n v="30"/>
    <s v="Male"/>
    <x v="6"/>
    <x v="0"/>
    <n v="67"/>
    <s v="Nevada"/>
    <x v="3"/>
    <x v="15"/>
    <x v="2"/>
    <x v="5"/>
    <x v="0"/>
    <x v="0"/>
    <n v="15"/>
    <x v="5"/>
    <x v="6"/>
    <m/>
  </r>
  <r>
    <n v="697"/>
    <n v="44"/>
    <s v="Male"/>
    <x v="22"/>
    <x v="3"/>
    <n v="42"/>
    <s v="Utah"/>
    <x v="0"/>
    <x v="14"/>
    <x v="3"/>
    <x v="24"/>
    <x v="0"/>
    <x v="0"/>
    <n v="49"/>
    <x v="1"/>
    <x v="5"/>
    <m/>
  </r>
  <r>
    <n v="698"/>
    <n v="61"/>
    <s v="Male"/>
    <x v="18"/>
    <x v="3"/>
    <n v="63"/>
    <s v="North Dakota"/>
    <x v="3"/>
    <x v="18"/>
    <x v="2"/>
    <x v="7"/>
    <x v="0"/>
    <x v="0"/>
    <n v="40"/>
    <x v="5"/>
    <x v="3"/>
    <m/>
  </r>
  <r>
    <n v="699"/>
    <n v="55"/>
    <s v="Male"/>
    <x v="23"/>
    <x v="1"/>
    <n v="41"/>
    <s v="Iowa"/>
    <x v="2"/>
    <x v="22"/>
    <x v="0"/>
    <x v="1"/>
    <x v="0"/>
    <x v="0"/>
    <n v="40"/>
    <x v="5"/>
    <x v="1"/>
    <m/>
  </r>
  <r>
    <n v="700"/>
    <n v="50"/>
    <s v="Male"/>
    <x v="8"/>
    <x v="3"/>
    <n v="46"/>
    <s v="Connecticut"/>
    <x v="2"/>
    <x v="4"/>
    <x v="3"/>
    <x v="4"/>
    <x v="0"/>
    <x v="0"/>
    <n v="5"/>
    <x v="3"/>
    <x v="1"/>
    <m/>
  </r>
  <r>
    <n v="701"/>
    <n v="57"/>
    <s v="Male"/>
    <x v="13"/>
    <x v="0"/>
    <n v="79"/>
    <s v="Wisconsin"/>
    <x v="0"/>
    <x v="8"/>
    <x v="0"/>
    <x v="18"/>
    <x v="0"/>
    <x v="0"/>
    <n v="5"/>
    <x v="3"/>
    <x v="5"/>
    <m/>
  </r>
  <r>
    <n v="702"/>
    <n v="51"/>
    <s v="Male"/>
    <x v="23"/>
    <x v="1"/>
    <n v="90"/>
    <s v="Idaho"/>
    <x v="0"/>
    <x v="16"/>
    <x v="3"/>
    <x v="19"/>
    <x v="0"/>
    <x v="0"/>
    <n v="5"/>
    <x v="5"/>
    <x v="6"/>
    <m/>
  </r>
  <r>
    <n v="703"/>
    <n v="18"/>
    <s v="Male"/>
    <x v="5"/>
    <x v="0"/>
    <n v="71"/>
    <s v="Montana"/>
    <x v="2"/>
    <x v="3"/>
    <x v="0"/>
    <x v="10"/>
    <x v="0"/>
    <x v="0"/>
    <n v="1"/>
    <x v="1"/>
    <x v="1"/>
    <m/>
  </r>
  <r>
    <n v="704"/>
    <n v="63"/>
    <s v="Male"/>
    <x v="10"/>
    <x v="0"/>
    <n v="87"/>
    <s v="Connecticut"/>
    <x v="0"/>
    <x v="6"/>
    <x v="2"/>
    <x v="23"/>
    <x v="0"/>
    <x v="0"/>
    <n v="21"/>
    <x v="0"/>
    <x v="1"/>
    <m/>
  </r>
  <r>
    <n v="705"/>
    <n v="34"/>
    <s v="Male"/>
    <x v="15"/>
    <x v="0"/>
    <n v="66"/>
    <s v="Idaho"/>
    <x v="1"/>
    <x v="13"/>
    <x v="1"/>
    <x v="20"/>
    <x v="0"/>
    <x v="0"/>
    <n v="18"/>
    <x v="3"/>
    <x v="2"/>
    <m/>
  </r>
  <r>
    <n v="706"/>
    <n v="25"/>
    <s v="Male"/>
    <x v="13"/>
    <x v="0"/>
    <n v="90"/>
    <s v="Arkansas"/>
    <x v="3"/>
    <x v="21"/>
    <x v="2"/>
    <x v="21"/>
    <x v="0"/>
    <x v="0"/>
    <n v="49"/>
    <x v="1"/>
    <x v="3"/>
    <m/>
  </r>
  <r>
    <n v="707"/>
    <n v="46"/>
    <s v="Male"/>
    <x v="2"/>
    <x v="0"/>
    <n v="47"/>
    <s v="Iowa"/>
    <x v="0"/>
    <x v="2"/>
    <x v="2"/>
    <x v="3"/>
    <x v="0"/>
    <x v="0"/>
    <n v="27"/>
    <x v="5"/>
    <x v="1"/>
    <m/>
  </r>
  <r>
    <n v="708"/>
    <n v="59"/>
    <s v="Male"/>
    <x v="5"/>
    <x v="0"/>
    <n v="38"/>
    <s v="Louisiana"/>
    <x v="0"/>
    <x v="7"/>
    <x v="1"/>
    <x v="5"/>
    <x v="0"/>
    <x v="0"/>
    <n v="21"/>
    <x v="0"/>
    <x v="2"/>
    <m/>
  </r>
  <r>
    <n v="709"/>
    <n v="37"/>
    <s v="Male"/>
    <x v="21"/>
    <x v="3"/>
    <n v="50"/>
    <s v="Kentucky"/>
    <x v="0"/>
    <x v="19"/>
    <x v="2"/>
    <x v="10"/>
    <x v="0"/>
    <x v="0"/>
    <n v="19"/>
    <x v="1"/>
    <x v="0"/>
    <m/>
  </r>
  <r>
    <n v="710"/>
    <n v="49"/>
    <s v="Male"/>
    <x v="14"/>
    <x v="2"/>
    <n v="79"/>
    <s v="Massachusetts"/>
    <x v="0"/>
    <x v="4"/>
    <x v="2"/>
    <x v="7"/>
    <x v="0"/>
    <x v="0"/>
    <n v="23"/>
    <x v="5"/>
    <x v="5"/>
    <m/>
  </r>
  <r>
    <n v="711"/>
    <n v="22"/>
    <s v="Male"/>
    <x v="18"/>
    <x v="3"/>
    <n v="91"/>
    <s v="Virginia"/>
    <x v="0"/>
    <x v="2"/>
    <x v="1"/>
    <x v="18"/>
    <x v="0"/>
    <x v="0"/>
    <n v="26"/>
    <x v="3"/>
    <x v="0"/>
    <m/>
  </r>
  <r>
    <n v="712"/>
    <n v="64"/>
    <s v="Male"/>
    <x v="23"/>
    <x v="1"/>
    <n v="60"/>
    <s v="New Hampshire"/>
    <x v="2"/>
    <x v="1"/>
    <x v="1"/>
    <x v="22"/>
    <x v="0"/>
    <x v="0"/>
    <n v="13"/>
    <x v="4"/>
    <x v="4"/>
    <m/>
  </r>
  <r>
    <n v="713"/>
    <n v="42"/>
    <s v="Male"/>
    <x v="0"/>
    <x v="0"/>
    <n v="81"/>
    <s v="New Hampshire"/>
    <x v="3"/>
    <x v="13"/>
    <x v="2"/>
    <x v="1"/>
    <x v="0"/>
    <x v="0"/>
    <n v="36"/>
    <x v="4"/>
    <x v="3"/>
    <m/>
  </r>
  <r>
    <n v="714"/>
    <n v="37"/>
    <s v="Male"/>
    <x v="15"/>
    <x v="0"/>
    <n v="90"/>
    <s v="Oregon"/>
    <x v="2"/>
    <x v="12"/>
    <x v="2"/>
    <x v="4"/>
    <x v="0"/>
    <x v="0"/>
    <n v="39"/>
    <x v="4"/>
    <x v="4"/>
    <m/>
  </r>
  <r>
    <n v="715"/>
    <n v="26"/>
    <s v="Male"/>
    <x v="14"/>
    <x v="2"/>
    <n v="70"/>
    <s v="South Dakota"/>
    <x v="2"/>
    <x v="23"/>
    <x v="3"/>
    <x v="9"/>
    <x v="0"/>
    <x v="0"/>
    <n v="40"/>
    <x v="5"/>
    <x v="0"/>
    <m/>
  </r>
  <r>
    <n v="716"/>
    <n v="33"/>
    <s v="Male"/>
    <x v="2"/>
    <x v="0"/>
    <n v="63"/>
    <s v="Delaware"/>
    <x v="0"/>
    <x v="14"/>
    <x v="1"/>
    <x v="4"/>
    <x v="0"/>
    <x v="0"/>
    <n v="37"/>
    <x v="5"/>
    <x v="3"/>
    <m/>
  </r>
  <r>
    <n v="717"/>
    <n v="30"/>
    <s v="Male"/>
    <x v="16"/>
    <x v="3"/>
    <n v="29"/>
    <s v="Missouri"/>
    <x v="2"/>
    <x v="8"/>
    <x v="1"/>
    <x v="2"/>
    <x v="0"/>
    <x v="0"/>
    <n v="9"/>
    <x v="0"/>
    <x v="4"/>
    <m/>
  </r>
  <r>
    <n v="718"/>
    <n v="21"/>
    <s v="Male"/>
    <x v="20"/>
    <x v="0"/>
    <n v="90"/>
    <s v="Alaska"/>
    <x v="0"/>
    <x v="14"/>
    <x v="1"/>
    <x v="13"/>
    <x v="0"/>
    <x v="0"/>
    <n v="7"/>
    <x v="0"/>
    <x v="6"/>
    <m/>
  </r>
  <r>
    <n v="719"/>
    <n v="22"/>
    <s v="Male"/>
    <x v="5"/>
    <x v="0"/>
    <n v="22"/>
    <s v="Florida"/>
    <x v="2"/>
    <x v="15"/>
    <x v="2"/>
    <x v="7"/>
    <x v="0"/>
    <x v="0"/>
    <n v="25"/>
    <x v="4"/>
    <x v="2"/>
    <m/>
  </r>
  <r>
    <n v="720"/>
    <n v="63"/>
    <s v="Male"/>
    <x v="6"/>
    <x v="0"/>
    <n v="22"/>
    <s v="Mississippi"/>
    <x v="0"/>
    <x v="2"/>
    <x v="2"/>
    <x v="19"/>
    <x v="0"/>
    <x v="0"/>
    <n v="42"/>
    <x v="0"/>
    <x v="4"/>
    <m/>
  </r>
  <r>
    <n v="721"/>
    <n v="33"/>
    <s v="Male"/>
    <x v="16"/>
    <x v="3"/>
    <n v="62"/>
    <s v="New Mexico"/>
    <x v="0"/>
    <x v="20"/>
    <x v="3"/>
    <x v="10"/>
    <x v="0"/>
    <x v="0"/>
    <n v="19"/>
    <x v="5"/>
    <x v="1"/>
    <m/>
  </r>
  <r>
    <n v="722"/>
    <n v="43"/>
    <s v="Male"/>
    <x v="0"/>
    <x v="0"/>
    <n v="57"/>
    <s v="California"/>
    <x v="0"/>
    <x v="5"/>
    <x v="2"/>
    <x v="9"/>
    <x v="0"/>
    <x v="0"/>
    <n v="41"/>
    <x v="5"/>
    <x v="6"/>
    <m/>
  </r>
  <r>
    <n v="723"/>
    <n v="27"/>
    <s v="Male"/>
    <x v="1"/>
    <x v="0"/>
    <n v="32"/>
    <s v="Wyoming"/>
    <x v="1"/>
    <x v="24"/>
    <x v="2"/>
    <x v="12"/>
    <x v="0"/>
    <x v="0"/>
    <n v="50"/>
    <x v="1"/>
    <x v="4"/>
    <m/>
  </r>
  <r>
    <n v="724"/>
    <n v="35"/>
    <s v="Male"/>
    <x v="16"/>
    <x v="3"/>
    <n v="53"/>
    <s v="Missouri"/>
    <x v="0"/>
    <x v="17"/>
    <x v="3"/>
    <x v="22"/>
    <x v="0"/>
    <x v="0"/>
    <n v="43"/>
    <x v="3"/>
    <x v="5"/>
    <m/>
  </r>
  <r>
    <n v="725"/>
    <n v="37"/>
    <s v="Male"/>
    <x v="17"/>
    <x v="0"/>
    <n v="79"/>
    <s v="New Hampshire"/>
    <x v="3"/>
    <x v="14"/>
    <x v="3"/>
    <x v="15"/>
    <x v="0"/>
    <x v="0"/>
    <n v="36"/>
    <x v="0"/>
    <x v="6"/>
    <m/>
  </r>
  <r>
    <n v="726"/>
    <n v="61"/>
    <s v="Male"/>
    <x v="19"/>
    <x v="3"/>
    <n v="61"/>
    <s v="Texas"/>
    <x v="0"/>
    <x v="5"/>
    <x v="0"/>
    <x v="0"/>
    <x v="0"/>
    <x v="0"/>
    <n v="33"/>
    <x v="5"/>
    <x v="0"/>
    <m/>
  </r>
  <r>
    <n v="727"/>
    <n v="32"/>
    <s v="Male"/>
    <x v="6"/>
    <x v="0"/>
    <n v="78"/>
    <s v="North Dakota"/>
    <x v="0"/>
    <x v="22"/>
    <x v="2"/>
    <x v="2"/>
    <x v="0"/>
    <x v="0"/>
    <n v="20"/>
    <x v="4"/>
    <x v="6"/>
    <m/>
  </r>
  <r>
    <n v="728"/>
    <n v="62"/>
    <s v="Male"/>
    <x v="1"/>
    <x v="0"/>
    <n v="97"/>
    <s v="Arkansas"/>
    <x v="1"/>
    <x v="0"/>
    <x v="0"/>
    <x v="3"/>
    <x v="0"/>
    <x v="0"/>
    <n v="37"/>
    <x v="0"/>
    <x v="6"/>
    <m/>
  </r>
  <r>
    <n v="729"/>
    <n v="29"/>
    <s v="Male"/>
    <x v="2"/>
    <x v="0"/>
    <n v="78"/>
    <s v="Nebraska"/>
    <x v="2"/>
    <x v="6"/>
    <x v="0"/>
    <x v="5"/>
    <x v="0"/>
    <x v="0"/>
    <n v="12"/>
    <x v="3"/>
    <x v="6"/>
    <m/>
  </r>
  <r>
    <n v="730"/>
    <n v="41"/>
    <s v="Male"/>
    <x v="12"/>
    <x v="3"/>
    <n v="56"/>
    <s v="Minnesota"/>
    <x v="0"/>
    <x v="19"/>
    <x v="2"/>
    <x v="20"/>
    <x v="0"/>
    <x v="0"/>
    <n v="46"/>
    <x v="3"/>
    <x v="6"/>
    <m/>
  </r>
  <r>
    <n v="731"/>
    <n v="48"/>
    <s v="Male"/>
    <x v="23"/>
    <x v="1"/>
    <n v="25"/>
    <s v="Massachusetts"/>
    <x v="2"/>
    <x v="21"/>
    <x v="2"/>
    <x v="14"/>
    <x v="0"/>
    <x v="0"/>
    <n v="28"/>
    <x v="0"/>
    <x v="0"/>
    <m/>
  </r>
  <r>
    <n v="732"/>
    <n v="43"/>
    <s v="Male"/>
    <x v="7"/>
    <x v="2"/>
    <n v="28"/>
    <s v="Arkansas"/>
    <x v="2"/>
    <x v="16"/>
    <x v="1"/>
    <x v="22"/>
    <x v="0"/>
    <x v="0"/>
    <n v="30"/>
    <x v="3"/>
    <x v="0"/>
    <m/>
  </r>
  <r>
    <n v="733"/>
    <n v="34"/>
    <s v="Male"/>
    <x v="5"/>
    <x v="0"/>
    <n v="57"/>
    <s v="New Hampshire"/>
    <x v="0"/>
    <x v="24"/>
    <x v="1"/>
    <x v="24"/>
    <x v="0"/>
    <x v="0"/>
    <n v="28"/>
    <x v="1"/>
    <x v="4"/>
    <m/>
  </r>
  <r>
    <n v="734"/>
    <n v="45"/>
    <s v="Male"/>
    <x v="10"/>
    <x v="0"/>
    <n v="36"/>
    <s v="Rhode Island"/>
    <x v="0"/>
    <x v="17"/>
    <x v="3"/>
    <x v="6"/>
    <x v="0"/>
    <x v="0"/>
    <n v="20"/>
    <x v="5"/>
    <x v="4"/>
    <m/>
  </r>
  <r>
    <n v="735"/>
    <n v="65"/>
    <s v="Male"/>
    <x v="5"/>
    <x v="0"/>
    <n v="69"/>
    <s v="New Jersey"/>
    <x v="1"/>
    <x v="10"/>
    <x v="0"/>
    <x v="0"/>
    <x v="0"/>
    <x v="0"/>
    <n v="39"/>
    <x v="4"/>
    <x v="6"/>
    <m/>
  </r>
  <r>
    <n v="736"/>
    <n v="61"/>
    <s v="Male"/>
    <x v="12"/>
    <x v="3"/>
    <n v="48"/>
    <s v="Montana"/>
    <x v="2"/>
    <x v="20"/>
    <x v="3"/>
    <x v="2"/>
    <x v="0"/>
    <x v="0"/>
    <n v="48"/>
    <x v="1"/>
    <x v="4"/>
    <m/>
  </r>
  <r>
    <n v="737"/>
    <n v="18"/>
    <s v="Male"/>
    <x v="10"/>
    <x v="0"/>
    <n v="58"/>
    <s v="Colorado"/>
    <x v="0"/>
    <x v="1"/>
    <x v="1"/>
    <x v="25"/>
    <x v="0"/>
    <x v="0"/>
    <n v="32"/>
    <x v="2"/>
    <x v="6"/>
    <m/>
  </r>
  <r>
    <n v="738"/>
    <n v="47"/>
    <s v="Male"/>
    <x v="12"/>
    <x v="3"/>
    <n v="24"/>
    <s v="Nebraska"/>
    <x v="2"/>
    <x v="11"/>
    <x v="1"/>
    <x v="2"/>
    <x v="0"/>
    <x v="0"/>
    <n v="28"/>
    <x v="3"/>
    <x v="2"/>
    <m/>
  </r>
  <r>
    <n v="739"/>
    <n v="56"/>
    <s v="Male"/>
    <x v="12"/>
    <x v="3"/>
    <n v="31"/>
    <s v="Minnesota"/>
    <x v="0"/>
    <x v="20"/>
    <x v="0"/>
    <x v="22"/>
    <x v="0"/>
    <x v="0"/>
    <n v="27"/>
    <x v="0"/>
    <x v="3"/>
    <m/>
  </r>
  <r>
    <n v="740"/>
    <n v="64"/>
    <s v="Male"/>
    <x v="6"/>
    <x v="0"/>
    <n v="29"/>
    <s v="Minnesota"/>
    <x v="1"/>
    <x v="7"/>
    <x v="2"/>
    <x v="22"/>
    <x v="0"/>
    <x v="0"/>
    <n v="26"/>
    <x v="0"/>
    <x v="4"/>
    <m/>
  </r>
  <r>
    <n v="741"/>
    <n v="26"/>
    <s v="Male"/>
    <x v="2"/>
    <x v="0"/>
    <n v="69"/>
    <s v="South Dakota"/>
    <x v="2"/>
    <x v="20"/>
    <x v="2"/>
    <x v="24"/>
    <x v="0"/>
    <x v="0"/>
    <n v="22"/>
    <x v="2"/>
    <x v="0"/>
    <m/>
  </r>
  <r>
    <n v="742"/>
    <n v="22"/>
    <s v="Male"/>
    <x v="17"/>
    <x v="0"/>
    <n v="79"/>
    <s v="West Virginia"/>
    <x v="3"/>
    <x v="22"/>
    <x v="2"/>
    <x v="15"/>
    <x v="0"/>
    <x v="0"/>
    <n v="23"/>
    <x v="4"/>
    <x v="6"/>
    <m/>
  </r>
  <r>
    <n v="743"/>
    <n v="64"/>
    <s v="Male"/>
    <x v="13"/>
    <x v="0"/>
    <n v="39"/>
    <s v="Nevada"/>
    <x v="2"/>
    <x v="4"/>
    <x v="2"/>
    <x v="0"/>
    <x v="0"/>
    <x v="0"/>
    <n v="21"/>
    <x v="5"/>
    <x v="3"/>
    <m/>
  </r>
  <r>
    <n v="744"/>
    <n v="21"/>
    <s v="Male"/>
    <x v="12"/>
    <x v="3"/>
    <n v="84"/>
    <s v="North Carolina"/>
    <x v="0"/>
    <x v="0"/>
    <x v="3"/>
    <x v="17"/>
    <x v="0"/>
    <x v="0"/>
    <n v="36"/>
    <x v="1"/>
    <x v="1"/>
    <m/>
  </r>
  <r>
    <n v="745"/>
    <n v="67"/>
    <s v="Male"/>
    <x v="23"/>
    <x v="1"/>
    <n v="66"/>
    <s v="Illinois"/>
    <x v="1"/>
    <x v="4"/>
    <x v="1"/>
    <x v="18"/>
    <x v="0"/>
    <x v="0"/>
    <n v="42"/>
    <x v="5"/>
    <x v="4"/>
    <m/>
  </r>
  <r>
    <n v="746"/>
    <n v="46"/>
    <s v="Male"/>
    <x v="17"/>
    <x v="0"/>
    <n v="92"/>
    <s v="Michigan"/>
    <x v="0"/>
    <x v="20"/>
    <x v="3"/>
    <x v="15"/>
    <x v="0"/>
    <x v="0"/>
    <n v="4"/>
    <x v="0"/>
    <x v="5"/>
    <m/>
  </r>
  <r>
    <n v="747"/>
    <n v="40"/>
    <s v="Male"/>
    <x v="3"/>
    <x v="1"/>
    <n v="45"/>
    <s v="Michigan"/>
    <x v="2"/>
    <x v="16"/>
    <x v="0"/>
    <x v="16"/>
    <x v="0"/>
    <x v="0"/>
    <n v="47"/>
    <x v="2"/>
    <x v="2"/>
    <m/>
  </r>
  <r>
    <n v="748"/>
    <n v="51"/>
    <s v="Male"/>
    <x v="6"/>
    <x v="0"/>
    <n v="74"/>
    <s v="Oklahoma"/>
    <x v="0"/>
    <x v="9"/>
    <x v="1"/>
    <x v="9"/>
    <x v="0"/>
    <x v="0"/>
    <n v="13"/>
    <x v="4"/>
    <x v="1"/>
    <m/>
  </r>
  <r>
    <n v="749"/>
    <n v="35"/>
    <s v="Male"/>
    <x v="19"/>
    <x v="3"/>
    <n v="39"/>
    <s v="South Dakota"/>
    <x v="0"/>
    <x v="18"/>
    <x v="3"/>
    <x v="14"/>
    <x v="0"/>
    <x v="0"/>
    <n v="8"/>
    <x v="4"/>
    <x v="3"/>
    <m/>
  </r>
  <r>
    <n v="750"/>
    <n v="56"/>
    <s v="Male"/>
    <x v="18"/>
    <x v="3"/>
    <n v="71"/>
    <s v="Oklahoma"/>
    <x v="2"/>
    <x v="8"/>
    <x v="0"/>
    <x v="5"/>
    <x v="0"/>
    <x v="0"/>
    <n v="11"/>
    <x v="5"/>
    <x v="3"/>
    <m/>
  </r>
  <r>
    <n v="751"/>
    <n v="25"/>
    <s v="Male"/>
    <x v="17"/>
    <x v="0"/>
    <n v="95"/>
    <s v="Maryland"/>
    <x v="0"/>
    <x v="10"/>
    <x v="3"/>
    <x v="10"/>
    <x v="0"/>
    <x v="0"/>
    <n v="5"/>
    <x v="0"/>
    <x v="2"/>
    <m/>
  </r>
  <r>
    <n v="752"/>
    <n v="65"/>
    <s v="Male"/>
    <x v="24"/>
    <x v="3"/>
    <n v="72"/>
    <s v="Ohio"/>
    <x v="0"/>
    <x v="21"/>
    <x v="3"/>
    <x v="3"/>
    <x v="0"/>
    <x v="0"/>
    <n v="1"/>
    <x v="2"/>
    <x v="5"/>
    <m/>
  </r>
  <r>
    <n v="753"/>
    <n v="39"/>
    <s v="Male"/>
    <x v="18"/>
    <x v="3"/>
    <n v="85"/>
    <s v="Ohio"/>
    <x v="0"/>
    <x v="22"/>
    <x v="3"/>
    <x v="13"/>
    <x v="0"/>
    <x v="0"/>
    <n v="17"/>
    <x v="3"/>
    <x v="6"/>
    <m/>
  </r>
  <r>
    <n v="754"/>
    <n v="47"/>
    <s v="Male"/>
    <x v="23"/>
    <x v="1"/>
    <n v="54"/>
    <s v="Massachusetts"/>
    <x v="2"/>
    <x v="11"/>
    <x v="3"/>
    <x v="10"/>
    <x v="0"/>
    <x v="0"/>
    <n v="27"/>
    <x v="0"/>
    <x v="3"/>
    <m/>
  </r>
  <r>
    <n v="755"/>
    <n v="36"/>
    <s v="Male"/>
    <x v="24"/>
    <x v="3"/>
    <n v="41"/>
    <s v="North Carolina"/>
    <x v="0"/>
    <x v="6"/>
    <x v="1"/>
    <x v="25"/>
    <x v="0"/>
    <x v="0"/>
    <n v="3"/>
    <x v="5"/>
    <x v="3"/>
    <m/>
  </r>
  <r>
    <n v="756"/>
    <n v="66"/>
    <s v="Male"/>
    <x v="7"/>
    <x v="2"/>
    <n v="24"/>
    <s v="Florida"/>
    <x v="2"/>
    <x v="10"/>
    <x v="1"/>
    <x v="19"/>
    <x v="0"/>
    <x v="0"/>
    <n v="22"/>
    <x v="3"/>
    <x v="1"/>
    <m/>
  </r>
  <r>
    <n v="757"/>
    <n v="62"/>
    <s v="Male"/>
    <x v="22"/>
    <x v="3"/>
    <n v="99"/>
    <s v="Montana"/>
    <x v="1"/>
    <x v="20"/>
    <x v="2"/>
    <x v="3"/>
    <x v="0"/>
    <x v="0"/>
    <n v="24"/>
    <x v="1"/>
    <x v="0"/>
    <m/>
  </r>
  <r>
    <n v="758"/>
    <n v="41"/>
    <s v="Male"/>
    <x v="15"/>
    <x v="0"/>
    <n v="32"/>
    <s v="Minnesota"/>
    <x v="2"/>
    <x v="16"/>
    <x v="3"/>
    <x v="1"/>
    <x v="0"/>
    <x v="0"/>
    <n v="18"/>
    <x v="5"/>
    <x v="3"/>
    <m/>
  </r>
  <r>
    <n v="759"/>
    <n v="66"/>
    <s v="Male"/>
    <x v="9"/>
    <x v="1"/>
    <n v="71"/>
    <s v="Massachusetts"/>
    <x v="0"/>
    <x v="15"/>
    <x v="2"/>
    <x v="7"/>
    <x v="0"/>
    <x v="0"/>
    <n v="39"/>
    <x v="4"/>
    <x v="6"/>
    <m/>
  </r>
  <r>
    <n v="760"/>
    <n v="51"/>
    <s v="Male"/>
    <x v="10"/>
    <x v="0"/>
    <n v="49"/>
    <s v="Rhode Island"/>
    <x v="3"/>
    <x v="14"/>
    <x v="0"/>
    <x v="4"/>
    <x v="0"/>
    <x v="0"/>
    <n v="25"/>
    <x v="2"/>
    <x v="0"/>
    <m/>
  </r>
  <r>
    <n v="761"/>
    <n v="33"/>
    <s v="Male"/>
    <x v="24"/>
    <x v="3"/>
    <n v="50"/>
    <s v="Minnesota"/>
    <x v="3"/>
    <x v="10"/>
    <x v="3"/>
    <x v="10"/>
    <x v="0"/>
    <x v="0"/>
    <n v="6"/>
    <x v="1"/>
    <x v="2"/>
    <m/>
  </r>
  <r>
    <n v="762"/>
    <n v="57"/>
    <s v="Male"/>
    <x v="16"/>
    <x v="3"/>
    <n v="91"/>
    <s v="Nevada"/>
    <x v="0"/>
    <x v="22"/>
    <x v="3"/>
    <x v="13"/>
    <x v="0"/>
    <x v="0"/>
    <n v="26"/>
    <x v="4"/>
    <x v="1"/>
    <m/>
  </r>
  <r>
    <n v="763"/>
    <n v="45"/>
    <s v="Male"/>
    <x v="22"/>
    <x v="3"/>
    <n v="46"/>
    <s v="New Mexico"/>
    <x v="2"/>
    <x v="6"/>
    <x v="3"/>
    <x v="14"/>
    <x v="0"/>
    <x v="0"/>
    <n v="43"/>
    <x v="5"/>
    <x v="0"/>
    <m/>
  </r>
  <r>
    <n v="764"/>
    <n v="61"/>
    <s v="Male"/>
    <x v="1"/>
    <x v="0"/>
    <n v="50"/>
    <s v="North Carolina"/>
    <x v="2"/>
    <x v="18"/>
    <x v="1"/>
    <x v="25"/>
    <x v="0"/>
    <x v="0"/>
    <n v="6"/>
    <x v="2"/>
    <x v="5"/>
    <m/>
  </r>
  <r>
    <n v="765"/>
    <n v="55"/>
    <s v="Male"/>
    <x v="11"/>
    <x v="0"/>
    <n v="39"/>
    <s v="Virginia"/>
    <x v="3"/>
    <x v="5"/>
    <x v="3"/>
    <x v="13"/>
    <x v="0"/>
    <x v="0"/>
    <n v="6"/>
    <x v="5"/>
    <x v="3"/>
    <m/>
  </r>
  <r>
    <n v="766"/>
    <n v="54"/>
    <s v="Male"/>
    <x v="4"/>
    <x v="1"/>
    <n v="99"/>
    <s v="Alaska"/>
    <x v="2"/>
    <x v="6"/>
    <x v="2"/>
    <x v="23"/>
    <x v="0"/>
    <x v="0"/>
    <n v="13"/>
    <x v="1"/>
    <x v="3"/>
    <m/>
  </r>
  <r>
    <n v="767"/>
    <n v="57"/>
    <s v="Male"/>
    <x v="24"/>
    <x v="3"/>
    <n v="48"/>
    <s v="Nevada"/>
    <x v="2"/>
    <x v="17"/>
    <x v="0"/>
    <x v="2"/>
    <x v="0"/>
    <x v="0"/>
    <n v="13"/>
    <x v="3"/>
    <x v="5"/>
    <m/>
  </r>
  <r>
    <n v="768"/>
    <n v="27"/>
    <s v="Male"/>
    <x v="7"/>
    <x v="2"/>
    <n v="77"/>
    <s v="Pennsylvania"/>
    <x v="2"/>
    <x v="18"/>
    <x v="3"/>
    <x v="16"/>
    <x v="0"/>
    <x v="0"/>
    <n v="11"/>
    <x v="1"/>
    <x v="2"/>
    <m/>
  </r>
  <r>
    <n v="769"/>
    <n v="64"/>
    <s v="Male"/>
    <x v="21"/>
    <x v="3"/>
    <n v="95"/>
    <s v="Illinois"/>
    <x v="3"/>
    <x v="16"/>
    <x v="1"/>
    <x v="4"/>
    <x v="0"/>
    <x v="0"/>
    <n v="45"/>
    <x v="0"/>
    <x v="1"/>
    <m/>
  </r>
  <r>
    <n v="770"/>
    <n v="52"/>
    <s v="Male"/>
    <x v="20"/>
    <x v="0"/>
    <n v="100"/>
    <s v="Delaware"/>
    <x v="2"/>
    <x v="5"/>
    <x v="1"/>
    <x v="12"/>
    <x v="0"/>
    <x v="0"/>
    <n v="8"/>
    <x v="3"/>
    <x v="5"/>
    <m/>
  </r>
  <r>
    <n v="771"/>
    <n v="19"/>
    <s v="Male"/>
    <x v="4"/>
    <x v="1"/>
    <n v="54"/>
    <s v="Vermont"/>
    <x v="2"/>
    <x v="0"/>
    <x v="1"/>
    <x v="19"/>
    <x v="0"/>
    <x v="0"/>
    <n v="8"/>
    <x v="2"/>
    <x v="2"/>
    <m/>
  </r>
  <r>
    <n v="772"/>
    <n v="22"/>
    <s v="Male"/>
    <x v="1"/>
    <x v="0"/>
    <n v="68"/>
    <s v="Hawaii"/>
    <x v="0"/>
    <x v="17"/>
    <x v="3"/>
    <x v="4"/>
    <x v="0"/>
    <x v="0"/>
    <n v="34"/>
    <x v="4"/>
    <x v="0"/>
    <m/>
  </r>
  <r>
    <n v="773"/>
    <n v="18"/>
    <s v="Male"/>
    <x v="2"/>
    <x v="0"/>
    <n v="22"/>
    <s v="Illinois"/>
    <x v="0"/>
    <x v="11"/>
    <x v="3"/>
    <x v="2"/>
    <x v="0"/>
    <x v="0"/>
    <n v="40"/>
    <x v="5"/>
    <x v="4"/>
    <m/>
  </r>
  <r>
    <n v="774"/>
    <n v="29"/>
    <s v="Male"/>
    <x v="19"/>
    <x v="3"/>
    <n v="84"/>
    <s v="California"/>
    <x v="0"/>
    <x v="21"/>
    <x v="0"/>
    <x v="4"/>
    <x v="0"/>
    <x v="0"/>
    <n v="14"/>
    <x v="5"/>
    <x v="4"/>
    <m/>
  </r>
  <r>
    <n v="775"/>
    <n v="42"/>
    <s v="Male"/>
    <x v="19"/>
    <x v="3"/>
    <n v="46"/>
    <s v="Nevada"/>
    <x v="2"/>
    <x v="22"/>
    <x v="2"/>
    <x v="22"/>
    <x v="0"/>
    <x v="0"/>
    <n v="11"/>
    <x v="2"/>
    <x v="3"/>
    <m/>
  </r>
  <r>
    <n v="776"/>
    <n v="49"/>
    <s v="Male"/>
    <x v="8"/>
    <x v="3"/>
    <n v="53"/>
    <s v="Kentucky"/>
    <x v="1"/>
    <x v="9"/>
    <x v="0"/>
    <x v="23"/>
    <x v="0"/>
    <x v="0"/>
    <n v="8"/>
    <x v="3"/>
    <x v="5"/>
    <m/>
  </r>
  <r>
    <n v="777"/>
    <n v="49"/>
    <s v="Male"/>
    <x v="5"/>
    <x v="0"/>
    <n v="60"/>
    <s v="Alabama"/>
    <x v="2"/>
    <x v="1"/>
    <x v="1"/>
    <x v="11"/>
    <x v="0"/>
    <x v="0"/>
    <n v="8"/>
    <x v="0"/>
    <x v="6"/>
    <m/>
  </r>
  <r>
    <n v="778"/>
    <n v="55"/>
    <s v="Male"/>
    <x v="20"/>
    <x v="0"/>
    <n v="32"/>
    <s v="Wyoming"/>
    <x v="3"/>
    <x v="5"/>
    <x v="1"/>
    <x v="16"/>
    <x v="0"/>
    <x v="0"/>
    <n v="37"/>
    <x v="0"/>
    <x v="1"/>
    <m/>
  </r>
  <r>
    <n v="779"/>
    <n v="29"/>
    <s v="Male"/>
    <x v="20"/>
    <x v="0"/>
    <n v="50"/>
    <s v="Massachusetts"/>
    <x v="2"/>
    <x v="22"/>
    <x v="2"/>
    <x v="25"/>
    <x v="0"/>
    <x v="0"/>
    <n v="23"/>
    <x v="5"/>
    <x v="2"/>
    <m/>
  </r>
  <r>
    <n v="780"/>
    <n v="60"/>
    <s v="Male"/>
    <x v="10"/>
    <x v="0"/>
    <n v="94"/>
    <s v="Utah"/>
    <x v="2"/>
    <x v="24"/>
    <x v="1"/>
    <x v="7"/>
    <x v="0"/>
    <x v="0"/>
    <n v="38"/>
    <x v="1"/>
    <x v="2"/>
    <m/>
  </r>
  <r>
    <n v="781"/>
    <n v="34"/>
    <s v="Male"/>
    <x v="9"/>
    <x v="1"/>
    <n v="26"/>
    <s v="New York"/>
    <x v="2"/>
    <x v="2"/>
    <x v="1"/>
    <x v="2"/>
    <x v="0"/>
    <x v="0"/>
    <n v="38"/>
    <x v="1"/>
    <x v="3"/>
    <m/>
  </r>
  <r>
    <n v="782"/>
    <n v="30"/>
    <s v="Male"/>
    <x v="18"/>
    <x v="3"/>
    <n v="44"/>
    <s v="Vermont"/>
    <x v="0"/>
    <x v="21"/>
    <x v="0"/>
    <x v="23"/>
    <x v="0"/>
    <x v="0"/>
    <n v="12"/>
    <x v="2"/>
    <x v="0"/>
    <m/>
  </r>
  <r>
    <n v="783"/>
    <n v="28"/>
    <s v="Male"/>
    <x v="15"/>
    <x v="0"/>
    <n v="57"/>
    <s v="Hawaii"/>
    <x v="2"/>
    <x v="14"/>
    <x v="2"/>
    <x v="21"/>
    <x v="0"/>
    <x v="0"/>
    <n v="15"/>
    <x v="1"/>
    <x v="1"/>
    <m/>
  </r>
  <r>
    <n v="784"/>
    <n v="63"/>
    <s v="Male"/>
    <x v="17"/>
    <x v="0"/>
    <n v="65"/>
    <s v="Louisiana"/>
    <x v="0"/>
    <x v="7"/>
    <x v="0"/>
    <x v="21"/>
    <x v="0"/>
    <x v="0"/>
    <n v="38"/>
    <x v="3"/>
    <x v="0"/>
    <m/>
  </r>
  <r>
    <n v="785"/>
    <n v="31"/>
    <s v="Male"/>
    <x v="2"/>
    <x v="0"/>
    <n v="72"/>
    <s v="Alabama"/>
    <x v="2"/>
    <x v="15"/>
    <x v="0"/>
    <x v="20"/>
    <x v="0"/>
    <x v="0"/>
    <n v="41"/>
    <x v="4"/>
    <x v="6"/>
    <m/>
  </r>
  <r>
    <n v="786"/>
    <n v="46"/>
    <s v="Male"/>
    <x v="6"/>
    <x v="0"/>
    <n v="62"/>
    <s v="Louisiana"/>
    <x v="1"/>
    <x v="7"/>
    <x v="1"/>
    <x v="8"/>
    <x v="0"/>
    <x v="0"/>
    <n v="37"/>
    <x v="3"/>
    <x v="0"/>
    <m/>
  </r>
  <r>
    <n v="787"/>
    <n v="70"/>
    <s v="Male"/>
    <x v="19"/>
    <x v="3"/>
    <n v="21"/>
    <s v="Indiana"/>
    <x v="1"/>
    <x v="11"/>
    <x v="0"/>
    <x v="3"/>
    <x v="0"/>
    <x v="0"/>
    <n v="16"/>
    <x v="4"/>
    <x v="6"/>
    <m/>
  </r>
  <r>
    <n v="788"/>
    <n v="53"/>
    <s v="Male"/>
    <x v="8"/>
    <x v="3"/>
    <n v="85"/>
    <s v="Michigan"/>
    <x v="1"/>
    <x v="14"/>
    <x v="1"/>
    <x v="5"/>
    <x v="0"/>
    <x v="0"/>
    <n v="25"/>
    <x v="0"/>
    <x v="1"/>
    <m/>
  </r>
  <r>
    <n v="789"/>
    <n v="50"/>
    <s v="Male"/>
    <x v="13"/>
    <x v="0"/>
    <n v="51"/>
    <s v="Rhode Island"/>
    <x v="3"/>
    <x v="22"/>
    <x v="2"/>
    <x v="1"/>
    <x v="0"/>
    <x v="0"/>
    <n v="18"/>
    <x v="4"/>
    <x v="3"/>
    <m/>
  </r>
  <r>
    <n v="790"/>
    <n v="33"/>
    <s v="Male"/>
    <x v="8"/>
    <x v="3"/>
    <n v="84"/>
    <s v="Idaho"/>
    <x v="1"/>
    <x v="7"/>
    <x v="3"/>
    <x v="6"/>
    <x v="0"/>
    <x v="0"/>
    <n v="4"/>
    <x v="2"/>
    <x v="4"/>
    <m/>
  </r>
  <r>
    <n v="791"/>
    <n v="22"/>
    <s v="Male"/>
    <x v="1"/>
    <x v="0"/>
    <n v="37"/>
    <s v="Louisiana"/>
    <x v="2"/>
    <x v="21"/>
    <x v="2"/>
    <x v="17"/>
    <x v="0"/>
    <x v="0"/>
    <n v="12"/>
    <x v="4"/>
    <x v="3"/>
    <m/>
  </r>
  <r>
    <n v="792"/>
    <n v="50"/>
    <s v="Male"/>
    <x v="18"/>
    <x v="3"/>
    <n v="44"/>
    <s v="North Carolina"/>
    <x v="1"/>
    <x v="23"/>
    <x v="2"/>
    <x v="0"/>
    <x v="0"/>
    <x v="0"/>
    <n v="35"/>
    <x v="3"/>
    <x v="0"/>
    <m/>
  </r>
  <r>
    <n v="793"/>
    <n v="34"/>
    <s v="Male"/>
    <x v="4"/>
    <x v="1"/>
    <n v="45"/>
    <s v="New Jersey"/>
    <x v="2"/>
    <x v="10"/>
    <x v="1"/>
    <x v="13"/>
    <x v="0"/>
    <x v="0"/>
    <n v="45"/>
    <x v="0"/>
    <x v="1"/>
    <m/>
  </r>
  <r>
    <n v="794"/>
    <n v="24"/>
    <s v="Male"/>
    <x v="13"/>
    <x v="0"/>
    <n v="35"/>
    <s v="Alabama"/>
    <x v="0"/>
    <x v="1"/>
    <x v="2"/>
    <x v="1"/>
    <x v="0"/>
    <x v="0"/>
    <n v="16"/>
    <x v="2"/>
    <x v="5"/>
    <m/>
  </r>
  <r>
    <n v="795"/>
    <n v="69"/>
    <s v="Male"/>
    <x v="21"/>
    <x v="3"/>
    <n v="50"/>
    <s v="Kentucky"/>
    <x v="3"/>
    <x v="22"/>
    <x v="0"/>
    <x v="13"/>
    <x v="0"/>
    <x v="0"/>
    <n v="10"/>
    <x v="5"/>
    <x v="0"/>
    <m/>
  </r>
  <r>
    <n v="796"/>
    <n v="39"/>
    <s v="Male"/>
    <x v="3"/>
    <x v="1"/>
    <n v="26"/>
    <s v="New York"/>
    <x v="2"/>
    <x v="19"/>
    <x v="2"/>
    <x v="7"/>
    <x v="0"/>
    <x v="0"/>
    <n v="34"/>
    <x v="0"/>
    <x v="2"/>
    <m/>
  </r>
  <r>
    <n v="797"/>
    <n v="42"/>
    <s v="Male"/>
    <x v="20"/>
    <x v="0"/>
    <n v="78"/>
    <s v="Arizona"/>
    <x v="3"/>
    <x v="13"/>
    <x v="3"/>
    <x v="8"/>
    <x v="0"/>
    <x v="0"/>
    <n v="43"/>
    <x v="2"/>
    <x v="2"/>
    <m/>
  </r>
  <r>
    <n v="798"/>
    <n v="42"/>
    <s v="Male"/>
    <x v="7"/>
    <x v="2"/>
    <n v="82"/>
    <s v="Maryland"/>
    <x v="2"/>
    <x v="10"/>
    <x v="3"/>
    <x v="8"/>
    <x v="0"/>
    <x v="0"/>
    <n v="38"/>
    <x v="5"/>
    <x v="1"/>
    <m/>
  </r>
  <r>
    <n v="799"/>
    <n v="29"/>
    <s v="Male"/>
    <x v="20"/>
    <x v="0"/>
    <n v="39"/>
    <s v="Alaska"/>
    <x v="2"/>
    <x v="10"/>
    <x v="1"/>
    <x v="1"/>
    <x v="0"/>
    <x v="0"/>
    <n v="48"/>
    <x v="3"/>
    <x v="6"/>
    <m/>
  </r>
  <r>
    <n v="800"/>
    <n v="55"/>
    <s v="Male"/>
    <x v="22"/>
    <x v="3"/>
    <n v="55"/>
    <s v="Nevada"/>
    <x v="0"/>
    <x v="18"/>
    <x v="2"/>
    <x v="19"/>
    <x v="0"/>
    <x v="0"/>
    <n v="31"/>
    <x v="3"/>
    <x v="2"/>
    <m/>
  </r>
  <r>
    <n v="801"/>
    <n v="32"/>
    <s v="Male"/>
    <x v="20"/>
    <x v="0"/>
    <n v="20"/>
    <s v="Utah"/>
    <x v="1"/>
    <x v="9"/>
    <x v="2"/>
    <x v="4"/>
    <x v="0"/>
    <x v="0"/>
    <n v="20"/>
    <x v="1"/>
    <x v="6"/>
    <m/>
  </r>
  <r>
    <n v="802"/>
    <n v="25"/>
    <s v="Male"/>
    <x v="22"/>
    <x v="3"/>
    <n v="29"/>
    <s v="New Mexico"/>
    <x v="0"/>
    <x v="24"/>
    <x v="3"/>
    <x v="17"/>
    <x v="0"/>
    <x v="0"/>
    <n v="12"/>
    <x v="2"/>
    <x v="0"/>
    <m/>
  </r>
  <r>
    <n v="803"/>
    <n v="38"/>
    <s v="Male"/>
    <x v="13"/>
    <x v="0"/>
    <n v="41"/>
    <s v="Delaware"/>
    <x v="2"/>
    <x v="11"/>
    <x v="0"/>
    <x v="22"/>
    <x v="0"/>
    <x v="0"/>
    <n v="2"/>
    <x v="4"/>
    <x v="1"/>
    <m/>
  </r>
  <r>
    <n v="804"/>
    <n v="32"/>
    <s v="Male"/>
    <x v="6"/>
    <x v="0"/>
    <n v="38"/>
    <s v="Connecticut"/>
    <x v="0"/>
    <x v="5"/>
    <x v="0"/>
    <x v="24"/>
    <x v="0"/>
    <x v="0"/>
    <n v="30"/>
    <x v="0"/>
    <x v="6"/>
    <m/>
  </r>
  <r>
    <n v="805"/>
    <n v="43"/>
    <s v="Male"/>
    <x v="23"/>
    <x v="1"/>
    <n v="47"/>
    <s v="Mississippi"/>
    <x v="2"/>
    <x v="1"/>
    <x v="2"/>
    <x v="4"/>
    <x v="0"/>
    <x v="0"/>
    <n v="28"/>
    <x v="0"/>
    <x v="3"/>
    <m/>
  </r>
  <r>
    <n v="806"/>
    <n v="41"/>
    <s v="Male"/>
    <x v="10"/>
    <x v="0"/>
    <n v="30"/>
    <s v="Connecticut"/>
    <x v="0"/>
    <x v="3"/>
    <x v="2"/>
    <x v="5"/>
    <x v="0"/>
    <x v="0"/>
    <n v="40"/>
    <x v="5"/>
    <x v="5"/>
    <m/>
  </r>
  <r>
    <n v="807"/>
    <n v="56"/>
    <s v="Male"/>
    <x v="2"/>
    <x v="0"/>
    <n v="56"/>
    <s v="Florida"/>
    <x v="0"/>
    <x v="4"/>
    <x v="2"/>
    <x v="6"/>
    <x v="0"/>
    <x v="0"/>
    <n v="46"/>
    <x v="3"/>
    <x v="3"/>
    <m/>
  </r>
  <r>
    <n v="808"/>
    <n v="27"/>
    <s v="Male"/>
    <x v="17"/>
    <x v="0"/>
    <n v="89"/>
    <s v="New York"/>
    <x v="1"/>
    <x v="18"/>
    <x v="0"/>
    <x v="19"/>
    <x v="0"/>
    <x v="0"/>
    <n v="15"/>
    <x v="2"/>
    <x v="1"/>
    <m/>
  </r>
  <r>
    <n v="809"/>
    <n v="46"/>
    <s v="Male"/>
    <x v="9"/>
    <x v="1"/>
    <n v="96"/>
    <s v="Wisconsin"/>
    <x v="0"/>
    <x v="12"/>
    <x v="3"/>
    <x v="7"/>
    <x v="0"/>
    <x v="0"/>
    <n v="38"/>
    <x v="1"/>
    <x v="6"/>
    <m/>
  </r>
  <r>
    <n v="810"/>
    <n v="48"/>
    <s v="Male"/>
    <x v="23"/>
    <x v="1"/>
    <n v="81"/>
    <s v="South Carolina"/>
    <x v="2"/>
    <x v="10"/>
    <x v="3"/>
    <x v="17"/>
    <x v="0"/>
    <x v="0"/>
    <n v="30"/>
    <x v="3"/>
    <x v="4"/>
    <m/>
  </r>
  <r>
    <n v="811"/>
    <n v="52"/>
    <s v="Male"/>
    <x v="18"/>
    <x v="3"/>
    <n v="83"/>
    <s v="South Dakota"/>
    <x v="1"/>
    <x v="12"/>
    <x v="3"/>
    <x v="17"/>
    <x v="0"/>
    <x v="0"/>
    <n v="32"/>
    <x v="5"/>
    <x v="4"/>
    <m/>
  </r>
  <r>
    <n v="812"/>
    <n v="18"/>
    <s v="Male"/>
    <x v="4"/>
    <x v="1"/>
    <n v="35"/>
    <s v="Illinois"/>
    <x v="2"/>
    <x v="14"/>
    <x v="0"/>
    <x v="6"/>
    <x v="0"/>
    <x v="0"/>
    <n v="36"/>
    <x v="0"/>
    <x v="3"/>
    <m/>
  </r>
  <r>
    <n v="813"/>
    <n v="64"/>
    <s v="Male"/>
    <x v="23"/>
    <x v="1"/>
    <n v="56"/>
    <s v="Alaska"/>
    <x v="2"/>
    <x v="8"/>
    <x v="2"/>
    <x v="20"/>
    <x v="0"/>
    <x v="0"/>
    <n v="32"/>
    <x v="2"/>
    <x v="1"/>
    <m/>
  </r>
  <r>
    <n v="814"/>
    <n v="54"/>
    <s v="Male"/>
    <x v="8"/>
    <x v="3"/>
    <n v="45"/>
    <s v="Montana"/>
    <x v="1"/>
    <x v="8"/>
    <x v="2"/>
    <x v="25"/>
    <x v="0"/>
    <x v="0"/>
    <n v="14"/>
    <x v="5"/>
    <x v="2"/>
    <m/>
  </r>
  <r>
    <n v="815"/>
    <n v="31"/>
    <s v="Male"/>
    <x v="5"/>
    <x v="0"/>
    <n v="62"/>
    <s v="Minnesota"/>
    <x v="2"/>
    <x v="6"/>
    <x v="0"/>
    <x v="1"/>
    <x v="0"/>
    <x v="0"/>
    <n v="8"/>
    <x v="3"/>
    <x v="5"/>
    <m/>
  </r>
  <r>
    <n v="816"/>
    <n v="30"/>
    <s v="Male"/>
    <x v="19"/>
    <x v="3"/>
    <n v="84"/>
    <s v="West Virginia"/>
    <x v="0"/>
    <x v="11"/>
    <x v="1"/>
    <x v="23"/>
    <x v="0"/>
    <x v="0"/>
    <n v="27"/>
    <x v="0"/>
    <x v="4"/>
    <m/>
  </r>
  <r>
    <n v="817"/>
    <n v="26"/>
    <s v="Male"/>
    <x v="1"/>
    <x v="0"/>
    <n v="24"/>
    <s v="Illinois"/>
    <x v="0"/>
    <x v="17"/>
    <x v="2"/>
    <x v="14"/>
    <x v="0"/>
    <x v="0"/>
    <n v="24"/>
    <x v="5"/>
    <x v="5"/>
    <m/>
  </r>
  <r>
    <n v="818"/>
    <n v="25"/>
    <s v="Male"/>
    <x v="8"/>
    <x v="3"/>
    <n v="21"/>
    <s v="Nevada"/>
    <x v="1"/>
    <x v="0"/>
    <x v="1"/>
    <x v="15"/>
    <x v="0"/>
    <x v="0"/>
    <n v="30"/>
    <x v="3"/>
    <x v="0"/>
    <m/>
  </r>
  <r>
    <n v="819"/>
    <n v="59"/>
    <s v="Male"/>
    <x v="5"/>
    <x v="0"/>
    <n v="91"/>
    <s v="Idaho"/>
    <x v="2"/>
    <x v="15"/>
    <x v="0"/>
    <x v="17"/>
    <x v="0"/>
    <x v="0"/>
    <n v="34"/>
    <x v="5"/>
    <x v="5"/>
    <m/>
  </r>
  <r>
    <n v="820"/>
    <n v="55"/>
    <s v="Male"/>
    <x v="12"/>
    <x v="3"/>
    <n v="36"/>
    <s v="Colorado"/>
    <x v="1"/>
    <x v="11"/>
    <x v="0"/>
    <x v="3"/>
    <x v="0"/>
    <x v="0"/>
    <n v="28"/>
    <x v="5"/>
    <x v="3"/>
    <m/>
  </r>
  <r>
    <n v="821"/>
    <n v="56"/>
    <s v="Male"/>
    <x v="4"/>
    <x v="1"/>
    <n v="39"/>
    <s v="Louisiana"/>
    <x v="2"/>
    <x v="2"/>
    <x v="1"/>
    <x v="16"/>
    <x v="0"/>
    <x v="0"/>
    <n v="27"/>
    <x v="5"/>
    <x v="5"/>
    <m/>
  </r>
  <r>
    <n v="822"/>
    <n v="62"/>
    <s v="Male"/>
    <x v="15"/>
    <x v="0"/>
    <n v="39"/>
    <s v="Vermont"/>
    <x v="2"/>
    <x v="14"/>
    <x v="1"/>
    <x v="14"/>
    <x v="0"/>
    <x v="0"/>
    <n v="31"/>
    <x v="2"/>
    <x v="4"/>
    <m/>
  </r>
  <r>
    <n v="823"/>
    <n v="35"/>
    <s v="Male"/>
    <x v="5"/>
    <x v="0"/>
    <n v="59"/>
    <s v="Mississippi"/>
    <x v="0"/>
    <x v="23"/>
    <x v="0"/>
    <x v="10"/>
    <x v="0"/>
    <x v="0"/>
    <n v="23"/>
    <x v="4"/>
    <x v="2"/>
    <m/>
  </r>
  <r>
    <n v="824"/>
    <n v="51"/>
    <s v="Male"/>
    <x v="12"/>
    <x v="3"/>
    <n v="27"/>
    <s v="Georgia"/>
    <x v="2"/>
    <x v="14"/>
    <x v="0"/>
    <x v="16"/>
    <x v="0"/>
    <x v="0"/>
    <n v="11"/>
    <x v="2"/>
    <x v="3"/>
    <m/>
  </r>
  <r>
    <n v="825"/>
    <n v="61"/>
    <s v="Male"/>
    <x v="0"/>
    <x v="0"/>
    <n v="94"/>
    <s v="Georgia"/>
    <x v="2"/>
    <x v="3"/>
    <x v="1"/>
    <x v="23"/>
    <x v="0"/>
    <x v="0"/>
    <n v="48"/>
    <x v="1"/>
    <x v="3"/>
    <m/>
  </r>
  <r>
    <n v="826"/>
    <n v="27"/>
    <s v="Male"/>
    <x v="22"/>
    <x v="3"/>
    <n v="94"/>
    <s v="Nebraska"/>
    <x v="3"/>
    <x v="18"/>
    <x v="3"/>
    <x v="2"/>
    <x v="0"/>
    <x v="0"/>
    <n v="17"/>
    <x v="1"/>
    <x v="5"/>
    <m/>
  </r>
  <r>
    <n v="827"/>
    <n v="54"/>
    <s v="Male"/>
    <x v="10"/>
    <x v="0"/>
    <n v="94"/>
    <s v="Massachusetts"/>
    <x v="2"/>
    <x v="7"/>
    <x v="0"/>
    <x v="2"/>
    <x v="0"/>
    <x v="0"/>
    <n v="36"/>
    <x v="3"/>
    <x v="1"/>
    <m/>
  </r>
  <r>
    <n v="828"/>
    <n v="31"/>
    <s v="Male"/>
    <x v="9"/>
    <x v="1"/>
    <n v="51"/>
    <s v="Colorado"/>
    <x v="1"/>
    <x v="14"/>
    <x v="3"/>
    <x v="18"/>
    <x v="0"/>
    <x v="0"/>
    <n v="33"/>
    <x v="4"/>
    <x v="0"/>
    <m/>
  </r>
  <r>
    <n v="829"/>
    <n v="24"/>
    <s v="Male"/>
    <x v="20"/>
    <x v="0"/>
    <n v="62"/>
    <s v="Nevada"/>
    <x v="2"/>
    <x v="15"/>
    <x v="3"/>
    <x v="5"/>
    <x v="0"/>
    <x v="0"/>
    <n v="27"/>
    <x v="3"/>
    <x v="4"/>
    <m/>
  </r>
  <r>
    <n v="830"/>
    <n v="42"/>
    <s v="Male"/>
    <x v="20"/>
    <x v="0"/>
    <n v="57"/>
    <s v="Idaho"/>
    <x v="1"/>
    <x v="5"/>
    <x v="1"/>
    <x v="0"/>
    <x v="0"/>
    <x v="0"/>
    <n v="14"/>
    <x v="2"/>
    <x v="0"/>
    <m/>
  </r>
  <r>
    <n v="831"/>
    <n v="41"/>
    <s v="Male"/>
    <x v="6"/>
    <x v="0"/>
    <n v="76"/>
    <s v="Wyoming"/>
    <x v="2"/>
    <x v="1"/>
    <x v="3"/>
    <x v="13"/>
    <x v="0"/>
    <x v="0"/>
    <n v="5"/>
    <x v="2"/>
    <x v="2"/>
    <m/>
  </r>
  <r>
    <n v="832"/>
    <n v="66"/>
    <s v="Male"/>
    <x v="24"/>
    <x v="3"/>
    <n v="63"/>
    <s v="Washington"/>
    <x v="2"/>
    <x v="16"/>
    <x v="2"/>
    <x v="12"/>
    <x v="0"/>
    <x v="0"/>
    <n v="47"/>
    <x v="1"/>
    <x v="6"/>
    <m/>
  </r>
  <r>
    <n v="833"/>
    <n v="58"/>
    <s v="Male"/>
    <x v="14"/>
    <x v="2"/>
    <n v="80"/>
    <s v="California"/>
    <x v="0"/>
    <x v="24"/>
    <x v="3"/>
    <x v="16"/>
    <x v="0"/>
    <x v="0"/>
    <n v="28"/>
    <x v="1"/>
    <x v="4"/>
    <m/>
  </r>
  <r>
    <n v="834"/>
    <n v="43"/>
    <s v="Male"/>
    <x v="8"/>
    <x v="3"/>
    <n v="68"/>
    <s v="Oklahoma"/>
    <x v="2"/>
    <x v="7"/>
    <x v="3"/>
    <x v="22"/>
    <x v="0"/>
    <x v="0"/>
    <n v="11"/>
    <x v="2"/>
    <x v="2"/>
    <m/>
  </r>
  <r>
    <n v="835"/>
    <n v="52"/>
    <s v="Male"/>
    <x v="21"/>
    <x v="3"/>
    <n v="89"/>
    <s v="Nevada"/>
    <x v="2"/>
    <x v="21"/>
    <x v="2"/>
    <x v="0"/>
    <x v="0"/>
    <x v="0"/>
    <n v="18"/>
    <x v="2"/>
    <x v="1"/>
    <m/>
  </r>
  <r>
    <n v="836"/>
    <n v="35"/>
    <s v="Male"/>
    <x v="23"/>
    <x v="1"/>
    <n v="26"/>
    <s v="Maryland"/>
    <x v="0"/>
    <x v="21"/>
    <x v="2"/>
    <x v="16"/>
    <x v="0"/>
    <x v="0"/>
    <n v="21"/>
    <x v="5"/>
    <x v="1"/>
    <m/>
  </r>
  <r>
    <n v="837"/>
    <n v="23"/>
    <s v="Male"/>
    <x v="24"/>
    <x v="3"/>
    <n v="90"/>
    <s v="West Virginia"/>
    <x v="0"/>
    <x v="10"/>
    <x v="0"/>
    <x v="14"/>
    <x v="0"/>
    <x v="0"/>
    <n v="22"/>
    <x v="1"/>
    <x v="4"/>
    <m/>
  </r>
  <r>
    <n v="838"/>
    <n v="25"/>
    <s v="Male"/>
    <x v="15"/>
    <x v="0"/>
    <n v="28"/>
    <s v="Illinois"/>
    <x v="0"/>
    <x v="18"/>
    <x v="1"/>
    <x v="17"/>
    <x v="0"/>
    <x v="0"/>
    <n v="33"/>
    <x v="1"/>
    <x v="6"/>
    <m/>
  </r>
  <r>
    <n v="839"/>
    <n v="33"/>
    <s v="Male"/>
    <x v="7"/>
    <x v="2"/>
    <n v="29"/>
    <s v="Kentucky"/>
    <x v="2"/>
    <x v="0"/>
    <x v="1"/>
    <x v="12"/>
    <x v="0"/>
    <x v="0"/>
    <n v="49"/>
    <x v="2"/>
    <x v="2"/>
    <m/>
  </r>
  <r>
    <n v="840"/>
    <n v="48"/>
    <s v="Male"/>
    <x v="5"/>
    <x v="0"/>
    <n v="31"/>
    <s v="Illinois"/>
    <x v="0"/>
    <x v="11"/>
    <x v="1"/>
    <x v="4"/>
    <x v="0"/>
    <x v="0"/>
    <n v="10"/>
    <x v="5"/>
    <x v="6"/>
    <m/>
  </r>
  <r>
    <n v="841"/>
    <n v="42"/>
    <s v="Male"/>
    <x v="5"/>
    <x v="0"/>
    <n v="24"/>
    <s v="Alabama"/>
    <x v="0"/>
    <x v="11"/>
    <x v="2"/>
    <x v="13"/>
    <x v="0"/>
    <x v="0"/>
    <n v="18"/>
    <x v="3"/>
    <x v="1"/>
    <m/>
  </r>
  <r>
    <n v="842"/>
    <n v="55"/>
    <s v="Male"/>
    <x v="1"/>
    <x v="0"/>
    <n v="88"/>
    <s v="Texas"/>
    <x v="2"/>
    <x v="19"/>
    <x v="2"/>
    <x v="4"/>
    <x v="0"/>
    <x v="0"/>
    <n v="28"/>
    <x v="3"/>
    <x v="0"/>
    <m/>
  </r>
  <r>
    <n v="843"/>
    <n v="59"/>
    <s v="Male"/>
    <x v="5"/>
    <x v="0"/>
    <n v="87"/>
    <s v="Missouri"/>
    <x v="2"/>
    <x v="10"/>
    <x v="1"/>
    <x v="2"/>
    <x v="0"/>
    <x v="0"/>
    <n v="25"/>
    <x v="3"/>
    <x v="1"/>
    <m/>
  </r>
  <r>
    <n v="844"/>
    <n v="65"/>
    <s v="Male"/>
    <x v="15"/>
    <x v="0"/>
    <n v="80"/>
    <s v="Pennsylvania"/>
    <x v="1"/>
    <x v="19"/>
    <x v="2"/>
    <x v="20"/>
    <x v="0"/>
    <x v="0"/>
    <n v="6"/>
    <x v="3"/>
    <x v="1"/>
    <m/>
  </r>
  <r>
    <n v="845"/>
    <n v="59"/>
    <s v="Male"/>
    <x v="3"/>
    <x v="1"/>
    <n v="48"/>
    <s v="Missouri"/>
    <x v="0"/>
    <x v="7"/>
    <x v="0"/>
    <x v="9"/>
    <x v="0"/>
    <x v="0"/>
    <n v="44"/>
    <x v="0"/>
    <x v="4"/>
    <m/>
  </r>
  <r>
    <n v="846"/>
    <n v="31"/>
    <s v="Male"/>
    <x v="22"/>
    <x v="3"/>
    <n v="21"/>
    <s v="Michigan"/>
    <x v="3"/>
    <x v="4"/>
    <x v="0"/>
    <x v="5"/>
    <x v="0"/>
    <x v="0"/>
    <n v="30"/>
    <x v="0"/>
    <x v="5"/>
    <m/>
  </r>
  <r>
    <n v="847"/>
    <n v="49"/>
    <s v="Male"/>
    <x v="23"/>
    <x v="1"/>
    <n v="72"/>
    <s v="Kentucky"/>
    <x v="2"/>
    <x v="6"/>
    <x v="1"/>
    <x v="5"/>
    <x v="0"/>
    <x v="0"/>
    <n v="42"/>
    <x v="5"/>
    <x v="3"/>
    <m/>
  </r>
  <r>
    <n v="848"/>
    <n v="53"/>
    <s v="Male"/>
    <x v="15"/>
    <x v="0"/>
    <n v="44"/>
    <s v="New Jersey"/>
    <x v="0"/>
    <x v="24"/>
    <x v="3"/>
    <x v="18"/>
    <x v="0"/>
    <x v="0"/>
    <n v="30"/>
    <x v="3"/>
    <x v="5"/>
    <m/>
  </r>
  <r>
    <n v="849"/>
    <n v="48"/>
    <s v="Male"/>
    <x v="3"/>
    <x v="1"/>
    <n v="73"/>
    <s v="Delaware"/>
    <x v="2"/>
    <x v="12"/>
    <x v="3"/>
    <x v="2"/>
    <x v="0"/>
    <x v="0"/>
    <n v="33"/>
    <x v="2"/>
    <x v="4"/>
    <m/>
  </r>
  <r>
    <n v="850"/>
    <n v="23"/>
    <s v="Male"/>
    <x v="2"/>
    <x v="0"/>
    <n v="61"/>
    <s v="Missouri"/>
    <x v="1"/>
    <x v="4"/>
    <x v="1"/>
    <x v="12"/>
    <x v="0"/>
    <x v="0"/>
    <n v="24"/>
    <x v="3"/>
    <x v="3"/>
    <m/>
  </r>
  <r>
    <n v="851"/>
    <n v="68"/>
    <s v="Male"/>
    <x v="9"/>
    <x v="1"/>
    <n v="20"/>
    <s v="Connecticut"/>
    <x v="0"/>
    <x v="2"/>
    <x v="0"/>
    <x v="4"/>
    <x v="0"/>
    <x v="0"/>
    <n v="13"/>
    <x v="0"/>
    <x v="5"/>
    <m/>
  </r>
  <r>
    <n v="852"/>
    <n v="35"/>
    <s v="Male"/>
    <x v="3"/>
    <x v="1"/>
    <n v="86"/>
    <s v="Massachusetts"/>
    <x v="2"/>
    <x v="16"/>
    <x v="2"/>
    <x v="25"/>
    <x v="0"/>
    <x v="0"/>
    <n v="19"/>
    <x v="5"/>
    <x v="5"/>
    <m/>
  </r>
  <r>
    <n v="853"/>
    <n v="34"/>
    <s v="Male"/>
    <x v="10"/>
    <x v="0"/>
    <n v="60"/>
    <s v="Florida"/>
    <x v="0"/>
    <x v="22"/>
    <x v="1"/>
    <x v="13"/>
    <x v="0"/>
    <x v="0"/>
    <n v="23"/>
    <x v="5"/>
    <x v="6"/>
    <m/>
  </r>
  <r>
    <n v="854"/>
    <n v="62"/>
    <s v="Male"/>
    <x v="19"/>
    <x v="3"/>
    <n v="43"/>
    <s v="Delaware"/>
    <x v="0"/>
    <x v="20"/>
    <x v="0"/>
    <x v="8"/>
    <x v="0"/>
    <x v="0"/>
    <n v="35"/>
    <x v="1"/>
    <x v="5"/>
    <m/>
  </r>
  <r>
    <n v="855"/>
    <n v="21"/>
    <s v="Male"/>
    <x v="13"/>
    <x v="0"/>
    <n v="44"/>
    <s v="California"/>
    <x v="0"/>
    <x v="24"/>
    <x v="1"/>
    <x v="12"/>
    <x v="0"/>
    <x v="0"/>
    <n v="22"/>
    <x v="0"/>
    <x v="5"/>
    <m/>
  </r>
  <r>
    <n v="856"/>
    <n v="70"/>
    <s v="Male"/>
    <x v="20"/>
    <x v="0"/>
    <n v="76"/>
    <s v="Oregon"/>
    <x v="0"/>
    <x v="9"/>
    <x v="1"/>
    <x v="23"/>
    <x v="0"/>
    <x v="0"/>
    <n v="14"/>
    <x v="2"/>
    <x v="3"/>
    <m/>
  </r>
  <r>
    <n v="857"/>
    <n v="55"/>
    <s v="Male"/>
    <x v="5"/>
    <x v="0"/>
    <n v="33"/>
    <s v="Alaska"/>
    <x v="2"/>
    <x v="9"/>
    <x v="2"/>
    <x v="22"/>
    <x v="0"/>
    <x v="0"/>
    <n v="47"/>
    <x v="5"/>
    <x v="0"/>
    <m/>
  </r>
  <r>
    <n v="858"/>
    <n v="43"/>
    <s v="Male"/>
    <x v="6"/>
    <x v="0"/>
    <n v="60"/>
    <s v="Missouri"/>
    <x v="0"/>
    <x v="17"/>
    <x v="3"/>
    <x v="23"/>
    <x v="0"/>
    <x v="0"/>
    <n v="50"/>
    <x v="5"/>
    <x v="6"/>
    <m/>
  </r>
  <r>
    <n v="859"/>
    <n v="19"/>
    <s v="Male"/>
    <x v="14"/>
    <x v="2"/>
    <n v="26"/>
    <s v="Oklahoma"/>
    <x v="0"/>
    <x v="8"/>
    <x v="3"/>
    <x v="0"/>
    <x v="0"/>
    <x v="0"/>
    <n v="33"/>
    <x v="3"/>
    <x v="1"/>
    <m/>
  </r>
  <r>
    <n v="860"/>
    <n v="47"/>
    <s v="Male"/>
    <x v="15"/>
    <x v="0"/>
    <n v="73"/>
    <s v="Wisconsin"/>
    <x v="2"/>
    <x v="11"/>
    <x v="0"/>
    <x v="8"/>
    <x v="0"/>
    <x v="0"/>
    <n v="7"/>
    <x v="5"/>
    <x v="5"/>
    <m/>
  </r>
  <r>
    <n v="861"/>
    <n v="26"/>
    <s v="Male"/>
    <x v="9"/>
    <x v="1"/>
    <n v="87"/>
    <s v="South Carolina"/>
    <x v="2"/>
    <x v="1"/>
    <x v="1"/>
    <x v="18"/>
    <x v="0"/>
    <x v="0"/>
    <n v="3"/>
    <x v="1"/>
    <x v="5"/>
    <m/>
  </r>
  <r>
    <n v="862"/>
    <n v="46"/>
    <s v="Male"/>
    <x v="11"/>
    <x v="0"/>
    <n v="100"/>
    <s v="Virginia"/>
    <x v="3"/>
    <x v="14"/>
    <x v="1"/>
    <x v="19"/>
    <x v="0"/>
    <x v="0"/>
    <n v="35"/>
    <x v="2"/>
    <x v="6"/>
    <m/>
  </r>
  <r>
    <n v="863"/>
    <n v="19"/>
    <s v="Male"/>
    <x v="7"/>
    <x v="2"/>
    <n v="84"/>
    <s v="Arkansas"/>
    <x v="2"/>
    <x v="4"/>
    <x v="0"/>
    <x v="17"/>
    <x v="0"/>
    <x v="0"/>
    <n v="13"/>
    <x v="3"/>
    <x v="0"/>
    <m/>
  </r>
  <r>
    <n v="864"/>
    <n v="49"/>
    <s v="Male"/>
    <x v="4"/>
    <x v="1"/>
    <n v="41"/>
    <s v="Vermont"/>
    <x v="2"/>
    <x v="17"/>
    <x v="2"/>
    <x v="14"/>
    <x v="0"/>
    <x v="0"/>
    <n v="42"/>
    <x v="3"/>
    <x v="0"/>
    <m/>
  </r>
  <r>
    <n v="865"/>
    <n v="51"/>
    <s v="Male"/>
    <x v="2"/>
    <x v="0"/>
    <n v="59"/>
    <s v="Kentucky"/>
    <x v="1"/>
    <x v="4"/>
    <x v="0"/>
    <x v="14"/>
    <x v="0"/>
    <x v="0"/>
    <n v="5"/>
    <x v="3"/>
    <x v="2"/>
    <m/>
  </r>
  <r>
    <n v="866"/>
    <n v="64"/>
    <s v="Male"/>
    <x v="0"/>
    <x v="0"/>
    <n v="26"/>
    <s v="Colorado"/>
    <x v="0"/>
    <x v="4"/>
    <x v="0"/>
    <x v="3"/>
    <x v="0"/>
    <x v="0"/>
    <n v="23"/>
    <x v="0"/>
    <x v="2"/>
    <m/>
  </r>
  <r>
    <n v="867"/>
    <n v="67"/>
    <s v="Male"/>
    <x v="12"/>
    <x v="3"/>
    <n v="69"/>
    <s v="New Mexico"/>
    <x v="2"/>
    <x v="12"/>
    <x v="2"/>
    <x v="6"/>
    <x v="0"/>
    <x v="0"/>
    <n v="11"/>
    <x v="3"/>
    <x v="4"/>
    <m/>
  </r>
  <r>
    <n v="868"/>
    <n v="37"/>
    <s v="Male"/>
    <x v="14"/>
    <x v="2"/>
    <n v="20"/>
    <s v="Colorado"/>
    <x v="2"/>
    <x v="2"/>
    <x v="1"/>
    <x v="0"/>
    <x v="0"/>
    <x v="0"/>
    <n v="23"/>
    <x v="4"/>
    <x v="0"/>
    <m/>
  </r>
  <r>
    <n v="869"/>
    <n v="40"/>
    <s v="Male"/>
    <x v="10"/>
    <x v="0"/>
    <n v="83"/>
    <s v="North Carolina"/>
    <x v="2"/>
    <x v="14"/>
    <x v="2"/>
    <x v="20"/>
    <x v="0"/>
    <x v="0"/>
    <n v="2"/>
    <x v="2"/>
    <x v="6"/>
    <m/>
  </r>
  <r>
    <n v="870"/>
    <n v="38"/>
    <s v="Male"/>
    <x v="19"/>
    <x v="3"/>
    <n v="54"/>
    <s v="New Hampshire"/>
    <x v="2"/>
    <x v="5"/>
    <x v="1"/>
    <x v="6"/>
    <x v="0"/>
    <x v="0"/>
    <n v="33"/>
    <x v="3"/>
    <x v="1"/>
    <m/>
  </r>
  <r>
    <n v="871"/>
    <n v="66"/>
    <s v="Male"/>
    <x v="15"/>
    <x v="0"/>
    <n v="66"/>
    <s v="West Virginia"/>
    <x v="2"/>
    <x v="24"/>
    <x v="3"/>
    <x v="16"/>
    <x v="0"/>
    <x v="0"/>
    <n v="6"/>
    <x v="4"/>
    <x v="4"/>
    <m/>
  </r>
  <r>
    <n v="872"/>
    <n v="47"/>
    <s v="Male"/>
    <x v="8"/>
    <x v="3"/>
    <n v="42"/>
    <s v="Hawaii"/>
    <x v="2"/>
    <x v="4"/>
    <x v="1"/>
    <x v="4"/>
    <x v="0"/>
    <x v="0"/>
    <n v="45"/>
    <x v="5"/>
    <x v="3"/>
    <m/>
  </r>
  <r>
    <n v="873"/>
    <n v="56"/>
    <s v="Male"/>
    <x v="2"/>
    <x v="0"/>
    <n v="33"/>
    <s v="North Dakota"/>
    <x v="2"/>
    <x v="6"/>
    <x v="1"/>
    <x v="25"/>
    <x v="0"/>
    <x v="0"/>
    <n v="25"/>
    <x v="1"/>
    <x v="3"/>
    <m/>
  </r>
  <r>
    <n v="874"/>
    <n v="51"/>
    <s v="Male"/>
    <x v="23"/>
    <x v="1"/>
    <n v="77"/>
    <s v="Mississippi"/>
    <x v="2"/>
    <x v="6"/>
    <x v="2"/>
    <x v="13"/>
    <x v="0"/>
    <x v="0"/>
    <n v="24"/>
    <x v="0"/>
    <x v="3"/>
    <m/>
  </r>
  <r>
    <n v="875"/>
    <n v="25"/>
    <s v="Male"/>
    <x v="14"/>
    <x v="2"/>
    <n v="65"/>
    <s v="Maine"/>
    <x v="2"/>
    <x v="23"/>
    <x v="3"/>
    <x v="9"/>
    <x v="0"/>
    <x v="0"/>
    <n v="10"/>
    <x v="0"/>
    <x v="6"/>
    <m/>
  </r>
  <r>
    <n v="876"/>
    <n v="37"/>
    <s v="Male"/>
    <x v="3"/>
    <x v="1"/>
    <n v="39"/>
    <s v="North Dakota"/>
    <x v="0"/>
    <x v="0"/>
    <x v="2"/>
    <x v="18"/>
    <x v="0"/>
    <x v="0"/>
    <n v="7"/>
    <x v="4"/>
    <x v="6"/>
    <m/>
  </r>
  <r>
    <n v="877"/>
    <n v="41"/>
    <s v="Male"/>
    <x v="22"/>
    <x v="3"/>
    <n v="51"/>
    <s v="Nebraska"/>
    <x v="0"/>
    <x v="0"/>
    <x v="2"/>
    <x v="1"/>
    <x v="0"/>
    <x v="0"/>
    <n v="1"/>
    <x v="5"/>
    <x v="1"/>
    <m/>
  </r>
  <r>
    <n v="878"/>
    <n v="64"/>
    <s v="Male"/>
    <x v="8"/>
    <x v="3"/>
    <n v="65"/>
    <s v="Nebraska"/>
    <x v="2"/>
    <x v="20"/>
    <x v="0"/>
    <x v="17"/>
    <x v="0"/>
    <x v="0"/>
    <n v="45"/>
    <x v="0"/>
    <x v="6"/>
    <m/>
  </r>
  <r>
    <n v="879"/>
    <n v="23"/>
    <s v="Male"/>
    <x v="12"/>
    <x v="3"/>
    <n v="89"/>
    <s v="Tennessee"/>
    <x v="1"/>
    <x v="13"/>
    <x v="2"/>
    <x v="17"/>
    <x v="0"/>
    <x v="0"/>
    <n v="37"/>
    <x v="5"/>
    <x v="1"/>
    <m/>
  </r>
  <r>
    <n v="880"/>
    <n v="62"/>
    <s v="Male"/>
    <x v="11"/>
    <x v="0"/>
    <n v="76"/>
    <s v="Wyoming"/>
    <x v="1"/>
    <x v="12"/>
    <x v="1"/>
    <x v="18"/>
    <x v="0"/>
    <x v="0"/>
    <n v="14"/>
    <x v="3"/>
    <x v="3"/>
    <m/>
  </r>
  <r>
    <n v="881"/>
    <n v="39"/>
    <s v="Male"/>
    <x v="21"/>
    <x v="3"/>
    <n v="75"/>
    <s v="Nevada"/>
    <x v="0"/>
    <x v="16"/>
    <x v="1"/>
    <x v="0"/>
    <x v="0"/>
    <x v="0"/>
    <n v="25"/>
    <x v="5"/>
    <x v="5"/>
    <m/>
  </r>
  <r>
    <n v="882"/>
    <n v="52"/>
    <s v="Male"/>
    <x v="3"/>
    <x v="1"/>
    <n v="61"/>
    <s v="South Carolina"/>
    <x v="2"/>
    <x v="5"/>
    <x v="2"/>
    <x v="6"/>
    <x v="0"/>
    <x v="0"/>
    <n v="18"/>
    <x v="0"/>
    <x v="2"/>
    <m/>
  </r>
  <r>
    <n v="883"/>
    <n v="50"/>
    <s v="Male"/>
    <x v="23"/>
    <x v="1"/>
    <n v="35"/>
    <s v="Virginia"/>
    <x v="2"/>
    <x v="17"/>
    <x v="3"/>
    <x v="1"/>
    <x v="0"/>
    <x v="0"/>
    <n v="37"/>
    <x v="1"/>
    <x v="6"/>
    <m/>
  </r>
  <r>
    <n v="884"/>
    <n v="28"/>
    <s v="Male"/>
    <x v="4"/>
    <x v="1"/>
    <n v="37"/>
    <s v="Pennsylvania"/>
    <x v="1"/>
    <x v="9"/>
    <x v="3"/>
    <x v="12"/>
    <x v="0"/>
    <x v="0"/>
    <n v="30"/>
    <x v="4"/>
    <x v="5"/>
    <m/>
  </r>
  <r>
    <n v="885"/>
    <n v="67"/>
    <s v="Male"/>
    <x v="11"/>
    <x v="0"/>
    <n v="91"/>
    <s v="Hawaii"/>
    <x v="0"/>
    <x v="22"/>
    <x v="0"/>
    <x v="18"/>
    <x v="0"/>
    <x v="0"/>
    <n v="34"/>
    <x v="4"/>
    <x v="1"/>
    <m/>
  </r>
  <r>
    <n v="886"/>
    <n v="41"/>
    <s v="Male"/>
    <x v="10"/>
    <x v="0"/>
    <n v="99"/>
    <s v="Ohio"/>
    <x v="0"/>
    <x v="7"/>
    <x v="3"/>
    <x v="9"/>
    <x v="0"/>
    <x v="0"/>
    <n v="49"/>
    <x v="5"/>
    <x v="6"/>
    <m/>
  </r>
  <r>
    <n v="887"/>
    <n v="19"/>
    <s v="Male"/>
    <x v="6"/>
    <x v="0"/>
    <n v="54"/>
    <s v="Utah"/>
    <x v="1"/>
    <x v="18"/>
    <x v="2"/>
    <x v="2"/>
    <x v="0"/>
    <x v="0"/>
    <n v="48"/>
    <x v="4"/>
    <x v="5"/>
    <m/>
  </r>
  <r>
    <n v="888"/>
    <n v="70"/>
    <s v="Male"/>
    <x v="8"/>
    <x v="3"/>
    <n v="47"/>
    <s v="Minnesota"/>
    <x v="0"/>
    <x v="2"/>
    <x v="0"/>
    <x v="19"/>
    <x v="0"/>
    <x v="0"/>
    <n v="33"/>
    <x v="3"/>
    <x v="0"/>
    <m/>
  </r>
  <r>
    <n v="889"/>
    <n v="49"/>
    <s v="Male"/>
    <x v="18"/>
    <x v="3"/>
    <n v="77"/>
    <s v="New Hampshire"/>
    <x v="1"/>
    <x v="9"/>
    <x v="1"/>
    <x v="2"/>
    <x v="0"/>
    <x v="0"/>
    <n v="44"/>
    <x v="1"/>
    <x v="2"/>
    <m/>
  </r>
  <r>
    <n v="890"/>
    <n v="59"/>
    <s v="Male"/>
    <x v="22"/>
    <x v="3"/>
    <n v="84"/>
    <s v="Arizona"/>
    <x v="1"/>
    <x v="8"/>
    <x v="3"/>
    <x v="24"/>
    <x v="0"/>
    <x v="0"/>
    <n v="50"/>
    <x v="0"/>
    <x v="1"/>
    <m/>
  </r>
  <r>
    <n v="891"/>
    <n v="52"/>
    <s v="Male"/>
    <x v="24"/>
    <x v="3"/>
    <n v="51"/>
    <s v="New York"/>
    <x v="1"/>
    <x v="7"/>
    <x v="1"/>
    <x v="12"/>
    <x v="0"/>
    <x v="0"/>
    <n v="47"/>
    <x v="2"/>
    <x v="5"/>
    <m/>
  </r>
  <r>
    <n v="892"/>
    <n v="20"/>
    <s v="Male"/>
    <x v="11"/>
    <x v="0"/>
    <n v="26"/>
    <s v="Pennsylvania"/>
    <x v="1"/>
    <x v="12"/>
    <x v="2"/>
    <x v="14"/>
    <x v="0"/>
    <x v="0"/>
    <n v="24"/>
    <x v="3"/>
    <x v="6"/>
    <m/>
  </r>
  <r>
    <n v="893"/>
    <n v="31"/>
    <s v="Male"/>
    <x v="6"/>
    <x v="0"/>
    <n v="64"/>
    <s v="New Mexico"/>
    <x v="0"/>
    <x v="0"/>
    <x v="2"/>
    <x v="6"/>
    <x v="0"/>
    <x v="0"/>
    <n v="43"/>
    <x v="5"/>
    <x v="5"/>
    <m/>
  </r>
  <r>
    <n v="894"/>
    <n v="33"/>
    <s v="Male"/>
    <x v="21"/>
    <x v="3"/>
    <n v="51"/>
    <s v="Nebraska"/>
    <x v="2"/>
    <x v="16"/>
    <x v="1"/>
    <x v="15"/>
    <x v="0"/>
    <x v="0"/>
    <n v="14"/>
    <x v="0"/>
    <x v="5"/>
    <m/>
  </r>
  <r>
    <n v="895"/>
    <n v="44"/>
    <s v="Male"/>
    <x v="15"/>
    <x v="0"/>
    <n v="60"/>
    <s v="Wyoming"/>
    <x v="0"/>
    <x v="7"/>
    <x v="1"/>
    <x v="1"/>
    <x v="0"/>
    <x v="0"/>
    <n v="3"/>
    <x v="5"/>
    <x v="3"/>
    <m/>
  </r>
  <r>
    <n v="896"/>
    <n v="40"/>
    <s v="Male"/>
    <x v="19"/>
    <x v="3"/>
    <n v="69"/>
    <s v="Mississippi"/>
    <x v="3"/>
    <x v="8"/>
    <x v="1"/>
    <x v="15"/>
    <x v="0"/>
    <x v="0"/>
    <n v="33"/>
    <x v="5"/>
    <x v="3"/>
    <m/>
  </r>
  <r>
    <n v="897"/>
    <n v="69"/>
    <s v="Male"/>
    <x v="16"/>
    <x v="3"/>
    <n v="29"/>
    <s v="Arkansas"/>
    <x v="2"/>
    <x v="12"/>
    <x v="1"/>
    <x v="15"/>
    <x v="0"/>
    <x v="0"/>
    <n v="38"/>
    <x v="1"/>
    <x v="0"/>
    <m/>
  </r>
  <r>
    <n v="898"/>
    <n v="29"/>
    <s v="Male"/>
    <x v="5"/>
    <x v="0"/>
    <n v="91"/>
    <s v="Illinois"/>
    <x v="2"/>
    <x v="0"/>
    <x v="1"/>
    <x v="10"/>
    <x v="0"/>
    <x v="0"/>
    <n v="46"/>
    <x v="0"/>
    <x v="1"/>
    <m/>
  </r>
  <r>
    <n v="899"/>
    <n v="54"/>
    <s v="Male"/>
    <x v="22"/>
    <x v="3"/>
    <n v="70"/>
    <s v="Nevada"/>
    <x v="0"/>
    <x v="16"/>
    <x v="1"/>
    <x v="22"/>
    <x v="0"/>
    <x v="0"/>
    <n v="19"/>
    <x v="4"/>
    <x v="6"/>
    <m/>
  </r>
  <r>
    <n v="900"/>
    <n v="65"/>
    <s v="Male"/>
    <x v="1"/>
    <x v="0"/>
    <n v="58"/>
    <s v="Rhode Island"/>
    <x v="2"/>
    <x v="15"/>
    <x v="2"/>
    <x v="8"/>
    <x v="0"/>
    <x v="0"/>
    <n v="20"/>
    <x v="3"/>
    <x v="2"/>
    <m/>
  </r>
  <r>
    <n v="901"/>
    <n v="54"/>
    <s v="Male"/>
    <x v="19"/>
    <x v="3"/>
    <n v="98"/>
    <s v="West Virginia"/>
    <x v="0"/>
    <x v="0"/>
    <x v="3"/>
    <x v="19"/>
    <x v="0"/>
    <x v="0"/>
    <n v="42"/>
    <x v="4"/>
    <x v="3"/>
    <m/>
  </r>
  <r>
    <n v="902"/>
    <n v="60"/>
    <s v="Male"/>
    <x v="18"/>
    <x v="3"/>
    <n v="68"/>
    <s v="Missouri"/>
    <x v="0"/>
    <x v="10"/>
    <x v="2"/>
    <x v="15"/>
    <x v="0"/>
    <x v="0"/>
    <n v="34"/>
    <x v="1"/>
    <x v="5"/>
    <m/>
  </r>
  <r>
    <n v="903"/>
    <n v="43"/>
    <s v="Male"/>
    <x v="19"/>
    <x v="3"/>
    <n v="44"/>
    <s v="Kentucky"/>
    <x v="2"/>
    <x v="19"/>
    <x v="2"/>
    <x v="24"/>
    <x v="0"/>
    <x v="0"/>
    <n v="5"/>
    <x v="1"/>
    <x v="5"/>
    <m/>
  </r>
  <r>
    <n v="904"/>
    <n v="44"/>
    <s v="Male"/>
    <x v="14"/>
    <x v="2"/>
    <n v="45"/>
    <s v="Washington"/>
    <x v="2"/>
    <x v="24"/>
    <x v="0"/>
    <x v="19"/>
    <x v="0"/>
    <x v="0"/>
    <n v="3"/>
    <x v="3"/>
    <x v="3"/>
    <m/>
  </r>
  <r>
    <n v="905"/>
    <n v="69"/>
    <s v="Male"/>
    <x v="17"/>
    <x v="0"/>
    <n v="99"/>
    <s v="Alaska"/>
    <x v="0"/>
    <x v="23"/>
    <x v="1"/>
    <x v="25"/>
    <x v="0"/>
    <x v="0"/>
    <n v="46"/>
    <x v="3"/>
    <x v="6"/>
    <m/>
  </r>
  <r>
    <n v="906"/>
    <n v="46"/>
    <s v="Male"/>
    <x v="10"/>
    <x v="0"/>
    <n v="68"/>
    <s v="Mississippi"/>
    <x v="1"/>
    <x v="17"/>
    <x v="1"/>
    <x v="24"/>
    <x v="0"/>
    <x v="0"/>
    <n v="16"/>
    <x v="0"/>
    <x v="2"/>
    <m/>
  </r>
  <r>
    <n v="907"/>
    <n v="41"/>
    <s v="Male"/>
    <x v="13"/>
    <x v="0"/>
    <n v="56"/>
    <s v="South Carolina"/>
    <x v="2"/>
    <x v="16"/>
    <x v="1"/>
    <x v="13"/>
    <x v="0"/>
    <x v="0"/>
    <n v="21"/>
    <x v="5"/>
    <x v="4"/>
    <m/>
  </r>
  <r>
    <n v="908"/>
    <n v="32"/>
    <s v="Male"/>
    <x v="1"/>
    <x v="0"/>
    <n v="43"/>
    <s v="Missouri"/>
    <x v="0"/>
    <x v="17"/>
    <x v="0"/>
    <x v="9"/>
    <x v="0"/>
    <x v="0"/>
    <n v="34"/>
    <x v="2"/>
    <x v="4"/>
    <m/>
  </r>
  <r>
    <n v="909"/>
    <n v="26"/>
    <s v="Male"/>
    <x v="12"/>
    <x v="3"/>
    <n v="99"/>
    <s v="New Jersey"/>
    <x v="2"/>
    <x v="2"/>
    <x v="0"/>
    <x v="2"/>
    <x v="0"/>
    <x v="0"/>
    <n v="9"/>
    <x v="3"/>
    <x v="6"/>
    <m/>
  </r>
  <r>
    <n v="910"/>
    <n v="61"/>
    <s v="Male"/>
    <x v="22"/>
    <x v="3"/>
    <n v="56"/>
    <s v="Louisiana"/>
    <x v="0"/>
    <x v="5"/>
    <x v="3"/>
    <x v="6"/>
    <x v="0"/>
    <x v="0"/>
    <n v="36"/>
    <x v="3"/>
    <x v="1"/>
    <m/>
  </r>
  <r>
    <n v="911"/>
    <n v="49"/>
    <s v="Male"/>
    <x v="15"/>
    <x v="0"/>
    <n v="25"/>
    <s v="South Carolina"/>
    <x v="1"/>
    <x v="6"/>
    <x v="1"/>
    <x v="10"/>
    <x v="0"/>
    <x v="0"/>
    <n v="22"/>
    <x v="2"/>
    <x v="5"/>
    <m/>
  </r>
  <r>
    <n v="912"/>
    <n v="53"/>
    <s v="Male"/>
    <x v="13"/>
    <x v="0"/>
    <n v="74"/>
    <s v="Vermont"/>
    <x v="2"/>
    <x v="13"/>
    <x v="0"/>
    <x v="24"/>
    <x v="0"/>
    <x v="0"/>
    <n v="2"/>
    <x v="4"/>
    <x v="3"/>
    <m/>
  </r>
  <r>
    <n v="913"/>
    <n v="24"/>
    <s v="Male"/>
    <x v="15"/>
    <x v="0"/>
    <n v="56"/>
    <s v="Arkansas"/>
    <x v="2"/>
    <x v="14"/>
    <x v="0"/>
    <x v="10"/>
    <x v="0"/>
    <x v="0"/>
    <n v="32"/>
    <x v="4"/>
    <x v="5"/>
    <m/>
  </r>
  <r>
    <n v="914"/>
    <n v="37"/>
    <s v="Male"/>
    <x v="4"/>
    <x v="1"/>
    <n v="47"/>
    <s v="Utah"/>
    <x v="2"/>
    <x v="22"/>
    <x v="3"/>
    <x v="4"/>
    <x v="0"/>
    <x v="0"/>
    <n v="29"/>
    <x v="1"/>
    <x v="6"/>
    <m/>
  </r>
  <r>
    <n v="915"/>
    <n v="43"/>
    <s v="Male"/>
    <x v="10"/>
    <x v="0"/>
    <n v="67"/>
    <s v="Washington"/>
    <x v="0"/>
    <x v="7"/>
    <x v="2"/>
    <x v="18"/>
    <x v="0"/>
    <x v="0"/>
    <n v="27"/>
    <x v="0"/>
    <x v="6"/>
    <m/>
  </r>
  <r>
    <n v="916"/>
    <n v="31"/>
    <s v="Male"/>
    <x v="10"/>
    <x v="0"/>
    <n v="22"/>
    <s v="Rhode Island"/>
    <x v="0"/>
    <x v="7"/>
    <x v="0"/>
    <x v="25"/>
    <x v="0"/>
    <x v="0"/>
    <n v="33"/>
    <x v="2"/>
    <x v="0"/>
    <m/>
  </r>
  <r>
    <n v="917"/>
    <n v="49"/>
    <s v="Male"/>
    <x v="2"/>
    <x v="0"/>
    <n v="34"/>
    <s v="Illinois"/>
    <x v="1"/>
    <x v="24"/>
    <x v="1"/>
    <x v="6"/>
    <x v="0"/>
    <x v="0"/>
    <n v="16"/>
    <x v="0"/>
    <x v="5"/>
    <m/>
  </r>
  <r>
    <n v="918"/>
    <n v="69"/>
    <s v="Male"/>
    <x v="1"/>
    <x v="0"/>
    <n v="64"/>
    <s v="Missouri"/>
    <x v="2"/>
    <x v="1"/>
    <x v="1"/>
    <x v="5"/>
    <x v="0"/>
    <x v="0"/>
    <n v="11"/>
    <x v="4"/>
    <x v="3"/>
    <m/>
  </r>
  <r>
    <n v="919"/>
    <n v="65"/>
    <s v="Male"/>
    <x v="6"/>
    <x v="0"/>
    <n v="42"/>
    <s v="North Carolina"/>
    <x v="2"/>
    <x v="20"/>
    <x v="1"/>
    <x v="12"/>
    <x v="0"/>
    <x v="0"/>
    <n v="11"/>
    <x v="1"/>
    <x v="0"/>
    <m/>
  </r>
  <r>
    <n v="920"/>
    <n v="41"/>
    <s v="Male"/>
    <x v="5"/>
    <x v="0"/>
    <n v="82"/>
    <s v="Massachusetts"/>
    <x v="0"/>
    <x v="14"/>
    <x v="0"/>
    <x v="4"/>
    <x v="0"/>
    <x v="0"/>
    <n v="17"/>
    <x v="5"/>
    <x v="4"/>
    <m/>
  </r>
  <r>
    <n v="921"/>
    <n v="37"/>
    <s v="Male"/>
    <x v="22"/>
    <x v="3"/>
    <n v="81"/>
    <s v="Arkansas"/>
    <x v="3"/>
    <x v="9"/>
    <x v="2"/>
    <x v="12"/>
    <x v="0"/>
    <x v="0"/>
    <n v="37"/>
    <x v="1"/>
    <x v="1"/>
    <m/>
  </r>
  <r>
    <n v="922"/>
    <n v="70"/>
    <s v="Male"/>
    <x v="7"/>
    <x v="2"/>
    <n v="24"/>
    <s v="South Dakota"/>
    <x v="0"/>
    <x v="5"/>
    <x v="2"/>
    <x v="18"/>
    <x v="0"/>
    <x v="0"/>
    <n v="18"/>
    <x v="3"/>
    <x v="1"/>
    <m/>
  </r>
  <r>
    <n v="923"/>
    <n v="63"/>
    <s v="Male"/>
    <x v="4"/>
    <x v="1"/>
    <n v="60"/>
    <s v="Georgia"/>
    <x v="2"/>
    <x v="17"/>
    <x v="3"/>
    <x v="13"/>
    <x v="0"/>
    <x v="0"/>
    <n v="13"/>
    <x v="2"/>
    <x v="5"/>
    <m/>
  </r>
  <r>
    <n v="924"/>
    <n v="55"/>
    <s v="Male"/>
    <x v="5"/>
    <x v="0"/>
    <n v="24"/>
    <s v="Arkansas"/>
    <x v="2"/>
    <x v="5"/>
    <x v="1"/>
    <x v="13"/>
    <x v="0"/>
    <x v="0"/>
    <n v="7"/>
    <x v="3"/>
    <x v="1"/>
    <m/>
  </r>
  <r>
    <n v="925"/>
    <n v="52"/>
    <s v="Male"/>
    <x v="20"/>
    <x v="0"/>
    <n v="78"/>
    <s v="Kansas"/>
    <x v="3"/>
    <x v="19"/>
    <x v="0"/>
    <x v="0"/>
    <x v="0"/>
    <x v="0"/>
    <n v="37"/>
    <x v="1"/>
    <x v="3"/>
    <m/>
  </r>
  <r>
    <n v="926"/>
    <n v="22"/>
    <s v="Male"/>
    <x v="2"/>
    <x v="0"/>
    <n v="88"/>
    <s v="Arizona"/>
    <x v="0"/>
    <x v="11"/>
    <x v="0"/>
    <x v="17"/>
    <x v="0"/>
    <x v="0"/>
    <n v="8"/>
    <x v="1"/>
    <x v="5"/>
    <m/>
  </r>
  <r>
    <n v="927"/>
    <n v="54"/>
    <s v="Male"/>
    <x v="2"/>
    <x v="0"/>
    <n v="63"/>
    <s v="Massachusetts"/>
    <x v="3"/>
    <x v="14"/>
    <x v="1"/>
    <x v="9"/>
    <x v="0"/>
    <x v="0"/>
    <n v="11"/>
    <x v="1"/>
    <x v="4"/>
    <m/>
  </r>
  <r>
    <n v="928"/>
    <n v="28"/>
    <s v="Male"/>
    <x v="4"/>
    <x v="1"/>
    <n v="78"/>
    <s v="New Mexico"/>
    <x v="0"/>
    <x v="13"/>
    <x v="2"/>
    <x v="9"/>
    <x v="0"/>
    <x v="0"/>
    <n v="8"/>
    <x v="0"/>
    <x v="4"/>
    <m/>
  </r>
  <r>
    <n v="929"/>
    <n v="67"/>
    <s v="Male"/>
    <x v="10"/>
    <x v="0"/>
    <n v="37"/>
    <s v="Arkansas"/>
    <x v="3"/>
    <x v="22"/>
    <x v="0"/>
    <x v="10"/>
    <x v="0"/>
    <x v="0"/>
    <n v="31"/>
    <x v="1"/>
    <x v="6"/>
    <m/>
  </r>
  <r>
    <n v="930"/>
    <n v="59"/>
    <s v="Male"/>
    <x v="23"/>
    <x v="1"/>
    <n v="94"/>
    <s v="Nebraska"/>
    <x v="2"/>
    <x v="3"/>
    <x v="3"/>
    <x v="21"/>
    <x v="0"/>
    <x v="0"/>
    <n v="26"/>
    <x v="5"/>
    <x v="0"/>
    <m/>
  </r>
  <r>
    <n v="931"/>
    <n v="26"/>
    <s v="Male"/>
    <x v="17"/>
    <x v="0"/>
    <n v="78"/>
    <s v="Hawaii"/>
    <x v="0"/>
    <x v="14"/>
    <x v="3"/>
    <x v="21"/>
    <x v="0"/>
    <x v="0"/>
    <n v="20"/>
    <x v="2"/>
    <x v="4"/>
    <m/>
  </r>
  <r>
    <n v="932"/>
    <n v="24"/>
    <s v="Male"/>
    <x v="7"/>
    <x v="2"/>
    <n v="36"/>
    <s v="Nebraska"/>
    <x v="2"/>
    <x v="5"/>
    <x v="0"/>
    <x v="18"/>
    <x v="0"/>
    <x v="0"/>
    <n v="24"/>
    <x v="4"/>
    <x v="0"/>
    <m/>
  </r>
  <r>
    <n v="933"/>
    <n v="62"/>
    <s v="Male"/>
    <x v="11"/>
    <x v="0"/>
    <n v="24"/>
    <s v="Indiana"/>
    <x v="0"/>
    <x v="24"/>
    <x v="0"/>
    <x v="20"/>
    <x v="0"/>
    <x v="0"/>
    <n v="45"/>
    <x v="5"/>
    <x v="4"/>
    <m/>
  </r>
  <r>
    <n v="934"/>
    <n v="70"/>
    <s v="Male"/>
    <x v="4"/>
    <x v="1"/>
    <n v="84"/>
    <s v="Colorado"/>
    <x v="2"/>
    <x v="23"/>
    <x v="1"/>
    <x v="6"/>
    <x v="0"/>
    <x v="0"/>
    <n v="33"/>
    <x v="5"/>
    <x v="5"/>
    <m/>
  </r>
  <r>
    <n v="935"/>
    <n v="45"/>
    <s v="Male"/>
    <x v="2"/>
    <x v="0"/>
    <n v="47"/>
    <s v="Oregon"/>
    <x v="1"/>
    <x v="22"/>
    <x v="1"/>
    <x v="5"/>
    <x v="0"/>
    <x v="0"/>
    <n v="21"/>
    <x v="4"/>
    <x v="5"/>
    <m/>
  </r>
  <r>
    <n v="936"/>
    <n v="58"/>
    <s v="Male"/>
    <x v="15"/>
    <x v="0"/>
    <n v="51"/>
    <s v="Ohio"/>
    <x v="0"/>
    <x v="3"/>
    <x v="3"/>
    <x v="4"/>
    <x v="0"/>
    <x v="0"/>
    <n v="2"/>
    <x v="4"/>
    <x v="0"/>
    <m/>
  </r>
  <r>
    <n v="937"/>
    <n v="31"/>
    <s v="Male"/>
    <x v="9"/>
    <x v="1"/>
    <n v="84"/>
    <s v="Maine"/>
    <x v="2"/>
    <x v="6"/>
    <x v="2"/>
    <x v="6"/>
    <x v="0"/>
    <x v="0"/>
    <n v="28"/>
    <x v="1"/>
    <x v="1"/>
    <m/>
  </r>
  <r>
    <n v="938"/>
    <n v="32"/>
    <s v="Male"/>
    <x v="6"/>
    <x v="0"/>
    <n v="24"/>
    <s v="Iowa"/>
    <x v="2"/>
    <x v="23"/>
    <x v="2"/>
    <x v="6"/>
    <x v="0"/>
    <x v="0"/>
    <n v="18"/>
    <x v="0"/>
    <x v="3"/>
    <m/>
  </r>
  <r>
    <n v="939"/>
    <n v="36"/>
    <s v="Male"/>
    <x v="0"/>
    <x v="0"/>
    <n v="97"/>
    <s v="Wisconsin"/>
    <x v="1"/>
    <x v="11"/>
    <x v="3"/>
    <x v="3"/>
    <x v="0"/>
    <x v="0"/>
    <n v="21"/>
    <x v="5"/>
    <x v="0"/>
    <m/>
  </r>
  <r>
    <n v="940"/>
    <n v="25"/>
    <s v="Male"/>
    <x v="17"/>
    <x v="0"/>
    <n v="89"/>
    <s v="New York"/>
    <x v="0"/>
    <x v="21"/>
    <x v="0"/>
    <x v="3"/>
    <x v="0"/>
    <x v="0"/>
    <n v="24"/>
    <x v="2"/>
    <x v="5"/>
    <m/>
  </r>
  <r>
    <n v="941"/>
    <n v="48"/>
    <s v="Male"/>
    <x v="22"/>
    <x v="3"/>
    <n v="44"/>
    <s v="Colorado"/>
    <x v="1"/>
    <x v="1"/>
    <x v="1"/>
    <x v="4"/>
    <x v="0"/>
    <x v="0"/>
    <n v="15"/>
    <x v="3"/>
    <x v="6"/>
    <m/>
  </r>
  <r>
    <n v="942"/>
    <n v="39"/>
    <s v="Male"/>
    <x v="8"/>
    <x v="3"/>
    <n v="35"/>
    <s v="Illinois"/>
    <x v="0"/>
    <x v="13"/>
    <x v="0"/>
    <x v="21"/>
    <x v="0"/>
    <x v="0"/>
    <n v="38"/>
    <x v="3"/>
    <x v="6"/>
    <m/>
  </r>
  <r>
    <n v="943"/>
    <n v="26"/>
    <s v="Male"/>
    <x v="10"/>
    <x v="0"/>
    <n v="91"/>
    <s v="Arizona"/>
    <x v="2"/>
    <x v="17"/>
    <x v="0"/>
    <x v="20"/>
    <x v="0"/>
    <x v="0"/>
    <n v="38"/>
    <x v="3"/>
    <x v="4"/>
    <m/>
  </r>
  <r>
    <n v="944"/>
    <n v="32"/>
    <s v="Male"/>
    <x v="19"/>
    <x v="3"/>
    <n v="63"/>
    <s v="Oklahoma"/>
    <x v="0"/>
    <x v="17"/>
    <x v="0"/>
    <x v="1"/>
    <x v="0"/>
    <x v="0"/>
    <n v="13"/>
    <x v="0"/>
    <x v="0"/>
    <m/>
  </r>
  <r>
    <n v="945"/>
    <n v="54"/>
    <s v="Male"/>
    <x v="22"/>
    <x v="3"/>
    <n v="97"/>
    <s v="Indiana"/>
    <x v="1"/>
    <x v="0"/>
    <x v="1"/>
    <x v="3"/>
    <x v="0"/>
    <x v="0"/>
    <n v="39"/>
    <x v="1"/>
    <x v="4"/>
    <m/>
  </r>
  <r>
    <n v="946"/>
    <n v="38"/>
    <s v="Male"/>
    <x v="23"/>
    <x v="1"/>
    <n v="38"/>
    <s v="Minnesota"/>
    <x v="2"/>
    <x v="10"/>
    <x v="2"/>
    <x v="18"/>
    <x v="0"/>
    <x v="0"/>
    <n v="8"/>
    <x v="0"/>
    <x v="6"/>
    <m/>
  </r>
  <r>
    <n v="947"/>
    <n v="46"/>
    <s v="Male"/>
    <x v="7"/>
    <x v="2"/>
    <n v="24"/>
    <s v="Pennsylvania"/>
    <x v="3"/>
    <x v="24"/>
    <x v="1"/>
    <x v="24"/>
    <x v="0"/>
    <x v="0"/>
    <n v="4"/>
    <x v="3"/>
    <x v="3"/>
    <m/>
  </r>
  <r>
    <n v="948"/>
    <n v="57"/>
    <s v="Male"/>
    <x v="0"/>
    <x v="0"/>
    <n v="32"/>
    <s v="Indiana"/>
    <x v="2"/>
    <x v="4"/>
    <x v="0"/>
    <x v="14"/>
    <x v="0"/>
    <x v="0"/>
    <n v="6"/>
    <x v="1"/>
    <x v="6"/>
    <m/>
  </r>
  <r>
    <n v="949"/>
    <n v="49"/>
    <s v="Male"/>
    <x v="19"/>
    <x v="3"/>
    <n v="90"/>
    <s v="Alabama"/>
    <x v="0"/>
    <x v="8"/>
    <x v="2"/>
    <x v="17"/>
    <x v="0"/>
    <x v="0"/>
    <n v="11"/>
    <x v="0"/>
    <x v="6"/>
    <m/>
  </r>
  <r>
    <n v="950"/>
    <n v="33"/>
    <s v="Male"/>
    <x v="2"/>
    <x v="0"/>
    <n v="36"/>
    <s v="Montana"/>
    <x v="2"/>
    <x v="8"/>
    <x v="2"/>
    <x v="10"/>
    <x v="0"/>
    <x v="0"/>
    <n v="49"/>
    <x v="0"/>
    <x v="5"/>
    <m/>
  </r>
  <r>
    <n v="951"/>
    <n v="54"/>
    <s v="Male"/>
    <x v="21"/>
    <x v="3"/>
    <n v="37"/>
    <s v="New Mexico"/>
    <x v="3"/>
    <x v="2"/>
    <x v="0"/>
    <x v="18"/>
    <x v="0"/>
    <x v="0"/>
    <n v="30"/>
    <x v="3"/>
    <x v="3"/>
    <m/>
  </r>
  <r>
    <n v="952"/>
    <n v="47"/>
    <s v="Male"/>
    <x v="10"/>
    <x v="0"/>
    <n v="51"/>
    <s v="Alaska"/>
    <x v="2"/>
    <x v="17"/>
    <x v="2"/>
    <x v="25"/>
    <x v="0"/>
    <x v="0"/>
    <n v="34"/>
    <x v="4"/>
    <x v="5"/>
    <m/>
  </r>
  <r>
    <n v="953"/>
    <n v="36"/>
    <s v="Male"/>
    <x v="19"/>
    <x v="3"/>
    <n v="71"/>
    <s v="Idaho"/>
    <x v="1"/>
    <x v="16"/>
    <x v="3"/>
    <x v="0"/>
    <x v="0"/>
    <x v="0"/>
    <n v="28"/>
    <x v="3"/>
    <x v="5"/>
    <m/>
  </r>
  <r>
    <n v="954"/>
    <n v="68"/>
    <s v="Male"/>
    <x v="12"/>
    <x v="3"/>
    <n v="50"/>
    <s v="Utah"/>
    <x v="1"/>
    <x v="17"/>
    <x v="1"/>
    <x v="2"/>
    <x v="0"/>
    <x v="0"/>
    <n v="36"/>
    <x v="0"/>
    <x v="3"/>
    <m/>
  </r>
  <r>
    <n v="955"/>
    <n v="60"/>
    <s v="Male"/>
    <x v="19"/>
    <x v="3"/>
    <n v="74"/>
    <s v="Louisiana"/>
    <x v="1"/>
    <x v="2"/>
    <x v="3"/>
    <x v="22"/>
    <x v="0"/>
    <x v="0"/>
    <n v="18"/>
    <x v="2"/>
    <x v="6"/>
    <m/>
  </r>
  <r>
    <n v="956"/>
    <n v="55"/>
    <s v="Male"/>
    <x v="10"/>
    <x v="0"/>
    <n v="75"/>
    <s v="Mississippi"/>
    <x v="0"/>
    <x v="12"/>
    <x v="2"/>
    <x v="10"/>
    <x v="0"/>
    <x v="0"/>
    <n v="4"/>
    <x v="3"/>
    <x v="5"/>
    <m/>
  </r>
  <r>
    <n v="957"/>
    <n v="29"/>
    <s v="Male"/>
    <x v="5"/>
    <x v="0"/>
    <n v="99"/>
    <s v="Mississippi"/>
    <x v="3"/>
    <x v="17"/>
    <x v="1"/>
    <x v="25"/>
    <x v="0"/>
    <x v="0"/>
    <n v="42"/>
    <x v="5"/>
    <x v="3"/>
    <m/>
  </r>
  <r>
    <n v="958"/>
    <n v="38"/>
    <s v="Male"/>
    <x v="18"/>
    <x v="3"/>
    <n v="23"/>
    <s v="Indiana"/>
    <x v="3"/>
    <x v="10"/>
    <x v="1"/>
    <x v="15"/>
    <x v="0"/>
    <x v="0"/>
    <n v="11"/>
    <x v="1"/>
    <x v="3"/>
    <m/>
  </r>
  <r>
    <n v="959"/>
    <n v="70"/>
    <s v="Male"/>
    <x v="4"/>
    <x v="1"/>
    <n v="53"/>
    <s v="Washington"/>
    <x v="3"/>
    <x v="19"/>
    <x v="0"/>
    <x v="9"/>
    <x v="0"/>
    <x v="0"/>
    <n v="31"/>
    <x v="2"/>
    <x v="4"/>
    <m/>
  </r>
  <r>
    <n v="960"/>
    <n v="36"/>
    <s v="Male"/>
    <x v="11"/>
    <x v="0"/>
    <n v="99"/>
    <s v="Nevada"/>
    <x v="2"/>
    <x v="17"/>
    <x v="1"/>
    <x v="4"/>
    <x v="0"/>
    <x v="0"/>
    <n v="12"/>
    <x v="1"/>
    <x v="0"/>
    <m/>
  </r>
  <r>
    <n v="961"/>
    <n v="18"/>
    <s v="Male"/>
    <x v="16"/>
    <x v="3"/>
    <n v="48"/>
    <s v="Louisiana"/>
    <x v="3"/>
    <x v="21"/>
    <x v="1"/>
    <x v="9"/>
    <x v="0"/>
    <x v="0"/>
    <n v="20"/>
    <x v="0"/>
    <x v="3"/>
    <m/>
  </r>
  <r>
    <n v="962"/>
    <n v="62"/>
    <s v="Male"/>
    <x v="23"/>
    <x v="1"/>
    <n v="72"/>
    <s v="Pennsylvania"/>
    <x v="0"/>
    <x v="8"/>
    <x v="3"/>
    <x v="5"/>
    <x v="0"/>
    <x v="0"/>
    <n v="37"/>
    <x v="5"/>
    <x v="3"/>
    <m/>
  </r>
  <r>
    <n v="963"/>
    <n v="29"/>
    <s v="Male"/>
    <x v="12"/>
    <x v="3"/>
    <n v="64"/>
    <s v="Michigan"/>
    <x v="0"/>
    <x v="14"/>
    <x v="1"/>
    <x v="9"/>
    <x v="0"/>
    <x v="0"/>
    <n v="26"/>
    <x v="5"/>
    <x v="0"/>
    <m/>
  </r>
  <r>
    <n v="964"/>
    <n v="21"/>
    <s v="Male"/>
    <x v="23"/>
    <x v="1"/>
    <n v="63"/>
    <s v="South Carolina"/>
    <x v="0"/>
    <x v="14"/>
    <x v="1"/>
    <x v="16"/>
    <x v="0"/>
    <x v="0"/>
    <n v="14"/>
    <x v="2"/>
    <x v="1"/>
    <m/>
  </r>
  <r>
    <n v="965"/>
    <n v="42"/>
    <s v="Male"/>
    <x v="3"/>
    <x v="1"/>
    <n v="51"/>
    <s v="Arizona"/>
    <x v="2"/>
    <x v="19"/>
    <x v="1"/>
    <x v="4"/>
    <x v="0"/>
    <x v="0"/>
    <n v="12"/>
    <x v="0"/>
    <x v="4"/>
    <m/>
  </r>
  <r>
    <n v="966"/>
    <n v="43"/>
    <s v="Male"/>
    <x v="23"/>
    <x v="1"/>
    <n v="55"/>
    <s v="Delaware"/>
    <x v="0"/>
    <x v="13"/>
    <x v="1"/>
    <x v="11"/>
    <x v="0"/>
    <x v="0"/>
    <n v="10"/>
    <x v="2"/>
    <x v="2"/>
    <m/>
  </r>
  <r>
    <n v="967"/>
    <n v="58"/>
    <s v="Male"/>
    <x v="10"/>
    <x v="0"/>
    <n v="55"/>
    <s v="Kentucky"/>
    <x v="2"/>
    <x v="18"/>
    <x v="1"/>
    <x v="17"/>
    <x v="0"/>
    <x v="0"/>
    <n v="19"/>
    <x v="1"/>
    <x v="2"/>
    <m/>
  </r>
  <r>
    <n v="968"/>
    <n v="27"/>
    <s v="Male"/>
    <x v="15"/>
    <x v="0"/>
    <n v="26"/>
    <s v="Georgia"/>
    <x v="1"/>
    <x v="5"/>
    <x v="2"/>
    <x v="5"/>
    <x v="0"/>
    <x v="0"/>
    <n v="4"/>
    <x v="1"/>
    <x v="1"/>
    <m/>
  </r>
  <r>
    <n v="969"/>
    <n v="57"/>
    <s v="Male"/>
    <x v="6"/>
    <x v="0"/>
    <n v="67"/>
    <s v="North Carolina"/>
    <x v="0"/>
    <x v="0"/>
    <x v="2"/>
    <x v="0"/>
    <x v="0"/>
    <x v="0"/>
    <n v="48"/>
    <x v="4"/>
    <x v="3"/>
    <m/>
  </r>
  <r>
    <n v="970"/>
    <n v="40"/>
    <s v="Male"/>
    <x v="7"/>
    <x v="2"/>
    <n v="31"/>
    <s v="California"/>
    <x v="1"/>
    <x v="6"/>
    <x v="3"/>
    <x v="20"/>
    <x v="0"/>
    <x v="0"/>
    <n v="37"/>
    <x v="3"/>
    <x v="5"/>
    <m/>
  </r>
  <r>
    <n v="971"/>
    <n v="45"/>
    <s v="Male"/>
    <x v="2"/>
    <x v="0"/>
    <n v="66"/>
    <s v="California"/>
    <x v="1"/>
    <x v="1"/>
    <x v="0"/>
    <x v="9"/>
    <x v="0"/>
    <x v="0"/>
    <n v="4"/>
    <x v="1"/>
    <x v="5"/>
    <m/>
  </r>
  <r>
    <n v="972"/>
    <n v="47"/>
    <s v="Male"/>
    <x v="12"/>
    <x v="3"/>
    <n v="67"/>
    <s v="Indiana"/>
    <x v="2"/>
    <x v="17"/>
    <x v="2"/>
    <x v="12"/>
    <x v="0"/>
    <x v="0"/>
    <n v="15"/>
    <x v="2"/>
    <x v="1"/>
    <m/>
  </r>
  <r>
    <n v="973"/>
    <n v="61"/>
    <s v="Male"/>
    <x v="4"/>
    <x v="1"/>
    <n v="61"/>
    <s v="Colorado"/>
    <x v="0"/>
    <x v="9"/>
    <x v="0"/>
    <x v="23"/>
    <x v="0"/>
    <x v="0"/>
    <n v="33"/>
    <x v="2"/>
    <x v="1"/>
    <m/>
  </r>
  <r>
    <n v="974"/>
    <n v="60"/>
    <s v="Male"/>
    <x v="14"/>
    <x v="2"/>
    <n v="75"/>
    <s v="Colorado"/>
    <x v="2"/>
    <x v="11"/>
    <x v="3"/>
    <x v="22"/>
    <x v="0"/>
    <x v="0"/>
    <n v="30"/>
    <x v="4"/>
    <x v="3"/>
    <m/>
  </r>
  <r>
    <n v="975"/>
    <n v="69"/>
    <s v="Male"/>
    <x v="11"/>
    <x v="0"/>
    <n v="90"/>
    <s v="North Carolina"/>
    <x v="2"/>
    <x v="19"/>
    <x v="1"/>
    <x v="2"/>
    <x v="0"/>
    <x v="0"/>
    <n v="23"/>
    <x v="4"/>
    <x v="5"/>
    <m/>
  </r>
  <r>
    <n v="976"/>
    <n v="58"/>
    <s v="Male"/>
    <x v="1"/>
    <x v="0"/>
    <n v="40"/>
    <s v="Washington"/>
    <x v="2"/>
    <x v="8"/>
    <x v="2"/>
    <x v="1"/>
    <x v="0"/>
    <x v="0"/>
    <n v="2"/>
    <x v="4"/>
    <x v="1"/>
    <m/>
  </r>
  <r>
    <n v="977"/>
    <n v="34"/>
    <s v="Male"/>
    <x v="17"/>
    <x v="0"/>
    <n v="90"/>
    <s v="Florida"/>
    <x v="2"/>
    <x v="0"/>
    <x v="3"/>
    <x v="2"/>
    <x v="0"/>
    <x v="0"/>
    <n v="50"/>
    <x v="2"/>
    <x v="6"/>
    <m/>
  </r>
  <r>
    <n v="978"/>
    <n v="20"/>
    <s v="Male"/>
    <x v="22"/>
    <x v="3"/>
    <n v="20"/>
    <s v="Washington"/>
    <x v="2"/>
    <x v="13"/>
    <x v="1"/>
    <x v="7"/>
    <x v="0"/>
    <x v="0"/>
    <n v="34"/>
    <x v="1"/>
    <x v="4"/>
    <m/>
  </r>
  <r>
    <n v="979"/>
    <n v="56"/>
    <s v="Male"/>
    <x v="24"/>
    <x v="3"/>
    <n v="40"/>
    <s v="Colorado"/>
    <x v="2"/>
    <x v="2"/>
    <x v="2"/>
    <x v="16"/>
    <x v="0"/>
    <x v="0"/>
    <n v="33"/>
    <x v="2"/>
    <x v="1"/>
    <m/>
  </r>
  <r>
    <n v="980"/>
    <n v="64"/>
    <s v="Male"/>
    <x v="19"/>
    <x v="3"/>
    <n v="33"/>
    <s v="New Hampshire"/>
    <x v="1"/>
    <x v="18"/>
    <x v="3"/>
    <x v="22"/>
    <x v="0"/>
    <x v="0"/>
    <n v="34"/>
    <x v="5"/>
    <x v="5"/>
    <m/>
  </r>
  <r>
    <n v="981"/>
    <n v="56"/>
    <s v="Male"/>
    <x v="23"/>
    <x v="1"/>
    <n v="98"/>
    <s v="Maryland"/>
    <x v="1"/>
    <x v="23"/>
    <x v="1"/>
    <x v="8"/>
    <x v="0"/>
    <x v="0"/>
    <n v="39"/>
    <x v="3"/>
    <x v="6"/>
    <m/>
  </r>
  <r>
    <n v="982"/>
    <n v="27"/>
    <s v="Male"/>
    <x v="22"/>
    <x v="3"/>
    <n v="42"/>
    <s v="Maryland"/>
    <x v="2"/>
    <x v="5"/>
    <x v="1"/>
    <x v="22"/>
    <x v="0"/>
    <x v="0"/>
    <n v="47"/>
    <x v="2"/>
    <x v="3"/>
    <m/>
  </r>
  <r>
    <n v="983"/>
    <n v="35"/>
    <s v="Male"/>
    <x v="7"/>
    <x v="2"/>
    <n v="62"/>
    <s v="Texas"/>
    <x v="1"/>
    <x v="16"/>
    <x v="2"/>
    <x v="20"/>
    <x v="0"/>
    <x v="0"/>
    <n v="37"/>
    <x v="3"/>
    <x v="5"/>
    <m/>
  </r>
  <r>
    <n v="984"/>
    <n v="24"/>
    <s v="Male"/>
    <x v="19"/>
    <x v="3"/>
    <n v="45"/>
    <s v="New Mexico"/>
    <x v="0"/>
    <x v="21"/>
    <x v="0"/>
    <x v="22"/>
    <x v="0"/>
    <x v="0"/>
    <n v="40"/>
    <x v="0"/>
    <x v="4"/>
    <m/>
  </r>
  <r>
    <n v="985"/>
    <n v="26"/>
    <s v="Male"/>
    <x v="9"/>
    <x v="1"/>
    <n v="78"/>
    <s v="Utah"/>
    <x v="2"/>
    <x v="14"/>
    <x v="2"/>
    <x v="10"/>
    <x v="0"/>
    <x v="0"/>
    <n v="8"/>
    <x v="2"/>
    <x v="4"/>
    <m/>
  </r>
  <r>
    <n v="986"/>
    <n v="32"/>
    <s v="Male"/>
    <x v="8"/>
    <x v="3"/>
    <n v="80"/>
    <s v="West Virginia"/>
    <x v="2"/>
    <x v="0"/>
    <x v="3"/>
    <x v="11"/>
    <x v="0"/>
    <x v="0"/>
    <n v="12"/>
    <x v="4"/>
    <x v="2"/>
    <m/>
  </r>
  <r>
    <n v="987"/>
    <n v="54"/>
    <s v="Male"/>
    <x v="18"/>
    <x v="3"/>
    <n v="96"/>
    <s v="Connecticut"/>
    <x v="1"/>
    <x v="15"/>
    <x v="1"/>
    <x v="21"/>
    <x v="0"/>
    <x v="0"/>
    <n v="36"/>
    <x v="4"/>
    <x v="5"/>
    <m/>
  </r>
  <r>
    <n v="988"/>
    <n v="62"/>
    <s v="Male"/>
    <x v="8"/>
    <x v="3"/>
    <n v="47"/>
    <s v="West Virginia"/>
    <x v="2"/>
    <x v="4"/>
    <x v="2"/>
    <x v="24"/>
    <x v="0"/>
    <x v="0"/>
    <n v="48"/>
    <x v="3"/>
    <x v="1"/>
    <m/>
  </r>
  <r>
    <n v="989"/>
    <n v="50"/>
    <s v="Male"/>
    <x v="13"/>
    <x v="0"/>
    <n v="84"/>
    <s v="Ohio"/>
    <x v="2"/>
    <x v="20"/>
    <x v="0"/>
    <x v="17"/>
    <x v="0"/>
    <x v="0"/>
    <n v="47"/>
    <x v="3"/>
    <x v="0"/>
    <m/>
  </r>
  <r>
    <n v="990"/>
    <n v="70"/>
    <s v="Male"/>
    <x v="9"/>
    <x v="1"/>
    <n v="31"/>
    <s v="Texas"/>
    <x v="2"/>
    <x v="19"/>
    <x v="1"/>
    <x v="0"/>
    <x v="0"/>
    <x v="0"/>
    <n v="2"/>
    <x v="4"/>
    <x v="5"/>
    <m/>
  </r>
  <r>
    <n v="991"/>
    <n v="48"/>
    <s v="Male"/>
    <x v="12"/>
    <x v="3"/>
    <n v="63"/>
    <s v="Washington"/>
    <x v="1"/>
    <x v="22"/>
    <x v="1"/>
    <x v="3"/>
    <x v="0"/>
    <x v="0"/>
    <n v="24"/>
    <x v="1"/>
    <x v="1"/>
    <m/>
  </r>
  <r>
    <n v="992"/>
    <n v="20"/>
    <s v="Male"/>
    <x v="6"/>
    <x v="0"/>
    <n v="97"/>
    <s v="Wisconsin"/>
    <x v="3"/>
    <x v="3"/>
    <x v="1"/>
    <x v="6"/>
    <x v="0"/>
    <x v="0"/>
    <n v="40"/>
    <x v="4"/>
    <x v="4"/>
    <m/>
  </r>
  <r>
    <n v="993"/>
    <n v="46"/>
    <s v="Male"/>
    <x v="14"/>
    <x v="2"/>
    <n v="99"/>
    <s v="Louisiana"/>
    <x v="2"/>
    <x v="0"/>
    <x v="0"/>
    <x v="7"/>
    <x v="0"/>
    <x v="0"/>
    <n v="50"/>
    <x v="5"/>
    <x v="1"/>
    <m/>
  </r>
  <r>
    <n v="994"/>
    <n v="51"/>
    <s v="Male"/>
    <x v="3"/>
    <x v="1"/>
    <n v="90"/>
    <s v="Iowa"/>
    <x v="2"/>
    <x v="15"/>
    <x v="0"/>
    <x v="9"/>
    <x v="0"/>
    <x v="0"/>
    <n v="25"/>
    <x v="1"/>
    <x v="1"/>
    <m/>
  </r>
  <r>
    <n v="995"/>
    <n v="53"/>
    <s v="Male"/>
    <x v="9"/>
    <x v="1"/>
    <n v="68"/>
    <s v="New York"/>
    <x v="0"/>
    <x v="10"/>
    <x v="3"/>
    <x v="20"/>
    <x v="0"/>
    <x v="0"/>
    <n v="20"/>
    <x v="5"/>
    <x v="5"/>
    <m/>
  </r>
  <r>
    <n v="996"/>
    <n v="44"/>
    <s v="Male"/>
    <x v="16"/>
    <x v="3"/>
    <n v="80"/>
    <s v="Idaho"/>
    <x v="2"/>
    <x v="23"/>
    <x v="1"/>
    <x v="23"/>
    <x v="0"/>
    <x v="0"/>
    <n v="10"/>
    <x v="0"/>
    <x v="1"/>
    <m/>
  </r>
  <r>
    <n v="997"/>
    <n v="29"/>
    <s v="Male"/>
    <x v="3"/>
    <x v="1"/>
    <n v="91"/>
    <s v="Delaware"/>
    <x v="0"/>
    <x v="1"/>
    <x v="2"/>
    <x v="17"/>
    <x v="0"/>
    <x v="0"/>
    <n v="32"/>
    <x v="4"/>
    <x v="3"/>
    <m/>
  </r>
  <r>
    <n v="998"/>
    <n v="64"/>
    <s v="Male"/>
    <x v="13"/>
    <x v="0"/>
    <n v="30"/>
    <s v="Kentucky"/>
    <x v="2"/>
    <x v="17"/>
    <x v="1"/>
    <x v="2"/>
    <x v="0"/>
    <x v="0"/>
    <n v="31"/>
    <x v="1"/>
    <x v="0"/>
    <m/>
  </r>
  <r>
    <n v="999"/>
    <n v="51"/>
    <s v="Male"/>
    <x v="9"/>
    <x v="1"/>
    <n v="90"/>
    <s v="Connecticut"/>
    <x v="2"/>
    <x v="3"/>
    <x v="1"/>
    <x v="1"/>
    <x v="0"/>
    <x v="0"/>
    <n v="48"/>
    <x v="4"/>
    <x v="4"/>
    <m/>
  </r>
  <r>
    <n v="1000"/>
    <n v="50"/>
    <s v="Male"/>
    <x v="20"/>
    <x v="0"/>
    <n v="28"/>
    <s v="New Mexico"/>
    <x v="0"/>
    <x v="18"/>
    <x v="1"/>
    <x v="25"/>
    <x v="0"/>
    <x v="0"/>
    <n v="23"/>
    <x v="5"/>
    <x v="5"/>
    <m/>
  </r>
  <r>
    <n v="1001"/>
    <n v="43"/>
    <s v="Male"/>
    <x v="20"/>
    <x v="0"/>
    <n v="46"/>
    <s v="Georgia"/>
    <x v="2"/>
    <x v="16"/>
    <x v="0"/>
    <x v="14"/>
    <x v="0"/>
    <x v="0"/>
    <n v="1"/>
    <x v="4"/>
    <x v="4"/>
    <m/>
  </r>
  <r>
    <n v="1002"/>
    <n v="61"/>
    <s v="Male"/>
    <x v="10"/>
    <x v="0"/>
    <n v="60"/>
    <s v="Washington"/>
    <x v="2"/>
    <x v="20"/>
    <x v="3"/>
    <x v="2"/>
    <x v="0"/>
    <x v="0"/>
    <n v="4"/>
    <x v="5"/>
    <x v="0"/>
    <m/>
  </r>
  <r>
    <n v="1003"/>
    <n v="55"/>
    <s v="Male"/>
    <x v="9"/>
    <x v="1"/>
    <n v="59"/>
    <s v="North Dakota"/>
    <x v="2"/>
    <x v="3"/>
    <x v="1"/>
    <x v="22"/>
    <x v="0"/>
    <x v="0"/>
    <n v="3"/>
    <x v="4"/>
    <x v="4"/>
    <m/>
  </r>
  <r>
    <n v="1004"/>
    <n v="56"/>
    <s v="Male"/>
    <x v="19"/>
    <x v="3"/>
    <n v="68"/>
    <s v="Ohio"/>
    <x v="2"/>
    <x v="14"/>
    <x v="3"/>
    <x v="8"/>
    <x v="0"/>
    <x v="0"/>
    <n v="3"/>
    <x v="1"/>
    <x v="4"/>
    <m/>
  </r>
  <r>
    <n v="1005"/>
    <n v="33"/>
    <s v="Male"/>
    <x v="21"/>
    <x v="3"/>
    <n v="79"/>
    <s v="Tennessee"/>
    <x v="2"/>
    <x v="13"/>
    <x v="2"/>
    <x v="3"/>
    <x v="0"/>
    <x v="0"/>
    <n v="44"/>
    <x v="1"/>
    <x v="2"/>
    <m/>
  </r>
  <r>
    <n v="1006"/>
    <n v="43"/>
    <s v="Male"/>
    <x v="21"/>
    <x v="3"/>
    <n v="94"/>
    <s v="New York"/>
    <x v="2"/>
    <x v="9"/>
    <x v="0"/>
    <x v="14"/>
    <x v="0"/>
    <x v="0"/>
    <n v="5"/>
    <x v="5"/>
    <x v="4"/>
    <m/>
  </r>
  <r>
    <n v="1007"/>
    <n v="21"/>
    <s v="Male"/>
    <x v="13"/>
    <x v="0"/>
    <n v="83"/>
    <s v="Michigan"/>
    <x v="1"/>
    <x v="12"/>
    <x v="2"/>
    <x v="21"/>
    <x v="0"/>
    <x v="0"/>
    <n v="50"/>
    <x v="0"/>
    <x v="3"/>
    <m/>
  </r>
  <r>
    <n v="1008"/>
    <n v="58"/>
    <s v="Male"/>
    <x v="24"/>
    <x v="3"/>
    <n v="62"/>
    <s v="Georgia"/>
    <x v="3"/>
    <x v="2"/>
    <x v="1"/>
    <x v="3"/>
    <x v="0"/>
    <x v="0"/>
    <n v="2"/>
    <x v="2"/>
    <x v="2"/>
    <m/>
  </r>
  <r>
    <n v="1009"/>
    <n v="41"/>
    <s v="Male"/>
    <x v="18"/>
    <x v="3"/>
    <n v="85"/>
    <s v="New Mexico"/>
    <x v="2"/>
    <x v="6"/>
    <x v="1"/>
    <x v="4"/>
    <x v="0"/>
    <x v="0"/>
    <n v="29"/>
    <x v="3"/>
    <x v="2"/>
    <m/>
  </r>
  <r>
    <n v="1010"/>
    <n v="39"/>
    <s v="Male"/>
    <x v="15"/>
    <x v="0"/>
    <n v="30"/>
    <s v="Louisiana"/>
    <x v="2"/>
    <x v="5"/>
    <x v="2"/>
    <x v="0"/>
    <x v="0"/>
    <x v="0"/>
    <n v="11"/>
    <x v="0"/>
    <x v="2"/>
    <m/>
  </r>
  <r>
    <n v="1011"/>
    <n v="54"/>
    <s v="Male"/>
    <x v="2"/>
    <x v="0"/>
    <n v="24"/>
    <s v="South Dakota"/>
    <x v="3"/>
    <x v="0"/>
    <x v="1"/>
    <x v="15"/>
    <x v="0"/>
    <x v="0"/>
    <n v="37"/>
    <x v="2"/>
    <x v="0"/>
    <m/>
  </r>
  <r>
    <n v="1012"/>
    <n v="43"/>
    <s v="Male"/>
    <x v="21"/>
    <x v="3"/>
    <n v="25"/>
    <s v="Montana"/>
    <x v="0"/>
    <x v="21"/>
    <x v="1"/>
    <x v="25"/>
    <x v="0"/>
    <x v="0"/>
    <n v="32"/>
    <x v="5"/>
    <x v="0"/>
    <m/>
  </r>
  <r>
    <n v="1013"/>
    <n v="28"/>
    <s v="Male"/>
    <x v="3"/>
    <x v="1"/>
    <n v="37"/>
    <s v="New Mexico"/>
    <x v="0"/>
    <x v="11"/>
    <x v="2"/>
    <x v="1"/>
    <x v="0"/>
    <x v="0"/>
    <n v="27"/>
    <x v="2"/>
    <x v="2"/>
    <m/>
  </r>
  <r>
    <n v="1014"/>
    <n v="59"/>
    <s v="Male"/>
    <x v="22"/>
    <x v="3"/>
    <n v="69"/>
    <s v="South Carolina"/>
    <x v="3"/>
    <x v="14"/>
    <x v="2"/>
    <x v="1"/>
    <x v="0"/>
    <x v="0"/>
    <n v="31"/>
    <x v="0"/>
    <x v="4"/>
    <m/>
  </r>
  <r>
    <n v="1015"/>
    <n v="28"/>
    <s v="Male"/>
    <x v="9"/>
    <x v="1"/>
    <n v="97"/>
    <s v="Ohio"/>
    <x v="2"/>
    <x v="10"/>
    <x v="2"/>
    <x v="23"/>
    <x v="0"/>
    <x v="0"/>
    <n v="36"/>
    <x v="5"/>
    <x v="0"/>
    <m/>
  </r>
  <r>
    <n v="1016"/>
    <n v="68"/>
    <s v="Male"/>
    <x v="24"/>
    <x v="3"/>
    <n v="24"/>
    <s v="North Carolina"/>
    <x v="2"/>
    <x v="17"/>
    <x v="2"/>
    <x v="18"/>
    <x v="0"/>
    <x v="0"/>
    <n v="34"/>
    <x v="1"/>
    <x v="1"/>
    <m/>
  </r>
  <r>
    <n v="1017"/>
    <n v="20"/>
    <s v="Male"/>
    <x v="22"/>
    <x v="3"/>
    <n v="30"/>
    <s v="Idaho"/>
    <x v="3"/>
    <x v="24"/>
    <x v="2"/>
    <x v="10"/>
    <x v="0"/>
    <x v="0"/>
    <n v="15"/>
    <x v="4"/>
    <x v="6"/>
    <m/>
  </r>
  <r>
    <n v="1018"/>
    <n v="21"/>
    <s v="Male"/>
    <x v="14"/>
    <x v="2"/>
    <n v="53"/>
    <s v="Oklahoma"/>
    <x v="0"/>
    <x v="20"/>
    <x v="3"/>
    <x v="16"/>
    <x v="0"/>
    <x v="0"/>
    <n v="14"/>
    <x v="2"/>
    <x v="2"/>
    <m/>
  </r>
  <r>
    <n v="1019"/>
    <n v="50"/>
    <s v="Male"/>
    <x v="10"/>
    <x v="0"/>
    <n v="70"/>
    <s v="Georgia"/>
    <x v="3"/>
    <x v="4"/>
    <x v="1"/>
    <x v="17"/>
    <x v="0"/>
    <x v="0"/>
    <n v="46"/>
    <x v="1"/>
    <x v="1"/>
    <m/>
  </r>
  <r>
    <n v="1020"/>
    <n v="32"/>
    <s v="Male"/>
    <x v="5"/>
    <x v="0"/>
    <n v="76"/>
    <s v="Kentucky"/>
    <x v="1"/>
    <x v="19"/>
    <x v="0"/>
    <x v="24"/>
    <x v="0"/>
    <x v="0"/>
    <n v="33"/>
    <x v="0"/>
    <x v="4"/>
    <m/>
  </r>
  <r>
    <n v="1021"/>
    <n v="24"/>
    <s v="Male"/>
    <x v="18"/>
    <x v="3"/>
    <n v="95"/>
    <s v="Delaware"/>
    <x v="2"/>
    <x v="13"/>
    <x v="3"/>
    <x v="21"/>
    <x v="0"/>
    <x v="0"/>
    <n v="41"/>
    <x v="5"/>
    <x v="2"/>
    <m/>
  </r>
  <r>
    <n v="1022"/>
    <n v="55"/>
    <s v="Male"/>
    <x v="7"/>
    <x v="2"/>
    <n v="51"/>
    <s v="Massachusetts"/>
    <x v="1"/>
    <x v="12"/>
    <x v="0"/>
    <x v="17"/>
    <x v="0"/>
    <x v="0"/>
    <n v="39"/>
    <x v="3"/>
    <x v="1"/>
    <m/>
  </r>
  <r>
    <n v="1023"/>
    <n v="61"/>
    <s v="Male"/>
    <x v="8"/>
    <x v="3"/>
    <n v="41"/>
    <s v="Nebraska"/>
    <x v="2"/>
    <x v="12"/>
    <x v="0"/>
    <x v="17"/>
    <x v="0"/>
    <x v="0"/>
    <n v="7"/>
    <x v="1"/>
    <x v="2"/>
    <m/>
  </r>
  <r>
    <n v="1024"/>
    <n v="61"/>
    <s v="Male"/>
    <x v="12"/>
    <x v="3"/>
    <n v="71"/>
    <s v="Maine"/>
    <x v="1"/>
    <x v="2"/>
    <x v="0"/>
    <x v="22"/>
    <x v="0"/>
    <x v="0"/>
    <n v="29"/>
    <x v="4"/>
    <x v="6"/>
    <m/>
  </r>
  <r>
    <n v="1025"/>
    <n v="28"/>
    <s v="Male"/>
    <x v="17"/>
    <x v="0"/>
    <n v="66"/>
    <s v="Pennsylvania"/>
    <x v="2"/>
    <x v="7"/>
    <x v="2"/>
    <x v="22"/>
    <x v="0"/>
    <x v="0"/>
    <n v="18"/>
    <x v="0"/>
    <x v="3"/>
    <m/>
  </r>
  <r>
    <n v="1026"/>
    <n v="60"/>
    <s v="Male"/>
    <x v="5"/>
    <x v="0"/>
    <n v="84"/>
    <s v="Nebraska"/>
    <x v="2"/>
    <x v="8"/>
    <x v="0"/>
    <x v="17"/>
    <x v="0"/>
    <x v="0"/>
    <n v="15"/>
    <x v="2"/>
    <x v="2"/>
    <m/>
  </r>
  <r>
    <n v="1027"/>
    <n v="49"/>
    <s v="Male"/>
    <x v="8"/>
    <x v="3"/>
    <n v="95"/>
    <s v="Virginia"/>
    <x v="0"/>
    <x v="2"/>
    <x v="0"/>
    <x v="23"/>
    <x v="0"/>
    <x v="0"/>
    <n v="39"/>
    <x v="3"/>
    <x v="4"/>
    <m/>
  </r>
  <r>
    <n v="1028"/>
    <n v="33"/>
    <s v="Male"/>
    <x v="16"/>
    <x v="3"/>
    <n v="90"/>
    <s v="Ohio"/>
    <x v="0"/>
    <x v="11"/>
    <x v="2"/>
    <x v="24"/>
    <x v="0"/>
    <x v="0"/>
    <n v="11"/>
    <x v="1"/>
    <x v="5"/>
    <m/>
  </r>
  <r>
    <n v="1029"/>
    <n v="45"/>
    <s v="Male"/>
    <x v="15"/>
    <x v="0"/>
    <n v="36"/>
    <s v="Nebraska"/>
    <x v="1"/>
    <x v="12"/>
    <x v="2"/>
    <x v="5"/>
    <x v="0"/>
    <x v="0"/>
    <n v="4"/>
    <x v="1"/>
    <x v="0"/>
    <m/>
  </r>
  <r>
    <n v="1030"/>
    <n v="29"/>
    <s v="Male"/>
    <x v="24"/>
    <x v="3"/>
    <n v="22"/>
    <s v="Ohio"/>
    <x v="2"/>
    <x v="7"/>
    <x v="1"/>
    <x v="2"/>
    <x v="0"/>
    <x v="0"/>
    <n v="33"/>
    <x v="0"/>
    <x v="4"/>
    <m/>
  </r>
  <r>
    <n v="1031"/>
    <n v="58"/>
    <s v="Male"/>
    <x v="7"/>
    <x v="2"/>
    <n v="89"/>
    <s v="Kentucky"/>
    <x v="0"/>
    <x v="24"/>
    <x v="0"/>
    <x v="19"/>
    <x v="0"/>
    <x v="0"/>
    <n v="37"/>
    <x v="5"/>
    <x v="3"/>
    <m/>
  </r>
  <r>
    <n v="1032"/>
    <n v="22"/>
    <s v="Male"/>
    <x v="3"/>
    <x v="1"/>
    <n v="50"/>
    <s v="Tennessee"/>
    <x v="2"/>
    <x v="11"/>
    <x v="1"/>
    <x v="10"/>
    <x v="0"/>
    <x v="0"/>
    <n v="32"/>
    <x v="1"/>
    <x v="3"/>
    <m/>
  </r>
  <r>
    <n v="1033"/>
    <n v="55"/>
    <s v="Male"/>
    <x v="23"/>
    <x v="1"/>
    <n v="36"/>
    <s v="Maine"/>
    <x v="2"/>
    <x v="12"/>
    <x v="3"/>
    <x v="8"/>
    <x v="0"/>
    <x v="0"/>
    <n v="44"/>
    <x v="2"/>
    <x v="3"/>
    <m/>
  </r>
  <r>
    <n v="1034"/>
    <n v="19"/>
    <s v="Male"/>
    <x v="13"/>
    <x v="0"/>
    <n v="52"/>
    <s v="Montana"/>
    <x v="1"/>
    <x v="5"/>
    <x v="1"/>
    <x v="7"/>
    <x v="0"/>
    <x v="0"/>
    <n v="41"/>
    <x v="4"/>
    <x v="3"/>
    <m/>
  </r>
  <r>
    <n v="1035"/>
    <n v="68"/>
    <s v="Male"/>
    <x v="20"/>
    <x v="0"/>
    <n v="29"/>
    <s v="Maryland"/>
    <x v="2"/>
    <x v="8"/>
    <x v="3"/>
    <x v="13"/>
    <x v="0"/>
    <x v="0"/>
    <n v="44"/>
    <x v="4"/>
    <x v="1"/>
    <m/>
  </r>
  <r>
    <n v="1036"/>
    <n v="61"/>
    <s v="Male"/>
    <x v="0"/>
    <x v="0"/>
    <n v="89"/>
    <s v="Georgia"/>
    <x v="2"/>
    <x v="18"/>
    <x v="3"/>
    <x v="24"/>
    <x v="0"/>
    <x v="0"/>
    <n v="32"/>
    <x v="0"/>
    <x v="2"/>
    <m/>
  </r>
  <r>
    <n v="1037"/>
    <n v="68"/>
    <s v="Male"/>
    <x v="8"/>
    <x v="3"/>
    <n v="47"/>
    <s v="Hawaii"/>
    <x v="2"/>
    <x v="22"/>
    <x v="3"/>
    <x v="5"/>
    <x v="0"/>
    <x v="0"/>
    <n v="13"/>
    <x v="4"/>
    <x v="5"/>
    <m/>
  </r>
  <r>
    <n v="1038"/>
    <n v="52"/>
    <s v="Male"/>
    <x v="16"/>
    <x v="3"/>
    <n v="25"/>
    <s v="Rhode Island"/>
    <x v="3"/>
    <x v="18"/>
    <x v="1"/>
    <x v="10"/>
    <x v="0"/>
    <x v="0"/>
    <n v="48"/>
    <x v="5"/>
    <x v="3"/>
    <m/>
  </r>
  <r>
    <n v="1039"/>
    <n v="41"/>
    <s v="Male"/>
    <x v="13"/>
    <x v="0"/>
    <n v="74"/>
    <s v="Nebraska"/>
    <x v="3"/>
    <x v="17"/>
    <x v="3"/>
    <x v="23"/>
    <x v="0"/>
    <x v="0"/>
    <n v="3"/>
    <x v="4"/>
    <x v="1"/>
    <m/>
  </r>
  <r>
    <n v="1040"/>
    <n v="29"/>
    <s v="Male"/>
    <x v="22"/>
    <x v="3"/>
    <n v="46"/>
    <s v="Michigan"/>
    <x v="2"/>
    <x v="23"/>
    <x v="3"/>
    <x v="3"/>
    <x v="0"/>
    <x v="0"/>
    <n v="39"/>
    <x v="0"/>
    <x v="5"/>
    <m/>
  </r>
  <r>
    <n v="1041"/>
    <n v="68"/>
    <s v="Male"/>
    <x v="2"/>
    <x v="0"/>
    <n v="22"/>
    <s v="North Carolina"/>
    <x v="1"/>
    <x v="23"/>
    <x v="3"/>
    <x v="8"/>
    <x v="0"/>
    <x v="0"/>
    <n v="7"/>
    <x v="1"/>
    <x v="0"/>
    <m/>
  </r>
  <r>
    <n v="1042"/>
    <n v="36"/>
    <s v="Male"/>
    <x v="5"/>
    <x v="0"/>
    <n v="25"/>
    <s v="Minnesota"/>
    <x v="2"/>
    <x v="20"/>
    <x v="2"/>
    <x v="17"/>
    <x v="0"/>
    <x v="0"/>
    <n v="11"/>
    <x v="1"/>
    <x v="0"/>
    <m/>
  </r>
  <r>
    <n v="1043"/>
    <n v="55"/>
    <s v="Male"/>
    <x v="22"/>
    <x v="3"/>
    <n v="80"/>
    <s v="Maryland"/>
    <x v="2"/>
    <x v="1"/>
    <x v="1"/>
    <x v="17"/>
    <x v="0"/>
    <x v="0"/>
    <n v="47"/>
    <x v="2"/>
    <x v="1"/>
    <m/>
  </r>
  <r>
    <n v="1044"/>
    <n v="28"/>
    <s v="Male"/>
    <x v="2"/>
    <x v="0"/>
    <n v="76"/>
    <s v="Hawaii"/>
    <x v="2"/>
    <x v="14"/>
    <x v="1"/>
    <x v="19"/>
    <x v="0"/>
    <x v="0"/>
    <n v="28"/>
    <x v="5"/>
    <x v="0"/>
    <m/>
  </r>
  <r>
    <n v="1045"/>
    <n v="39"/>
    <s v="Male"/>
    <x v="2"/>
    <x v="0"/>
    <n v="30"/>
    <s v="Oregon"/>
    <x v="0"/>
    <x v="11"/>
    <x v="2"/>
    <x v="9"/>
    <x v="0"/>
    <x v="0"/>
    <n v="17"/>
    <x v="4"/>
    <x v="6"/>
    <m/>
  </r>
  <r>
    <n v="1046"/>
    <n v="54"/>
    <s v="Male"/>
    <x v="1"/>
    <x v="0"/>
    <n v="79"/>
    <s v="New Mexico"/>
    <x v="0"/>
    <x v="13"/>
    <x v="3"/>
    <x v="22"/>
    <x v="0"/>
    <x v="0"/>
    <n v="11"/>
    <x v="3"/>
    <x v="4"/>
    <m/>
  </r>
  <r>
    <n v="1047"/>
    <n v="40"/>
    <s v="Male"/>
    <x v="4"/>
    <x v="1"/>
    <n v="22"/>
    <s v="Illinois"/>
    <x v="2"/>
    <x v="23"/>
    <x v="0"/>
    <x v="13"/>
    <x v="0"/>
    <x v="0"/>
    <n v="12"/>
    <x v="0"/>
    <x v="2"/>
    <m/>
  </r>
  <r>
    <n v="1048"/>
    <n v="31"/>
    <s v="Male"/>
    <x v="20"/>
    <x v="0"/>
    <n v="36"/>
    <s v="Utah"/>
    <x v="1"/>
    <x v="8"/>
    <x v="3"/>
    <x v="13"/>
    <x v="0"/>
    <x v="0"/>
    <n v="7"/>
    <x v="2"/>
    <x v="0"/>
    <m/>
  </r>
  <r>
    <n v="1049"/>
    <n v="30"/>
    <s v="Male"/>
    <x v="20"/>
    <x v="0"/>
    <n v="77"/>
    <s v="Maine"/>
    <x v="0"/>
    <x v="22"/>
    <x v="3"/>
    <x v="6"/>
    <x v="0"/>
    <x v="0"/>
    <n v="19"/>
    <x v="0"/>
    <x v="0"/>
    <m/>
  </r>
  <r>
    <n v="1050"/>
    <n v="45"/>
    <s v="Male"/>
    <x v="12"/>
    <x v="3"/>
    <n v="33"/>
    <s v="Virginia"/>
    <x v="1"/>
    <x v="7"/>
    <x v="3"/>
    <x v="24"/>
    <x v="0"/>
    <x v="0"/>
    <n v="24"/>
    <x v="1"/>
    <x v="3"/>
    <m/>
  </r>
  <r>
    <n v="1051"/>
    <n v="48"/>
    <s v="Male"/>
    <x v="4"/>
    <x v="1"/>
    <n v="64"/>
    <s v="Florida"/>
    <x v="2"/>
    <x v="19"/>
    <x v="0"/>
    <x v="1"/>
    <x v="0"/>
    <x v="0"/>
    <n v="19"/>
    <x v="0"/>
    <x v="5"/>
    <m/>
  </r>
  <r>
    <n v="1052"/>
    <n v="45"/>
    <s v="Male"/>
    <x v="20"/>
    <x v="0"/>
    <n v="53"/>
    <s v="Ohio"/>
    <x v="2"/>
    <x v="21"/>
    <x v="3"/>
    <x v="4"/>
    <x v="0"/>
    <x v="0"/>
    <n v="39"/>
    <x v="3"/>
    <x v="2"/>
    <m/>
  </r>
  <r>
    <n v="1053"/>
    <n v="60"/>
    <s v="Male"/>
    <x v="9"/>
    <x v="1"/>
    <n v="36"/>
    <s v="Virginia"/>
    <x v="3"/>
    <x v="6"/>
    <x v="3"/>
    <x v="23"/>
    <x v="0"/>
    <x v="0"/>
    <n v="1"/>
    <x v="2"/>
    <x v="0"/>
    <m/>
  </r>
  <r>
    <n v="1054"/>
    <n v="59"/>
    <s v="Male"/>
    <x v="0"/>
    <x v="0"/>
    <n v="70"/>
    <s v="Kansas"/>
    <x v="2"/>
    <x v="24"/>
    <x v="1"/>
    <x v="19"/>
    <x v="1"/>
    <x v="0"/>
    <n v="10"/>
    <x v="5"/>
    <x v="4"/>
    <m/>
  </r>
  <r>
    <n v="1055"/>
    <n v="18"/>
    <s v="Male"/>
    <x v="6"/>
    <x v="0"/>
    <n v="96"/>
    <s v="Arkansas"/>
    <x v="0"/>
    <x v="17"/>
    <x v="0"/>
    <x v="17"/>
    <x v="1"/>
    <x v="0"/>
    <n v="48"/>
    <x v="3"/>
    <x v="3"/>
    <m/>
  </r>
  <r>
    <n v="1056"/>
    <n v="70"/>
    <s v="Male"/>
    <x v="14"/>
    <x v="2"/>
    <n v="27"/>
    <s v="Massachusetts"/>
    <x v="2"/>
    <x v="20"/>
    <x v="1"/>
    <x v="19"/>
    <x v="1"/>
    <x v="0"/>
    <n v="24"/>
    <x v="5"/>
    <x v="2"/>
    <m/>
  </r>
  <r>
    <n v="1057"/>
    <n v="20"/>
    <s v="Male"/>
    <x v="1"/>
    <x v="0"/>
    <n v="64"/>
    <s v="Idaho"/>
    <x v="0"/>
    <x v="13"/>
    <x v="0"/>
    <x v="25"/>
    <x v="1"/>
    <x v="0"/>
    <n v="42"/>
    <x v="0"/>
    <x v="0"/>
    <m/>
  </r>
  <r>
    <n v="1058"/>
    <n v="65"/>
    <s v="Male"/>
    <x v="14"/>
    <x v="2"/>
    <n v="23"/>
    <s v="Wisconsin"/>
    <x v="1"/>
    <x v="1"/>
    <x v="1"/>
    <x v="9"/>
    <x v="1"/>
    <x v="0"/>
    <n v="20"/>
    <x v="2"/>
    <x v="1"/>
    <m/>
  </r>
  <r>
    <n v="1059"/>
    <n v="29"/>
    <s v="Male"/>
    <x v="18"/>
    <x v="3"/>
    <n v="33"/>
    <s v="New Mexico"/>
    <x v="0"/>
    <x v="10"/>
    <x v="2"/>
    <x v="0"/>
    <x v="1"/>
    <x v="0"/>
    <n v="49"/>
    <x v="4"/>
    <x v="6"/>
    <m/>
  </r>
  <r>
    <n v="1060"/>
    <n v="22"/>
    <s v="Male"/>
    <x v="14"/>
    <x v="2"/>
    <n v="34"/>
    <s v="North Carolina"/>
    <x v="2"/>
    <x v="19"/>
    <x v="0"/>
    <x v="16"/>
    <x v="1"/>
    <x v="0"/>
    <n v="25"/>
    <x v="5"/>
    <x v="5"/>
    <m/>
  </r>
  <r>
    <n v="1061"/>
    <n v="27"/>
    <s v="Male"/>
    <x v="1"/>
    <x v="0"/>
    <n v="35"/>
    <s v="Iowa"/>
    <x v="1"/>
    <x v="0"/>
    <x v="2"/>
    <x v="4"/>
    <x v="1"/>
    <x v="0"/>
    <n v="21"/>
    <x v="5"/>
    <x v="6"/>
    <m/>
  </r>
  <r>
    <n v="1062"/>
    <n v="36"/>
    <s v="Male"/>
    <x v="7"/>
    <x v="2"/>
    <n v="62"/>
    <s v="Idaho"/>
    <x v="2"/>
    <x v="0"/>
    <x v="2"/>
    <x v="9"/>
    <x v="1"/>
    <x v="0"/>
    <n v="12"/>
    <x v="0"/>
    <x v="6"/>
    <m/>
  </r>
  <r>
    <n v="1063"/>
    <n v="59"/>
    <s v="Male"/>
    <x v="23"/>
    <x v="1"/>
    <n v="75"/>
    <s v="Ohio"/>
    <x v="2"/>
    <x v="18"/>
    <x v="3"/>
    <x v="4"/>
    <x v="1"/>
    <x v="0"/>
    <n v="21"/>
    <x v="5"/>
    <x v="6"/>
    <m/>
  </r>
  <r>
    <n v="1064"/>
    <n v="62"/>
    <s v="Male"/>
    <x v="15"/>
    <x v="0"/>
    <n v="29"/>
    <s v="Alabama"/>
    <x v="1"/>
    <x v="21"/>
    <x v="2"/>
    <x v="19"/>
    <x v="1"/>
    <x v="0"/>
    <n v="35"/>
    <x v="1"/>
    <x v="5"/>
    <m/>
  </r>
  <r>
    <n v="1065"/>
    <n v="34"/>
    <s v="Male"/>
    <x v="19"/>
    <x v="3"/>
    <n v="28"/>
    <s v="Wyoming"/>
    <x v="2"/>
    <x v="10"/>
    <x v="1"/>
    <x v="22"/>
    <x v="1"/>
    <x v="0"/>
    <n v="42"/>
    <x v="2"/>
    <x v="6"/>
    <m/>
  </r>
  <r>
    <n v="1066"/>
    <n v="59"/>
    <s v="Male"/>
    <x v="17"/>
    <x v="0"/>
    <n v="20"/>
    <s v="Alabama"/>
    <x v="3"/>
    <x v="24"/>
    <x v="1"/>
    <x v="18"/>
    <x v="1"/>
    <x v="0"/>
    <n v="3"/>
    <x v="3"/>
    <x v="6"/>
    <m/>
  </r>
  <r>
    <n v="1067"/>
    <n v="49"/>
    <s v="Male"/>
    <x v="7"/>
    <x v="2"/>
    <n v="96"/>
    <s v="Mississippi"/>
    <x v="2"/>
    <x v="16"/>
    <x v="0"/>
    <x v="8"/>
    <x v="1"/>
    <x v="0"/>
    <n v="11"/>
    <x v="3"/>
    <x v="4"/>
    <m/>
  </r>
  <r>
    <n v="1068"/>
    <n v="18"/>
    <s v="Male"/>
    <x v="10"/>
    <x v="0"/>
    <n v="43"/>
    <s v="Pennsylvania"/>
    <x v="1"/>
    <x v="15"/>
    <x v="2"/>
    <x v="6"/>
    <x v="1"/>
    <x v="0"/>
    <n v="22"/>
    <x v="3"/>
    <x v="3"/>
    <m/>
  </r>
  <r>
    <n v="1069"/>
    <n v="55"/>
    <s v="Male"/>
    <x v="5"/>
    <x v="0"/>
    <n v="94"/>
    <s v="Wyoming"/>
    <x v="2"/>
    <x v="8"/>
    <x v="3"/>
    <x v="16"/>
    <x v="1"/>
    <x v="0"/>
    <n v="47"/>
    <x v="2"/>
    <x v="1"/>
    <m/>
  </r>
  <r>
    <n v="1070"/>
    <n v="38"/>
    <s v="Male"/>
    <x v="11"/>
    <x v="0"/>
    <n v="81"/>
    <s v="Maryland"/>
    <x v="3"/>
    <x v="3"/>
    <x v="3"/>
    <x v="12"/>
    <x v="1"/>
    <x v="0"/>
    <n v="33"/>
    <x v="0"/>
    <x v="6"/>
    <m/>
  </r>
  <r>
    <n v="1071"/>
    <n v="50"/>
    <s v="Male"/>
    <x v="16"/>
    <x v="3"/>
    <n v="75"/>
    <s v="North Carolina"/>
    <x v="2"/>
    <x v="23"/>
    <x v="2"/>
    <x v="19"/>
    <x v="1"/>
    <x v="0"/>
    <n v="50"/>
    <x v="5"/>
    <x v="1"/>
    <m/>
  </r>
  <r>
    <n v="1072"/>
    <n v="61"/>
    <s v="Male"/>
    <x v="19"/>
    <x v="3"/>
    <n v="81"/>
    <s v="Pennsylvania"/>
    <x v="2"/>
    <x v="19"/>
    <x v="2"/>
    <x v="4"/>
    <x v="1"/>
    <x v="0"/>
    <n v="46"/>
    <x v="2"/>
    <x v="5"/>
    <m/>
  </r>
  <r>
    <n v="1073"/>
    <n v="48"/>
    <s v="Male"/>
    <x v="6"/>
    <x v="0"/>
    <n v="92"/>
    <s v="Idaho"/>
    <x v="0"/>
    <x v="9"/>
    <x v="3"/>
    <x v="22"/>
    <x v="1"/>
    <x v="0"/>
    <n v="34"/>
    <x v="5"/>
    <x v="0"/>
    <m/>
  </r>
  <r>
    <n v="1074"/>
    <n v="22"/>
    <s v="Male"/>
    <x v="18"/>
    <x v="3"/>
    <n v="96"/>
    <s v="California"/>
    <x v="3"/>
    <x v="7"/>
    <x v="1"/>
    <x v="8"/>
    <x v="1"/>
    <x v="0"/>
    <n v="33"/>
    <x v="2"/>
    <x v="5"/>
    <m/>
  </r>
  <r>
    <n v="1075"/>
    <n v="48"/>
    <s v="Male"/>
    <x v="16"/>
    <x v="3"/>
    <n v="71"/>
    <s v="Tennessee"/>
    <x v="1"/>
    <x v="3"/>
    <x v="3"/>
    <x v="4"/>
    <x v="1"/>
    <x v="0"/>
    <n v="45"/>
    <x v="4"/>
    <x v="0"/>
    <m/>
  </r>
  <r>
    <n v="1076"/>
    <n v="57"/>
    <s v="Male"/>
    <x v="12"/>
    <x v="3"/>
    <n v="50"/>
    <s v="Missouri"/>
    <x v="0"/>
    <x v="21"/>
    <x v="2"/>
    <x v="17"/>
    <x v="1"/>
    <x v="0"/>
    <n v="32"/>
    <x v="5"/>
    <x v="4"/>
    <m/>
  </r>
  <r>
    <n v="1077"/>
    <n v="33"/>
    <s v="Male"/>
    <x v="7"/>
    <x v="2"/>
    <n v="72"/>
    <s v="North Dakota"/>
    <x v="0"/>
    <x v="4"/>
    <x v="1"/>
    <x v="25"/>
    <x v="1"/>
    <x v="0"/>
    <n v="47"/>
    <x v="0"/>
    <x v="4"/>
    <m/>
  </r>
  <r>
    <n v="1078"/>
    <n v="58"/>
    <s v="Male"/>
    <x v="14"/>
    <x v="2"/>
    <n v="28"/>
    <s v="West Virginia"/>
    <x v="2"/>
    <x v="6"/>
    <x v="0"/>
    <x v="5"/>
    <x v="1"/>
    <x v="0"/>
    <n v="5"/>
    <x v="3"/>
    <x v="3"/>
    <m/>
  </r>
  <r>
    <n v="1079"/>
    <n v="37"/>
    <s v="Male"/>
    <x v="1"/>
    <x v="0"/>
    <n v="59"/>
    <s v="Arizona"/>
    <x v="2"/>
    <x v="5"/>
    <x v="3"/>
    <x v="9"/>
    <x v="1"/>
    <x v="0"/>
    <n v="49"/>
    <x v="2"/>
    <x v="0"/>
    <m/>
  </r>
  <r>
    <n v="1080"/>
    <n v="18"/>
    <s v="Male"/>
    <x v="7"/>
    <x v="2"/>
    <n v="33"/>
    <s v="Oklahoma"/>
    <x v="1"/>
    <x v="24"/>
    <x v="2"/>
    <x v="9"/>
    <x v="1"/>
    <x v="0"/>
    <n v="48"/>
    <x v="4"/>
    <x v="5"/>
    <m/>
  </r>
  <r>
    <n v="1081"/>
    <n v="65"/>
    <s v="Male"/>
    <x v="18"/>
    <x v="3"/>
    <n v="59"/>
    <s v="Pennsylvania"/>
    <x v="0"/>
    <x v="24"/>
    <x v="3"/>
    <x v="1"/>
    <x v="1"/>
    <x v="0"/>
    <n v="22"/>
    <x v="1"/>
    <x v="6"/>
    <m/>
  </r>
  <r>
    <n v="1082"/>
    <n v="62"/>
    <s v="Male"/>
    <x v="22"/>
    <x v="3"/>
    <n v="30"/>
    <s v="Idaho"/>
    <x v="3"/>
    <x v="18"/>
    <x v="1"/>
    <x v="21"/>
    <x v="1"/>
    <x v="0"/>
    <n v="45"/>
    <x v="2"/>
    <x v="2"/>
    <m/>
  </r>
  <r>
    <n v="1083"/>
    <n v="54"/>
    <s v="Male"/>
    <x v="19"/>
    <x v="3"/>
    <n v="85"/>
    <s v="South Carolina"/>
    <x v="3"/>
    <x v="17"/>
    <x v="0"/>
    <x v="4"/>
    <x v="1"/>
    <x v="0"/>
    <n v="30"/>
    <x v="0"/>
    <x v="3"/>
    <m/>
  </r>
  <r>
    <n v="1084"/>
    <n v="35"/>
    <s v="Male"/>
    <x v="21"/>
    <x v="3"/>
    <n v="97"/>
    <s v="Washington"/>
    <x v="0"/>
    <x v="11"/>
    <x v="2"/>
    <x v="19"/>
    <x v="1"/>
    <x v="0"/>
    <n v="43"/>
    <x v="1"/>
    <x v="1"/>
    <m/>
  </r>
  <r>
    <n v="1085"/>
    <n v="34"/>
    <s v="Male"/>
    <x v="17"/>
    <x v="0"/>
    <n v="36"/>
    <s v="Arkansas"/>
    <x v="1"/>
    <x v="7"/>
    <x v="3"/>
    <x v="18"/>
    <x v="1"/>
    <x v="0"/>
    <n v="48"/>
    <x v="1"/>
    <x v="3"/>
    <m/>
  </r>
  <r>
    <n v="1086"/>
    <n v="25"/>
    <s v="Male"/>
    <x v="16"/>
    <x v="3"/>
    <n v="85"/>
    <s v="Utah"/>
    <x v="2"/>
    <x v="2"/>
    <x v="0"/>
    <x v="23"/>
    <x v="1"/>
    <x v="0"/>
    <n v="23"/>
    <x v="0"/>
    <x v="0"/>
    <m/>
  </r>
  <r>
    <n v="1087"/>
    <n v="53"/>
    <s v="Male"/>
    <x v="12"/>
    <x v="3"/>
    <n v="62"/>
    <s v="Alaska"/>
    <x v="2"/>
    <x v="8"/>
    <x v="0"/>
    <x v="23"/>
    <x v="1"/>
    <x v="0"/>
    <n v="27"/>
    <x v="3"/>
    <x v="4"/>
    <m/>
  </r>
  <r>
    <n v="1088"/>
    <n v="45"/>
    <s v="Male"/>
    <x v="2"/>
    <x v="0"/>
    <n v="71"/>
    <s v="West Virginia"/>
    <x v="1"/>
    <x v="3"/>
    <x v="0"/>
    <x v="10"/>
    <x v="1"/>
    <x v="0"/>
    <n v="7"/>
    <x v="4"/>
    <x v="5"/>
    <m/>
  </r>
  <r>
    <n v="1089"/>
    <n v="49"/>
    <s v="Male"/>
    <x v="13"/>
    <x v="0"/>
    <n v="21"/>
    <s v="Louisiana"/>
    <x v="2"/>
    <x v="2"/>
    <x v="0"/>
    <x v="6"/>
    <x v="1"/>
    <x v="0"/>
    <n v="2"/>
    <x v="3"/>
    <x v="1"/>
    <m/>
  </r>
  <r>
    <n v="1090"/>
    <n v="40"/>
    <s v="Male"/>
    <x v="21"/>
    <x v="3"/>
    <n v="61"/>
    <s v="Arizona"/>
    <x v="2"/>
    <x v="5"/>
    <x v="1"/>
    <x v="1"/>
    <x v="1"/>
    <x v="0"/>
    <n v="33"/>
    <x v="3"/>
    <x v="4"/>
    <m/>
  </r>
  <r>
    <n v="1091"/>
    <n v="38"/>
    <s v="Male"/>
    <x v="18"/>
    <x v="3"/>
    <n v="58"/>
    <s v="Connecticut"/>
    <x v="2"/>
    <x v="10"/>
    <x v="1"/>
    <x v="13"/>
    <x v="1"/>
    <x v="0"/>
    <n v="27"/>
    <x v="1"/>
    <x v="0"/>
    <m/>
  </r>
  <r>
    <n v="1092"/>
    <n v="44"/>
    <s v="Male"/>
    <x v="1"/>
    <x v="0"/>
    <n v="80"/>
    <s v="North Carolina"/>
    <x v="0"/>
    <x v="12"/>
    <x v="1"/>
    <x v="15"/>
    <x v="1"/>
    <x v="0"/>
    <n v="6"/>
    <x v="2"/>
    <x v="0"/>
    <m/>
  </r>
  <r>
    <n v="1093"/>
    <n v="68"/>
    <s v="Male"/>
    <x v="16"/>
    <x v="3"/>
    <n v="50"/>
    <s v="South Dakota"/>
    <x v="0"/>
    <x v="23"/>
    <x v="1"/>
    <x v="18"/>
    <x v="1"/>
    <x v="0"/>
    <n v="20"/>
    <x v="0"/>
    <x v="3"/>
    <m/>
  </r>
  <r>
    <n v="1094"/>
    <n v="60"/>
    <s v="Male"/>
    <x v="4"/>
    <x v="1"/>
    <n v="48"/>
    <s v="Delaware"/>
    <x v="1"/>
    <x v="21"/>
    <x v="0"/>
    <x v="13"/>
    <x v="1"/>
    <x v="0"/>
    <n v="46"/>
    <x v="0"/>
    <x v="6"/>
    <m/>
  </r>
  <r>
    <n v="1095"/>
    <n v="25"/>
    <s v="Male"/>
    <x v="16"/>
    <x v="3"/>
    <n v="40"/>
    <s v="Connecticut"/>
    <x v="2"/>
    <x v="13"/>
    <x v="0"/>
    <x v="3"/>
    <x v="1"/>
    <x v="0"/>
    <n v="25"/>
    <x v="1"/>
    <x v="3"/>
    <m/>
  </r>
  <r>
    <n v="1096"/>
    <n v="19"/>
    <s v="Male"/>
    <x v="7"/>
    <x v="2"/>
    <n v="34"/>
    <s v="Tennessee"/>
    <x v="1"/>
    <x v="15"/>
    <x v="2"/>
    <x v="23"/>
    <x v="1"/>
    <x v="0"/>
    <n v="30"/>
    <x v="4"/>
    <x v="3"/>
    <m/>
  </r>
  <r>
    <n v="1097"/>
    <n v="57"/>
    <s v="Male"/>
    <x v="7"/>
    <x v="2"/>
    <n v="46"/>
    <s v="New Hampshire"/>
    <x v="1"/>
    <x v="19"/>
    <x v="3"/>
    <x v="4"/>
    <x v="1"/>
    <x v="0"/>
    <n v="48"/>
    <x v="2"/>
    <x v="2"/>
    <m/>
  </r>
  <r>
    <n v="1098"/>
    <n v="58"/>
    <s v="Male"/>
    <x v="12"/>
    <x v="3"/>
    <n v="27"/>
    <s v="Vermont"/>
    <x v="2"/>
    <x v="13"/>
    <x v="2"/>
    <x v="20"/>
    <x v="1"/>
    <x v="0"/>
    <n v="47"/>
    <x v="4"/>
    <x v="1"/>
    <m/>
  </r>
  <r>
    <n v="1099"/>
    <n v="49"/>
    <s v="Male"/>
    <x v="8"/>
    <x v="3"/>
    <n v="98"/>
    <s v="Idaho"/>
    <x v="1"/>
    <x v="2"/>
    <x v="1"/>
    <x v="2"/>
    <x v="1"/>
    <x v="0"/>
    <n v="27"/>
    <x v="2"/>
    <x v="1"/>
    <m/>
  </r>
  <r>
    <n v="1100"/>
    <n v="19"/>
    <s v="Male"/>
    <x v="1"/>
    <x v="0"/>
    <n v="73"/>
    <s v="North Carolina"/>
    <x v="2"/>
    <x v="15"/>
    <x v="3"/>
    <x v="4"/>
    <x v="1"/>
    <x v="0"/>
    <n v="45"/>
    <x v="4"/>
    <x v="0"/>
    <m/>
  </r>
  <r>
    <n v="1101"/>
    <n v="50"/>
    <s v="Male"/>
    <x v="13"/>
    <x v="0"/>
    <n v="28"/>
    <s v="Nevada"/>
    <x v="0"/>
    <x v="9"/>
    <x v="1"/>
    <x v="9"/>
    <x v="1"/>
    <x v="0"/>
    <n v="2"/>
    <x v="2"/>
    <x v="1"/>
    <m/>
  </r>
  <r>
    <n v="1102"/>
    <n v="30"/>
    <s v="Male"/>
    <x v="24"/>
    <x v="3"/>
    <n v="76"/>
    <s v="Delaware"/>
    <x v="3"/>
    <x v="5"/>
    <x v="3"/>
    <x v="23"/>
    <x v="1"/>
    <x v="0"/>
    <n v="39"/>
    <x v="1"/>
    <x v="0"/>
    <m/>
  </r>
  <r>
    <n v="1103"/>
    <n v="52"/>
    <s v="Male"/>
    <x v="1"/>
    <x v="0"/>
    <n v="83"/>
    <s v="Texas"/>
    <x v="2"/>
    <x v="15"/>
    <x v="3"/>
    <x v="25"/>
    <x v="1"/>
    <x v="0"/>
    <n v="24"/>
    <x v="1"/>
    <x v="0"/>
    <m/>
  </r>
  <r>
    <n v="1104"/>
    <n v="35"/>
    <s v="Male"/>
    <x v="15"/>
    <x v="0"/>
    <n v="23"/>
    <s v="Tennessee"/>
    <x v="1"/>
    <x v="4"/>
    <x v="1"/>
    <x v="12"/>
    <x v="1"/>
    <x v="0"/>
    <n v="8"/>
    <x v="5"/>
    <x v="4"/>
    <m/>
  </r>
  <r>
    <n v="1105"/>
    <n v="35"/>
    <s v="Male"/>
    <x v="19"/>
    <x v="3"/>
    <n v="28"/>
    <s v="Delaware"/>
    <x v="2"/>
    <x v="19"/>
    <x v="3"/>
    <x v="0"/>
    <x v="1"/>
    <x v="0"/>
    <n v="8"/>
    <x v="4"/>
    <x v="3"/>
    <m/>
  </r>
  <r>
    <n v="1106"/>
    <n v="33"/>
    <s v="Male"/>
    <x v="17"/>
    <x v="0"/>
    <n v="83"/>
    <s v="Massachusetts"/>
    <x v="1"/>
    <x v="8"/>
    <x v="1"/>
    <x v="23"/>
    <x v="1"/>
    <x v="0"/>
    <n v="6"/>
    <x v="0"/>
    <x v="6"/>
    <m/>
  </r>
  <r>
    <n v="1107"/>
    <n v="52"/>
    <s v="Male"/>
    <x v="11"/>
    <x v="0"/>
    <n v="96"/>
    <s v="Minnesota"/>
    <x v="0"/>
    <x v="10"/>
    <x v="0"/>
    <x v="2"/>
    <x v="1"/>
    <x v="0"/>
    <n v="12"/>
    <x v="0"/>
    <x v="0"/>
    <m/>
  </r>
  <r>
    <n v="1108"/>
    <n v="69"/>
    <s v="Male"/>
    <x v="4"/>
    <x v="1"/>
    <n v="62"/>
    <s v="Texas"/>
    <x v="2"/>
    <x v="15"/>
    <x v="3"/>
    <x v="24"/>
    <x v="1"/>
    <x v="0"/>
    <n v="26"/>
    <x v="4"/>
    <x v="1"/>
    <m/>
  </r>
  <r>
    <n v="1109"/>
    <n v="27"/>
    <s v="Male"/>
    <x v="6"/>
    <x v="0"/>
    <n v="25"/>
    <s v="Nebraska"/>
    <x v="2"/>
    <x v="11"/>
    <x v="3"/>
    <x v="24"/>
    <x v="1"/>
    <x v="0"/>
    <n v="50"/>
    <x v="1"/>
    <x v="0"/>
    <m/>
  </r>
  <r>
    <n v="1110"/>
    <n v="66"/>
    <s v="Male"/>
    <x v="15"/>
    <x v="0"/>
    <n v="97"/>
    <s v="Oklahoma"/>
    <x v="0"/>
    <x v="10"/>
    <x v="0"/>
    <x v="17"/>
    <x v="1"/>
    <x v="0"/>
    <n v="2"/>
    <x v="0"/>
    <x v="1"/>
    <m/>
  </r>
  <r>
    <n v="1111"/>
    <n v="28"/>
    <s v="Male"/>
    <x v="15"/>
    <x v="0"/>
    <n v="61"/>
    <s v="Texas"/>
    <x v="0"/>
    <x v="17"/>
    <x v="3"/>
    <x v="23"/>
    <x v="1"/>
    <x v="0"/>
    <n v="31"/>
    <x v="1"/>
    <x v="4"/>
    <m/>
  </r>
  <r>
    <n v="1112"/>
    <n v="22"/>
    <s v="Male"/>
    <x v="9"/>
    <x v="1"/>
    <n v="66"/>
    <s v="New York"/>
    <x v="1"/>
    <x v="8"/>
    <x v="2"/>
    <x v="18"/>
    <x v="1"/>
    <x v="0"/>
    <n v="4"/>
    <x v="2"/>
    <x v="4"/>
    <m/>
  </r>
  <r>
    <n v="1113"/>
    <n v="69"/>
    <s v="Male"/>
    <x v="15"/>
    <x v="0"/>
    <n v="67"/>
    <s v="Washington"/>
    <x v="3"/>
    <x v="6"/>
    <x v="1"/>
    <x v="7"/>
    <x v="1"/>
    <x v="0"/>
    <n v="32"/>
    <x v="3"/>
    <x v="3"/>
    <m/>
  </r>
  <r>
    <n v="1114"/>
    <n v="28"/>
    <s v="Male"/>
    <x v="12"/>
    <x v="3"/>
    <n v="80"/>
    <s v="Maryland"/>
    <x v="2"/>
    <x v="7"/>
    <x v="2"/>
    <x v="3"/>
    <x v="1"/>
    <x v="0"/>
    <n v="11"/>
    <x v="3"/>
    <x v="4"/>
    <m/>
  </r>
  <r>
    <n v="1115"/>
    <n v="55"/>
    <s v="Male"/>
    <x v="11"/>
    <x v="0"/>
    <n v="25"/>
    <s v="New Hampshire"/>
    <x v="0"/>
    <x v="10"/>
    <x v="3"/>
    <x v="4"/>
    <x v="1"/>
    <x v="0"/>
    <n v="47"/>
    <x v="4"/>
    <x v="6"/>
    <m/>
  </r>
  <r>
    <n v="1116"/>
    <n v="30"/>
    <s v="Male"/>
    <x v="19"/>
    <x v="3"/>
    <n v="58"/>
    <s v="New York"/>
    <x v="1"/>
    <x v="15"/>
    <x v="3"/>
    <x v="8"/>
    <x v="1"/>
    <x v="0"/>
    <n v="37"/>
    <x v="1"/>
    <x v="1"/>
    <m/>
  </r>
  <r>
    <n v="1117"/>
    <n v="67"/>
    <s v="Male"/>
    <x v="21"/>
    <x v="3"/>
    <n v="96"/>
    <s v="Hawaii"/>
    <x v="2"/>
    <x v="4"/>
    <x v="0"/>
    <x v="13"/>
    <x v="1"/>
    <x v="0"/>
    <n v="39"/>
    <x v="3"/>
    <x v="0"/>
    <m/>
  </r>
  <r>
    <n v="1118"/>
    <n v="25"/>
    <s v="Male"/>
    <x v="12"/>
    <x v="3"/>
    <n v="77"/>
    <s v="California"/>
    <x v="0"/>
    <x v="12"/>
    <x v="1"/>
    <x v="21"/>
    <x v="1"/>
    <x v="0"/>
    <n v="24"/>
    <x v="2"/>
    <x v="5"/>
    <m/>
  </r>
  <r>
    <n v="1119"/>
    <n v="49"/>
    <s v="Male"/>
    <x v="22"/>
    <x v="3"/>
    <n v="65"/>
    <s v="Indiana"/>
    <x v="2"/>
    <x v="7"/>
    <x v="2"/>
    <x v="17"/>
    <x v="1"/>
    <x v="0"/>
    <n v="11"/>
    <x v="3"/>
    <x v="6"/>
    <m/>
  </r>
  <r>
    <n v="1120"/>
    <n v="34"/>
    <s v="Male"/>
    <x v="16"/>
    <x v="3"/>
    <n v="36"/>
    <s v="Louisiana"/>
    <x v="2"/>
    <x v="21"/>
    <x v="1"/>
    <x v="0"/>
    <x v="1"/>
    <x v="0"/>
    <n v="36"/>
    <x v="2"/>
    <x v="1"/>
    <m/>
  </r>
  <r>
    <n v="1121"/>
    <n v="22"/>
    <s v="Male"/>
    <x v="4"/>
    <x v="1"/>
    <n v="84"/>
    <s v="Pennsylvania"/>
    <x v="2"/>
    <x v="23"/>
    <x v="0"/>
    <x v="8"/>
    <x v="1"/>
    <x v="0"/>
    <n v="40"/>
    <x v="5"/>
    <x v="5"/>
    <m/>
  </r>
  <r>
    <n v="1122"/>
    <n v="63"/>
    <s v="Male"/>
    <x v="17"/>
    <x v="0"/>
    <n v="58"/>
    <s v="Florida"/>
    <x v="3"/>
    <x v="15"/>
    <x v="3"/>
    <x v="20"/>
    <x v="1"/>
    <x v="0"/>
    <n v="25"/>
    <x v="1"/>
    <x v="3"/>
    <m/>
  </r>
  <r>
    <n v="1123"/>
    <n v="70"/>
    <s v="Male"/>
    <x v="8"/>
    <x v="3"/>
    <n v="62"/>
    <s v="North Carolina"/>
    <x v="1"/>
    <x v="4"/>
    <x v="1"/>
    <x v="12"/>
    <x v="1"/>
    <x v="0"/>
    <n v="12"/>
    <x v="2"/>
    <x v="2"/>
    <m/>
  </r>
  <r>
    <n v="1124"/>
    <n v="36"/>
    <s v="Male"/>
    <x v="19"/>
    <x v="3"/>
    <n v="67"/>
    <s v="Massachusetts"/>
    <x v="1"/>
    <x v="7"/>
    <x v="3"/>
    <x v="16"/>
    <x v="1"/>
    <x v="0"/>
    <n v="38"/>
    <x v="1"/>
    <x v="5"/>
    <m/>
  </r>
  <r>
    <n v="1125"/>
    <n v="42"/>
    <s v="Male"/>
    <x v="1"/>
    <x v="0"/>
    <n v="20"/>
    <s v="Iowa"/>
    <x v="2"/>
    <x v="20"/>
    <x v="1"/>
    <x v="17"/>
    <x v="1"/>
    <x v="0"/>
    <n v="40"/>
    <x v="1"/>
    <x v="3"/>
    <m/>
  </r>
  <r>
    <n v="1126"/>
    <n v="27"/>
    <s v="Male"/>
    <x v="3"/>
    <x v="1"/>
    <n v="90"/>
    <s v="North Dakota"/>
    <x v="2"/>
    <x v="12"/>
    <x v="2"/>
    <x v="6"/>
    <x v="1"/>
    <x v="0"/>
    <n v="10"/>
    <x v="4"/>
    <x v="1"/>
    <m/>
  </r>
  <r>
    <n v="1127"/>
    <n v="23"/>
    <s v="Male"/>
    <x v="18"/>
    <x v="3"/>
    <n v="58"/>
    <s v="Iowa"/>
    <x v="0"/>
    <x v="19"/>
    <x v="0"/>
    <x v="10"/>
    <x v="1"/>
    <x v="0"/>
    <n v="47"/>
    <x v="0"/>
    <x v="0"/>
    <m/>
  </r>
  <r>
    <n v="1128"/>
    <n v="50"/>
    <s v="Male"/>
    <x v="5"/>
    <x v="0"/>
    <n v="53"/>
    <s v="Delaware"/>
    <x v="3"/>
    <x v="1"/>
    <x v="1"/>
    <x v="3"/>
    <x v="1"/>
    <x v="0"/>
    <n v="22"/>
    <x v="5"/>
    <x v="5"/>
    <m/>
  </r>
  <r>
    <n v="1129"/>
    <n v="56"/>
    <s v="Male"/>
    <x v="24"/>
    <x v="3"/>
    <n v="30"/>
    <s v="New York"/>
    <x v="0"/>
    <x v="4"/>
    <x v="0"/>
    <x v="15"/>
    <x v="1"/>
    <x v="0"/>
    <n v="35"/>
    <x v="5"/>
    <x v="5"/>
    <m/>
  </r>
  <r>
    <n v="1130"/>
    <n v="37"/>
    <s v="Male"/>
    <x v="15"/>
    <x v="0"/>
    <n v="65"/>
    <s v="New Hampshire"/>
    <x v="3"/>
    <x v="3"/>
    <x v="0"/>
    <x v="15"/>
    <x v="1"/>
    <x v="0"/>
    <n v="46"/>
    <x v="0"/>
    <x v="0"/>
    <m/>
  </r>
  <r>
    <n v="1131"/>
    <n v="67"/>
    <s v="Male"/>
    <x v="16"/>
    <x v="3"/>
    <n v="41"/>
    <s v="Kentucky"/>
    <x v="2"/>
    <x v="12"/>
    <x v="2"/>
    <x v="14"/>
    <x v="1"/>
    <x v="0"/>
    <n v="30"/>
    <x v="3"/>
    <x v="4"/>
    <m/>
  </r>
  <r>
    <n v="1132"/>
    <n v="67"/>
    <s v="Male"/>
    <x v="5"/>
    <x v="0"/>
    <n v="73"/>
    <s v="Illinois"/>
    <x v="2"/>
    <x v="13"/>
    <x v="1"/>
    <x v="5"/>
    <x v="1"/>
    <x v="0"/>
    <n v="20"/>
    <x v="4"/>
    <x v="5"/>
    <m/>
  </r>
  <r>
    <n v="1133"/>
    <n v="50"/>
    <s v="Male"/>
    <x v="15"/>
    <x v="0"/>
    <n v="98"/>
    <s v="North Carolina"/>
    <x v="1"/>
    <x v="11"/>
    <x v="1"/>
    <x v="12"/>
    <x v="1"/>
    <x v="0"/>
    <n v="25"/>
    <x v="1"/>
    <x v="0"/>
    <m/>
  </r>
  <r>
    <n v="1134"/>
    <n v="36"/>
    <s v="Male"/>
    <x v="9"/>
    <x v="1"/>
    <n v="36"/>
    <s v="Connecticut"/>
    <x v="3"/>
    <x v="23"/>
    <x v="0"/>
    <x v="18"/>
    <x v="1"/>
    <x v="0"/>
    <n v="29"/>
    <x v="1"/>
    <x v="1"/>
    <m/>
  </r>
  <r>
    <n v="1135"/>
    <n v="62"/>
    <s v="Male"/>
    <x v="17"/>
    <x v="0"/>
    <n v="81"/>
    <s v="Wisconsin"/>
    <x v="2"/>
    <x v="18"/>
    <x v="2"/>
    <x v="7"/>
    <x v="1"/>
    <x v="0"/>
    <n v="2"/>
    <x v="0"/>
    <x v="6"/>
    <m/>
  </r>
  <r>
    <n v="1136"/>
    <n v="65"/>
    <s v="Male"/>
    <x v="11"/>
    <x v="0"/>
    <n v="90"/>
    <s v="Massachusetts"/>
    <x v="0"/>
    <x v="15"/>
    <x v="0"/>
    <x v="2"/>
    <x v="1"/>
    <x v="0"/>
    <n v="32"/>
    <x v="4"/>
    <x v="3"/>
    <m/>
  </r>
  <r>
    <n v="1137"/>
    <n v="23"/>
    <s v="Male"/>
    <x v="8"/>
    <x v="3"/>
    <n v="83"/>
    <s v="Illinois"/>
    <x v="1"/>
    <x v="17"/>
    <x v="2"/>
    <x v="3"/>
    <x v="1"/>
    <x v="0"/>
    <n v="37"/>
    <x v="1"/>
    <x v="5"/>
    <m/>
  </r>
  <r>
    <n v="1138"/>
    <n v="46"/>
    <s v="Male"/>
    <x v="5"/>
    <x v="0"/>
    <n v="91"/>
    <s v="New Mexico"/>
    <x v="3"/>
    <x v="6"/>
    <x v="0"/>
    <x v="24"/>
    <x v="1"/>
    <x v="0"/>
    <n v="16"/>
    <x v="4"/>
    <x v="6"/>
    <m/>
  </r>
  <r>
    <n v="1139"/>
    <n v="18"/>
    <s v="Male"/>
    <x v="13"/>
    <x v="0"/>
    <n v="36"/>
    <s v="Iowa"/>
    <x v="2"/>
    <x v="7"/>
    <x v="2"/>
    <x v="15"/>
    <x v="1"/>
    <x v="0"/>
    <n v="32"/>
    <x v="0"/>
    <x v="0"/>
    <m/>
  </r>
  <r>
    <n v="1140"/>
    <n v="58"/>
    <s v="Male"/>
    <x v="7"/>
    <x v="2"/>
    <n v="53"/>
    <s v="Alabama"/>
    <x v="0"/>
    <x v="7"/>
    <x v="1"/>
    <x v="14"/>
    <x v="1"/>
    <x v="0"/>
    <n v="42"/>
    <x v="5"/>
    <x v="4"/>
    <m/>
  </r>
  <r>
    <n v="1141"/>
    <n v="31"/>
    <s v="Male"/>
    <x v="2"/>
    <x v="0"/>
    <n v="39"/>
    <s v="Maryland"/>
    <x v="2"/>
    <x v="3"/>
    <x v="0"/>
    <x v="4"/>
    <x v="1"/>
    <x v="0"/>
    <n v="6"/>
    <x v="2"/>
    <x v="6"/>
    <m/>
  </r>
  <r>
    <n v="1142"/>
    <n v="39"/>
    <s v="Male"/>
    <x v="24"/>
    <x v="3"/>
    <n v="33"/>
    <s v="Ohio"/>
    <x v="1"/>
    <x v="5"/>
    <x v="0"/>
    <x v="15"/>
    <x v="1"/>
    <x v="0"/>
    <n v="23"/>
    <x v="3"/>
    <x v="0"/>
    <m/>
  </r>
  <r>
    <n v="1143"/>
    <n v="69"/>
    <s v="Male"/>
    <x v="17"/>
    <x v="0"/>
    <n v="76"/>
    <s v="Ohio"/>
    <x v="0"/>
    <x v="14"/>
    <x v="1"/>
    <x v="22"/>
    <x v="1"/>
    <x v="0"/>
    <n v="27"/>
    <x v="0"/>
    <x v="4"/>
    <m/>
  </r>
  <r>
    <n v="1144"/>
    <n v="68"/>
    <s v="Male"/>
    <x v="23"/>
    <x v="1"/>
    <n v="23"/>
    <s v="Nevada"/>
    <x v="0"/>
    <x v="11"/>
    <x v="0"/>
    <x v="9"/>
    <x v="1"/>
    <x v="0"/>
    <n v="43"/>
    <x v="3"/>
    <x v="3"/>
    <m/>
  </r>
  <r>
    <n v="1145"/>
    <n v="41"/>
    <s v="Male"/>
    <x v="2"/>
    <x v="0"/>
    <n v="54"/>
    <s v="South Carolina"/>
    <x v="1"/>
    <x v="21"/>
    <x v="3"/>
    <x v="9"/>
    <x v="1"/>
    <x v="0"/>
    <n v="25"/>
    <x v="4"/>
    <x v="0"/>
    <m/>
  </r>
  <r>
    <n v="1146"/>
    <n v="31"/>
    <s v="Male"/>
    <x v="4"/>
    <x v="1"/>
    <n v="89"/>
    <s v="Nevada"/>
    <x v="0"/>
    <x v="6"/>
    <x v="2"/>
    <x v="23"/>
    <x v="1"/>
    <x v="0"/>
    <n v="30"/>
    <x v="1"/>
    <x v="6"/>
    <m/>
  </r>
  <r>
    <n v="1147"/>
    <n v="48"/>
    <s v="Male"/>
    <x v="4"/>
    <x v="1"/>
    <n v="38"/>
    <s v="Wisconsin"/>
    <x v="2"/>
    <x v="21"/>
    <x v="2"/>
    <x v="13"/>
    <x v="1"/>
    <x v="0"/>
    <n v="7"/>
    <x v="4"/>
    <x v="6"/>
    <m/>
  </r>
  <r>
    <n v="1148"/>
    <n v="59"/>
    <s v="Male"/>
    <x v="19"/>
    <x v="3"/>
    <n v="36"/>
    <s v="Tennessee"/>
    <x v="3"/>
    <x v="16"/>
    <x v="0"/>
    <x v="12"/>
    <x v="1"/>
    <x v="0"/>
    <n v="17"/>
    <x v="5"/>
    <x v="2"/>
    <m/>
  </r>
  <r>
    <n v="1149"/>
    <n v="34"/>
    <s v="Male"/>
    <x v="13"/>
    <x v="0"/>
    <n v="66"/>
    <s v="Florida"/>
    <x v="2"/>
    <x v="10"/>
    <x v="1"/>
    <x v="4"/>
    <x v="1"/>
    <x v="0"/>
    <n v="10"/>
    <x v="3"/>
    <x v="0"/>
    <m/>
  </r>
  <r>
    <n v="1150"/>
    <n v="21"/>
    <s v="Male"/>
    <x v="16"/>
    <x v="3"/>
    <n v="42"/>
    <s v="Georgia"/>
    <x v="0"/>
    <x v="17"/>
    <x v="1"/>
    <x v="19"/>
    <x v="1"/>
    <x v="0"/>
    <n v="40"/>
    <x v="0"/>
    <x v="2"/>
    <m/>
  </r>
  <r>
    <n v="1151"/>
    <n v="29"/>
    <s v="Male"/>
    <x v="16"/>
    <x v="3"/>
    <n v="36"/>
    <s v="Kentucky"/>
    <x v="1"/>
    <x v="16"/>
    <x v="0"/>
    <x v="6"/>
    <x v="1"/>
    <x v="0"/>
    <n v="50"/>
    <x v="0"/>
    <x v="4"/>
    <m/>
  </r>
  <r>
    <n v="1152"/>
    <n v="41"/>
    <s v="Male"/>
    <x v="0"/>
    <x v="0"/>
    <n v="86"/>
    <s v="Ohio"/>
    <x v="2"/>
    <x v="0"/>
    <x v="1"/>
    <x v="13"/>
    <x v="1"/>
    <x v="0"/>
    <n v="24"/>
    <x v="2"/>
    <x v="1"/>
    <m/>
  </r>
  <r>
    <n v="1153"/>
    <n v="62"/>
    <s v="Male"/>
    <x v="8"/>
    <x v="3"/>
    <n v="49"/>
    <s v="Connecticut"/>
    <x v="2"/>
    <x v="9"/>
    <x v="3"/>
    <x v="8"/>
    <x v="1"/>
    <x v="0"/>
    <n v="8"/>
    <x v="3"/>
    <x v="6"/>
    <m/>
  </r>
  <r>
    <n v="1154"/>
    <n v="27"/>
    <s v="Male"/>
    <x v="5"/>
    <x v="0"/>
    <n v="41"/>
    <s v="Idaho"/>
    <x v="2"/>
    <x v="6"/>
    <x v="2"/>
    <x v="8"/>
    <x v="1"/>
    <x v="0"/>
    <n v="6"/>
    <x v="4"/>
    <x v="3"/>
    <m/>
  </r>
  <r>
    <n v="1155"/>
    <n v="49"/>
    <s v="Male"/>
    <x v="10"/>
    <x v="0"/>
    <n v="82"/>
    <s v="Georgia"/>
    <x v="0"/>
    <x v="17"/>
    <x v="1"/>
    <x v="25"/>
    <x v="1"/>
    <x v="0"/>
    <n v="44"/>
    <x v="2"/>
    <x v="4"/>
    <m/>
  </r>
  <r>
    <n v="1156"/>
    <n v="67"/>
    <s v="Male"/>
    <x v="17"/>
    <x v="0"/>
    <n v="53"/>
    <s v="Tennessee"/>
    <x v="1"/>
    <x v="16"/>
    <x v="3"/>
    <x v="4"/>
    <x v="1"/>
    <x v="0"/>
    <n v="47"/>
    <x v="3"/>
    <x v="3"/>
    <m/>
  </r>
  <r>
    <n v="1157"/>
    <n v="20"/>
    <s v="Male"/>
    <x v="9"/>
    <x v="1"/>
    <n v="21"/>
    <s v="Hawaii"/>
    <x v="2"/>
    <x v="9"/>
    <x v="2"/>
    <x v="3"/>
    <x v="1"/>
    <x v="0"/>
    <n v="6"/>
    <x v="0"/>
    <x v="6"/>
    <m/>
  </r>
  <r>
    <n v="1158"/>
    <n v="37"/>
    <s v="Male"/>
    <x v="22"/>
    <x v="3"/>
    <n v="66"/>
    <s v="Maryland"/>
    <x v="2"/>
    <x v="4"/>
    <x v="3"/>
    <x v="9"/>
    <x v="1"/>
    <x v="0"/>
    <n v="11"/>
    <x v="1"/>
    <x v="3"/>
    <m/>
  </r>
  <r>
    <n v="1159"/>
    <n v="69"/>
    <s v="Male"/>
    <x v="22"/>
    <x v="3"/>
    <n v="89"/>
    <s v="Nevada"/>
    <x v="0"/>
    <x v="20"/>
    <x v="2"/>
    <x v="8"/>
    <x v="1"/>
    <x v="0"/>
    <n v="41"/>
    <x v="4"/>
    <x v="2"/>
    <m/>
  </r>
  <r>
    <n v="1160"/>
    <n v="66"/>
    <s v="Male"/>
    <x v="8"/>
    <x v="3"/>
    <n v="55"/>
    <s v="New Hampshire"/>
    <x v="0"/>
    <x v="24"/>
    <x v="3"/>
    <x v="2"/>
    <x v="1"/>
    <x v="0"/>
    <n v="46"/>
    <x v="0"/>
    <x v="6"/>
    <m/>
  </r>
  <r>
    <n v="1161"/>
    <n v="37"/>
    <s v="Male"/>
    <x v="18"/>
    <x v="3"/>
    <n v="42"/>
    <s v="North Dakota"/>
    <x v="1"/>
    <x v="24"/>
    <x v="2"/>
    <x v="20"/>
    <x v="1"/>
    <x v="0"/>
    <n v="9"/>
    <x v="0"/>
    <x v="4"/>
    <m/>
  </r>
  <r>
    <n v="1162"/>
    <n v="63"/>
    <s v="Male"/>
    <x v="6"/>
    <x v="0"/>
    <n v="52"/>
    <s v="Oklahoma"/>
    <x v="1"/>
    <x v="20"/>
    <x v="3"/>
    <x v="0"/>
    <x v="1"/>
    <x v="0"/>
    <n v="37"/>
    <x v="3"/>
    <x v="5"/>
    <m/>
  </r>
  <r>
    <n v="1163"/>
    <n v="47"/>
    <s v="Male"/>
    <x v="3"/>
    <x v="1"/>
    <n v="92"/>
    <s v="North Carolina"/>
    <x v="2"/>
    <x v="24"/>
    <x v="0"/>
    <x v="13"/>
    <x v="1"/>
    <x v="0"/>
    <n v="13"/>
    <x v="3"/>
    <x v="1"/>
    <m/>
  </r>
  <r>
    <n v="1164"/>
    <n v="26"/>
    <s v="Male"/>
    <x v="13"/>
    <x v="0"/>
    <n v="56"/>
    <s v="Tennessee"/>
    <x v="0"/>
    <x v="3"/>
    <x v="2"/>
    <x v="23"/>
    <x v="1"/>
    <x v="0"/>
    <n v="24"/>
    <x v="5"/>
    <x v="5"/>
    <m/>
  </r>
  <r>
    <n v="1165"/>
    <n v="68"/>
    <s v="Male"/>
    <x v="10"/>
    <x v="0"/>
    <n v="96"/>
    <s v="Montana"/>
    <x v="2"/>
    <x v="14"/>
    <x v="0"/>
    <x v="13"/>
    <x v="1"/>
    <x v="0"/>
    <n v="47"/>
    <x v="3"/>
    <x v="3"/>
    <m/>
  </r>
  <r>
    <n v="1166"/>
    <n v="51"/>
    <s v="Male"/>
    <x v="17"/>
    <x v="0"/>
    <n v="64"/>
    <s v="Wisconsin"/>
    <x v="2"/>
    <x v="5"/>
    <x v="0"/>
    <x v="25"/>
    <x v="1"/>
    <x v="0"/>
    <n v="21"/>
    <x v="0"/>
    <x v="6"/>
    <m/>
  </r>
  <r>
    <n v="1167"/>
    <n v="48"/>
    <s v="Male"/>
    <x v="10"/>
    <x v="0"/>
    <n v="48"/>
    <s v="Connecticut"/>
    <x v="1"/>
    <x v="12"/>
    <x v="0"/>
    <x v="5"/>
    <x v="1"/>
    <x v="0"/>
    <n v="22"/>
    <x v="0"/>
    <x v="0"/>
    <m/>
  </r>
  <r>
    <n v="1168"/>
    <n v="60"/>
    <s v="Male"/>
    <x v="20"/>
    <x v="0"/>
    <n v="83"/>
    <s v="New Jersey"/>
    <x v="3"/>
    <x v="19"/>
    <x v="2"/>
    <x v="2"/>
    <x v="1"/>
    <x v="0"/>
    <n v="16"/>
    <x v="3"/>
    <x v="3"/>
    <m/>
  </r>
  <r>
    <n v="1169"/>
    <n v="68"/>
    <s v="Male"/>
    <x v="18"/>
    <x v="3"/>
    <n v="91"/>
    <s v="Mississippi"/>
    <x v="0"/>
    <x v="10"/>
    <x v="2"/>
    <x v="2"/>
    <x v="1"/>
    <x v="0"/>
    <n v="37"/>
    <x v="5"/>
    <x v="0"/>
    <m/>
  </r>
  <r>
    <n v="1170"/>
    <n v="25"/>
    <s v="Male"/>
    <x v="21"/>
    <x v="3"/>
    <n v="94"/>
    <s v="Wyoming"/>
    <x v="1"/>
    <x v="0"/>
    <x v="3"/>
    <x v="21"/>
    <x v="1"/>
    <x v="0"/>
    <n v="3"/>
    <x v="1"/>
    <x v="2"/>
    <m/>
  </r>
  <r>
    <n v="1171"/>
    <n v="57"/>
    <s v="Male"/>
    <x v="11"/>
    <x v="0"/>
    <n v="62"/>
    <s v="Illinois"/>
    <x v="1"/>
    <x v="16"/>
    <x v="1"/>
    <x v="20"/>
    <x v="1"/>
    <x v="0"/>
    <n v="33"/>
    <x v="1"/>
    <x v="4"/>
    <m/>
  </r>
  <r>
    <n v="1172"/>
    <n v="41"/>
    <s v="Male"/>
    <x v="20"/>
    <x v="0"/>
    <n v="55"/>
    <s v="Louisiana"/>
    <x v="2"/>
    <x v="12"/>
    <x v="1"/>
    <x v="14"/>
    <x v="1"/>
    <x v="0"/>
    <n v="15"/>
    <x v="5"/>
    <x v="2"/>
    <m/>
  </r>
  <r>
    <n v="1173"/>
    <n v="59"/>
    <s v="Male"/>
    <x v="7"/>
    <x v="2"/>
    <n v="68"/>
    <s v="Oregon"/>
    <x v="0"/>
    <x v="15"/>
    <x v="1"/>
    <x v="7"/>
    <x v="1"/>
    <x v="0"/>
    <n v="42"/>
    <x v="4"/>
    <x v="4"/>
    <m/>
  </r>
  <r>
    <n v="1174"/>
    <n v="44"/>
    <s v="Male"/>
    <x v="16"/>
    <x v="3"/>
    <n v="76"/>
    <s v="South Dakota"/>
    <x v="2"/>
    <x v="21"/>
    <x v="0"/>
    <x v="16"/>
    <x v="1"/>
    <x v="0"/>
    <n v="42"/>
    <x v="1"/>
    <x v="4"/>
    <m/>
  </r>
  <r>
    <n v="1175"/>
    <n v="42"/>
    <s v="Male"/>
    <x v="21"/>
    <x v="3"/>
    <n v="31"/>
    <s v="Michigan"/>
    <x v="2"/>
    <x v="13"/>
    <x v="0"/>
    <x v="12"/>
    <x v="1"/>
    <x v="0"/>
    <n v="19"/>
    <x v="4"/>
    <x v="4"/>
    <m/>
  </r>
  <r>
    <n v="1176"/>
    <n v="35"/>
    <s v="Male"/>
    <x v="22"/>
    <x v="3"/>
    <n v="81"/>
    <s v="New Jersey"/>
    <x v="2"/>
    <x v="19"/>
    <x v="1"/>
    <x v="18"/>
    <x v="1"/>
    <x v="0"/>
    <n v="26"/>
    <x v="3"/>
    <x v="3"/>
    <m/>
  </r>
  <r>
    <n v="1177"/>
    <n v="36"/>
    <s v="Male"/>
    <x v="10"/>
    <x v="0"/>
    <n v="83"/>
    <s v="Oregon"/>
    <x v="2"/>
    <x v="16"/>
    <x v="0"/>
    <x v="7"/>
    <x v="1"/>
    <x v="0"/>
    <n v="39"/>
    <x v="3"/>
    <x v="3"/>
    <m/>
  </r>
  <r>
    <n v="1178"/>
    <n v="54"/>
    <s v="Male"/>
    <x v="11"/>
    <x v="0"/>
    <n v="21"/>
    <s v="Iowa"/>
    <x v="2"/>
    <x v="13"/>
    <x v="1"/>
    <x v="3"/>
    <x v="1"/>
    <x v="0"/>
    <n v="24"/>
    <x v="5"/>
    <x v="5"/>
    <m/>
  </r>
  <r>
    <n v="1179"/>
    <n v="37"/>
    <s v="Male"/>
    <x v="10"/>
    <x v="0"/>
    <n v="22"/>
    <s v="South Carolina"/>
    <x v="2"/>
    <x v="11"/>
    <x v="1"/>
    <x v="17"/>
    <x v="1"/>
    <x v="0"/>
    <n v="23"/>
    <x v="5"/>
    <x v="2"/>
    <m/>
  </r>
  <r>
    <n v="1180"/>
    <n v="20"/>
    <s v="Male"/>
    <x v="17"/>
    <x v="0"/>
    <n v="33"/>
    <s v="Indiana"/>
    <x v="2"/>
    <x v="24"/>
    <x v="2"/>
    <x v="24"/>
    <x v="1"/>
    <x v="0"/>
    <n v="44"/>
    <x v="4"/>
    <x v="2"/>
    <m/>
  </r>
  <r>
    <n v="1181"/>
    <n v="23"/>
    <s v="Male"/>
    <x v="11"/>
    <x v="0"/>
    <n v="23"/>
    <s v="Oregon"/>
    <x v="1"/>
    <x v="19"/>
    <x v="1"/>
    <x v="17"/>
    <x v="1"/>
    <x v="0"/>
    <n v="34"/>
    <x v="1"/>
    <x v="5"/>
    <m/>
  </r>
  <r>
    <n v="1182"/>
    <n v="61"/>
    <s v="Male"/>
    <x v="6"/>
    <x v="0"/>
    <n v="96"/>
    <s v="New York"/>
    <x v="0"/>
    <x v="11"/>
    <x v="2"/>
    <x v="22"/>
    <x v="1"/>
    <x v="0"/>
    <n v="43"/>
    <x v="4"/>
    <x v="3"/>
    <m/>
  </r>
  <r>
    <n v="1183"/>
    <n v="37"/>
    <s v="Male"/>
    <x v="16"/>
    <x v="3"/>
    <n v="21"/>
    <s v="New Mexico"/>
    <x v="2"/>
    <x v="1"/>
    <x v="1"/>
    <x v="1"/>
    <x v="1"/>
    <x v="0"/>
    <n v="45"/>
    <x v="3"/>
    <x v="3"/>
    <m/>
  </r>
  <r>
    <n v="1184"/>
    <n v="23"/>
    <s v="Male"/>
    <x v="13"/>
    <x v="0"/>
    <n v="39"/>
    <s v="Louisiana"/>
    <x v="2"/>
    <x v="22"/>
    <x v="1"/>
    <x v="21"/>
    <x v="1"/>
    <x v="0"/>
    <n v="4"/>
    <x v="2"/>
    <x v="1"/>
    <m/>
  </r>
  <r>
    <n v="1185"/>
    <n v="63"/>
    <s v="Male"/>
    <x v="22"/>
    <x v="3"/>
    <n v="73"/>
    <s v="South Carolina"/>
    <x v="1"/>
    <x v="21"/>
    <x v="3"/>
    <x v="10"/>
    <x v="1"/>
    <x v="0"/>
    <n v="19"/>
    <x v="2"/>
    <x v="2"/>
    <m/>
  </r>
  <r>
    <n v="1186"/>
    <n v="47"/>
    <s v="Male"/>
    <x v="2"/>
    <x v="0"/>
    <n v="64"/>
    <s v="Maine"/>
    <x v="2"/>
    <x v="23"/>
    <x v="1"/>
    <x v="14"/>
    <x v="1"/>
    <x v="0"/>
    <n v="29"/>
    <x v="2"/>
    <x v="5"/>
    <m/>
  </r>
  <r>
    <n v="1187"/>
    <n v="63"/>
    <s v="Male"/>
    <x v="2"/>
    <x v="0"/>
    <n v="68"/>
    <s v="Indiana"/>
    <x v="2"/>
    <x v="19"/>
    <x v="2"/>
    <x v="18"/>
    <x v="1"/>
    <x v="0"/>
    <n v="27"/>
    <x v="2"/>
    <x v="2"/>
    <m/>
  </r>
  <r>
    <n v="1188"/>
    <n v="56"/>
    <s v="Male"/>
    <x v="19"/>
    <x v="3"/>
    <n v="89"/>
    <s v="Iowa"/>
    <x v="0"/>
    <x v="1"/>
    <x v="3"/>
    <x v="23"/>
    <x v="1"/>
    <x v="0"/>
    <n v="37"/>
    <x v="2"/>
    <x v="6"/>
    <m/>
  </r>
  <r>
    <n v="1189"/>
    <n v="68"/>
    <s v="Male"/>
    <x v="0"/>
    <x v="0"/>
    <n v="29"/>
    <s v="Mississippi"/>
    <x v="2"/>
    <x v="23"/>
    <x v="2"/>
    <x v="19"/>
    <x v="1"/>
    <x v="0"/>
    <n v="11"/>
    <x v="2"/>
    <x v="1"/>
    <m/>
  </r>
  <r>
    <n v="1190"/>
    <n v="64"/>
    <s v="Male"/>
    <x v="5"/>
    <x v="0"/>
    <n v="97"/>
    <s v="Arkansas"/>
    <x v="3"/>
    <x v="11"/>
    <x v="2"/>
    <x v="17"/>
    <x v="1"/>
    <x v="0"/>
    <n v="28"/>
    <x v="5"/>
    <x v="2"/>
    <m/>
  </r>
  <r>
    <n v="1191"/>
    <n v="62"/>
    <s v="Male"/>
    <x v="5"/>
    <x v="0"/>
    <n v="45"/>
    <s v="South Carolina"/>
    <x v="2"/>
    <x v="20"/>
    <x v="0"/>
    <x v="12"/>
    <x v="1"/>
    <x v="0"/>
    <n v="31"/>
    <x v="2"/>
    <x v="1"/>
    <m/>
  </r>
  <r>
    <n v="1192"/>
    <n v="34"/>
    <s v="Male"/>
    <x v="17"/>
    <x v="0"/>
    <n v="70"/>
    <s v="Indiana"/>
    <x v="0"/>
    <x v="4"/>
    <x v="0"/>
    <x v="18"/>
    <x v="1"/>
    <x v="0"/>
    <n v="50"/>
    <x v="0"/>
    <x v="3"/>
    <m/>
  </r>
  <r>
    <n v="1193"/>
    <n v="49"/>
    <s v="Male"/>
    <x v="7"/>
    <x v="2"/>
    <n v="56"/>
    <s v="Florida"/>
    <x v="2"/>
    <x v="2"/>
    <x v="2"/>
    <x v="8"/>
    <x v="1"/>
    <x v="0"/>
    <n v="42"/>
    <x v="0"/>
    <x v="3"/>
    <m/>
  </r>
  <r>
    <n v="1194"/>
    <n v="40"/>
    <s v="Male"/>
    <x v="14"/>
    <x v="2"/>
    <n v="55"/>
    <s v="Alaska"/>
    <x v="0"/>
    <x v="6"/>
    <x v="3"/>
    <x v="11"/>
    <x v="1"/>
    <x v="0"/>
    <n v="18"/>
    <x v="2"/>
    <x v="0"/>
    <m/>
  </r>
  <r>
    <n v="1195"/>
    <n v="50"/>
    <s v="Male"/>
    <x v="15"/>
    <x v="0"/>
    <n v="46"/>
    <s v="New York"/>
    <x v="1"/>
    <x v="11"/>
    <x v="0"/>
    <x v="0"/>
    <x v="1"/>
    <x v="0"/>
    <n v="6"/>
    <x v="2"/>
    <x v="0"/>
    <m/>
  </r>
  <r>
    <n v="1196"/>
    <n v="25"/>
    <s v="Male"/>
    <x v="18"/>
    <x v="3"/>
    <n v="95"/>
    <s v="Texas"/>
    <x v="2"/>
    <x v="3"/>
    <x v="0"/>
    <x v="8"/>
    <x v="1"/>
    <x v="0"/>
    <n v="33"/>
    <x v="0"/>
    <x v="5"/>
    <m/>
  </r>
  <r>
    <n v="1197"/>
    <n v="30"/>
    <s v="Male"/>
    <x v="22"/>
    <x v="3"/>
    <n v="88"/>
    <s v="North Dakota"/>
    <x v="2"/>
    <x v="1"/>
    <x v="0"/>
    <x v="20"/>
    <x v="1"/>
    <x v="0"/>
    <n v="13"/>
    <x v="4"/>
    <x v="4"/>
    <m/>
  </r>
  <r>
    <n v="1198"/>
    <n v="54"/>
    <s v="Male"/>
    <x v="4"/>
    <x v="1"/>
    <n v="92"/>
    <s v="Vermont"/>
    <x v="0"/>
    <x v="10"/>
    <x v="3"/>
    <x v="14"/>
    <x v="1"/>
    <x v="0"/>
    <n v="26"/>
    <x v="3"/>
    <x v="2"/>
    <m/>
  </r>
  <r>
    <n v="1199"/>
    <n v="40"/>
    <s v="Male"/>
    <x v="20"/>
    <x v="0"/>
    <n v="49"/>
    <s v="New Jersey"/>
    <x v="2"/>
    <x v="18"/>
    <x v="2"/>
    <x v="14"/>
    <x v="1"/>
    <x v="0"/>
    <n v="17"/>
    <x v="1"/>
    <x v="2"/>
    <m/>
  </r>
  <r>
    <n v="1200"/>
    <n v="49"/>
    <s v="Male"/>
    <x v="3"/>
    <x v="1"/>
    <n v="89"/>
    <s v="Maryland"/>
    <x v="2"/>
    <x v="21"/>
    <x v="3"/>
    <x v="21"/>
    <x v="1"/>
    <x v="0"/>
    <n v="3"/>
    <x v="5"/>
    <x v="1"/>
    <m/>
  </r>
  <r>
    <n v="1201"/>
    <n v="27"/>
    <s v="Male"/>
    <x v="7"/>
    <x v="2"/>
    <n v="22"/>
    <s v="Connecticut"/>
    <x v="3"/>
    <x v="13"/>
    <x v="0"/>
    <x v="9"/>
    <x v="1"/>
    <x v="0"/>
    <n v="7"/>
    <x v="3"/>
    <x v="1"/>
    <m/>
  </r>
  <r>
    <n v="1202"/>
    <n v="27"/>
    <s v="Male"/>
    <x v="9"/>
    <x v="1"/>
    <n v="61"/>
    <s v="Illinois"/>
    <x v="3"/>
    <x v="13"/>
    <x v="2"/>
    <x v="0"/>
    <x v="1"/>
    <x v="0"/>
    <n v="46"/>
    <x v="0"/>
    <x v="0"/>
    <m/>
  </r>
  <r>
    <n v="1203"/>
    <n v="48"/>
    <s v="Male"/>
    <x v="18"/>
    <x v="3"/>
    <n v="29"/>
    <s v="Maryland"/>
    <x v="1"/>
    <x v="8"/>
    <x v="1"/>
    <x v="25"/>
    <x v="1"/>
    <x v="0"/>
    <n v="14"/>
    <x v="0"/>
    <x v="6"/>
    <m/>
  </r>
  <r>
    <n v="1204"/>
    <n v="40"/>
    <s v="Male"/>
    <x v="4"/>
    <x v="1"/>
    <n v="82"/>
    <s v="Minnesota"/>
    <x v="2"/>
    <x v="20"/>
    <x v="0"/>
    <x v="5"/>
    <x v="1"/>
    <x v="0"/>
    <n v="23"/>
    <x v="4"/>
    <x v="2"/>
    <m/>
  </r>
  <r>
    <n v="1205"/>
    <n v="67"/>
    <s v="Male"/>
    <x v="22"/>
    <x v="3"/>
    <n v="94"/>
    <s v="Florida"/>
    <x v="2"/>
    <x v="6"/>
    <x v="1"/>
    <x v="20"/>
    <x v="1"/>
    <x v="0"/>
    <n v="20"/>
    <x v="2"/>
    <x v="6"/>
    <m/>
  </r>
  <r>
    <n v="1206"/>
    <n v="52"/>
    <s v="Male"/>
    <x v="8"/>
    <x v="3"/>
    <n v="99"/>
    <s v="California"/>
    <x v="2"/>
    <x v="8"/>
    <x v="1"/>
    <x v="22"/>
    <x v="1"/>
    <x v="0"/>
    <n v="38"/>
    <x v="4"/>
    <x v="0"/>
    <m/>
  </r>
  <r>
    <n v="1207"/>
    <n v="22"/>
    <s v="Male"/>
    <x v="8"/>
    <x v="3"/>
    <n v="59"/>
    <s v="Mississippi"/>
    <x v="1"/>
    <x v="17"/>
    <x v="3"/>
    <x v="23"/>
    <x v="1"/>
    <x v="0"/>
    <n v="16"/>
    <x v="0"/>
    <x v="6"/>
    <m/>
  </r>
  <r>
    <n v="1208"/>
    <n v="62"/>
    <s v="Male"/>
    <x v="23"/>
    <x v="1"/>
    <n v="90"/>
    <s v="Washington"/>
    <x v="2"/>
    <x v="3"/>
    <x v="2"/>
    <x v="18"/>
    <x v="1"/>
    <x v="0"/>
    <n v="48"/>
    <x v="2"/>
    <x v="6"/>
    <m/>
  </r>
  <r>
    <n v="1209"/>
    <n v="20"/>
    <s v="Male"/>
    <x v="23"/>
    <x v="1"/>
    <n v="100"/>
    <s v="Wisconsin"/>
    <x v="1"/>
    <x v="16"/>
    <x v="0"/>
    <x v="25"/>
    <x v="1"/>
    <x v="0"/>
    <n v="8"/>
    <x v="5"/>
    <x v="2"/>
    <m/>
  </r>
  <r>
    <n v="1210"/>
    <n v="41"/>
    <s v="Male"/>
    <x v="13"/>
    <x v="0"/>
    <n v="62"/>
    <s v="Pennsylvania"/>
    <x v="2"/>
    <x v="24"/>
    <x v="0"/>
    <x v="1"/>
    <x v="1"/>
    <x v="0"/>
    <n v="16"/>
    <x v="4"/>
    <x v="5"/>
    <m/>
  </r>
  <r>
    <n v="1211"/>
    <n v="34"/>
    <s v="Male"/>
    <x v="12"/>
    <x v="3"/>
    <n v="78"/>
    <s v="Missouri"/>
    <x v="2"/>
    <x v="8"/>
    <x v="3"/>
    <x v="18"/>
    <x v="1"/>
    <x v="0"/>
    <n v="5"/>
    <x v="1"/>
    <x v="3"/>
    <m/>
  </r>
  <r>
    <n v="1212"/>
    <n v="23"/>
    <s v="Male"/>
    <x v="15"/>
    <x v="0"/>
    <n v="94"/>
    <s v="Oklahoma"/>
    <x v="2"/>
    <x v="14"/>
    <x v="1"/>
    <x v="7"/>
    <x v="1"/>
    <x v="0"/>
    <n v="14"/>
    <x v="0"/>
    <x v="6"/>
    <m/>
  </r>
  <r>
    <n v="1213"/>
    <n v="32"/>
    <s v="Male"/>
    <x v="9"/>
    <x v="1"/>
    <n v="74"/>
    <s v="Pennsylvania"/>
    <x v="2"/>
    <x v="22"/>
    <x v="2"/>
    <x v="16"/>
    <x v="1"/>
    <x v="0"/>
    <n v="18"/>
    <x v="2"/>
    <x v="1"/>
    <m/>
  </r>
  <r>
    <n v="1214"/>
    <n v="68"/>
    <s v="Male"/>
    <x v="8"/>
    <x v="3"/>
    <n v="52"/>
    <s v="Kentucky"/>
    <x v="3"/>
    <x v="13"/>
    <x v="1"/>
    <x v="5"/>
    <x v="1"/>
    <x v="0"/>
    <n v="14"/>
    <x v="5"/>
    <x v="6"/>
    <m/>
  </r>
  <r>
    <n v="1215"/>
    <n v="30"/>
    <s v="Male"/>
    <x v="14"/>
    <x v="2"/>
    <n v="81"/>
    <s v="Vermont"/>
    <x v="2"/>
    <x v="24"/>
    <x v="3"/>
    <x v="1"/>
    <x v="1"/>
    <x v="0"/>
    <n v="5"/>
    <x v="1"/>
    <x v="6"/>
    <m/>
  </r>
  <r>
    <n v="1216"/>
    <n v="66"/>
    <s v="Male"/>
    <x v="0"/>
    <x v="0"/>
    <n v="20"/>
    <s v="Oregon"/>
    <x v="0"/>
    <x v="6"/>
    <x v="0"/>
    <x v="4"/>
    <x v="1"/>
    <x v="0"/>
    <n v="15"/>
    <x v="2"/>
    <x v="6"/>
    <m/>
  </r>
  <r>
    <n v="1217"/>
    <n v="62"/>
    <s v="Male"/>
    <x v="13"/>
    <x v="0"/>
    <n v="32"/>
    <s v="Utah"/>
    <x v="3"/>
    <x v="12"/>
    <x v="2"/>
    <x v="5"/>
    <x v="1"/>
    <x v="0"/>
    <n v="3"/>
    <x v="0"/>
    <x v="6"/>
    <m/>
  </r>
  <r>
    <n v="1218"/>
    <n v="50"/>
    <s v="Male"/>
    <x v="23"/>
    <x v="1"/>
    <n v="63"/>
    <s v="Nebraska"/>
    <x v="3"/>
    <x v="17"/>
    <x v="3"/>
    <x v="4"/>
    <x v="1"/>
    <x v="0"/>
    <n v="12"/>
    <x v="1"/>
    <x v="6"/>
    <m/>
  </r>
  <r>
    <n v="1219"/>
    <n v="55"/>
    <s v="Male"/>
    <x v="23"/>
    <x v="1"/>
    <n v="79"/>
    <s v="Pennsylvania"/>
    <x v="2"/>
    <x v="17"/>
    <x v="1"/>
    <x v="0"/>
    <x v="1"/>
    <x v="0"/>
    <n v="43"/>
    <x v="1"/>
    <x v="6"/>
    <m/>
  </r>
  <r>
    <n v="1220"/>
    <n v="19"/>
    <s v="Male"/>
    <x v="1"/>
    <x v="0"/>
    <n v="23"/>
    <s v="Vermont"/>
    <x v="2"/>
    <x v="9"/>
    <x v="0"/>
    <x v="16"/>
    <x v="1"/>
    <x v="0"/>
    <n v="35"/>
    <x v="2"/>
    <x v="4"/>
    <m/>
  </r>
  <r>
    <n v="1221"/>
    <n v="67"/>
    <s v="Male"/>
    <x v="24"/>
    <x v="3"/>
    <n v="64"/>
    <s v="Kentucky"/>
    <x v="2"/>
    <x v="14"/>
    <x v="0"/>
    <x v="17"/>
    <x v="1"/>
    <x v="0"/>
    <n v="36"/>
    <x v="4"/>
    <x v="3"/>
    <m/>
  </r>
  <r>
    <n v="1222"/>
    <n v="18"/>
    <s v="Male"/>
    <x v="20"/>
    <x v="0"/>
    <n v="69"/>
    <s v="Iowa"/>
    <x v="2"/>
    <x v="16"/>
    <x v="0"/>
    <x v="21"/>
    <x v="1"/>
    <x v="0"/>
    <n v="3"/>
    <x v="1"/>
    <x v="3"/>
    <m/>
  </r>
  <r>
    <n v="1223"/>
    <n v="58"/>
    <s v="Male"/>
    <x v="2"/>
    <x v="0"/>
    <n v="69"/>
    <s v="Indiana"/>
    <x v="0"/>
    <x v="23"/>
    <x v="3"/>
    <x v="10"/>
    <x v="1"/>
    <x v="0"/>
    <n v="27"/>
    <x v="4"/>
    <x v="2"/>
    <m/>
  </r>
  <r>
    <n v="1224"/>
    <n v="69"/>
    <s v="Male"/>
    <x v="13"/>
    <x v="0"/>
    <n v="24"/>
    <s v="Kansas"/>
    <x v="0"/>
    <x v="16"/>
    <x v="0"/>
    <x v="14"/>
    <x v="1"/>
    <x v="0"/>
    <n v="21"/>
    <x v="4"/>
    <x v="1"/>
    <m/>
  </r>
  <r>
    <n v="1225"/>
    <n v="62"/>
    <s v="Male"/>
    <x v="6"/>
    <x v="0"/>
    <n v="50"/>
    <s v="Illinois"/>
    <x v="2"/>
    <x v="22"/>
    <x v="2"/>
    <x v="5"/>
    <x v="1"/>
    <x v="0"/>
    <n v="18"/>
    <x v="0"/>
    <x v="1"/>
    <m/>
  </r>
  <r>
    <n v="1226"/>
    <n v="28"/>
    <s v="Male"/>
    <x v="24"/>
    <x v="3"/>
    <n v="97"/>
    <s v="North Carolina"/>
    <x v="1"/>
    <x v="2"/>
    <x v="3"/>
    <x v="4"/>
    <x v="1"/>
    <x v="0"/>
    <n v="16"/>
    <x v="5"/>
    <x v="1"/>
    <m/>
  </r>
  <r>
    <n v="1227"/>
    <n v="53"/>
    <s v="Male"/>
    <x v="3"/>
    <x v="1"/>
    <n v="91"/>
    <s v="Ohio"/>
    <x v="1"/>
    <x v="17"/>
    <x v="3"/>
    <x v="10"/>
    <x v="1"/>
    <x v="0"/>
    <n v="18"/>
    <x v="0"/>
    <x v="4"/>
    <m/>
  </r>
  <r>
    <n v="1228"/>
    <n v="27"/>
    <s v="Male"/>
    <x v="0"/>
    <x v="0"/>
    <n v="37"/>
    <s v="Illinois"/>
    <x v="0"/>
    <x v="22"/>
    <x v="1"/>
    <x v="17"/>
    <x v="1"/>
    <x v="0"/>
    <n v="19"/>
    <x v="4"/>
    <x v="4"/>
    <m/>
  </r>
  <r>
    <n v="1229"/>
    <n v="55"/>
    <s v="Male"/>
    <x v="14"/>
    <x v="2"/>
    <n v="55"/>
    <s v="Indiana"/>
    <x v="1"/>
    <x v="22"/>
    <x v="0"/>
    <x v="14"/>
    <x v="1"/>
    <x v="0"/>
    <n v="1"/>
    <x v="1"/>
    <x v="2"/>
    <m/>
  </r>
  <r>
    <n v="1230"/>
    <n v="34"/>
    <s v="Male"/>
    <x v="16"/>
    <x v="3"/>
    <n v="52"/>
    <s v="Kansas"/>
    <x v="3"/>
    <x v="1"/>
    <x v="0"/>
    <x v="2"/>
    <x v="1"/>
    <x v="0"/>
    <n v="39"/>
    <x v="4"/>
    <x v="2"/>
    <m/>
  </r>
  <r>
    <n v="1231"/>
    <n v="25"/>
    <s v="Male"/>
    <x v="19"/>
    <x v="3"/>
    <n v="80"/>
    <s v="Illinois"/>
    <x v="0"/>
    <x v="18"/>
    <x v="1"/>
    <x v="7"/>
    <x v="1"/>
    <x v="0"/>
    <n v="49"/>
    <x v="0"/>
    <x v="5"/>
    <m/>
  </r>
  <r>
    <n v="1232"/>
    <n v="66"/>
    <s v="Male"/>
    <x v="20"/>
    <x v="0"/>
    <n v="79"/>
    <s v="Pennsylvania"/>
    <x v="2"/>
    <x v="9"/>
    <x v="1"/>
    <x v="8"/>
    <x v="1"/>
    <x v="0"/>
    <n v="43"/>
    <x v="2"/>
    <x v="0"/>
    <m/>
  </r>
  <r>
    <n v="1233"/>
    <n v="57"/>
    <s v="Male"/>
    <x v="8"/>
    <x v="3"/>
    <n v="23"/>
    <s v="New York"/>
    <x v="2"/>
    <x v="4"/>
    <x v="2"/>
    <x v="2"/>
    <x v="1"/>
    <x v="0"/>
    <n v="31"/>
    <x v="5"/>
    <x v="6"/>
    <m/>
  </r>
  <r>
    <n v="1234"/>
    <n v="46"/>
    <s v="Male"/>
    <x v="13"/>
    <x v="0"/>
    <n v="73"/>
    <s v="Utah"/>
    <x v="0"/>
    <x v="19"/>
    <x v="0"/>
    <x v="22"/>
    <x v="1"/>
    <x v="0"/>
    <n v="40"/>
    <x v="0"/>
    <x v="6"/>
    <m/>
  </r>
  <r>
    <n v="1235"/>
    <n v="38"/>
    <s v="Male"/>
    <x v="24"/>
    <x v="3"/>
    <n v="99"/>
    <s v="New Jersey"/>
    <x v="2"/>
    <x v="21"/>
    <x v="3"/>
    <x v="18"/>
    <x v="1"/>
    <x v="0"/>
    <n v="2"/>
    <x v="4"/>
    <x v="4"/>
    <m/>
  </r>
  <r>
    <n v="1236"/>
    <n v="23"/>
    <s v="Male"/>
    <x v="1"/>
    <x v="0"/>
    <n v="22"/>
    <s v="Idaho"/>
    <x v="2"/>
    <x v="16"/>
    <x v="1"/>
    <x v="23"/>
    <x v="1"/>
    <x v="0"/>
    <n v="46"/>
    <x v="3"/>
    <x v="6"/>
    <m/>
  </r>
  <r>
    <n v="1237"/>
    <n v="42"/>
    <s v="Male"/>
    <x v="19"/>
    <x v="3"/>
    <n v="68"/>
    <s v="New Mexico"/>
    <x v="2"/>
    <x v="3"/>
    <x v="2"/>
    <x v="9"/>
    <x v="1"/>
    <x v="0"/>
    <n v="35"/>
    <x v="5"/>
    <x v="6"/>
    <m/>
  </r>
  <r>
    <n v="1238"/>
    <n v="25"/>
    <s v="Male"/>
    <x v="10"/>
    <x v="0"/>
    <n v="92"/>
    <s v="Michigan"/>
    <x v="1"/>
    <x v="4"/>
    <x v="1"/>
    <x v="9"/>
    <x v="1"/>
    <x v="0"/>
    <n v="42"/>
    <x v="2"/>
    <x v="3"/>
    <m/>
  </r>
  <r>
    <n v="1239"/>
    <n v="55"/>
    <s v="Male"/>
    <x v="13"/>
    <x v="0"/>
    <n v="77"/>
    <s v="Wyoming"/>
    <x v="2"/>
    <x v="10"/>
    <x v="0"/>
    <x v="5"/>
    <x v="1"/>
    <x v="0"/>
    <n v="3"/>
    <x v="0"/>
    <x v="0"/>
    <m/>
  </r>
  <r>
    <n v="1240"/>
    <n v="62"/>
    <s v="Male"/>
    <x v="7"/>
    <x v="2"/>
    <n v="37"/>
    <s v="New Jersey"/>
    <x v="3"/>
    <x v="23"/>
    <x v="1"/>
    <x v="3"/>
    <x v="1"/>
    <x v="0"/>
    <n v="32"/>
    <x v="5"/>
    <x v="6"/>
    <m/>
  </r>
  <r>
    <n v="1241"/>
    <n v="41"/>
    <s v="Male"/>
    <x v="18"/>
    <x v="3"/>
    <n v="79"/>
    <s v="New Jersey"/>
    <x v="0"/>
    <x v="3"/>
    <x v="0"/>
    <x v="25"/>
    <x v="1"/>
    <x v="0"/>
    <n v="48"/>
    <x v="5"/>
    <x v="2"/>
    <m/>
  </r>
  <r>
    <n v="1242"/>
    <n v="58"/>
    <s v="Male"/>
    <x v="15"/>
    <x v="0"/>
    <n v="51"/>
    <s v="Hawaii"/>
    <x v="3"/>
    <x v="6"/>
    <x v="0"/>
    <x v="0"/>
    <x v="1"/>
    <x v="0"/>
    <n v="34"/>
    <x v="2"/>
    <x v="1"/>
    <m/>
  </r>
  <r>
    <n v="1243"/>
    <n v="56"/>
    <s v="Male"/>
    <x v="20"/>
    <x v="0"/>
    <n v="27"/>
    <s v="Nevada"/>
    <x v="2"/>
    <x v="12"/>
    <x v="2"/>
    <x v="8"/>
    <x v="1"/>
    <x v="0"/>
    <n v="15"/>
    <x v="4"/>
    <x v="3"/>
    <m/>
  </r>
  <r>
    <n v="1244"/>
    <n v="25"/>
    <s v="Male"/>
    <x v="0"/>
    <x v="0"/>
    <n v="23"/>
    <s v="New Hampshire"/>
    <x v="1"/>
    <x v="6"/>
    <x v="1"/>
    <x v="23"/>
    <x v="1"/>
    <x v="0"/>
    <n v="22"/>
    <x v="5"/>
    <x v="2"/>
    <m/>
  </r>
  <r>
    <n v="1245"/>
    <n v="70"/>
    <s v="Male"/>
    <x v="20"/>
    <x v="0"/>
    <n v="76"/>
    <s v="Indiana"/>
    <x v="1"/>
    <x v="5"/>
    <x v="2"/>
    <x v="14"/>
    <x v="1"/>
    <x v="0"/>
    <n v="2"/>
    <x v="1"/>
    <x v="5"/>
    <m/>
  </r>
  <r>
    <n v="1246"/>
    <n v="42"/>
    <s v="Male"/>
    <x v="10"/>
    <x v="0"/>
    <n v="31"/>
    <s v="New York"/>
    <x v="2"/>
    <x v="10"/>
    <x v="3"/>
    <x v="10"/>
    <x v="1"/>
    <x v="0"/>
    <n v="30"/>
    <x v="4"/>
    <x v="1"/>
    <m/>
  </r>
  <r>
    <n v="1247"/>
    <n v="27"/>
    <s v="Male"/>
    <x v="15"/>
    <x v="0"/>
    <n v="60"/>
    <s v="Louisiana"/>
    <x v="2"/>
    <x v="4"/>
    <x v="0"/>
    <x v="6"/>
    <x v="1"/>
    <x v="0"/>
    <n v="27"/>
    <x v="1"/>
    <x v="5"/>
    <m/>
  </r>
  <r>
    <n v="1248"/>
    <n v="65"/>
    <s v="Male"/>
    <x v="17"/>
    <x v="0"/>
    <n v="99"/>
    <s v="Virginia"/>
    <x v="2"/>
    <x v="4"/>
    <x v="1"/>
    <x v="22"/>
    <x v="1"/>
    <x v="0"/>
    <n v="18"/>
    <x v="0"/>
    <x v="4"/>
    <m/>
  </r>
  <r>
    <n v="1249"/>
    <n v="62"/>
    <s v="Male"/>
    <x v="19"/>
    <x v="3"/>
    <n v="37"/>
    <s v="Wisconsin"/>
    <x v="3"/>
    <x v="16"/>
    <x v="0"/>
    <x v="23"/>
    <x v="1"/>
    <x v="0"/>
    <n v="8"/>
    <x v="2"/>
    <x v="2"/>
    <m/>
  </r>
  <r>
    <n v="1250"/>
    <n v="62"/>
    <s v="Male"/>
    <x v="23"/>
    <x v="1"/>
    <n v="50"/>
    <s v="Oregon"/>
    <x v="2"/>
    <x v="15"/>
    <x v="0"/>
    <x v="21"/>
    <x v="1"/>
    <x v="0"/>
    <n v="48"/>
    <x v="0"/>
    <x v="0"/>
    <m/>
  </r>
  <r>
    <n v="1251"/>
    <n v="52"/>
    <s v="Male"/>
    <x v="2"/>
    <x v="0"/>
    <n v="26"/>
    <s v="New Hampshire"/>
    <x v="3"/>
    <x v="7"/>
    <x v="0"/>
    <x v="18"/>
    <x v="1"/>
    <x v="0"/>
    <n v="24"/>
    <x v="1"/>
    <x v="5"/>
    <m/>
  </r>
  <r>
    <n v="1252"/>
    <n v="56"/>
    <s v="Male"/>
    <x v="6"/>
    <x v="0"/>
    <n v="86"/>
    <s v="Indiana"/>
    <x v="3"/>
    <x v="20"/>
    <x v="1"/>
    <x v="11"/>
    <x v="1"/>
    <x v="0"/>
    <n v="43"/>
    <x v="2"/>
    <x v="5"/>
    <m/>
  </r>
  <r>
    <n v="1253"/>
    <n v="28"/>
    <s v="Male"/>
    <x v="3"/>
    <x v="1"/>
    <n v="41"/>
    <s v="Massachusetts"/>
    <x v="0"/>
    <x v="23"/>
    <x v="3"/>
    <x v="8"/>
    <x v="1"/>
    <x v="0"/>
    <n v="8"/>
    <x v="1"/>
    <x v="3"/>
    <m/>
  </r>
  <r>
    <n v="1254"/>
    <n v="39"/>
    <s v="Male"/>
    <x v="3"/>
    <x v="1"/>
    <n v="23"/>
    <s v="Montana"/>
    <x v="3"/>
    <x v="16"/>
    <x v="0"/>
    <x v="17"/>
    <x v="1"/>
    <x v="0"/>
    <n v="49"/>
    <x v="3"/>
    <x v="2"/>
    <m/>
  </r>
  <r>
    <n v="1255"/>
    <n v="54"/>
    <s v="Male"/>
    <x v="4"/>
    <x v="1"/>
    <n v="56"/>
    <s v="California"/>
    <x v="3"/>
    <x v="13"/>
    <x v="1"/>
    <x v="19"/>
    <x v="1"/>
    <x v="0"/>
    <n v="2"/>
    <x v="2"/>
    <x v="4"/>
    <m/>
  </r>
  <r>
    <n v="1256"/>
    <n v="30"/>
    <s v="Male"/>
    <x v="19"/>
    <x v="3"/>
    <n v="68"/>
    <s v="Indiana"/>
    <x v="2"/>
    <x v="15"/>
    <x v="3"/>
    <x v="18"/>
    <x v="1"/>
    <x v="0"/>
    <n v="38"/>
    <x v="1"/>
    <x v="0"/>
    <m/>
  </r>
  <r>
    <n v="1257"/>
    <n v="45"/>
    <s v="Male"/>
    <x v="7"/>
    <x v="2"/>
    <n v="48"/>
    <s v="West Virginia"/>
    <x v="1"/>
    <x v="8"/>
    <x v="0"/>
    <x v="2"/>
    <x v="1"/>
    <x v="0"/>
    <n v="4"/>
    <x v="1"/>
    <x v="0"/>
    <m/>
  </r>
  <r>
    <n v="1258"/>
    <n v="68"/>
    <s v="Male"/>
    <x v="10"/>
    <x v="0"/>
    <n v="67"/>
    <s v="Minnesota"/>
    <x v="0"/>
    <x v="9"/>
    <x v="1"/>
    <x v="23"/>
    <x v="1"/>
    <x v="0"/>
    <n v="31"/>
    <x v="1"/>
    <x v="6"/>
    <m/>
  </r>
  <r>
    <n v="1259"/>
    <n v="47"/>
    <s v="Male"/>
    <x v="23"/>
    <x v="1"/>
    <n v="87"/>
    <s v="Ohio"/>
    <x v="3"/>
    <x v="9"/>
    <x v="1"/>
    <x v="18"/>
    <x v="1"/>
    <x v="0"/>
    <n v="34"/>
    <x v="5"/>
    <x v="6"/>
    <m/>
  </r>
  <r>
    <n v="1260"/>
    <n v="68"/>
    <s v="Male"/>
    <x v="11"/>
    <x v="0"/>
    <n v="64"/>
    <s v="Minnesota"/>
    <x v="2"/>
    <x v="2"/>
    <x v="3"/>
    <x v="14"/>
    <x v="1"/>
    <x v="0"/>
    <n v="45"/>
    <x v="2"/>
    <x v="5"/>
    <m/>
  </r>
  <r>
    <n v="1261"/>
    <n v="63"/>
    <s v="Male"/>
    <x v="5"/>
    <x v="0"/>
    <n v="93"/>
    <s v="Virginia"/>
    <x v="3"/>
    <x v="14"/>
    <x v="1"/>
    <x v="18"/>
    <x v="1"/>
    <x v="0"/>
    <n v="30"/>
    <x v="5"/>
    <x v="3"/>
    <m/>
  </r>
  <r>
    <n v="1262"/>
    <n v="20"/>
    <s v="Male"/>
    <x v="5"/>
    <x v="0"/>
    <n v="29"/>
    <s v="Connecticut"/>
    <x v="0"/>
    <x v="1"/>
    <x v="2"/>
    <x v="24"/>
    <x v="1"/>
    <x v="0"/>
    <n v="2"/>
    <x v="2"/>
    <x v="0"/>
    <m/>
  </r>
  <r>
    <n v="1263"/>
    <n v="29"/>
    <s v="Male"/>
    <x v="23"/>
    <x v="1"/>
    <n v="62"/>
    <s v="Tennessee"/>
    <x v="0"/>
    <x v="18"/>
    <x v="0"/>
    <x v="3"/>
    <x v="1"/>
    <x v="0"/>
    <n v="44"/>
    <x v="0"/>
    <x v="5"/>
    <m/>
  </r>
  <r>
    <n v="1264"/>
    <n v="41"/>
    <s v="Male"/>
    <x v="15"/>
    <x v="0"/>
    <n v="70"/>
    <s v="Delaware"/>
    <x v="0"/>
    <x v="18"/>
    <x v="0"/>
    <x v="7"/>
    <x v="1"/>
    <x v="0"/>
    <n v="1"/>
    <x v="2"/>
    <x v="4"/>
    <m/>
  </r>
  <r>
    <n v="1265"/>
    <n v="52"/>
    <s v="Male"/>
    <x v="1"/>
    <x v="0"/>
    <n v="92"/>
    <s v="Vermont"/>
    <x v="1"/>
    <x v="24"/>
    <x v="0"/>
    <x v="16"/>
    <x v="1"/>
    <x v="0"/>
    <n v="1"/>
    <x v="0"/>
    <x v="4"/>
    <m/>
  </r>
  <r>
    <n v="1266"/>
    <n v="32"/>
    <s v="Male"/>
    <x v="5"/>
    <x v="0"/>
    <n v="79"/>
    <s v="Louisiana"/>
    <x v="2"/>
    <x v="12"/>
    <x v="1"/>
    <x v="6"/>
    <x v="1"/>
    <x v="0"/>
    <n v="27"/>
    <x v="4"/>
    <x v="1"/>
    <m/>
  </r>
  <r>
    <n v="1267"/>
    <n v="20"/>
    <s v="Male"/>
    <x v="0"/>
    <x v="0"/>
    <n v="31"/>
    <s v="North Dakota"/>
    <x v="2"/>
    <x v="15"/>
    <x v="3"/>
    <x v="8"/>
    <x v="1"/>
    <x v="0"/>
    <n v="14"/>
    <x v="5"/>
    <x v="6"/>
    <m/>
  </r>
  <r>
    <n v="1268"/>
    <n v="47"/>
    <s v="Male"/>
    <x v="17"/>
    <x v="0"/>
    <n v="83"/>
    <s v="Oregon"/>
    <x v="1"/>
    <x v="0"/>
    <x v="1"/>
    <x v="6"/>
    <x v="1"/>
    <x v="0"/>
    <n v="41"/>
    <x v="1"/>
    <x v="1"/>
    <m/>
  </r>
  <r>
    <n v="1269"/>
    <n v="23"/>
    <s v="Male"/>
    <x v="14"/>
    <x v="2"/>
    <n v="88"/>
    <s v="Idaho"/>
    <x v="3"/>
    <x v="4"/>
    <x v="0"/>
    <x v="25"/>
    <x v="1"/>
    <x v="0"/>
    <n v="25"/>
    <x v="5"/>
    <x v="4"/>
    <m/>
  </r>
  <r>
    <n v="1270"/>
    <n v="43"/>
    <s v="Male"/>
    <x v="16"/>
    <x v="3"/>
    <n v="53"/>
    <s v="Vermont"/>
    <x v="2"/>
    <x v="12"/>
    <x v="1"/>
    <x v="23"/>
    <x v="1"/>
    <x v="0"/>
    <n v="47"/>
    <x v="3"/>
    <x v="3"/>
    <m/>
  </r>
  <r>
    <n v="1271"/>
    <n v="67"/>
    <s v="Male"/>
    <x v="15"/>
    <x v="0"/>
    <n v="98"/>
    <s v="West Virginia"/>
    <x v="2"/>
    <x v="14"/>
    <x v="3"/>
    <x v="19"/>
    <x v="1"/>
    <x v="0"/>
    <n v="20"/>
    <x v="1"/>
    <x v="2"/>
    <m/>
  </r>
  <r>
    <n v="1272"/>
    <n v="70"/>
    <s v="Male"/>
    <x v="16"/>
    <x v="3"/>
    <n v="57"/>
    <s v="Kentucky"/>
    <x v="1"/>
    <x v="0"/>
    <x v="1"/>
    <x v="12"/>
    <x v="1"/>
    <x v="0"/>
    <n v="42"/>
    <x v="3"/>
    <x v="2"/>
    <m/>
  </r>
  <r>
    <n v="1273"/>
    <n v="35"/>
    <s v="Male"/>
    <x v="3"/>
    <x v="1"/>
    <n v="80"/>
    <s v="Wisconsin"/>
    <x v="2"/>
    <x v="20"/>
    <x v="0"/>
    <x v="9"/>
    <x v="1"/>
    <x v="0"/>
    <n v="16"/>
    <x v="4"/>
    <x v="5"/>
    <m/>
  </r>
  <r>
    <n v="1274"/>
    <n v="41"/>
    <s v="Male"/>
    <x v="2"/>
    <x v="0"/>
    <n v="29"/>
    <s v="Mississippi"/>
    <x v="0"/>
    <x v="5"/>
    <x v="1"/>
    <x v="18"/>
    <x v="1"/>
    <x v="0"/>
    <n v="32"/>
    <x v="2"/>
    <x v="6"/>
    <m/>
  </r>
  <r>
    <n v="1275"/>
    <n v="54"/>
    <s v="Male"/>
    <x v="19"/>
    <x v="3"/>
    <n v="73"/>
    <s v="Missouri"/>
    <x v="2"/>
    <x v="8"/>
    <x v="1"/>
    <x v="0"/>
    <x v="1"/>
    <x v="0"/>
    <n v="37"/>
    <x v="3"/>
    <x v="3"/>
    <m/>
  </r>
  <r>
    <n v="1276"/>
    <n v="55"/>
    <s v="Male"/>
    <x v="1"/>
    <x v="0"/>
    <n v="32"/>
    <s v="Arkansas"/>
    <x v="1"/>
    <x v="2"/>
    <x v="3"/>
    <x v="21"/>
    <x v="1"/>
    <x v="0"/>
    <n v="1"/>
    <x v="3"/>
    <x v="5"/>
    <m/>
  </r>
  <r>
    <n v="1277"/>
    <n v="51"/>
    <s v="Male"/>
    <x v="23"/>
    <x v="1"/>
    <n v="68"/>
    <s v="Wyoming"/>
    <x v="0"/>
    <x v="2"/>
    <x v="1"/>
    <x v="3"/>
    <x v="1"/>
    <x v="0"/>
    <n v="37"/>
    <x v="4"/>
    <x v="1"/>
    <m/>
  </r>
  <r>
    <n v="1278"/>
    <n v="19"/>
    <s v="Male"/>
    <x v="0"/>
    <x v="0"/>
    <n v="97"/>
    <s v="Rhode Island"/>
    <x v="0"/>
    <x v="14"/>
    <x v="1"/>
    <x v="11"/>
    <x v="1"/>
    <x v="0"/>
    <n v="5"/>
    <x v="0"/>
    <x v="3"/>
    <m/>
  </r>
  <r>
    <n v="1279"/>
    <n v="28"/>
    <s v="Male"/>
    <x v="6"/>
    <x v="0"/>
    <n v="98"/>
    <s v="Utah"/>
    <x v="2"/>
    <x v="10"/>
    <x v="3"/>
    <x v="24"/>
    <x v="1"/>
    <x v="0"/>
    <n v="31"/>
    <x v="0"/>
    <x v="0"/>
    <m/>
  </r>
  <r>
    <n v="1280"/>
    <n v="63"/>
    <s v="Male"/>
    <x v="15"/>
    <x v="0"/>
    <n v="56"/>
    <s v="Maryland"/>
    <x v="0"/>
    <x v="4"/>
    <x v="3"/>
    <x v="5"/>
    <x v="1"/>
    <x v="0"/>
    <n v="18"/>
    <x v="5"/>
    <x v="2"/>
    <m/>
  </r>
  <r>
    <n v="1281"/>
    <n v="30"/>
    <s v="Male"/>
    <x v="13"/>
    <x v="0"/>
    <n v="78"/>
    <s v="Georgia"/>
    <x v="0"/>
    <x v="3"/>
    <x v="0"/>
    <x v="9"/>
    <x v="1"/>
    <x v="0"/>
    <n v="39"/>
    <x v="0"/>
    <x v="6"/>
    <m/>
  </r>
  <r>
    <n v="1282"/>
    <n v="29"/>
    <s v="Male"/>
    <x v="22"/>
    <x v="3"/>
    <n v="81"/>
    <s v="New Jersey"/>
    <x v="2"/>
    <x v="8"/>
    <x v="1"/>
    <x v="21"/>
    <x v="1"/>
    <x v="0"/>
    <n v="8"/>
    <x v="0"/>
    <x v="4"/>
    <m/>
  </r>
  <r>
    <n v="1283"/>
    <n v="24"/>
    <s v="Male"/>
    <x v="5"/>
    <x v="0"/>
    <n v="68"/>
    <s v="New Hampshire"/>
    <x v="0"/>
    <x v="10"/>
    <x v="0"/>
    <x v="23"/>
    <x v="1"/>
    <x v="0"/>
    <n v="20"/>
    <x v="0"/>
    <x v="5"/>
    <m/>
  </r>
  <r>
    <n v="1284"/>
    <n v="69"/>
    <s v="Male"/>
    <x v="5"/>
    <x v="0"/>
    <n v="94"/>
    <s v="Oregon"/>
    <x v="2"/>
    <x v="10"/>
    <x v="0"/>
    <x v="14"/>
    <x v="1"/>
    <x v="0"/>
    <n v="23"/>
    <x v="5"/>
    <x v="6"/>
    <m/>
  </r>
  <r>
    <n v="1285"/>
    <n v="65"/>
    <s v="Male"/>
    <x v="10"/>
    <x v="0"/>
    <n v="93"/>
    <s v="Arkansas"/>
    <x v="2"/>
    <x v="13"/>
    <x v="1"/>
    <x v="14"/>
    <x v="1"/>
    <x v="0"/>
    <n v="38"/>
    <x v="3"/>
    <x v="0"/>
    <m/>
  </r>
  <r>
    <n v="1286"/>
    <n v="64"/>
    <s v="Male"/>
    <x v="24"/>
    <x v="3"/>
    <n v="99"/>
    <s v="North Carolina"/>
    <x v="2"/>
    <x v="4"/>
    <x v="3"/>
    <x v="22"/>
    <x v="1"/>
    <x v="0"/>
    <n v="45"/>
    <x v="4"/>
    <x v="0"/>
    <m/>
  </r>
  <r>
    <n v="1287"/>
    <n v="40"/>
    <s v="Male"/>
    <x v="24"/>
    <x v="3"/>
    <n v="49"/>
    <s v="West Virginia"/>
    <x v="0"/>
    <x v="22"/>
    <x v="0"/>
    <x v="17"/>
    <x v="1"/>
    <x v="0"/>
    <n v="44"/>
    <x v="5"/>
    <x v="0"/>
    <m/>
  </r>
  <r>
    <n v="1288"/>
    <n v="24"/>
    <s v="Male"/>
    <x v="2"/>
    <x v="0"/>
    <n v="28"/>
    <s v="Utah"/>
    <x v="3"/>
    <x v="24"/>
    <x v="0"/>
    <x v="10"/>
    <x v="1"/>
    <x v="0"/>
    <n v="20"/>
    <x v="3"/>
    <x v="5"/>
    <m/>
  </r>
  <r>
    <n v="1289"/>
    <n v="66"/>
    <s v="Male"/>
    <x v="22"/>
    <x v="3"/>
    <n v="93"/>
    <s v="South Dakota"/>
    <x v="3"/>
    <x v="4"/>
    <x v="0"/>
    <x v="18"/>
    <x v="1"/>
    <x v="0"/>
    <n v="34"/>
    <x v="3"/>
    <x v="4"/>
    <m/>
  </r>
  <r>
    <n v="1290"/>
    <n v="35"/>
    <s v="Male"/>
    <x v="14"/>
    <x v="2"/>
    <n v="24"/>
    <s v="New Hampshire"/>
    <x v="2"/>
    <x v="16"/>
    <x v="3"/>
    <x v="25"/>
    <x v="1"/>
    <x v="0"/>
    <n v="10"/>
    <x v="3"/>
    <x v="1"/>
    <m/>
  </r>
  <r>
    <n v="1291"/>
    <n v="67"/>
    <s v="Male"/>
    <x v="11"/>
    <x v="0"/>
    <n v="35"/>
    <s v="Maryland"/>
    <x v="2"/>
    <x v="21"/>
    <x v="1"/>
    <x v="10"/>
    <x v="1"/>
    <x v="0"/>
    <n v="3"/>
    <x v="3"/>
    <x v="2"/>
    <m/>
  </r>
  <r>
    <n v="1292"/>
    <n v="69"/>
    <s v="Male"/>
    <x v="3"/>
    <x v="1"/>
    <n v="68"/>
    <s v="South Dakota"/>
    <x v="1"/>
    <x v="19"/>
    <x v="1"/>
    <x v="20"/>
    <x v="1"/>
    <x v="0"/>
    <n v="23"/>
    <x v="5"/>
    <x v="0"/>
    <m/>
  </r>
  <r>
    <n v="1293"/>
    <n v="26"/>
    <s v="Male"/>
    <x v="22"/>
    <x v="3"/>
    <n v="61"/>
    <s v="Kentucky"/>
    <x v="2"/>
    <x v="1"/>
    <x v="2"/>
    <x v="14"/>
    <x v="1"/>
    <x v="0"/>
    <n v="42"/>
    <x v="4"/>
    <x v="2"/>
    <m/>
  </r>
  <r>
    <n v="1294"/>
    <n v="23"/>
    <s v="Male"/>
    <x v="1"/>
    <x v="0"/>
    <n v="74"/>
    <s v="Florida"/>
    <x v="3"/>
    <x v="22"/>
    <x v="3"/>
    <x v="18"/>
    <x v="1"/>
    <x v="0"/>
    <n v="30"/>
    <x v="5"/>
    <x v="2"/>
    <m/>
  </r>
  <r>
    <n v="1295"/>
    <n v="27"/>
    <s v="Male"/>
    <x v="5"/>
    <x v="0"/>
    <n v="64"/>
    <s v="Texas"/>
    <x v="2"/>
    <x v="5"/>
    <x v="2"/>
    <x v="21"/>
    <x v="1"/>
    <x v="0"/>
    <n v="21"/>
    <x v="1"/>
    <x v="6"/>
    <m/>
  </r>
  <r>
    <n v="1296"/>
    <n v="30"/>
    <s v="Male"/>
    <x v="4"/>
    <x v="1"/>
    <n v="60"/>
    <s v="New Mexico"/>
    <x v="2"/>
    <x v="8"/>
    <x v="3"/>
    <x v="24"/>
    <x v="1"/>
    <x v="0"/>
    <n v="50"/>
    <x v="3"/>
    <x v="1"/>
    <m/>
  </r>
  <r>
    <n v="1297"/>
    <n v="48"/>
    <s v="Male"/>
    <x v="2"/>
    <x v="0"/>
    <n v="29"/>
    <s v="South Dakota"/>
    <x v="1"/>
    <x v="11"/>
    <x v="1"/>
    <x v="24"/>
    <x v="1"/>
    <x v="0"/>
    <n v="16"/>
    <x v="1"/>
    <x v="4"/>
    <m/>
  </r>
  <r>
    <n v="1298"/>
    <n v="44"/>
    <s v="Male"/>
    <x v="3"/>
    <x v="1"/>
    <n v="85"/>
    <s v="New Jersey"/>
    <x v="2"/>
    <x v="5"/>
    <x v="2"/>
    <x v="7"/>
    <x v="1"/>
    <x v="0"/>
    <n v="32"/>
    <x v="0"/>
    <x v="2"/>
    <m/>
  </r>
  <r>
    <n v="1299"/>
    <n v="29"/>
    <s v="Male"/>
    <x v="13"/>
    <x v="0"/>
    <n v="81"/>
    <s v="Indiana"/>
    <x v="1"/>
    <x v="21"/>
    <x v="2"/>
    <x v="23"/>
    <x v="1"/>
    <x v="0"/>
    <n v="14"/>
    <x v="4"/>
    <x v="0"/>
    <m/>
  </r>
  <r>
    <n v="1300"/>
    <n v="29"/>
    <s v="Male"/>
    <x v="22"/>
    <x v="3"/>
    <n v="23"/>
    <s v="Louisiana"/>
    <x v="0"/>
    <x v="11"/>
    <x v="3"/>
    <x v="2"/>
    <x v="1"/>
    <x v="0"/>
    <n v="42"/>
    <x v="0"/>
    <x v="4"/>
    <m/>
  </r>
  <r>
    <n v="1301"/>
    <n v="67"/>
    <s v="Male"/>
    <x v="17"/>
    <x v="0"/>
    <n v="100"/>
    <s v="West Virginia"/>
    <x v="2"/>
    <x v="4"/>
    <x v="1"/>
    <x v="21"/>
    <x v="1"/>
    <x v="0"/>
    <n v="47"/>
    <x v="2"/>
    <x v="6"/>
    <m/>
  </r>
  <r>
    <n v="1302"/>
    <n v="42"/>
    <s v="Male"/>
    <x v="5"/>
    <x v="0"/>
    <n v="54"/>
    <s v="Maine"/>
    <x v="2"/>
    <x v="20"/>
    <x v="3"/>
    <x v="11"/>
    <x v="1"/>
    <x v="0"/>
    <n v="21"/>
    <x v="5"/>
    <x v="1"/>
    <m/>
  </r>
  <r>
    <n v="1303"/>
    <n v="23"/>
    <s v="Male"/>
    <x v="4"/>
    <x v="1"/>
    <n v="25"/>
    <s v="Idaho"/>
    <x v="2"/>
    <x v="9"/>
    <x v="3"/>
    <x v="25"/>
    <x v="1"/>
    <x v="0"/>
    <n v="37"/>
    <x v="2"/>
    <x v="5"/>
    <m/>
  </r>
  <r>
    <n v="1304"/>
    <n v="34"/>
    <s v="Male"/>
    <x v="0"/>
    <x v="0"/>
    <n v="32"/>
    <s v="New York"/>
    <x v="0"/>
    <x v="5"/>
    <x v="2"/>
    <x v="0"/>
    <x v="1"/>
    <x v="0"/>
    <n v="10"/>
    <x v="2"/>
    <x v="2"/>
    <m/>
  </r>
  <r>
    <n v="1305"/>
    <n v="64"/>
    <s v="Male"/>
    <x v="21"/>
    <x v="3"/>
    <n v="63"/>
    <s v="Montana"/>
    <x v="1"/>
    <x v="20"/>
    <x v="1"/>
    <x v="8"/>
    <x v="1"/>
    <x v="0"/>
    <n v="18"/>
    <x v="3"/>
    <x v="6"/>
    <m/>
  </r>
  <r>
    <n v="1306"/>
    <n v="31"/>
    <s v="Male"/>
    <x v="13"/>
    <x v="0"/>
    <n v="56"/>
    <s v="Mississippi"/>
    <x v="3"/>
    <x v="15"/>
    <x v="1"/>
    <x v="21"/>
    <x v="1"/>
    <x v="0"/>
    <n v="2"/>
    <x v="3"/>
    <x v="6"/>
    <m/>
  </r>
  <r>
    <n v="1307"/>
    <n v="54"/>
    <s v="Male"/>
    <x v="1"/>
    <x v="0"/>
    <n v="33"/>
    <s v="Alaska"/>
    <x v="0"/>
    <x v="18"/>
    <x v="0"/>
    <x v="21"/>
    <x v="1"/>
    <x v="0"/>
    <n v="40"/>
    <x v="3"/>
    <x v="2"/>
    <m/>
  </r>
  <r>
    <n v="1308"/>
    <n v="23"/>
    <s v="Male"/>
    <x v="7"/>
    <x v="2"/>
    <n v="32"/>
    <s v="Missouri"/>
    <x v="0"/>
    <x v="13"/>
    <x v="2"/>
    <x v="0"/>
    <x v="1"/>
    <x v="0"/>
    <n v="43"/>
    <x v="3"/>
    <x v="2"/>
    <m/>
  </r>
  <r>
    <n v="1309"/>
    <n v="59"/>
    <s v="Male"/>
    <x v="10"/>
    <x v="0"/>
    <n v="38"/>
    <s v="Rhode Island"/>
    <x v="0"/>
    <x v="16"/>
    <x v="2"/>
    <x v="9"/>
    <x v="1"/>
    <x v="0"/>
    <n v="14"/>
    <x v="2"/>
    <x v="6"/>
    <m/>
  </r>
  <r>
    <n v="1310"/>
    <n v="32"/>
    <s v="Male"/>
    <x v="0"/>
    <x v="0"/>
    <n v="21"/>
    <s v="Hawaii"/>
    <x v="0"/>
    <x v="12"/>
    <x v="2"/>
    <x v="15"/>
    <x v="1"/>
    <x v="0"/>
    <n v="41"/>
    <x v="1"/>
    <x v="3"/>
    <m/>
  </r>
  <r>
    <n v="1311"/>
    <n v="43"/>
    <s v="Male"/>
    <x v="15"/>
    <x v="0"/>
    <n v="59"/>
    <s v="South Carolina"/>
    <x v="0"/>
    <x v="18"/>
    <x v="0"/>
    <x v="0"/>
    <x v="1"/>
    <x v="0"/>
    <n v="38"/>
    <x v="2"/>
    <x v="6"/>
    <m/>
  </r>
  <r>
    <n v="1312"/>
    <n v="32"/>
    <s v="Male"/>
    <x v="9"/>
    <x v="1"/>
    <n v="87"/>
    <s v="Tennessee"/>
    <x v="2"/>
    <x v="1"/>
    <x v="3"/>
    <x v="13"/>
    <x v="1"/>
    <x v="0"/>
    <n v="12"/>
    <x v="0"/>
    <x v="2"/>
    <m/>
  </r>
  <r>
    <n v="1313"/>
    <n v="66"/>
    <s v="Male"/>
    <x v="17"/>
    <x v="0"/>
    <n v="79"/>
    <s v="Missouri"/>
    <x v="2"/>
    <x v="10"/>
    <x v="0"/>
    <x v="23"/>
    <x v="1"/>
    <x v="0"/>
    <n v="19"/>
    <x v="4"/>
    <x v="5"/>
    <m/>
  </r>
  <r>
    <n v="1314"/>
    <n v="70"/>
    <s v="Male"/>
    <x v="9"/>
    <x v="1"/>
    <n v="28"/>
    <s v="Missouri"/>
    <x v="2"/>
    <x v="12"/>
    <x v="2"/>
    <x v="4"/>
    <x v="1"/>
    <x v="0"/>
    <n v="23"/>
    <x v="2"/>
    <x v="4"/>
    <m/>
  </r>
  <r>
    <n v="1315"/>
    <n v="42"/>
    <s v="Male"/>
    <x v="23"/>
    <x v="1"/>
    <n v="67"/>
    <s v="Missouri"/>
    <x v="1"/>
    <x v="23"/>
    <x v="2"/>
    <x v="10"/>
    <x v="1"/>
    <x v="0"/>
    <n v="49"/>
    <x v="5"/>
    <x v="2"/>
    <m/>
  </r>
  <r>
    <n v="1316"/>
    <n v="56"/>
    <s v="Male"/>
    <x v="6"/>
    <x v="0"/>
    <n v="75"/>
    <s v="Mississippi"/>
    <x v="0"/>
    <x v="14"/>
    <x v="1"/>
    <x v="13"/>
    <x v="1"/>
    <x v="0"/>
    <n v="29"/>
    <x v="5"/>
    <x v="3"/>
    <m/>
  </r>
  <r>
    <n v="1317"/>
    <n v="28"/>
    <s v="Male"/>
    <x v="22"/>
    <x v="3"/>
    <n v="32"/>
    <s v="Arkansas"/>
    <x v="1"/>
    <x v="12"/>
    <x v="1"/>
    <x v="7"/>
    <x v="1"/>
    <x v="0"/>
    <n v="14"/>
    <x v="5"/>
    <x v="4"/>
    <m/>
  </r>
  <r>
    <n v="1318"/>
    <n v="28"/>
    <s v="Male"/>
    <x v="13"/>
    <x v="0"/>
    <n v="43"/>
    <s v="Kentucky"/>
    <x v="2"/>
    <x v="14"/>
    <x v="1"/>
    <x v="24"/>
    <x v="1"/>
    <x v="0"/>
    <n v="19"/>
    <x v="1"/>
    <x v="5"/>
    <m/>
  </r>
  <r>
    <n v="1319"/>
    <n v="52"/>
    <s v="Male"/>
    <x v="6"/>
    <x v="0"/>
    <n v="93"/>
    <s v="Connecticut"/>
    <x v="2"/>
    <x v="1"/>
    <x v="1"/>
    <x v="6"/>
    <x v="1"/>
    <x v="0"/>
    <n v="19"/>
    <x v="2"/>
    <x v="4"/>
    <m/>
  </r>
  <r>
    <n v="1320"/>
    <n v="65"/>
    <s v="Male"/>
    <x v="12"/>
    <x v="3"/>
    <n v="24"/>
    <s v="Oklahoma"/>
    <x v="2"/>
    <x v="23"/>
    <x v="1"/>
    <x v="8"/>
    <x v="1"/>
    <x v="0"/>
    <n v="48"/>
    <x v="4"/>
    <x v="1"/>
    <m/>
  </r>
  <r>
    <n v="1321"/>
    <n v="56"/>
    <s v="Male"/>
    <x v="19"/>
    <x v="3"/>
    <n v="31"/>
    <s v="California"/>
    <x v="3"/>
    <x v="11"/>
    <x v="3"/>
    <x v="0"/>
    <x v="1"/>
    <x v="0"/>
    <n v="19"/>
    <x v="5"/>
    <x v="2"/>
    <m/>
  </r>
  <r>
    <n v="1322"/>
    <n v="59"/>
    <s v="Male"/>
    <x v="17"/>
    <x v="0"/>
    <n v="84"/>
    <s v="Missouri"/>
    <x v="0"/>
    <x v="20"/>
    <x v="0"/>
    <x v="5"/>
    <x v="1"/>
    <x v="0"/>
    <n v="45"/>
    <x v="4"/>
    <x v="6"/>
    <m/>
  </r>
  <r>
    <n v="1323"/>
    <n v="23"/>
    <s v="Male"/>
    <x v="13"/>
    <x v="0"/>
    <n v="74"/>
    <s v="Washington"/>
    <x v="2"/>
    <x v="10"/>
    <x v="0"/>
    <x v="8"/>
    <x v="1"/>
    <x v="0"/>
    <n v="17"/>
    <x v="4"/>
    <x v="3"/>
    <m/>
  </r>
  <r>
    <n v="1324"/>
    <n v="58"/>
    <s v="Male"/>
    <x v="6"/>
    <x v="0"/>
    <n v="62"/>
    <s v="New York"/>
    <x v="2"/>
    <x v="22"/>
    <x v="1"/>
    <x v="7"/>
    <x v="1"/>
    <x v="0"/>
    <n v="15"/>
    <x v="5"/>
    <x v="6"/>
    <m/>
  </r>
  <r>
    <n v="1325"/>
    <n v="39"/>
    <s v="Male"/>
    <x v="16"/>
    <x v="3"/>
    <n v="77"/>
    <s v="Indiana"/>
    <x v="1"/>
    <x v="20"/>
    <x v="2"/>
    <x v="1"/>
    <x v="1"/>
    <x v="0"/>
    <n v="11"/>
    <x v="2"/>
    <x v="0"/>
    <m/>
  </r>
  <r>
    <n v="1326"/>
    <n v="28"/>
    <s v="Male"/>
    <x v="21"/>
    <x v="3"/>
    <n v="73"/>
    <s v="Oregon"/>
    <x v="0"/>
    <x v="9"/>
    <x v="2"/>
    <x v="22"/>
    <x v="1"/>
    <x v="0"/>
    <n v="1"/>
    <x v="1"/>
    <x v="5"/>
    <m/>
  </r>
  <r>
    <n v="1327"/>
    <n v="40"/>
    <s v="Male"/>
    <x v="9"/>
    <x v="1"/>
    <n v="50"/>
    <s v="Texas"/>
    <x v="2"/>
    <x v="21"/>
    <x v="1"/>
    <x v="7"/>
    <x v="1"/>
    <x v="0"/>
    <n v="17"/>
    <x v="1"/>
    <x v="5"/>
    <m/>
  </r>
  <r>
    <n v="1328"/>
    <n v="52"/>
    <s v="Male"/>
    <x v="7"/>
    <x v="2"/>
    <n v="40"/>
    <s v="Florida"/>
    <x v="2"/>
    <x v="2"/>
    <x v="0"/>
    <x v="24"/>
    <x v="1"/>
    <x v="0"/>
    <n v="37"/>
    <x v="1"/>
    <x v="1"/>
    <m/>
  </r>
  <r>
    <n v="1329"/>
    <n v="37"/>
    <s v="Male"/>
    <x v="1"/>
    <x v="0"/>
    <n v="97"/>
    <s v="Rhode Island"/>
    <x v="2"/>
    <x v="20"/>
    <x v="0"/>
    <x v="5"/>
    <x v="1"/>
    <x v="0"/>
    <n v="40"/>
    <x v="4"/>
    <x v="1"/>
    <m/>
  </r>
  <r>
    <n v="1330"/>
    <n v="70"/>
    <s v="Male"/>
    <x v="24"/>
    <x v="3"/>
    <n v="63"/>
    <s v="Texas"/>
    <x v="2"/>
    <x v="21"/>
    <x v="3"/>
    <x v="19"/>
    <x v="1"/>
    <x v="0"/>
    <n v="50"/>
    <x v="3"/>
    <x v="6"/>
    <m/>
  </r>
  <r>
    <n v="1331"/>
    <n v="30"/>
    <s v="Male"/>
    <x v="8"/>
    <x v="3"/>
    <n v="65"/>
    <s v="Vermont"/>
    <x v="2"/>
    <x v="4"/>
    <x v="3"/>
    <x v="25"/>
    <x v="1"/>
    <x v="0"/>
    <n v="20"/>
    <x v="3"/>
    <x v="4"/>
    <m/>
  </r>
  <r>
    <n v="1332"/>
    <n v="38"/>
    <s v="Male"/>
    <x v="20"/>
    <x v="0"/>
    <n v="91"/>
    <s v="Maryland"/>
    <x v="2"/>
    <x v="12"/>
    <x v="1"/>
    <x v="20"/>
    <x v="1"/>
    <x v="0"/>
    <n v="8"/>
    <x v="3"/>
    <x v="4"/>
    <m/>
  </r>
  <r>
    <n v="1333"/>
    <n v="66"/>
    <s v="Male"/>
    <x v="15"/>
    <x v="0"/>
    <n v="60"/>
    <s v="Alaska"/>
    <x v="1"/>
    <x v="9"/>
    <x v="1"/>
    <x v="12"/>
    <x v="1"/>
    <x v="0"/>
    <n v="16"/>
    <x v="4"/>
    <x v="3"/>
    <m/>
  </r>
  <r>
    <n v="1334"/>
    <n v="29"/>
    <s v="Male"/>
    <x v="13"/>
    <x v="0"/>
    <n v="69"/>
    <s v="Idaho"/>
    <x v="2"/>
    <x v="12"/>
    <x v="0"/>
    <x v="6"/>
    <x v="1"/>
    <x v="0"/>
    <n v="9"/>
    <x v="4"/>
    <x v="3"/>
    <m/>
  </r>
  <r>
    <n v="1335"/>
    <n v="46"/>
    <s v="Male"/>
    <x v="7"/>
    <x v="2"/>
    <n v="52"/>
    <s v="West Virginia"/>
    <x v="1"/>
    <x v="3"/>
    <x v="1"/>
    <x v="13"/>
    <x v="1"/>
    <x v="0"/>
    <n v="12"/>
    <x v="0"/>
    <x v="5"/>
    <m/>
  </r>
  <r>
    <n v="1336"/>
    <n v="56"/>
    <s v="Male"/>
    <x v="23"/>
    <x v="1"/>
    <n v="49"/>
    <s v="Nevada"/>
    <x v="2"/>
    <x v="12"/>
    <x v="3"/>
    <x v="3"/>
    <x v="1"/>
    <x v="0"/>
    <n v="26"/>
    <x v="2"/>
    <x v="1"/>
    <m/>
  </r>
  <r>
    <n v="1337"/>
    <n v="23"/>
    <s v="Male"/>
    <x v="4"/>
    <x v="1"/>
    <n v="85"/>
    <s v="Oregon"/>
    <x v="2"/>
    <x v="4"/>
    <x v="1"/>
    <x v="3"/>
    <x v="1"/>
    <x v="0"/>
    <n v="44"/>
    <x v="5"/>
    <x v="0"/>
    <m/>
  </r>
  <r>
    <n v="1338"/>
    <n v="37"/>
    <s v="Male"/>
    <x v="1"/>
    <x v="0"/>
    <n v="86"/>
    <s v="Tennessee"/>
    <x v="0"/>
    <x v="5"/>
    <x v="1"/>
    <x v="10"/>
    <x v="1"/>
    <x v="0"/>
    <n v="19"/>
    <x v="2"/>
    <x v="4"/>
    <m/>
  </r>
  <r>
    <n v="1339"/>
    <n v="56"/>
    <s v="Male"/>
    <x v="8"/>
    <x v="3"/>
    <n v="51"/>
    <s v="Alabama"/>
    <x v="1"/>
    <x v="22"/>
    <x v="0"/>
    <x v="4"/>
    <x v="1"/>
    <x v="0"/>
    <n v="43"/>
    <x v="3"/>
    <x v="0"/>
    <m/>
  </r>
  <r>
    <n v="1340"/>
    <n v="36"/>
    <s v="Male"/>
    <x v="22"/>
    <x v="3"/>
    <n v="56"/>
    <s v="Indiana"/>
    <x v="0"/>
    <x v="8"/>
    <x v="0"/>
    <x v="11"/>
    <x v="1"/>
    <x v="0"/>
    <n v="5"/>
    <x v="4"/>
    <x v="6"/>
    <m/>
  </r>
  <r>
    <n v="1341"/>
    <n v="40"/>
    <s v="Male"/>
    <x v="22"/>
    <x v="3"/>
    <n v="72"/>
    <s v="Idaho"/>
    <x v="2"/>
    <x v="15"/>
    <x v="3"/>
    <x v="9"/>
    <x v="1"/>
    <x v="0"/>
    <n v="5"/>
    <x v="5"/>
    <x v="6"/>
    <m/>
  </r>
  <r>
    <n v="1342"/>
    <n v="26"/>
    <s v="Male"/>
    <x v="15"/>
    <x v="0"/>
    <n v="27"/>
    <s v="Rhode Island"/>
    <x v="3"/>
    <x v="22"/>
    <x v="3"/>
    <x v="25"/>
    <x v="1"/>
    <x v="0"/>
    <n v="31"/>
    <x v="4"/>
    <x v="3"/>
    <m/>
  </r>
  <r>
    <n v="1343"/>
    <n v="57"/>
    <s v="Male"/>
    <x v="12"/>
    <x v="3"/>
    <n v="43"/>
    <s v="Arizona"/>
    <x v="3"/>
    <x v="22"/>
    <x v="2"/>
    <x v="10"/>
    <x v="1"/>
    <x v="0"/>
    <n v="11"/>
    <x v="4"/>
    <x v="5"/>
    <m/>
  </r>
  <r>
    <n v="1344"/>
    <n v="68"/>
    <s v="Male"/>
    <x v="4"/>
    <x v="1"/>
    <n v="56"/>
    <s v="Florida"/>
    <x v="2"/>
    <x v="21"/>
    <x v="1"/>
    <x v="10"/>
    <x v="1"/>
    <x v="0"/>
    <n v="34"/>
    <x v="4"/>
    <x v="5"/>
    <m/>
  </r>
  <r>
    <n v="1345"/>
    <n v="56"/>
    <s v="Male"/>
    <x v="17"/>
    <x v="0"/>
    <n v="37"/>
    <s v="New York"/>
    <x v="1"/>
    <x v="10"/>
    <x v="3"/>
    <x v="17"/>
    <x v="1"/>
    <x v="0"/>
    <n v="14"/>
    <x v="1"/>
    <x v="2"/>
    <m/>
  </r>
  <r>
    <n v="1346"/>
    <n v="40"/>
    <s v="Male"/>
    <x v="10"/>
    <x v="0"/>
    <n v="21"/>
    <s v="Nebraska"/>
    <x v="2"/>
    <x v="3"/>
    <x v="3"/>
    <x v="2"/>
    <x v="1"/>
    <x v="0"/>
    <n v="42"/>
    <x v="0"/>
    <x v="1"/>
    <m/>
  </r>
  <r>
    <n v="1347"/>
    <n v="44"/>
    <s v="Male"/>
    <x v="15"/>
    <x v="0"/>
    <n v="91"/>
    <s v="Mississippi"/>
    <x v="0"/>
    <x v="3"/>
    <x v="0"/>
    <x v="23"/>
    <x v="1"/>
    <x v="0"/>
    <n v="15"/>
    <x v="0"/>
    <x v="4"/>
    <m/>
  </r>
  <r>
    <n v="1348"/>
    <n v="44"/>
    <s v="Male"/>
    <x v="1"/>
    <x v="0"/>
    <n v="95"/>
    <s v="Vermont"/>
    <x v="2"/>
    <x v="17"/>
    <x v="2"/>
    <x v="14"/>
    <x v="1"/>
    <x v="0"/>
    <n v="47"/>
    <x v="4"/>
    <x v="5"/>
    <m/>
  </r>
  <r>
    <n v="1349"/>
    <n v="19"/>
    <s v="Male"/>
    <x v="22"/>
    <x v="3"/>
    <n v="54"/>
    <s v="Nebraska"/>
    <x v="3"/>
    <x v="7"/>
    <x v="1"/>
    <x v="20"/>
    <x v="1"/>
    <x v="0"/>
    <n v="23"/>
    <x v="2"/>
    <x v="0"/>
    <m/>
  </r>
  <r>
    <n v="1350"/>
    <n v="21"/>
    <s v="Male"/>
    <x v="20"/>
    <x v="0"/>
    <n v="36"/>
    <s v="South Carolina"/>
    <x v="3"/>
    <x v="13"/>
    <x v="1"/>
    <x v="20"/>
    <x v="1"/>
    <x v="0"/>
    <n v="23"/>
    <x v="1"/>
    <x v="4"/>
    <m/>
  </r>
  <r>
    <n v="1351"/>
    <n v="31"/>
    <s v="Male"/>
    <x v="12"/>
    <x v="3"/>
    <n v="71"/>
    <s v="Delaware"/>
    <x v="2"/>
    <x v="20"/>
    <x v="3"/>
    <x v="12"/>
    <x v="1"/>
    <x v="0"/>
    <n v="1"/>
    <x v="1"/>
    <x v="6"/>
    <m/>
  </r>
  <r>
    <n v="1352"/>
    <n v="30"/>
    <s v="Male"/>
    <x v="7"/>
    <x v="2"/>
    <n v="31"/>
    <s v="Vermont"/>
    <x v="0"/>
    <x v="1"/>
    <x v="2"/>
    <x v="24"/>
    <x v="1"/>
    <x v="0"/>
    <n v="28"/>
    <x v="4"/>
    <x v="3"/>
    <m/>
  </r>
  <r>
    <n v="1353"/>
    <n v="65"/>
    <s v="Male"/>
    <x v="19"/>
    <x v="3"/>
    <n v="89"/>
    <s v="Indiana"/>
    <x v="3"/>
    <x v="20"/>
    <x v="1"/>
    <x v="21"/>
    <x v="1"/>
    <x v="0"/>
    <n v="37"/>
    <x v="2"/>
    <x v="4"/>
    <m/>
  </r>
  <r>
    <n v="1354"/>
    <n v="39"/>
    <s v="Male"/>
    <x v="13"/>
    <x v="0"/>
    <n v="83"/>
    <s v="Oregon"/>
    <x v="2"/>
    <x v="11"/>
    <x v="0"/>
    <x v="18"/>
    <x v="1"/>
    <x v="0"/>
    <n v="4"/>
    <x v="1"/>
    <x v="6"/>
    <m/>
  </r>
  <r>
    <n v="1355"/>
    <n v="64"/>
    <s v="Male"/>
    <x v="21"/>
    <x v="3"/>
    <n v="42"/>
    <s v="Maryland"/>
    <x v="2"/>
    <x v="0"/>
    <x v="1"/>
    <x v="2"/>
    <x v="1"/>
    <x v="0"/>
    <n v="21"/>
    <x v="4"/>
    <x v="3"/>
    <m/>
  </r>
  <r>
    <n v="1356"/>
    <n v="59"/>
    <s v="Male"/>
    <x v="6"/>
    <x v="0"/>
    <n v="91"/>
    <s v="Florida"/>
    <x v="2"/>
    <x v="24"/>
    <x v="2"/>
    <x v="23"/>
    <x v="1"/>
    <x v="0"/>
    <n v="50"/>
    <x v="3"/>
    <x v="4"/>
    <m/>
  </r>
  <r>
    <n v="1357"/>
    <n v="49"/>
    <s v="Male"/>
    <x v="14"/>
    <x v="2"/>
    <n v="61"/>
    <s v="Indiana"/>
    <x v="2"/>
    <x v="17"/>
    <x v="1"/>
    <x v="8"/>
    <x v="1"/>
    <x v="0"/>
    <n v="34"/>
    <x v="4"/>
    <x v="2"/>
    <m/>
  </r>
  <r>
    <n v="1358"/>
    <n v="24"/>
    <s v="Male"/>
    <x v="21"/>
    <x v="3"/>
    <n v="66"/>
    <s v="Texas"/>
    <x v="1"/>
    <x v="16"/>
    <x v="2"/>
    <x v="22"/>
    <x v="1"/>
    <x v="0"/>
    <n v="20"/>
    <x v="1"/>
    <x v="3"/>
    <m/>
  </r>
  <r>
    <n v="1359"/>
    <n v="19"/>
    <s v="Male"/>
    <x v="18"/>
    <x v="3"/>
    <n v="22"/>
    <s v="Nebraska"/>
    <x v="3"/>
    <x v="6"/>
    <x v="1"/>
    <x v="16"/>
    <x v="1"/>
    <x v="0"/>
    <n v="25"/>
    <x v="0"/>
    <x v="6"/>
    <m/>
  </r>
  <r>
    <n v="1360"/>
    <n v="27"/>
    <s v="Male"/>
    <x v="15"/>
    <x v="0"/>
    <n v="68"/>
    <s v="North Carolina"/>
    <x v="1"/>
    <x v="17"/>
    <x v="0"/>
    <x v="12"/>
    <x v="1"/>
    <x v="0"/>
    <n v="26"/>
    <x v="4"/>
    <x v="0"/>
    <m/>
  </r>
  <r>
    <n v="1361"/>
    <n v="56"/>
    <s v="Male"/>
    <x v="11"/>
    <x v="0"/>
    <n v="43"/>
    <s v="Alabama"/>
    <x v="0"/>
    <x v="13"/>
    <x v="3"/>
    <x v="24"/>
    <x v="1"/>
    <x v="0"/>
    <n v="4"/>
    <x v="4"/>
    <x v="2"/>
    <m/>
  </r>
  <r>
    <n v="1362"/>
    <n v="49"/>
    <s v="Male"/>
    <x v="10"/>
    <x v="0"/>
    <n v="32"/>
    <s v="Alabama"/>
    <x v="2"/>
    <x v="19"/>
    <x v="3"/>
    <x v="5"/>
    <x v="1"/>
    <x v="0"/>
    <n v="39"/>
    <x v="5"/>
    <x v="5"/>
    <m/>
  </r>
  <r>
    <n v="1363"/>
    <n v="41"/>
    <s v="Male"/>
    <x v="7"/>
    <x v="2"/>
    <n v="46"/>
    <s v="Colorado"/>
    <x v="2"/>
    <x v="0"/>
    <x v="3"/>
    <x v="12"/>
    <x v="1"/>
    <x v="0"/>
    <n v="29"/>
    <x v="1"/>
    <x v="1"/>
    <m/>
  </r>
  <r>
    <n v="1364"/>
    <n v="36"/>
    <s v="Male"/>
    <x v="0"/>
    <x v="0"/>
    <n v="90"/>
    <s v="Wisconsin"/>
    <x v="0"/>
    <x v="16"/>
    <x v="2"/>
    <x v="8"/>
    <x v="1"/>
    <x v="0"/>
    <n v="47"/>
    <x v="3"/>
    <x v="3"/>
    <m/>
  </r>
  <r>
    <n v="1365"/>
    <n v="68"/>
    <s v="Male"/>
    <x v="19"/>
    <x v="3"/>
    <n v="75"/>
    <s v="Delaware"/>
    <x v="0"/>
    <x v="22"/>
    <x v="3"/>
    <x v="15"/>
    <x v="1"/>
    <x v="0"/>
    <n v="5"/>
    <x v="1"/>
    <x v="6"/>
    <m/>
  </r>
  <r>
    <n v="1366"/>
    <n v="28"/>
    <s v="Male"/>
    <x v="8"/>
    <x v="3"/>
    <n v="69"/>
    <s v="Indiana"/>
    <x v="2"/>
    <x v="23"/>
    <x v="0"/>
    <x v="21"/>
    <x v="1"/>
    <x v="0"/>
    <n v="18"/>
    <x v="4"/>
    <x v="0"/>
    <m/>
  </r>
  <r>
    <n v="1367"/>
    <n v="45"/>
    <s v="Male"/>
    <x v="22"/>
    <x v="3"/>
    <n v="40"/>
    <s v="Iowa"/>
    <x v="2"/>
    <x v="23"/>
    <x v="3"/>
    <x v="0"/>
    <x v="1"/>
    <x v="0"/>
    <n v="10"/>
    <x v="2"/>
    <x v="0"/>
    <m/>
  </r>
  <r>
    <n v="1368"/>
    <n v="60"/>
    <s v="Male"/>
    <x v="22"/>
    <x v="3"/>
    <n v="63"/>
    <s v="Iowa"/>
    <x v="1"/>
    <x v="13"/>
    <x v="3"/>
    <x v="1"/>
    <x v="1"/>
    <x v="0"/>
    <n v="25"/>
    <x v="1"/>
    <x v="3"/>
    <m/>
  </r>
  <r>
    <n v="1369"/>
    <n v="21"/>
    <s v="Male"/>
    <x v="5"/>
    <x v="0"/>
    <n v="36"/>
    <s v="Wisconsin"/>
    <x v="0"/>
    <x v="20"/>
    <x v="2"/>
    <x v="17"/>
    <x v="1"/>
    <x v="0"/>
    <n v="2"/>
    <x v="1"/>
    <x v="1"/>
    <m/>
  </r>
  <r>
    <n v="1370"/>
    <n v="32"/>
    <s v="Male"/>
    <x v="9"/>
    <x v="1"/>
    <n v="75"/>
    <s v="Iowa"/>
    <x v="2"/>
    <x v="14"/>
    <x v="0"/>
    <x v="20"/>
    <x v="1"/>
    <x v="0"/>
    <n v="48"/>
    <x v="0"/>
    <x v="0"/>
    <m/>
  </r>
  <r>
    <n v="1371"/>
    <n v="27"/>
    <s v="Male"/>
    <x v="18"/>
    <x v="3"/>
    <n v="67"/>
    <s v="Montana"/>
    <x v="0"/>
    <x v="15"/>
    <x v="2"/>
    <x v="25"/>
    <x v="1"/>
    <x v="0"/>
    <n v="41"/>
    <x v="4"/>
    <x v="6"/>
    <m/>
  </r>
  <r>
    <n v="1372"/>
    <n v="40"/>
    <s v="Male"/>
    <x v="13"/>
    <x v="0"/>
    <n v="64"/>
    <s v="Mississippi"/>
    <x v="2"/>
    <x v="4"/>
    <x v="1"/>
    <x v="24"/>
    <x v="1"/>
    <x v="0"/>
    <n v="42"/>
    <x v="2"/>
    <x v="5"/>
    <m/>
  </r>
  <r>
    <n v="1373"/>
    <n v="64"/>
    <s v="Male"/>
    <x v="0"/>
    <x v="0"/>
    <n v="61"/>
    <s v="Michigan"/>
    <x v="2"/>
    <x v="0"/>
    <x v="3"/>
    <x v="8"/>
    <x v="1"/>
    <x v="0"/>
    <n v="44"/>
    <x v="3"/>
    <x v="4"/>
    <m/>
  </r>
  <r>
    <n v="1374"/>
    <n v="18"/>
    <s v="Male"/>
    <x v="24"/>
    <x v="3"/>
    <n v="40"/>
    <s v="Virginia"/>
    <x v="0"/>
    <x v="2"/>
    <x v="0"/>
    <x v="4"/>
    <x v="1"/>
    <x v="0"/>
    <n v="6"/>
    <x v="1"/>
    <x v="3"/>
    <m/>
  </r>
  <r>
    <n v="1375"/>
    <n v="22"/>
    <s v="Male"/>
    <x v="8"/>
    <x v="3"/>
    <n v="97"/>
    <s v="New York"/>
    <x v="2"/>
    <x v="16"/>
    <x v="3"/>
    <x v="6"/>
    <x v="1"/>
    <x v="0"/>
    <n v="5"/>
    <x v="4"/>
    <x v="3"/>
    <m/>
  </r>
  <r>
    <n v="1376"/>
    <n v="42"/>
    <s v="Male"/>
    <x v="4"/>
    <x v="1"/>
    <n v="31"/>
    <s v="Maine"/>
    <x v="0"/>
    <x v="18"/>
    <x v="1"/>
    <x v="18"/>
    <x v="1"/>
    <x v="0"/>
    <n v="8"/>
    <x v="2"/>
    <x v="2"/>
    <m/>
  </r>
  <r>
    <n v="1377"/>
    <n v="57"/>
    <s v="Male"/>
    <x v="3"/>
    <x v="1"/>
    <n v="65"/>
    <s v="New Jersey"/>
    <x v="0"/>
    <x v="6"/>
    <x v="1"/>
    <x v="11"/>
    <x v="1"/>
    <x v="0"/>
    <n v="24"/>
    <x v="3"/>
    <x v="2"/>
    <m/>
  </r>
  <r>
    <n v="1378"/>
    <n v="33"/>
    <s v="Male"/>
    <x v="12"/>
    <x v="3"/>
    <n v="54"/>
    <s v="Maryland"/>
    <x v="0"/>
    <x v="8"/>
    <x v="1"/>
    <x v="23"/>
    <x v="1"/>
    <x v="0"/>
    <n v="42"/>
    <x v="0"/>
    <x v="5"/>
    <m/>
  </r>
  <r>
    <n v="1379"/>
    <n v="37"/>
    <s v="Male"/>
    <x v="14"/>
    <x v="2"/>
    <n v="49"/>
    <s v="Kentucky"/>
    <x v="3"/>
    <x v="12"/>
    <x v="3"/>
    <x v="2"/>
    <x v="1"/>
    <x v="0"/>
    <n v="24"/>
    <x v="0"/>
    <x v="1"/>
    <m/>
  </r>
  <r>
    <n v="1380"/>
    <n v="21"/>
    <s v="Male"/>
    <x v="17"/>
    <x v="0"/>
    <n v="64"/>
    <s v="Minnesota"/>
    <x v="0"/>
    <x v="7"/>
    <x v="3"/>
    <x v="24"/>
    <x v="1"/>
    <x v="0"/>
    <n v="38"/>
    <x v="0"/>
    <x v="4"/>
    <m/>
  </r>
  <r>
    <n v="1381"/>
    <n v="51"/>
    <s v="Male"/>
    <x v="4"/>
    <x v="1"/>
    <n v="35"/>
    <s v="Massachusetts"/>
    <x v="1"/>
    <x v="19"/>
    <x v="0"/>
    <x v="7"/>
    <x v="1"/>
    <x v="0"/>
    <n v="41"/>
    <x v="1"/>
    <x v="0"/>
    <m/>
  </r>
  <r>
    <n v="1382"/>
    <n v="30"/>
    <s v="Male"/>
    <x v="9"/>
    <x v="1"/>
    <n v="86"/>
    <s v="Illinois"/>
    <x v="0"/>
    <x v="14"/>
    <x v="0"/>
    <x v="25"/>
    <x v="1"/>
    <x v="0"/>
    <n v="48"/>
    <x v="0"/>
    <x v="3"/>
    <m/>
  </r>
  <r>
    <n v="1383"/>
    <n v="68"/>
    <s v="Male"/>
    <x v="14"/>
    <x v="2"/>
    <n v="55"/>
    <s v="Michigan"/>
    <x v="0"/>
    <x v="18"/>
    <x v="0"/>
    <x v="3"/>
    <x v="1"/>
    <x v="0"/>
    <n v="16"/>
    <x v="4"/>
    <x v="3"/>
    <m/>
  </r>
  <r>
    <n v="1384"/>
    <n v="36"/>
    <s v="Male"/>
    <x v="18"/>
    <x v="3"/>
    <n v="58"/>
    <s v="Wisconsin"/>
    <x v="2"/>
    <x v="19"/>
    <x v="1"/>
    <x v="19"/>
    <x v="1"/>
    <x v="0"/>
    <n v="4"/>
    <x v="0"/>
    <x v="5"/>
    <m/>
  </r>
  <r>
    <n v="1385"/>
    <n v="46"/>
    <s v="Male"/>
    <x v="4"/>
    <x v="1"/>
    <n v="96"/>
    <s v="Alaska"/>
    <x v="2"/>
    <x v="19"/>
    <x v="3"/>
    <x v="7"/>
    <x v="1"/>
    <x v="0"/>
    <n v="8"/>
    <x v="4"/>
    <x v="1"/>
    <m/>
  </r>
  <r>
    <n v="1386"/>
    <n v="41"/>
    <s v="Male"/>
    <x v="16"/>
    <x v="3"/>
    <n v="64"/>
    <s v="Mississippi"/>
    <x v="2"/>
    <x v="21"/>
    <x v="3"/>
    <x v="4"/>
    <x v="1"/>
    <x v="0"/>
    <n v="1"/>
    <x v="4"/>
    <x v="4"/>
    <m/>
  </r>
  <r>
    <n v="1387"/>
    <n v="68"/>
    <s v="Male"/>
    <x v="14"/>
    <x v="2"/>
    <n v="56"/>
    <s v="Oregon"/>
    <x v="2"/>
    <x v="5"/>
    <x v="3"/>
    <x v="8"/>
    <x v="1"/>
    <x v="0"/>
    <n v="4"/>
    <x v="5"/>
    <x v="3"/>
    <m/>
  </r>
  <r>
    <n v="1388"/>
    <n v="21"/>
    <s v="Male"/>
    <x v="0"/>
    <x v="0"/>
    <n v="85"/>
    <s v="Maryland"/>
    <x v="2"/>
    <x v="9"/>
    <x v="0"/>
    <x v="1"/>
    <x v="1"/>
    <x v="0"/>
    <n v="20"/>
    <x v="2"/>
    <x v="5"/>
    <m/>
  </r>
  <r>
    <n v="1389"/>
    <n v="62"/>
    <s v="Male"/>
    <x v="10"/>
    <x v="0"/>
    <n v="23"/>
    <s v="Arkansas"/>
    <x v="2"/>
    <x v="12"/>
    <x v="1"/>
    <x v="14"/>
    <x v="1"/>
    <x v="0"/>
    <n v="40"/>
    <x v="1"/>
    <x v="3"/>
    <m/>
  </r>
  <r>
    <n v="1390"/>
    <n v="59"/>
    <s v="Male"/>
    <x v="18"/>
    <x v="3"/>
    <n v="72"/>
    <s v="Illinois"/>
    <x v="0"/>
    <x v="20"/>
    <x v="3"/>
    <x v="4"/>
    <x v="1"/>
    <x v="0"/>
    <n v="8"/>
    <x v="5"/>
    <x v="0"/>
    <m/>
  </r>
  <r>
    <n v="1391"/>
    <n v="25"/>
    <s v="Male"/>
    <x v="19"/>
    <x v="3"/>
    <n v="38"/>
    <s v="Arkansas"/>
    <x v="2"/>
    <x v="1"/>
    <x v="2"/>
    <x v="12"/>
    <x v="1"/>
    <x v="0"/>
    <n v="42"/>
    <x v="5"/>
    <x v="1"/>
    <m/>
  </r>
  <r>
    <n v="1392"/>
    <n v="53"/>
    <s v="Male"/>
    <x v="0"/>
    <x v="0"/>
    <n v="29"/>
    <s v="Mississippi"/>
    <x v="1"/>
    <x v="3"/>
    <x v="0"/>
    <x v="2"/>
    <x v="1"/>
    <x v="0"/>
    <n v="38"/>
    <x v="2"/>
    <x v="2"/>
    <m/>
  </r>
  <r>
    <n v="1393"/>
    <n v="31"/>
    <s v="Male"/>
    <x v="24"/>
    <x v="3"/>
    <n v="46"/>
    <s v="Arkansas"/>
    <x v="2"/>
    <x v="22"/>
    <x v="1"/>
    <x v="13"/>
    <x v="1"/>
    <x v="0"/>
    <n v="34"/>
    <x v="0"/>
    <x v="6"/>
    <m/>
  </r>
  <r>
    <n v="1394"/>
    <n v="46"/>
    <s v="Male"/>
    <x v="24"/>
    <x v="3"/>
    <n v="58"/>
    <s v="Idaho"/>
    <x v="0"/>
    <x v="22"/>
    <x v="1"/>
    <x v="14"/>
    <x v="1"/>
    <x v="0"/>
    <n v="14"/>
    <x v="3"/>
    <x v="0"/>
    <m/>
  </r>
  <r>
    <n v="1395"/>
    <n v="26"/>
    <s v="Male"/>
    <x v="7"/>
    <x v="2"/>
    <n v="43"/>
    <s v="Iowa"/>
    <x v="0"/>
    <x v="23"/>
    <x v="3"/>
    <x v="15"/>
    <x v="1"/>
    <x v="0"/>
    <n v="39"/>
    <x v="1"/>
    <x v="1"/>
    <m/>
  </r>
  <r>
    <n v="1396"/>
    <n v="47"/>
    <s v="Male"/>
    <x v="18"/>
    <x v="3"/>
    <n v="32"/>
    <s v="West Virginia"/>
    <x v="0"/>
    <x v="2"/>
    <x v="1"/>
    <x v="24"/>
    <x v="1"/>
    <x v="0"/>
    <n v="40"/>
    <x v="3"/>
    <x v="4"/>
    <m/>
  </r>
  <r>
    <n v="1397"/>
    <n v="37"/>
    <s v="Male"/>
    <x v="13"/>
    <x v="0"/>
    <n v="30"/>
    <s v="Wisconsin"/>
    <x v="3"/>
    <x v="12"/>
    <x v="0"/>
    <x v="23"/>
    <x v="1"/>
    <x v="0"/>
    <n v="49"/>
    <x v="5"/>
    <x v="5"/>
    <m/>
  </r>
  <r>
    <n v="1398"/>
    <n v="55"/>
    <s v="Male"/>
    <x v="12"/>
    <x v="3"/>
    <n v="67"/>
    <s v="Massachusetts"/>
    <x v="1"/>
    <x v="23"/>
    <x v="2"/>
    <x v="15"/>
    <x v="1"/>
    <x v="0"/>
    <n v="33"/>
    <x v="3"/>
    <x v="2"/>
    <m/>
  </r>
  <r>
    <n v="1399"/>
    <n v="30"/>
    <s v="Male"/>
    <x v="10"/>
    <x v="0"/>
    <n v="45"/>
    <s v="Texas"/>
    <x v="2"/>
    <x v="17"/>
    <x v="2"/>
    <x v="16"/>
    <x v="1"/>
    <x v="0"/>
    <n v="25"/>
    <x v="2"/>
    <x v="1"/>
    <m/>
  </r>
  <r>
    <n v="1400"/>
    <n v="19"/>
    <s v="Male"/>
    <x v="19"/>
    <x v="3"/>
    <n v="81"/>
    <s v="Nebraska"/>
    <x v="2"/>
    <x v="8"/>
    <x v="0"/>
    <x v="0"/>
    <x v="1"/>
    <x v="0"/>
    <n v="48"/>
    <x v="0"/>
    <x v="2"/>
    <m/>
  </r>
  <r>
    <n v="1401"/>
    <n v="36"/>
    <s v="Male"/>
    <x v="21"/>
    <x v="3"/>
    <n v="23"/>
    <s v="Nevada"/>
    <x v="2"/>
    <x v="16"/>
    <x v="3"/>
    <x v="2"/>
    <x v="1"/>
    <x v="0"/>
    <n v="22"/>
    <x v="2"/>
    <x v="6"/>
    <m/>
  </r>
  <r>
    <n v="1402"/>
    <n v="23"/>
    <s v="Male"/>
    <x v="3"/>
    <x v="1"/>
    <n v="59"/>
    <s v="Indiana"/>
    <x v="2"/>
    <x v="24"/>
    <x v="3"/>
    <x v="22"/>
    <x v="1"/>
    <x v="0"/>
    <n v="1"/>
    <x v="3"/>
    <x v="1"/>
    <m/>
  </r>
  <r>
    <n v="1403"/>
    <n v="62"/>
    <s v="Male"/>
    <x v="12"/>
    <x v="3"/>
    <n v="21"/>
    <s v="North Dakota"/>
    <x v="0"/>
    <x v="3"/>
    <x v="2"/>
    <x v="0"/>
    <x v="1"/>
    <x v="0"/>
    <n v="47"/>
    <x v="3"/>
    <x v="5"/>
    <m/>
  </r>
  <r>
    <n v="1404"/>
    <n v="26"/>
    <s v="Male"/>
    <x v="21"/>
    <x v="3"/>
    <n v="20"/>
    <s v="Georgia"/>
    <x v="2"/>
    <x v="15"/>
    <x v="1"/>
    <x v="2"/>
    <x v="1"/>
    <x v="0"/>
    <n v="20"/>
    <x v="2"/>
    <x v="4"/>
    <m/>
  </r>
  <r>
    <n v="1405"/>
    <n v="36"/>
    <s v="Male"/>
    <x v="16"/>
    <x v="3"/>
    <n v="28"/>
    <s v="New Mexico"/>
    <x v="2"/>
    <x v="4"/>
    <x v="0"/>
    <x v="22"/>
    <x v="1"/>
    <x v="0"/>
    <n v="10"/>
    <x v="5"/>
    <x v="1"/>
    <m/>
  </r>
  <r>
    <n v="1406"/>
    <n v="33"/>
    <s v="Male"/>
    <x v="20"/>
    <x v="0"/>
    <n v="100"/>
    <s v="New Hampshire"/>
    <x v="2"/>
    <x v="15"/>
    <x v="0"/>
    <x v="6"/>
    <x v="1"/>
    <x v="0"/>
    <n v="39"/>
    <x v="2"/>
    <x v="5"/>
    <m/>
  </r>
  <r>
    <n v="1407"/>
    <n v="32"/>
    <s v="Male"/>
    <x v="5"/>
    <x v="0"/>
    <n v="46"/>
    <s v="Washington"/>
    <x v="0"/>
    <x v="2"/>
    <x v="1"/>
    <x v="2"/>
    <x v="1"/>
    <x v="0"/>
    <n v="15"/>
    <x v="5"/>
    <x v="5"/>
    <m/>
  </r>
  <r>
    <n v="1408"/>
    <n v="56"/>
    <s v="Male"/>
    <x v="8"/>
    <x v="3"/>
    <n v="61"/>
    <s v="Nevada"/>
    <x v="3"/>
    <x v="4"/>
    <x v="1"/>
    <x v="21"/>
    <x v="1"/>
    <x v="0"/>
    <n v="11"/>
    <x v="2"/>
    <x v="2"/>
    <m/>
  </r>
  <r>
    <n v="1409"/>
    <n v="58"/>
    <s v="Male"/>
    <x v="0"/>
    <x v="0"/>
    <n v="58"/>
    <s v="Maine"/>
    <x v="2"/>
    <x v="22"/>
    <x v="0"/>
    <x v="18"/>
    <x v="1"/>
    <x v="0"/>
    <n v="38"/>
    <x v="0"/>
    <x v="1"/>
    <m/>
  </r>
  <r>
    <n v="1410"/>
    <n v="34"/>
    <s v="Male"/>
    <x v="21"/>
    <x v="3"/>
    <n v="50"/>
    <s v="Idaho"/>
    <x v="2"/>
    <x v="24"/>
    <x v="1"/>
    <x v="13"/>
    <x v="1"/>
    <x v="0"/>
    <n v="41"/>
    <x v="1"/>
    <x v="0"/>
    <m/>
  </r>
  <r>
    <n v="1411"/>
    <n v="61"/>
    <s v="Male"/>
    <x v="19"/>
    <x v="3"/>
    <n v="93"/>
    <s v="Tennessee"/>
    <x v="2"/>
    <x v="7"/>
    <x v="2"/>
    <x v="8"/>
    <x v="1"/>
    <x v="0"/>
    <n v="18"/>
    <x v="5"/>
    <x v="2"/>
    <m/>
  </r>
  <r>
    <n v="1412"/>
    <n v="48"/>
    <s v="Male"/>
    <x v="11"/>
    <x v="0"/>
    <n v="24"/>
    <s v="Louisiana"/>
    <x v="0"/>
    <x v="14"/>
    <x v="2"/>
    <x v="24"/>
    <x v="1"/>
    <x v="0"/>
    <n v="13"/>
    <x v="0"/>
    <x v="3"/>
    <m/>
  </r>
  <r>
    <n v="1413"/>
    <n v="25"/>
    <s v="Male"/>
    <x v="6"/>
    <x v="0"/>
    <n v="100"/>
    <s v="Michigan"/>
    <x v="2"/>
    <x v="4"/>
    <x v="2"/>
    <x v="4"/>
    <x v="1"/>
    <x v="0"/>
    <n v="43"/>
    <x v="0"/>
    <x v="2"/>
    <m/>
  </r>
  <r>
    <n v="1414"/>
    <n v="51"/>
    <s v="Male"/>
    <x v="0"/>
    <x v="0"/>
    <n v="79"/>
    <s v="New Hampshire"/>
    <x v="1"/>
    <x v="21"/>
    <x v="3"/>
    <x v="6"/>
    <x v="1"/>
    <x v="0"/>
    <n v="12"/>
    <x v="4"/>
    <x v="3"/>
    <m/>
  </r>
  <r>
    <n v="1415"/>
    <n v="29"/>
    <s v="Male"/>
    <x v="20"/>
    <x v="0"/>
    <n v="51"/>
    <s v="Minnesota"/>
    <x v="2"/>
    <x v="13"/>
    <x v="2"/>
    <x v="21"/>
    <x v="1"/>
    <x v="0"/>
    <n v="3"/>
    <x v="2"/>
    <x v="4"/>
    <m/>
  </r>
  <r>
    <n v="1416"/>
    <n v="54"/>
    <s v="Male"/>
    <x v="22"/>
    <x v="3"/>
    <n v="90"/>
    <s v="Illinois"/>
    <x v="2"/>
    <x v="24"/>
    <x v="0"/>
    <x v="5"/>
    <x v="1"/>
    <x v="0"/>
    <n v="12"/>
    <x v="2"/>
    <x v="6"/>
    <m/>
  </r>
  <r>
    <n v="1417"/>
    <n v="48"/>
    <s v="Male"/>
    <x v="23"/>
    <x v="1"/>
    <n v="56"/>
    <s v="Idaho"/>
    <x v="0"/>
    <x v="5"/>
    <x v="2"/>
    <x v="10"/>
    <x v="1"/>
    <x v="0"/>
    <n v="46"/>
    <x v="1"/>
    <x v="3"/>
    <m/>
  </r>
  <r>
    <n v="1418"/>
    <n v="62"/>
    <s v="Male"/>
    <x v="6"/>
    <x v="0"/>
    <n v="25"/>
    <s v="Montana"/>
    <x v="1"/>
    <x v="18"/>
    <x v="1"/>
    <x v="7"/>
    <x v="1"/>
    <x v="0"/>
    <n v="21"/>
    <x v="5"/>
    <x v="0"/>
    <m/>
  </r>
  <r>
    <n v="1419"/>
    <n v="18"/>
    <s v="Male"/>
    <x v="5"/>
    <x v="0"/>
    <n v="75"/>
    <s v="Alabama"/>
    <x v="2"/>
    <x v="10"/>
    <x v="2"/>
    <x v="18"/>
    <x v="1"/>
    <x v="0"/>
    <n v="23"/>
    <x v="0"/>
    <x v="6"/>
    <m/>
  </r>
  <r>
    <n v="1420"/>
    <n v="43"/>
    <s v="Male"/>
    <x v="8"/>
    <x v="3"/>
    <n v="75"/>
    <s v="Montana"/>
    <x v="2"/>
    <x v="20"/>
    <x v="2"/>
    <x v="4"/>
    <x v="1"/>
    <x v="0"/>
    <n v="4"/>
    <x v="5"/>
    <x v="3"/>
    <m/>
  </r>
  <r>
    <n v="1421"/>
    <n v="22"/>
    <s v="Male"/>
    <x v="2"/>
    <x v="0"/>
    <n v="53"/>
    <s v="California"/>
    <x v="3"/>
    <x v="0"/>
    <x v="2"/>
    <x v="7"/>
    <x v="1"/>
    <x v="0"/>
    <n v="45"/>
    <x v="3"/>
    <x v="6"/>
    <m/>
  </r>
  <r>
    <n v="1422"/>
    <n v="68"/>
    <s v="Male"/>
    <x v="10"/>
    <x v="0"/>
    <n v="100"/>
    <s v="Pennsylvania"/>
    <x v="1"/>
    <x v="9"/>
    <x v="1"/>
    <x v="23"/>
    <x v="1"/>
    <x v="0"/>
    <n v="24"/>
    <x v="4"/>
    <x v="0"/>
    <m/>
  </r>
  <r>
    <n v="1423"/>
    <n v="44"/>
    <s v="Male"/>
    <x v="10"/>
    <x v="0"/>
    <n v="27"/>
    <s v="Texas"/>
    <x v="0"/>
    <x v="4"/>
    <x v="3"/>
    <x v="10"/>
    <x v="1"/>
    <x v="0"/>
    <n v="3"/>
    <x v="3"/>
    <x v="4"/>
    <m/>
  </r>
  <r>
    <n v="1424"/>
    <n v="51"/>
    <s v="Male"/>
    <x v="3"/>
    <x v="1"/>
    <n v="60"/>
    <s v="Michigan"/>
    <x v="1"/>
    <x v="13"/>
    <x v="3"/>
    <x v="22"/>
    <x v="1"/>
    <x v="0"/>
    <n v="12"/>
    <x v="0"/>
    <x v="6"/>
    <m/>
  </r>
  <r>
    <n v="1425"/>
    <n v="66"/>
    <s v="Male"/>
    <x v="14"/>
    <x v="2"/>
    <n v="23"/>
    <s v="Connecticut"/>
    <x v="1"/>
    <x v="21"/>
    <x v="3"/>
    <x v="22"/>
    <x v="1"/>
    <x v="0"/>
    <n v="34"/>
    <x v="4"/>
    <x v="6"/>
    <m/>
  </r>
  <r>
    <n v="1426"/>
    <n v="59"/>
    <s v="Male"/>
    <x v="7"/>
    <x v="2"/>
    <n v="40"/>
    <s v="Wyoming"/>
    <x v="1"/>
    <x v="3"/>
    <x v="0"/>
    <x v="5"/>
    <x v="1"/>
    <x v="0"/>
    <n v="39"/>
    <x v="2"/>
    <x v="2"/>
    <m/>
  </r>
  <r>
    <n v="1427"/>
    <n v="60"/>
    <s v="Male"/>
    <x v="13"/>
    <x v="0"/>
    <n v="38"/>
    <s v="Michigan"/>
    <x v="2"/>
    <x v="22"/>
    <x v="2"/>
    <x v="3"/>
    <x v="1"/>
    <x v="0"/>
    <n v="35"/>
    <x v="3"/>
    <x v="6"/>
    <m/>
  </r>
  <r>
    <n v="1428"/>
    <n v="31"/>
    <s v="Male"/>
    <x v="21"/>
    <x v="3"/>
    <n v="90"/>
    <s v="South Dakota"/>
    <x v="1"/>
    <x v="20"/>
    <x v="2"/>
    <x v="17"/>
    <x v="1"/>
    <x v="0"/>
    <n v="8"/>
    <x v="2"/>
    <x v="2"/>
    <m/>
  </r>
  <r>
    <n v="1429"/>
    <n v="20"/>
    <s v="Male"/>
    <x v="0"/>
    <x v="0"/>
    <n v="97"/>
    <s v="North Dakota"/>
    <x v="1"/>
    <x v="14"/>
    <x v="2"/>
    <x v="17"/>
    <x v="1"/>
    <x v="0"/>
    <n v="42"/>
    <x v="3"/>
    <x v="3"/>
    <m/>
  </r>
  <r>
    <n v="1430"/>
    <n v="24"/>
    <s v="Male"/>
    <x v="11"/>
    <x v="0"/>
    <n v="38"/>
    <s v="Maryland"/>
    <x v="0"/>
    <x v="9"/>
    <x v="3"/>
    <x v="15"/>
    <x v="1"/>
    <x v="0"/>
    <n v="6"/>
    <x v="2"/>
    <x v="6"/>
    <m/>
  </r>
  <r>
    <n v="1431"/>
    <n v="48"/>
    <s v="Male"/>
    <x v="3"/>
    <x v="1"/>
    <n v="30"/>
    <s v="Michigan"/>
    <x v="1"/>
    <x v="20"/>
    <x v="2"/>
    <x v="17"/>
    <x v="1"/>
    <x v="0"/>
    <n v="3"/>
    <x v="2"/>
    <x v="0"/>
    <m/>
  </r>
  <r>
    <n v="1432"/>
    <n v="39"/>
    <s v="Male"/>
    <x v="13"/>
    <x v="0"/>
    <n v="88"/>
    <s v="South Dakota"/>
    <x v="2"/>
    <x v="17"/>
    <x v="3"/>
    <x v="25"/>
    <x v="1"/>
    <x v="0"/>
    <n v="29"/>
    <x v="0"/>
    <x v="3"/>
    <m/>
  </r>
  <r>
    <n v="1433"/>
    <n v="34"/>
    <s v="Male"/>
    <x v="19"/>
    <x v="3"/>
    <n v="33"/>
    <s v="Florida"/>
    <x v="0"/>
    <x v="13"/>
    <x v="0"/>
    <x v="9"/>
    <x v="1"/>
    <x v="0"/>
    <n v="32"/>
    <x v="5"/>
    <x v="3"/>
    <m/>
  </r>
  <r>
    <n v="1434"/>
    <n v="70"/>
    <s v="Male"/>
    <x v="15"/>
    <x v="0"/>
    <n v="60"/>
    <s v="Minnesota"/>
    <x v="0"/>
    <x v="22"/>
    <x v="0"/>
    <x v="20"/>
    <x v="1"/>
    <x v="0"/>
    <n v="45"/>
    <x v="5"/>
    <x v="1"/>
    <m/>
  </r>
  <r>
    <n v="1435"/>
    <n v="59"/>
    <s v="Male"/>
    <x v="1"/>
    <x v="0"/>
    <n v="64"/>
    <s v="New York"/>
    <x v="0"/>
    <x v="1"/>
    <x v="2"/>
    <x v="7"/>
    <x v="1"/>
    <x v="0"/>
    <n v="21"/>
    <x v="5"/>
    <x v="4"/>
    <m/>
  </r>
  <r>
    <n v="1436"/>
    <n v="45"/>
    <s v="Male"/>
    <x v="18"/>
    <x v="3"/>
    <n v="95"/>
    <s v="Oregon"/>
    <x v="3"/>
    <x v="13"/>
    <x v="3"/>
    <x v="8"/>
    <x v="1"/>
    <x v="0"/>
    <n v="41"/>
    <x v="1"/>
    <x v="1"/>
    <m/>
  </r>
  <r>
    <n v="1437"/>
    <n v="35"/>
    <s v="Male"/>
    <x v="4"/>
    <x v="1"/>
    <n v="83"/>
    <s v="Minnesota"/>
    <x v="2"/>
    <x v="0"/>
    <x v="0"/>
    <x v="5"/>
    <x v="1"/>
    <x v="0"/>
    <n v="23"/>
    <x v="3"/>
    <x v="0"/>
    <m/>
  </r>
  <r>
    <n v="1438"/>
    <n v="69"/>
    <s v="Male"/>
    <x v="23"/>
    <x v="1"/>
    <n v="97"/>
    <s v="Montana"/>
    <x v="3"/>
    <x v="20"/>
    <x v="0"/>
    <x v="13"/>
    <x v="1"/>
    <x v="0"/>
    <n v="14"/>
    <x v="1"/>
    <x v="2"/>
    <m/>
  </r>
  <r>
    <n v="1439"/>
    <n v="58"/>
    <s v="Male"/>
    <x v="7"/>
    <x v="2"/>
    <n v="38"/>
    <s v="Washington"/>
    <x v="2"/>
    <x v="17"/>
    <x v="1"/>
    <x v="25"/>
    <x v="1"/>
    <x v="0"/>
    <n v="24"/>
    <x v="5"/>
    <x v="5"/>
    <m/>
  </r>
  <r>
    <n v="1440"/>
    <n v="25"/>
    <s v="Male"/>
    <x v="23"/>
    <x v="1"/>
    <n v="48"/>
    <s v="New Mexico"/>
    <x v="2"/>
    <x v="23"/>
    <x v="2"/>
    <x v="3"/>
    <x v="1"/>
    <x v="0"/>
    <n v="25"/>
    <x v="1"/>
    <x v="0"/>
    <m/>
  </r>
  <r>
    <n v="1441"/>
    <n v="27"/>
    <s v="Male"/>
    <x v="3"/>
    <x v="1"/>
    <n v="76"/>
    <s v="Arizona"/>
    <x v="2"/>
    <x v="6"/>
    <x v="1"/>
    <x v="9"/>
    <x v="1"/>
    <x v="0"/>
    <n v="13"/>
    <x v="0"/>
    <x v="5"/>
    <m/>
  </r>
  <r>
    <n v="1442"/>
    <n v="34"/>
    <s v="Male"/>
    <x v="13"/>
    <x v="0"/>
    <n v="25"/>
    <s v="Nebraska"/>
    <x v="1"/>
    <x v="2"/>
    <x v="2"/>
    <x v="10"/>
    <x v="1"/>
    <x v="0"/>
    <n v="3"/>
    <x v="0"/>
    <x v="6"/>
    <m/>
  </r>
  <r>
    <n v="1443"/>
    <n v="53"/>
    <s v="Male"/>
    <x v="15"/>
    <x v="0"/>
    <n v="92"/>
    <s v="Idaho"/>
    <x v="1"/>
    <x v="10"/>
    <x v="1"/>
    <x v="24"/>
    <x v="1"/>
    <x v="0"/>
    <n v="42"/>
    <x v="2"/>
    <x v="2"/>
    <m/>
  </r>
  <r>
    <n v="1444"/>
    <n v="58"/>
    <s v="Male"/>
    <x v="3"/>
    <x v="1"/>
    <n v="47"/>
    <s v="Idaho"/>
    <x v="0"/>
    <x v="11"/>
    <x v="3"/>
    <x v="13"/>
    <x v="1"/>
    <x v="0"/>
    <n v="2"/>
    <x v="1"/>
    <x v="5"/>
    <m/>
  </r>
  <r>
    <n v="1445"/>
    <n v="32"/>
    <s v="Male"/>
    <x v="1"/>
    <x v="0"/>
    <n v="36"/>
    <s v="Vermont"/>
    <x v="0"/>
    <x v="6"/>
    <x v="3"/>
    <x v="1"/>
    <x v="1"/>
    <x v="0"/>
    <n v="26"/>
    <x v="1"/>
    <x v="3"/>
    <m/>
  </r>
  <r>
    <n v="1446"/>
    <n v="64"/>
    <s v="Male"/>
    <x v="22"/>
    <x v="3"/>
    <n v="51"/>
    <s v="Arkansas"/>
    <x v="2"/>
    <x v="9"/>
    <x v="3"/>
    <x v="0"/>
    <x v="1"/>
    <x v="0"/>
    <n v="24"/>
    <x v="2"/>
    <x v="2"/>
    <m/>
  </r>
  <r>
    <n v="1447"/>
    <n v="63"/>
    <s v="Male"/>
    <x v="2"/>
    <x v="0"/>
    <n v="35"/>
    <s v="Wyoming"/>
    <x v="3"/>
    <x v="16"/>
    <x v="2"/>
    <x v="20"/>
    <x v="1"/>
    <x v="0"/>
    <n v="6"/>
    <x v="2"/>
    <x v="3"/>
    <m/>
  </r>
  <r>
    <n v="1448"/>
    <n v="23"/>
    <s v="Male"/>
    <x v="15"/>
    <x v="0"/>
    <n v="57"/>
    <s v="New Mexico"/>
    <x v="1"/>
    <x v="19"/>
    <x v="2"/>
    <x v="23"/>
    <x v="1"/>
    <x v="0"/>
    <n v="25"/>
    <x v="3"/>
    <x v="5"/>
    <m/>
  </r>
  <r>
    <n v="1449"/>
    <n v="64"/>
    <s v="Male"/>
    <x v="23"/>
    <x v="1"/>
    <n v="95"/>
    <s v="West Virginia"/>
    <x v="2"/>
    <x v="13"/>
    <x v="2"/>
    <x v="2"/>
    <x v="1"/>
    <x v="0"/>
    <n v="11"/>
    <x v="2"/>
    <x v="6"/>
    <m/>
  </r>
  <r>
    <n v="1450"/>
    <n v="18"/>
    <s v="Male"/>
    <x v="20"/>
    <x v="0"/>
    <n v="41"/>
    <s v="New York"/>
    <x v="0"/>
    <x v="12"/>
    <x v="0"/>
    <x v="16"/>
    <x v="1"/>
    <x v="0"/>
    <n v="20"/>
    <x v="1"/>
    <x v="6"/>
    <m/>
  </r>
  <r>
    <n v="1451"/>
    <n v="25"/>
    <s v="Male"/>
    <x v="10"/>
    <x v="0"/>
    <n v="44"/>
    <s v="Illinois"/>
    <x v="1"/>
    <x v="11"/>
    <x v="0"/>
    <x v="10"/>
    <x v="1"/>
    <x v="0"/>
    <n v="25"/>
    <x v="1"/>
    <x v="3"/>
    <m/>
  </r>
  <r>
    <n v="1452"/>
    <n v="54"/>
    <s v="Male"/>
    <x v="14"/>
    <x v="2"/>
    <n v="34"/>
    <s v="Utah"/>
    <x v="2"/>
    <x v="1"/>
    <x v="3"/>
    <x v="16"/>
    <x v="1"/>
    <x v="0"/>
    <n v="35"/>
    <x v="3"/>
    <x v="3"/>
    <m/>
  </r>
  <r>
    <n v="1453"/>
    <n v="60"/>
    <s v="Male"/>
    <x v="14"/>
    <x v="2"/>
    <n v="25"/>
    <s v="Colorado"/>
    <x v="0"/>
    <x v="24"/>
    <x v="1"/>
    <x v="15"/>
    <x v="1"/>
    <x v="0"/>
    <n v="11"/>
    <x v="4"/>
    <x v="3"/>
    <m/>
  </r>
  <r>
    <n v="1454"/>
    <n v="36"/>
    <s v="Male"/>
    <x v="23"/>
    <x v="1"/>
    <n v="93"/>
    <s v="Virginia"/>
    <x v="1"/>
    <x v="11"/>
    <x v="0"/>
    <x v="20"/>
    <x v="1"/>
    <x v="0"/>
    <n v="41"/>
    <x v="4"/>
    <x v="0"/>
    <m/>
  </r>
  <r>
    <n v="1455"/>
    <n v="66"/>
    <s v="Male"/>
    <x v="4"/>
    <x v="1"/>
    <n v="50"/>
    <s v="Georgia"/>
    <x v="0"/>
    <x v="1"/>
    <x v="0"/>
    <x v="25"/>
    <x v="1"/>
    <x v="0"/>
    <n v="17"/>
    <x v="2"/>
    <x v="2"/>
    <m/>
  </r>
  <r>
    <n v="1456"/>
    <n v="60"/>
    <s v="Male"/>
    <x v="13"/>
    <x v="0"/>
    <n v="79"/>
    <s v="Alabama"/>
    <x v="0"/>
    <x v="5"/>
    <x v="3"/>
    <x v="17"/>
    <x v="1"/>
    <x v="0"/>
    <n v="1"/>
    <x v="3"/>
    <x v="6"/>
    <m/>
  </r>
  <r>
    <n v="1457"/>
    <n v="59"/>
    <s v="Male"/>
    <x v="7"/>
    <x v="2"/>
    <n v="100"/>
    <s v="Montana"/>
    <x v="1"/>
    <x v="8"/>
    <x v="1"/>
    <x v="6"/>
    <x v="1"/>
    <x v="0"/>
    <n v="30"/>
    <x v="3"/>
    <x v="6"/>
    <m/>
  </r>
  <r>
    <n v="1458"/>
    <n v="58"/>
    <s v="Male"/>
    <x v="5"/>
    <x v="0"/>
    <n v="57"/>
    <s v="Pennsylvania"/>
    <x v="1"/>
    <x v="0"/>
    <x v="1"/>
    <x v="15"/>
    <x v="1"/>
    <x v="0"/>
    <n v="47"/>
    <x v="0"/>
    <x v="0"/>
    <m/>
  </r>
  <r>
    <n v="1459"/>
    <n v="35"/>
    <s v="Male"/>
    <x v="1"/>
    <x v="0"/>
    <n v="28"/>
    <s v="Missouri"/>
    <x v="2"/>
    <x v="15"/>
    <x v="1"/>
    <x v="25"/>
    <x v="1"/>
    <x v="0"/>
    <n v="34"/>
    <x v="0"/>
    <x v="1"/>
    <m/>
  </r>
  <r>
    <n v="1460"/>
    <n v="20"/>
    <s v="Male"/>
    <x v="9"/>
    <x v="1"/>
    <n v="35"/>
    <s v="Maine"/>
    <x v="0"/>
    <x v="22"/>
    <x v="0"/>
    <x v="3"/>
    <x v="1"/>
    <x v="0"/>
    <n v="18"/>
    <x v="0"/>
    <x v="0"/>
    <m/>
  </r>
  <r>
    <n v="1461"/>
    <n v="70"/>
    <s v="Male"/>
    <x v="23"/>
    <x v="1"/>
    <n v="85"/>
    <s v="Pennsylvania"/>
    <x v="0"/>
    <x v="10"/>
    <x v="3"/>
    <x v="7"/>
    <x v="1"/>
    <x v="0"/>
    <n v="33"/>
    <x v="0"/>
    <x v="4"/>
    <m/>
  </r>
  <r>
    <n v="1462"/>
    <n v="54"/>
    <s v="Male"/>
    <x v="12"/>
    <x v="3"/>
    <n v="95"/>
    <s v="Oregon"/>
    <x v="1"/>
    <x v="16"/>
    <x v="2"/>
    <x v="11"/>
    <x v="1"/>
    <x v="0"/>
    <n v="42"/>
    <x v="0"/>
    <x v="3"/>
    <m/>
  </r>
  <r>
    <n v="1463"/>
    <n v="38"/>
    <s v="Male"/>
    <x v="4"/>
    <x v="1"/>
    <n v="90"/>
    <s v="Utah"/>
    <x v="1"/>
    <x v="4"/>
    <x v="2"/>
    <x v="3"/>
    <x v="1"/>
    <x v="0"/>
    <n v="2"/>
    <x v="0"/>
    <x v="3"/>
    <m/>
  </r>
  <r>
    <n v="1464"/>
    <n v="54"/>
    <s v="Male"/>
    <x v="16"/>
    <x v="3"/>
    <n v="49"/>
    <s v="Oklahoma"/>
    <x v="2"/>
    <x v="19"/>
    <x v="2"/>
    <x v="17"/>
    <x v="1"/>
    <x v="0"/>
    <n v="1"/>
    <x v="4"/>
    <x v="5"/>
    <m/>
  </r>
  <r>
    <n v="1465"/>
    <n v="33"/>
    <s v="Male"/>
    <x v="22"/>
    <x v="3"/>
    <n v="92"/>
    <s v="Montana"/>
    <x v="2"/>
    <x v="15"/>
    <x v="0"/>
    <x v="7"/>
    <x v="1"/>
    <x v="0"/>
    <n v="23"/>
    <x v="4"/>
    <x v="3"/>
    <m/>
  </r>
  <r>
    <n v="1466"/>
    <n v="46"/>
    <s v="Male"/>
    <x v="24"/>
    <x v="3"/>
    <n v="72"/>
    <s v="Nebraska"/>
    <x v="3"/>
    <x v="10"/>
    <x v="0"/>
    <x v="14"/>
    <x v="1"/>
    <x v="0"/>
    <n v="42"/>
    <x v="1"/>
    <x v="4"/>
    <m/>
  </r>
  <r>
    <n v="1467"/>
    <n v="58"/>
    <s v="Male"/>
    <x v="6"/>
    <x v="0"/>
    <n v="71"/>
    <s v="Alabama"/>
    <x v="2"/>
    <x v="14"/>
    <x v="2"/>
    <x v="21"/>
    <x v="1"/>
    <x v="0"/>
    <n v="3"/>
    <x v="3"/>
    <x v="2"/>
    <m/>
  </r>
  <r>
    <n v="1468"/>
    <n v="30"/>
    <s v="Male"/>
    <x v="16"/>
    <x v="3"/>
    <n v="27"/>
    <s v="Ohio"/>
    <x v="3"/>
    <x v="8"/>
    <x v="0"/>
    <x v="15"/>
    <x v="1"/>
    <x v="0"/>
    <n v="16"/>
    <x v="5"/>
    <x v="0"/>
    <m/>
  </r>
  <r>
    <n v="1469"/>
    <n v="42"/>
    <s v="Male"/>
    <x v="24"/>
    <x v="3"/>
    <n v="39"/>
    <s v="Arkansas"/>
    <x v="1"/>
    <x v="5"/>
    <x v="3"/>
    <x v="14"/>
    <x v="1"/>
    <x v="0"/>
    <n v="46"/>
    <x v="1"/>
    <x v="0"/>
    <m/>
  </r>
  <r>
    <n v="1470"/>
    <n v="28"/>
    <s v="Male"/>
    <x v="16"/>
    <x v="3"/>
    <n v="98"/>
    <s v="Mississippi"/>
    <x v="2"/>
    <x v="7"/>
    <x v="0"/>
    <x v="9"/>
    <x v="1"/>
    <x v="0"/>
    <n v="31"/>
    <x v="3"/>
    <x v="6"/>
    <m/>
  </r>
  <r>
    <n v="1471"/>
    <n v="43"/>
    <s v="Male"/>
    <x v="3"/>
    <x v="1"/>
    <n v="27"/>
    <s v="California"/>
    <x v="2"/>
    <x v="5"/>
    <x v="1"/>
    <x v="14"/>
    <x v="1"/>
    <x v="0"/>
    <n v="15"/>
    <x v="1"/>
    <x v="6"/>
    <m/>
  </r>
  <r>
    <n v="1472"/>
    <n v="31"/>
    <s v="Male"/>
    <x v="16"/>
    <x v="3"/>
    <n v="71"/>
    <s v="Alaska"/>
    <x v="1"/>
    <x v="0"/>
    <x v="1"/>
    <x v="24"/>
    <x v="1"/>
    <x v="0"/>
    <n v="48"/>
    <x v="0"/>
    <x v="6"/>
    <m/>
  </r>
  <r>
    <n v="1473"/>
    <n v="39"/>
    <s v="Male"/>
    <x v="19"/>
    <x v="3"/>
    <n v="24"/>
    <s v="Indiana"/>
    <x v="0"/>
    <x v="2"/>
    <x v="1"/>
    <x v="22"/>
    <x v="1"/>
    <x v="0"/>
    <n v="11"/>
    <x v="1"/>
    <x v="1"/>
    <m/>
  </r>
  <r>
    <n v="1474"/>
    <n v="69"/>
    <s v="Male"/>
    <x v="6"/>
    <x v="0"/>
    <n v="63"/>
    <s v="Wisconsin"/>
    <x v="2"/>
    <x v="10"/>
    <x v="3"/>
    <x v="12"/>
    <x v="1"/>
    <x v="0"/>
    <n v="20"/>
    <x v="2"/>
    <x v="6"/>
    <m/>
  </r>
  <r>
    <n v="1475"/>
    <n v="31"/>
    <s v="Male"/>
    <x v="1"/>
    <x v="0"/>
    <n v="72"/>
    <s v="New Jersey"/>
    <x v="1"/>
    <x v="6"/>
    <x v="3"/>
    <x v="14"/>
    <x v="1"/>
    <x v="0"/>
    <n v="6"/>
    <x v="2"/>
    <x v="5"/>
    <m/>
  </r>
  <r>
    <n v="1476"/>
    <n v="44"/>
    <s v="Male"/>
    <x v="0"/>
    <x v="0"/>
    <n v="61"/>
    <s v="Rhode Island"/>
    <x v="2"/>
    <x v="11"/>
    <x v="1"/>
    <x v="8"/>
    <x v="1"/>
    <x v="0"/>
    <n v="24"/>
    <x v="1"/>
    <x v="5"/>
    <m/>
  </r>
  <r>
    <n v="1477"/>
    <n v="39"/>
    <s v="Male"/>
    <x v="19"/>
    <x v="3"/>
    <n v="56"/>
    <s v="Wyoming"/>
    <x v="2"/>
    <x v="23"/>
    <x v="3"/>
    <x v="18"/>
    <x v="1"/>
    <x v="0"/>
    <n v="18"/>
    <x v="2"/>
    <x v="5"/>
    <m/>
  </r>
  <r>
    <n v="1478"/>
    <n v="24"/>
    <s v="Male"/>
    <x v="22"/>
    <x v="3"/>
    <n v="32"/>
    <s v="Oregon"/>
    <x v="3"/>
    <x v="5"/>
    <x v="2"/>
    <x v="12"/>
    <x v="1"/>
    <x v="0"/>
    <n v="1"/>
    <x v="3"/>
    <x v="6"/>
    <m/>
  </r>
  <r>
    <n v="1479"/>
    <n v="28"/>
    <s v="Male"/>
    <x v="24"/>
    <x v="3"/>
    <n v="23"/>
    <s v="Washington"/>
    <x v="2"/>
    <x v="24"/>
    <x v="2"/>
    <x v="13"/>
    <x v="1"/>
    <x v="0"/>
    <n v="13"/>
    <x v="0"/>
    <x v="4"/>
    <m/>
  </r>
  <r>
    <n v="1480"/>
    <n v="48"/>
    <s v="Male"/>
    <x v="7"/>
    <x v="2"/>
    <n v="100"/>
    <s v="Washington"/>
    <x v="0"/>
    <x v="13"/>
    <x v="1"/>
    <x v="8"/>
    <x v="1"/>
    <x v="0"/>
    <n v="2"/>
    <x v="4"/>
    <x v="1"/>
    <m/>
  </r>
  <r>
    <n v="1481"/>
    <n v="39"/>
    <s v="Male"/>
    <x v="16"/>
    <x v="3"/>
    <n v="74"/>
    <s v="New Hampshire"/>
    <x v="2"/>
    <x v="9"/>
    <x v="3"/>
    <x v="2"/>
    <x v="1"/>
    <x v="0"/>
    <n v="26"/>
    <x v="1"/>
    <x v="3"/>
    <m/>
  </r>
  <r>
    <n v="1482"/>
    <n v="64"/>
    <s v="Male"/>
    <x v="11"/>
    <x v="0"/>
    <n v="33"/>
    <s v="Maryland"/>
    <x v="1"/>
    <x v="0"/>
    <x v="1"/>
    <x v="19"/>
    <x v="1"/>
    <x v="0"/>
    <n v="31"/>
    <x v="3"/>
    <x v="3"/>
    <m/>
  </r>
  <r>
    <n v="1483"/>
    <n v="28"/>
    <s v="Male"/>
    <x v="24"/>
    <x v="3"/>
    <n v="67"/>
    <s v="Wisconsin"/>
    <x v="1"/>
    <x v="23"/>
    <x v="1"/>
    <x v="18"/>
    <x v="1"/>
    <x v="0"/>
    <n v="43"/>
    <x v="4"/>
    <x v="1"/>
    <m/>
  </r>
  <r>
    <n v="1484"/>
    <n v="39"/>
    <s v="Male"/>
    <x v="16"/>
    <x v="3"/>
    <n v="61"/>
    <s v="Massachusetts"/>
    <x v="1"/>
    <x v="22"/>
    <x v="2"/>
    <x v="15"/>
    <x v="1"/>
    <x v="0"/>
    <n v="12"/>
    <x v="5"/>
    <x v="4"/>
    <m/>
  </r>
  <r>
    <n v="1485"/>
    <n v="49"/>
    <s v="Male"/>
    <x v="6"/>
    <x v="0"/>
    <n v="46"/>
    <s v="Nebraska"/>
    <x v="2"/>
    <x v="11"/>
    <x v="2"/>
    <x v="9"/>
    <x v="1"/>
    <x v="0"/>
    <n v="22"/>
    <x v="0"/>
    <x v="6"/>
    <m/>
  </r>
  <r>
    <n v="1486"/>
    <n v="22"/>
    <s v="Male"/>
    <x v="24"/>
    <x v="3"/>
    <n v="56"/>
    <s v="Nebraska"/>
    <x v="0"/>
    <x v="16"/>
    <x v="1"/>
    <x v="10"/>
    <x v="1"/>
    <x v="0"/>
    <n v="3"/>
    <x v="1"/>
    <x v="0"/>
    <m/>
  </r>
  <r>
    <n v="1487"/>
    <n v="25"/>
    <s v="Male"/>
    <x v="4"/>
    <x v="1"/>
    <n v="73"/>
    <s v="Idaho"/>
    <x v="1"/>
    <x v="22"/>
    <x v="1"/>
    <x v="11"/>
    <x v="1"/>
    <x v="0"/>
    <n v="23"/>
    <x v="0"/>
    <x v="6"/>
    <m/>
  </r>
  <r>
    <n v="1488"/>
    <n v="40"/>
    <s v="Male"/>
    <x v="11"/>
    <x v="0"/>
    <n v="44"/>
    <s v="Arizona"/>
    <x v="0"/>
    <x v="13"/>
    <x v="2"/>
    <x v="7"/>
    <x v="1"/>
    <x v="0"/>
    <n v="26"/>
    <x v="3"/>
    <x v="2"/>
    <m/>
  </r>
  <r>
    <n v="1489"/>
    <n v="23"/>
    <s v="Male"/>
    <x v="19"/>
    <x v="3"/>
    <n v="44"/>
    <s v="Hawaii"/>
    <x v="0"/>
    <x v="6"/>
    <x v="0"/>
    <x v="8"/>
    <x v="1"/>
    <x v="0"/>
    <n v="37"/>
    <x v="2"/>
    <x v="1"/>
    <m/>
  </r>
  <r>
    <n v="1490"/>
    <n v="24"/>
    <s v="Male"/>
    <x v="16"/>
    <x v="3"/>
    <n v="26"/>
    <s v="Missouri"/>
    <x v="3"/>
    <x v="23"/>
    <x v="2"/>
    <x v="18"/>
    <x v="1"/>
    <x v="0"/>
    <n v="42"/>
    <x v="0"/>
    <x v="3"/>
    <m/>
  </r>
  <r>
    <n v="1491"/>
    <n v="66"/>
    <s v="Male"/>
    <x v="4"/>
    <x v="1"/>
    <n v="52"/>
    <s v="Louisiana"/>
    <x v="0"/>
    <x v="8"/>
    <x v="1"/>
    <x v="17"/>
    <x v="1"/>
    <x v="0"/>
    <n v="15"/>
    <x v="0"/>
    <x v="4"/>
    <m/>
  </r>
  <r>
    <n v="1492"/>
    <n v="27"/>
    <s v="Male"/>
    <x v="5"/>
    <x v="0"/>
    <n v="54"/>
    <s v="Arkansas"/>
    <x v="1"/>
    <x v="13"/>
    <x v="2"/>
    <x v="6"/>
    <x v="1"/>
    <x v="0"/>
    <n v="10"/>
    <x v="4"/>
    <x v="3"/>
    <m/>
  </r>
  <r>
    <n v="1493"/>
    <n v="62"/>
    <s v="Male"/>
    <x v="14"/>
    <x v="2"/>
    <n v="38"/>
    <s v="North Carolina"/>
    <x v="2"/>
    <x v="1"/>
    <x v="2"/>
    <x v="21"/>
    <x v="1"/>
    <x v="0"/>
    <n v="3"/>
    <x v="0"/>
    <x v="3"/>
    <m/>
  </r>
  <r>
    <n v="1494"/>
    <n v="70"/>
    <s v="Male"/>
    <x v="22"/>
    <x v="3"/>
    <n v="44"/>
    <s v="North Dakota"/>
    <x v="1"/>
    <x v="9"/>
    <x v="3"/>
    <x v="6"/>
    <x v="1"/>
    <x v="0"/>
    <n v="44"/>
    <x v="2"/>
    <x v="3"/>
    <m/>
  </r>
  <r>
    <n v="1495"/>
    <n v="43"/>
    <s v="Male"/>
    <x v="17"/>
    <x v="0"/>
    <n v="76"/>
    <s v="Montana"/>
    <x v="2"/>
    <x v="0"/>
    <x v="1"/>
    <x v="23"/>
    <x v="1"/>
    <x v="0"/>
    <n v="23"/>
    <x v="4"/>
    <x v="0"/>
    <m/>
  </r>
  <r>
    <n v="1496"/>
    <n v="45"/>
    <s v="Male"/>
    <x v="16"/>
    <x v="3"/>
    <n v="23"/>
    <s v="Rhode Island"/>
    <x v="2"/>
    <x v="18"/>
    <x v="0"/>
    <x v="21"/>
    <x v="1"/>
    <x v="0"/>
    <n v="6"/>
    <x v="3"/>
    <x v="1"/>
    <m/>
  </r>
  <r>
    <n v="1497"/>
    <n v="63"/>
    <s v="Male"/>
    <x v="17"/>
    <x v="0"/>
    <n v="98"/>
    <s v="Idaho"/>
    <x v="2"/>
    <x v="7"/>
    <x v="0"/>
    <x v="11"/>
    <x v="1"/>
    <x v="0"/>
    <n v="9"/>
    <x v="0"/>
    <x v="4"/>
    <m/>
  </r>
  <r>
    <n v="1498"/>
    <n v="69"/>
    <s v="Male"/>
    <x v="14"/>
    <x v="2"/>
    <n v="33"/>
    <s v="Michigan"/>
    <x v="1"/>
    <x v="23"/>
    <x v="1"/>
    <x v="1"/>
    <x v="1"/>
    <x v="0"/>
    <n v="16"/>
    <x v="5"/>
    <x v="6"/>
    <m/>
  </r>
  <r>
    <n v="1499"/>
    <n v="59"/>
    <s v="Male"/>
    <x v="1"/>
    <x v="0"/>
    <n v="32"/>
    <s v="Illinois"/>
    <x v="2"/>
    <x v="11"/>
    <x v="2"/>
    <x v="0"/>
    <x v="1"/>
    <x v="0"/>
    <n v="46"/>
    <x v="0"/>
    <x v="0"/>
    <m/>
  </r>
  <r>
    <n v="1500"/>
    <n v="19"/>
    <s v="Male"/>
    <x v="23"/>
    <x v="1"/>
    <n v="85"/>
    <s v="Georgia"/>
    <x v="1"/>
    <x v="8"/>
    <x v="3"/>
    <x v="10"/>
    <x v="1"/>
    <x v="0"/>
    <n v="24"/>
    <x v="2"/>
    <x v="6"/>
    <m/>
  </r>
  <r>
    <n v="1501"/>
    <n v="63"/>
    <s v="Male"/>
    <x v="2"/>
    <x v="0"/>
    <n v="69"/>
    <s v="Alabama"/>
    <x v="0"/>
    <x v="1"/>
    <x v="2"/>
    <x v="3"/>
    <x v="1"/>
    <x v="0"/>
    <n v="22"/>
    <x v="5"/>
    <x v="5"/>
    <m/>
  </r>
  <r>
    <n v="1502"/>
    <n v="37"/>
    <s v="Male"/>
    <x v="2"/>
    <x v="0"/>
    <n v="55"/>
    <s v="Alaska"/>
    <x v="3"/>
    <x v="5"/>
    <x v="1"/>
    <x v="6"/>
    <x v="1"/>
    <x v="0"/>
    <n v="13"/>
    <x v="5"/>
    <x v="6"/>
    <m/>
  </r>
  <r>
    <n v="1503"/>
    <n v="37"/>
    <s v="Male"/>
    <x v="13"/>
    <x v="0"/>
    <n v="66"/>
    <s v="Massachusetts"/>
    <x v="2"/>
    <x v="13"/>
    <x v="2"/>
    <x v="20"/>
    <x v="1"/>
    <x v="0"/>
    <n v="20"/>
    <x v="1"/>
    <x v="0"/>
    <m/>
  </r>
  <r>
    <n v="1504"/>
    <n v="50"/>
    <s v="Male"/>
    <x v="14"/>
    <x v="2"/>
    <n v="30"/>
    <s v="Michigan"/>
    <x v="2"/>
    <x v="1"/>
    <x v="3"/>
    <x v="14"/>
    <x v="1"/>
    <x v="0"/>
    <n v="46"/>
    <x v="1"/>
    <x v="3"/>
    <m/>
  </r>
  <r>
    <n v="1505"/>
    <n v="60"/>
    <s v="Male"/>
    <x v="14"/>
    <x v="2"/>
    <n v="80"/>
    <s v="Alaska"/>
    <x v="2"/>
    <x v="11"/>
    <x v="0"/>
    <x v="13"/>
    <x v="1"/>
    <x v="0"/>
    <n v="10"/>
    <x v="4"/>
    <x v="5"/>
    <m/>
  </r>
  <r>
    <n v="1506"/>
    <n v="46"/>
    <s v="Male"/>
    <x v="22"/>
    <x v="3"/>
    <n v="20"/>
    <s v="North Dakota"/>
    <x v="2"/>
    <x v="11"/>
    <x v="2"/>
    <x v="23"/>
    <x v="1"/>
    <x v="0"/>
    <n v="39"/>
    <x v="1"/>
    <x v="5"/>
    <m/>
  </r>
  <r>
    <n v="1507"/>
    <n v="35"/>
    <s v="Male"/>
    <x v="5"/>
    <x v="0"/>
    <n v="30"/>
    <s v="South Carolina"/>
    <x v="0"/>
    <x v="19"/>
    <x v="3"/>
    <x v="23"/>
    <x v="1"/>
    <x v="0"/>
    <n v="44"/>
    <x v="3"/>
    <x v="3"/>
    <m/>
  </r>
  <r>
    <n v="1508"/>
    <n v="66"/>
    <s v="Male"/>
    <x v="10"/>
    <x v="0"/>
    <n v="86"/>
    <s v="Pennsylvania"/>
    <x v="1"/>
    <x v="1"/>
    <x v="0"/>
    <x v="5"/>
    <x v="1"/>
    <x v="0"/>
    <n v="7"/>
    <x v="0"/>
    <x v="2"/>
    <m/>
  </r>
  <r>
    <n v="1509"/>
    <n v="35"/>
    <s v="Male"/>
    <x v="0"/>
    <x v="0"/>
    <n v="84"/>
    <s v="Colorado"/>
    <x v="0"/>
    <x v="19"/>
    <x v="1"/>
    <x v="9"/>
    <x v="1"/>
    <x v="0"/>
    <n v="3"/>
    <x v="1"/>
    <x v="6"/>
    <m/>
  </r>
  <r>
    <n v="1510"/>
    <n v="20"/>
    <s v="Male"/>
    <x v="10"/>
    <x v="0"/>
    <n v="54"/>
    <s v="New Hampshire"/>
    <x v="3"/>
    <x v="3"/>
    <x v="2"/>
    <x v="7"/>
    <x v="1"/>
    <x v="0"/>
    <n v="44"/>
    <x v="5"/>
    <x v="2"/>
    <m/>
  </r>
  <r>
    <n v="1511"/>
    <n v="55"/>
    <s v="Male"/>
    <x v="0"/>
    <x v="0"/>
    <n v="30"/>
    <s v="Maryland"/>
    <x v="3"/>
    <x v="0"/>
    <x v="3"/>
    <x v="23"/>
    <x v="1"/>
    <x v="0"/>
    <n v="31"/>
    <x v="0"/>
    <x v="2"/>
    <m/>
  </r>
  <r>
    <n v="1512"/>
    <n v="34"/>
    <s v="Male"/>
    <x v="10"/>
    <x v="0"/>
    <n v="91"/>
    <s v="Georgia"/>
    <x v="2"/>
    <x v="10"/>
    <x v="0"/>
    <x v="2"/>
    <x v="1"/>
    <x v="0"/>
    <n v="48"/>
    <x v="2"/>
    <x v="1"/>
    <m/>
  </r>
  <r>
    <n v="1513"/>
    <n v="60"/>
    <s v="Male"/>
    <x v="4"/>
    <x v="1"/>
    <n v="23"/>
    <s v="Wisconsin"/>
    <x v="0"/>
    <x v="5"/>
    <x v="0"/>
    <x v="14"/>
    <x v="1"/>
    <x v="0"/>
    <n v="18"/>
    <x v="3"/>
    <x v="4"/>
    <m/>
  </r>
  <r>
    <n v="1514"/>
    <n v="22"/>
    <s v="Male"/>
    <x v="20"/>
    <x v="0"/>
    <n v="35"/>
    <s v="Texas"/>
    <x v="2"/>
    <x v="16"/>
    <x v="1"/>
    <x v="18"/>
    <x v="1"/>
    <x v="0"/>
    <n v="27"/>
    <x v="1"/>
    <x v="5"/>
    <m/>
  </r>
  <r>
    <n v="1515"/>
    <n v="26"/>
    <s v="Male"/>
    <x v="9"/>
    <x v="1"/>
    <n v="90"/>
    <s v="Utah"/>
    <x v="0"/>
    <x v="18"/>
    <x v="0"/>
    <x v="14"/>
    <x v="1"/>
    <x v="0"/>
    <n v="1"/>
    <x v="0"/>
    <x v="1"/>
    <m/>
  </r>
  <r>
    <n v="1516"/>
    <n v="39"/>
    <s v="Male"/>
    <x v="2"/>
    <x v="0"/>
    <n v="93"/>
    <s v="Indiana"/>
    <x v="1"/>
    <x v="2"/>
    <x v="3"/>
    <x v="14"/>
    <x v="1"/>
    <x v="0"/>
    <n v="34"/>
    <x v="1"/>
    <x v="1"/>
    <m/>
  </r>
  <r>
    <n v="1517"/>
    <n v="20"/>
    <s v="Male"/>
    <x v="2"/>
    <x v="0"/>
    <n v="68"/>
    <s v="Nevada"/>
    <x v="0"/>
    <x v="21"/>
    <x v="0"/>
    <x v="21"/>
    <x v="1"/>
    <x v="0"/>
    <n v="5"/>
    <x v="4"/>
    <x v="4"/>
    <m/>
  </r>
  <r>
    <n v="1518"/>
    <n v="57"/>
    <s v="Male"/>
    <x v="24"/>
    <x v="3"/>
    <n v="41"/>
    <s v="New Hampshire"/>
    <x v="2"/>
    <x v="10"/>
    <x v="1"/>
    <x v="10"/>
    <x v="1"/>
    <x v="0"/>
    <n v="12"/>
    <x v="1"/>
    <x v="3"/>
    <m/>
  </r>
  <r>
    <n v="1519"/>
    <n v="68"/>
    <s v="Male"/>
    <x v="22"/>
    <x v="3"/>
    <n v="73"/>
    <s v="New York"/>
    <x v="2"/>
    <x v="22"/>
    <x v="0"/>
    <x v="18"/>
    <x v="1"/>
    <x v="0"/>
    <n v="14"/>
    <x v="0"/>
    <x v="0"/>
    <m/>
  </r>
  <r>
    <n v="1520"/>
    <n v="50"/>
    <s v="Male"/>
    <x v="12"/>
    <x v="3"/>
    <n v="73"/>
    <s v="Texas"/>
    <x v="0"/>
    <x v="17"/>
    <x v="3"/>
    <x v="17"/>
    <x v="1"/>
    <x v="0"/>
    <n v="40"/>
    <x v="3"/>
    <x v="1"/>
    <m/>
  </r>
  <r>
    <n v="1521"/>
    <n v="21"/>
    <s v="Male"/>
    <x v="19"/>
    <x v="3"/>
    <n v="66"/>
    <s v="Iowa"/>
    <x v="2"/>
    <x v="18"/>
    <x v="2"/>
    <x v="9"/>
    <x v="1"/>
    <x v="0"/>
    <n v="39"/>
    <x v="1"/>
    <x v="3"/>
    <m/>
  </r>
  <r>
    <n v="1522"/>
    <n v="29"/>
    <s v="Male"/>
    <x v="21"/>
    <x v="3"/>
    <n v="59"/>
    <s v="Washington"/>
    <x v="2"/>
    <x v="3"/>
    <x v="2"/>
    <x v="6"/>
    <x v="1"/>
    <x v="0"/>
    <n v="50"/>
    <x v="4"/>
    <x v="1"/>
    <m/>
  </r>
  <r>
    <n v="1523"/>
    <n v="38"/>
    <s v="Male"/>
    <x v="6"/>
    <x v="0"/>
    <n v="72"/>
    <s v="Tennessee"/>
    <x v="0"/>
    <x v="22"/>
    <x v="1"/>
    <x v="3"/>
    <x v="1"/>
    <x v="0"/>
    <n v="5"/>
    <x v="5"/>
    <x v="5"/>
    <m/>
  </r>
  <r>
    <n v="1524"/>
    <n v="54"/>
    <s v="Male"/>
    <x v="20"/>
    <x v="0"/>
    <n v="88"/>
    <s v="Georgia"/>
    <x v="2"/>
    <x v="3"/>
    <x v="2"/>
    <x v="19"/>
    <x v="1"/>
    <x v="0"/>
    <n v="35"/>
    <x v="5"/>
    <x v="2"/>
    <m/>
  </r>
  <r>
    <n v="1525"/>
    <n v="22"/>
    <s v="Male"/>
    <x v="20"/>
    <x v="0"/>
    <n v="76"/>
    <s v="Massachusetts"/>
    <x v="0"/>
    <x v="6"/>
    <x v="2"/>
    <x v="9"/>
    <x v="1"/>
    <x v="0"/>
    <n v="6"/>
    <x v="1"/>
    <x v="4"/>
    <m/>
  </r>
  <r>
    <n v="1526"/>
    <n v="29"/>
    <s v="Male"/>
    <x v="22"/>
    <x v="3"/>
    <n v="31"/>
    <s v="Oregon"/>
    <x v="2"/>
    <x v="21"/>
    <x v="0"/>
    <x v="7"/>
    <x v="1"/>
    <x v="0"/>
    <n v="22"/>
    <x v="1"/>
    <x v="0"/>
    <m/>
  </r>
  <r>
    <n v="1527"/>
    <n v="41"/>
    <s v="Male"/>
    <x v="14"/>
    <x v="2"/>
    <n v="22"/>
    <s v="Oklahoma"/>
    <x v="0"/>
    <x v="3"/>
    <x v="2"/>
    <x v="0"/>
    <x v="1"/>
    <x v="0"/>
    <n v="27"/>
    <x v="3"/>
    <x v="5"/>
    <m/>
  </r>
  <r>
    <n v="1528"/>
    <n v="26"/>
    <s v="Male"/>
    <x v="19"/>
    <x v="3"/>
    <n v="75"/>
    <s v="Wisconsin"/>
    <x v="0"/>
    <x v="16"/>
    <x v="3"/>
    <x v="21"/>
    <x v="1"/>
    <x v="0"/>
    <n v="33"/>
    <x v="5"/>
    <x v="0"/>
    <m/>
  </r>
  <r>
    <n v="1529"/>
    <n v="69"/>
    <s v="Male"/>
    <x v="17"/>
    <x v="0"/>
    <n v="75"/>
    <s v="Oregon"/>
    <x v="1"/>
    <x v="16"/>
    <x v="1"/>
    <x v="8"/>
    <x v="1"/>
    <x v="0"/>
    <n v="47"/>
    <x v="0"/>
    <x v="4"/>
    <m/>
  </r>
  <r>
    <n v="1530"/>
    <n v="20"/>
    <s v="Male"/>
    <x v="21"/>
    <x v="3"/>
    <n v="63"/>
    <s v="Georgia"/>
    <x v="2"/>
    <x v="12"/>
    <x v="0"/>
    <x v="0"/>
    <x v="1"/>
    <x v="0"/>
    <n v="48"/>
    <x v="2"/>
    <x v="4"/>
    <m/>
  </r>
  <r>
    <n v="1531"/>
    <n v="59"/>
    <s v="Male"/>
    <x v="7"/>
    <x v="2"/>
    <n v="21"/>
    <s v="New Mexico"/>
    <x v="2"/>
    <x v="11"/>
    <x v="1"/>
    <x v="14"/>
    <x v="1"/>
    <x v="0"/>
    <n v="22"/>
    <x v="4"/>
    <x v="3"/>
    <m/>
  </r>
  <r>
    <n v="1532"/>
    <n v="63"/>
    <s v="Male"/>
    <x v="21"/>
    <x v="3"/>
    <n v="83"/>
    <s v="Mississippi"/>
    <x v="1"/>
    <x v="10"/>
    <x v="1"/>
    <x v="21"/>
    <x v="1"/>
    <x v="0"/>
    <n v="8"/>
    <x v="3"/>
    <x v="4"/>
    <m/>
  </r>
  <r>
    <n v="1533"/>
    <n v="68"/>
    <s v="Male"/>
    <x v="14"/>
    <x v="2"/>
    <n v="46"/>
    <s v="Wisconsin"/>
    <x v="1"/>
    <x v="5"/>
    <x v="0"/>
    <x v="9"/>
    <x v="1"/>
    <x v="0"/>
    <n v="5"/>
    <x v="3"/>
    <x v="6"/>
    <m/>
  </r>
  <r>
    <n v="1534"/>
    <n v="50"/>
    <s v="Male"/>
    <x v="9"/>
    <x v="1"/>
    <n v="59"/>
    <s v="New Hampshire"/>
    <x v="2"/>
    <x v="9"/>
    <x v="2"/>
    <x v="2"/>
    <x v="1"/>
    <x v="0"/>
    <n v="16"/>
    <x v="4"/>
    <x v="3"/>
    <m/>
  </r>
  <r>
    <n v="1535"/>
    <n v="55"/>
    <s v="Male"/>
    <x v="0"/>
    <x v="0"/>
    <n v="66"/>
    <s v="Wyoming"/>
    <x v="2"/>
    <x v="14"/>
    <x v="2"/>
    <x v="10"/>
    <x v="1"/>
    <x v="0"/>
    <n v="26"/>
    <x v="0"/>
    <x v="0"/>
    <m/>
  </r>
  <r>
    <n v="1536"/>
    <n v="36"/>
    <s v="Male"/>
    <x v="3"/>
    <x v="1"/>
    <n v="74"/>
    <s v="West Virginia"/>
    <x v="1"/>
    <x v="2"/>
    <x v="3"/>
    <x v="8"/>
    <x v="1"/>
    <x v="0"/>
    <n v="8"/>
    <x v="0"/>
    <x v="5"/>
    <m/>
  </r>
  <r>
    <n v="1537"/>
    <n v="18"/>
    <s v="Male"/>
    <x v="12"/>
    <x v="3"/>
    <n v="82"/>
    <s v="Michigan"/>
    <x v="2"/>
    <x v="21"/>
    <x v="2"/>
    <x v="4"/>
    <x v="1"/>
    <x v="0"/>
    <n v="17"/>
    <x v="1"/>
    <x v="3"/>
    <m/>
  </r>
  <r>
    <n v="1538"/>
    <n v="68"/>
    <s v="Male"/>
    <x v="9"/>
    <x v="1"/>
    <n v="89"/>
    <s v="Alaska"/>
    <x v="0"/>
    <x v="13"/>
    <x v="1"/>
    <x v="20"/>
    <x v="1"/>
    <x v="0"/>
    <n v="50"/>
    <x v="0"/>
    <x v="2"/>
    <m/>
  </r>
  <r>
    <n v="1539"/>
    <n v="56"/>
    <s v="Male"/>
    <x v="10"/>
    <x v="0"/>
    <n v="65"/>
    <s v="Illinois"/>
    <x v="0"/>
    <x v="4"/>
    <x v="3"/>
    <x v="20"/>
    <x v="1"/>
    <x v="0"/>
    <n v="22"/>
    <x v="0"/>
    <x v="4"/>
    <m/>
  </r>
  <r>
    <n v="1540"/>
    <n v="32"/>
    <s v="Male"/>
    <x v="22"/>
    <x v="3"/>
    <n v="55"/>
    <s v="Hawaii"/>
    <x v="2"/>
    <x v="2"/>
    <x v="1"/>
    <x v="11"/>
    <x v="1"/>
    <x v="0"/>
    <n v="19"/>
    <x v="1"/>
    <x v="6"/>
    <m/>
  </r>
  <r>
    <n v="1541"/>
    <n v="28"/>
    <s v="Male"/>
    <x v="6"/>
    <x v="0"/>
    <n v="95"/>
    <s v="Colorado"/>
    <x v="2"/>
    <x v="16"/>
    <x v="0"/>
    <x v="25"/>
    <x v="1"/>
    <x v="0"/>
    <n v="14"/>
    <x v="4"/>
    <x v="5"/>
    <m/>
  </r>
  <r>
    <n v="1542"/>
    <n v="24"/>
    <s v="Male"/>
    <x v="8"/>
    <x v="3"/>
    <n v="77"/>
    <s v="Illinois"/>
    <x v="1"/>
    <x v="21"/>
    <x v="0"/>
    <x v="25"/>
    <x v="1"/>
    <x v="0"/>
    <n v="35"/>
    <x v="1"/>
    <x v="4"/>
    <m/>
  </r>
  <r>
    <n v="1543"/>
    <n v="59"/>
    <s v="Male"/>
    <x v="0"/>
    <x v="0"/>
    <n v="44"/>
    <s v="Hawaii"/>
    <x v="2"/>
    <x v="1"/>
    <x v="0"/>
    <x v="22"/>
    <x v="1"/>
    <x v="0"/>
    <n v="43"/>
    <x v="3"/>
    <x v="1"/>
    <m/>
  </r>
  <r>
    <n v="1544"/>
    <n v="56"/>
    <s v="Male"/>
    <x v="2"/>
    <x v="0"/>
    <n v="89"/>
    <s v="Wisconsin"/>
    <x v="2"/>
    <x v="21"/>
    <x v="3"/>
    <x v="8"/>
    <x v="1"/>
    <x v="0"/>
    <n v="24"/>
    <x v="0"/>
    <x v="2"/>
    <m/>
  </r>
  <r>
    <n v="1545"/>
    <n v="30"/>
    <s v="Male"/>
    <x v="16"/>
    <x v="3"/>
    <n v="24"/>
    <s v="Arkansas"/>
    <x v="2"/>
    <x v="1"/>
    <x v="1"/>
    <x v="14"/>
    <x v="1"/>
    <x v="0"/>
    <n v="17"/>
    <x v="5"/>
    <x v="4"/>
    <m/>
  </r>
  <r>
    <n v="1546"/>
    <n v="48"/>
    <s v="Male"/>
    <x v="22"/>
    <x v="3"/>
    <n v="43"/>
    <s v="Delaware"/>
    <x v="2"/>
    <x v="13"/>
    <x v="0"/>
    <x v="17"/>
    <x v="1"/>
    <x v="0"/>
    <n v="49"/>
    <x v="4"/>
    <x v="2"/>
    <m/>
  </r>
  <r>
    <n v="1547"/>
    <n v="60"/>
    <s v="Male"/>
    <x v="4"/>
    <x v="1"/>
    <n v="51"/>
    <s v="Oregon"/>
    <x v="3"/>
    <x v="7"/>
    <x v="2"/>
    <x v="1"/>
    <x v="1"/>
    <x v="0"/>
    <n v="17"/>
    <x v="4"/>
    <x v="2"/>
    <m/>
  </r>
  <r>
    <n v="1548"/>
    <n v="46"/>
    <s v="Male"/>
    <x v="19"/>
    <x v="3"/>
    <n v="46"/>
    <s v="South Carolina"/>
    <x v="0"/>
    <x v="11"/>
    <x v="2"/>
    <x v="22"/>
    <x v="1"/>
    <x v="0"/>
    <n v="40"/>
    <x v="1"/>
    <x v="3"/>
    <m/>
  </r>
  <r>
    <n v="1549"/>
    <n v="69"/>
    <s v="Male"/>
    <x v="10"/>
    <x v="0"/>
    <n v="32"/>
    <s v="Maryland"/>
    <x v="2"/>
    <x v="5"/>
    <x v="2"/>
    <x v="5"/>
    <x v="1"/>
    <x v="0"/>
    <n v="43"/>
    <x v="4"/>
    <x v="1"/>
    <m/>
  </r>
  <r>
    <n v="1550"/>
    <n v="19"/>
    <s v="Male"/>
    <x v="4"/>
    <x v="1"/>
    <n v="55"/>
    <s v="Kansas"/>
    <x v="2"/>
    <x v="13"/>
    <x v="1"/>
    <x v="25"/>
    <x v="1"/>
    <x v="0"/>
    <n v="19"/>
    <x v="5"/>
    <x v="6"/>
    <m/>
  </r>
  <r>
    <n v="1551"/>
    <n v="66"/>
    <s v="Male"/>
    <x v="12"/>
    <x v="3"/>
    <n v="26"/>
    <s v="Arkansas"/>
    <x v="1"/>
    <x v="13"/>
    <x v="2"/>
    <x v="24"/>
    <x v="1"/>
    <x v="0"/>
    <n v="40"/>
    <x v="4"/>
    <x v="3"/>
    <m/>
  </r>
  <r>
    <n v="1552"/>
    <n v="64"/>
    <s v="Male"/>
    <x v="8"/>
    <x v="3"/>
    <n v="29"/>
    <s v="Minnesota"/>
    <x v="2"/>
    <x v="8"/>
    <x v="2"/>
    <x v="5"/>
    <x v="1"/>
    <x v="0"/>
    <n v="13"/>
    <x v="2"/>
    <x v="5"/>
    <m/>
  </r>
  <r>
    <n v="1553"/>
    <n v="54"/>
    <s v="Male"/>
    <x v="0"/>
    <x v="0"/>
    <n v="49"/>
    <s v="New Mexico"/>
    <x v="0"/>
    <x v="7"/>
    <x v="1"/>
    <x v="23"/>
    <x v="1"/>
    <x v="0"/>
    <n v="20"/>
    <x v="2"/>
    <x v="5"/>
    <m/>
  </r>
  <r>
    <n v="1554"/>
    <n v="27"/>
    <s v="Male"/>
    <x v="0"/>
    <x v="0"/>
    <n v="45"/>
    <s v="Delaware"/>
    <x v="2"/>
    <x v="21"/>
    <x v="1"/>
    <x v="3"/>
    <x v="1"/>
    <x v="0"/>
    <n v="21"/>
    <x v="5"/>
    <x v="3"/>
    <m/>
  </r>
  <r>
    <n v="1555"/>
    <n v="64"/>
    <s v="Male"/>
    <x v="6"/>
    <x v="0"/>
    <n v="48"/>
    <s v="Utah"/>
    <x v="1"/>
    <x v="12"/>
    <x v="0"/>
    <x v="6"/>
    <x v="1"/>
    <x v="0"/>
    <n v="18"/>
    <x v="1"/>
    <x v="4"/>
    <m/>
  </r>
  <r>
    <n v="1556"/>
    <n v="43"/>
    <s v="Male"/>
    <x v="6"/>
    <x v="0"/>
    <n v="47"/>
    <s v="Ohio"/>
    <x v="1"/>
    <x v="17"/>
    <x v="0"/>
    <x v="21"/>
    <x v="1"/>
    <x v="0"/>
    <n v="44"/>
    <x v="1"/>
    <x v="3"/>
    <m/>
  </r>
  <r>
    <n v="1557"/>
    <n v="43"/>
    <s v="Male"/>
    <x v="15"/>
    <x v="0"/>
    <n v="57"/>
    <s v="Alabama"/>
    <x v="2"/>
    <x v="9"/>
    <x v="3"/>
    <x v="6"/>
    <x v="1"/>
    <x v="0"/>
    <n v="26"/>
    <x v="2"/>
    <x v="3"/>
    <m/>
  </r>
  <r>
    <n v="1558"/>
    <n v="27"/>
    <s v="Male"/>
    <x v="21"/>
    <x v="3"/>
    <n v="34"/>
    <s v="South Dakota"/>
    <x v="0"/>
    <x v="23"/>
    <x v="3"/>
    <x v="22"/>
    <x v="1"/>
    <x v="0"/>
    <n v="34"/>
    <x v="3"/>
    <x v="3"/>
    <m/>
  </r>
  <r>
    <n v="1559"/>
    <n v="35"/>
    <s v="Male"/>
    <x v="12"/>
    <x v="3"/>
    <n v="75"/>
    <s v="New Mexico"/>
    <x v="3"/>
    <x v="11"/>
    <x v="3"/>
    <x v="22"/>
    <x v="1"/>
    <x v="0"/>
    <n v="24"/>
    <x v="2"/>
    <x v="6"/>
    <m/>
  </r>
  <r>
    <n v="1560"/>
    <n v="43"/>
    <s v="Male"/>
    <x v="18"/>
    <x v="3"/>
    <n v="94"/>
    <s v="Oregon"/>
    <x v="0"/>
    <x v="19"/>
    <x v="3"/>
    <x v="21"/>
    <x v="1"/>
    <x v="0"/>
    <n v="23"/>
    <x v="3"/>
    <x v="0"/>
    <m/>
  </r>
  <r>
    <n v="1561"/>
    <n v="57"/>
    <s v="Male"/>
    <x v="19"/>
    <x v="3"/>
    <n v="84"/>
    <s v="Oregon"/>
    <x v="2"/>
    <x v="11"/>
    <x v="0"/>
    <x v="1"/>
    <x v="1"/>
    <x v="0"/>
    <n v="3"/>
    <x v="5"/>
    <x v="1"/>
    <m/>
  </r>
  <r>
    <n v="1562"/>
    <n v="50"/>
    <s v="Male"/>
    <x v="18"/>
    <x v="3"/>
    <n v="38"/>
    <s v="Mississippi"/>
    <x v="2"/>
    <x v="21"/>
    <x v="2"/>
    <x v="1"/>
    <x v="1"/>
    <x v="0"/>
    <n v="2"/>
    <x v="4"/>
    <x v="3"/>
    <m/>
  </r>
  <r>
    <n v="1563"/>
    <n v="37"/>
    <s v="Male"/>
    <x v="18"/>
    <x v="3"/>
    <n v="75"/>
    <s v="Alabama"/>
    <x v="2"/>
    <x v="7"/>
    <x v="0"/>
    <x v="20"/>
    <x v="1"/>
    <x v="0"/>
    <n v="23"/>
    <x v="0"/>
    <x v="4"/>
    <m/>
  </r>
  <r>
    <n v="1564"/>
    <n v="68"/>
    <s v="Male"/>
    <x v="13"/>
    <x v="0"/>
    <n v="44"/>
    <s v="Kansas"/>
    <x v="2"/>
    <x v="11"/>
    <x v="3"/>
    <x v="12"/>
    <x v="1"/>
    <x v="0"/>
    <n v="8"/>
    <x v="1"/>
    <x v="1"/>
    <m/>
  </r>
  <r>
    <n v="1565"/>
    <n v="22"/>
    <s v="Male"/>
    <x v="21"/>
    <x v="3"/>
    <n v="33"/>
    <s v="California"/>
    <x v="3"/>
    <x v="2"/>
    <x v="2"/>
    <x v="21"/>
    <x v="1"/>
    <x v="0"/>
    <n v="30"/>
    <x v="5"/>
    <x v="6"/>
    <m/>
  </r>
  <r>
    <n v="1566"/>
    <n v="58"/>
    <s v="Male"/>
    <x v="12"/>
    <x v="3"/>
    <n v="93"/>
    <s v="Idaho"/>
    <x v="0"/>
    <x v="15"/>
    <x v="3"/>
    <x v="13"/>
    <x v="1"/>
    <x v="0"/>
    <n v="48"/>
    <x v="3"/>
    <x v="2"/>
    <m/>
  </r>
  <r>
    <n v="1567"/>
    <n v="48"/>
    <s v="Male"/>
    <x v="4"/>
    <x v="1"/>
    <n v="99"/>
    <s v="Wyoming"/>
    <x v="1"/>
    <x v="14"/>
    <x v="0"/>
    <x v="23"/>
    <x v="1"/>
    <x v="0"/>
    <n v="21"/>
    <x v="1"/>
    <x v="4"/>
    <m/>
  </r>
  <r>
    <n v="1568"/>
    <n v="30"/>
    <s v="Male"/>
    <x v="21"/>
    <x v="3"/>
    <n v="33"/>
    <s v="Minnesota"/>
    <x v="2"/>
    <x v="2"/>
    <x v="1"/>
    <x v="18"/>
    <x v="1"/>
    <x v="0"/>
    <n v="9"/>
    <x v="1"/>
    <x v="5"/>
    <m/>
  </r>
  <r>
    <n v="1569"/>
    <n v="51"/>
    <s v="Male"/>
    <x v="4"/>
    <x v="1"/>
    <n v="76"/>
    <s v="Washington"/>
    <x v="0"/>
    <x v="22"/>
    <x v="1"/>
    <x v="7"/>
    <x v="1"/>
    <x v="0"/>
    <n v="8"/>
    <x v="5"/>
    <x v="5"/>
    <m/>
  </r>
  <r>
    <n v="1570"/>
    <n v="20"/>
    <s v="Male"/>
    <x v="11"/>
    <x v="0"/>
    <n v="63"/>
    <s v="Hawaii"/>
    <x v="2"/>
    <x v="20"/>
    <x v="2"/>
    <x v="25"/>
    <x v="1"/>
    <x v="0"/>
    <n v="29"/>
    <x v="5"/>
    <x v="1"/>
    <m/>
  </r>
  <r>
    <n v="1571"/>
    <n v="30"/>
    <s v="Male"/>
    <x v="13"/>
    <x v="0"/>
    <n v="41"/>
    <s v="Missouri"/>
    <x v="0"/>
    <x v="18"/>
    <x v="0"/>
    <x v="3"/>
    <x v="1"/>
    <x v="0"/>
    <n v="3"/>
    <x v="4"/>
    <x v="6"/>
    <m/>
  </r>
  <r>
    <n v="1572"/>
    <n v="28"/>
    <s v="Male"/>
    <x v="16"/>
    <x v="3"/>
    <n v="88"/>
    <s v="Colorado"/>
    <x v="0"/>
    <x v="5"/>
    <x v="0"/>
    <x v="21"/>
    <x v="1"/>
    <x v="0"/>
    <n v="11"/>
    <x v="4"/>
    <x v="0"/>
    <m/>
  </r>
  <r>
    <n v="1573"/>
    <n v="37"/>
    <s v="Male"/>
    <x v="11"/>
    <x v="0"/>
    <n v="92"/>
    <s v="Washington"/>
    <x v="0"/>
    <x v="3"/>
    <x v="2"/>
    <x v="10"/>
    <x v="1"/>
    <x v="0"/>
    <n v="16"/>
    <x v="5"/>
    <x v="5"/>
    <m/>
  </r>
  <r>
    <n v="1574"/>
    <n v="36"/>
    <s v="Male"/>
    <x v="17"/>
    <x v="0"/>
    <n v="31"/>
    <s v="North Dakota"/>
    <x v="0"/>
    <x v="21"/>
    <x v="2"/>
    <x v="12"/>
    <x v="1"/>
    <x v="0"/>
    <n v="25"/>
    <x v="5"/>
    <x v="1"/>
    <m/>
  </r>
  <r>
    <n v="1575"/>
    <n v="18"/>
    <s v="Male"/>
    <x v="11"/>
    <x v="0"/>
    <n v="25"/>
    <s v="Minnesota"/>
    <x v="1"/>
    <x v="23"/>
    <x v="1"/>
    <x v="13"/>
    <x v="1"/>
    <x v="0"/>
    <n v="32"/>
    <x v="3"/>
    <x v="4"/>
    <m/>
  </r>
  <r>
    <n v="1576"/>
    <n v="52"/>
    <s v="Male"/>
    <x v="5"/>
    <x v="0"/>
    <n v="28"/>
    <s v="California"/>
    <x v="2"/>
    <x v="2"/>
    <x v="1"/>
    <x v="2"/>
    <x v="1"/>
    <x v="0"/>
    <n v="28"/>
    <x v="1"/>
    <x v="0"/>
    <m/>
  </r>
  <r>
    <n v="1577"/>
    <n v="56"/>
    <s v="Male"/>
    <x v="10"/>
    <x v="0"/>
    <n v="75"/>
    <s v="Michigan"/>
    <x v="2"/>
    <x v="3"/>
    <x v="1"/>
    <x v="5"/>
    <x v="1"/>
    <x v="0"/>
    <n v="36"/>
    <x v="3"/>
    <x v="5"/>
    <m/>
  </r>
  <r>
    <n v="1578"/>
    <n v="68"/>
    <s v="Male"/>
    <x v="23"/>
    <x v="1"/>
    <n v="34"/>
    <s v="Delaware"/>
    <x v="1"/>
    <x v="8"/>
    <x v="1"/>
    <x v="8"/>
    <x v="1"/>
    <x v="0"/>
    <n v="7"/>
    <x v="0"/>
    <x v="0"/>
    <m/>
  </r>
  <r>
    <n v="1579"/>
    <n v="62"/>
    <s v="Male"/>
    <x v="13"/>
    <x v="0"/>
    <n v="97"/>
    <s v="California"/>
    <x v="1"/>
    <x v="1"/>
    <x v="0"/>
    <x v="17"/>
    <x v="1"/>
    <x v="0"/>
    <n v="2"/>
    <x v="3"/>
    <x v="3"/>
    <m/>
  </r>
  <r>
    <n v="1580"/>
    <n v="35"/>
    <s v="Male"/>
    <x v="14"/>
    <x v="2"/>
    <n v="80"/>
    <s v="Oklahoma"/>
    <x v="2"/>
    <x v="10"/>
    <x v="2"/>
    <x v="0"/>
    <x v="1"/>
    <x v="0"/>
    <n v="6"/>
    <x v="4"/>
    <x v="5"/>
    <m/>
  </r>
  <r>
    <n v="1581"/>
    <n v="65"/>
    <s v="Male"/>
    <x v="4"/>
    <x v="1"/>
    <n v="71"/>
    <s v="North Dakota"/>
    <x v="0"/>
    <x v="17"/>
    <x v="2"/>
    <x v="5"/>
    <x v="1"/>
    <x v="0"/>
    <n v="30"/>
    <x v="1"/>
    <x v="2"/>
    <m/>
  </r>
  <r>
    <n v="1582"/>
    <n v="69"/>
    <s v="Male"/>
    <x v="16"/>
    <x v="3"/>
    <n v="77"/>
    <s v="Ohio"/>
    <x v="0"/>
    <x v="11"/>
    <x v="3"/>
    <x v="13"/>
    <x v="1"/>
    <x v="0"/>
    <n v="46"/>
    <x v="1"/>
    <x v="3"/>
    <m/>
  </r>
  <r>
    <n v="1583"/>
    <n v="28"/>
    <s v="Male"/>
    <x v="22"/>
    <x v="3"/>
    <n v="41"/>
    <s v="Hawaii"/>
    <x v="0"/>
    <x v="16"/>
    <x v="1"/>
    <x v="16"/>
    <x v="1"/>
    <x v="0"/>
    <n v="39"/>
    <x v="1"/>
    <x v="5"/>
    <m/>
  </r>
  <r>
    <n v="1584"/>
    <n v="37"/>
    <s v="Male"/>
    <x v="18"/>
    <x v="3"/>
    <n v="92"/>
    <s v="Maryland"/>
    <x v="3"/>
    <x v="22"/>
    <x v="2"/>
    <x v="12"/>
    <x v="1"/>
    <x v="0"/>
    <n v="8"/>
    <x v="0"/>
    <x v="2"/>
    <m/>
  </r>
  <r>
    <n v="1585"/>
    <n v="41"/>
    <s v="Male"/>
    <x v="0"/>
    <x v="0"/>
    <n v="95"/>
    <s v="Hawaii"/>
    <x v="1"/>
    <x v="5"/>
    <x v="1"/>
    <x v="0"/>
    <x v="1"/>
    <x v="0"/>
    <n v="46"/>
    <x v="2"/>
    <x v="3"/>
    <m/>
  </r>
  <r>
    <n v="1586"/>
    <n v="37"/>
    <s v="Male"/>
    <x v="1"/>
    <x v="0"/>
    <n v="25"/>
    <s v="Alabama"/>
    <x v="2"/>
    <x v="4"/>
    <x v="3"/>
    <x v="23"/>
    <x v="1"/>
    <x v="0"/>
    <n v="40"/>
    <x v="5"/>
    <x v="0"/>
    <m/>
  </r>
  <r>
    <n v="1587"/>
    <n v="25"/>
    <s v="Male"/>
    <x v="23"/>
    <x v="1"/>
    <n v="77"/>
    <s v="Oklahoma"/>
    <x v="2"/>
    <x v="7"/>
    <x v="3"/>
    <x v="8"/>
    <x v="1"/>
    <x v="0"/>
    <n v="21"/>
    <x v="4"/>
    <x v="1"/>
    <m/>
  </r>
  <r>
    <n v="1588"/>
    <n v="41"/>
    <s v="Male"/>
    <x v="20"/>
    <x v="0"/>
    <n v="99"/>
    <s v="Alabama"/>
    <x v="2"/>
    <x v="19"/>
    <x v="2"/>
    <x v="22"/>
    <x v="1"/>
    <x v="0"/>
    <n v="33"/>
    <x v="2"/>
    <x v="0"/>
    <m/>
  </r>
  <r>
    <n v="1589"/>
    <n v="48"/>
    <s v="Male"/>
    <x v="22"/>
    <x v="3"/>
    <n v="24"/>
    <s v="Vermont"/>
    <x v="0"/>
    <x v="17"/>
    <x v="0"/>
    <x v="20"/>
    <x v="1"/>
    <x v="0"/>
    <n v="3"/>
    <x v="0"/>
    <x v="5"/>
    <m/>
  </r>
  <r>
    <n v="1590"/>
    <n v="42"/>
    <s v="Male"/>
    <x v="4"/>
    <x v="1"/>
    <n v="72"/>
    <s v="Ohio"/>
    <x v="2"/>
    <x v="5"/>
    <x v="2"/>
    <x v="6"/>
    <x v="1"/>
    <x v="0"/>
    <n v="48"/>
    <x v="1"/>
    <x v="1"/>
    <m/>
  </r>
  <r>
    <n v="1591"/>
    <n v="54"/>
    <s v="Male"/>
    <x v="2"/>
    <x v="0"/>
    <n v="80"/>
    <s v="Wisconsin"/>
    <x v="1"/>
    <x v="6"/>
    <x v="0"/>
    <x v="23"/>
    <x v="1"/>
    <x v="0"/>
    <n v="8"/>
    <x v="3"/>
    <x v="2"/>
    <m/>
  </r>
  <r>
    <n v="1592"/>
    <n v="18"/>
    <s v="Male"/>
    <x v="11"/>
    <x v="0"/>
    <n v="100"/>
    <s v="South Dakota"/>
    <x v="0"/>
    <x v="9"/>
    <x v="0"/>
    <x v="25"/>
    <x v="1"/>
    <x v="0"/>
    <n v="24"/>
    <x v="3"/>
    <x v="2"/>
    <m/>
  </r>
  <r>
    <n v="1593"/>
    <n v="56"/>
    <s v="Male"/>
    <x v="9"/>
    <x v="1"/>
    <n v="83"/>
    <s v="Iowa"/>
    <x v="2"/>
    <x v="17"/>
    <x v="2"/>
    <x v="19"/>
    <x v="1"/>
    <x v="0"/>
    <n v="10"/>
    <x v="4"/>
    <x v="6"/>
    <m/>
  </r>
  <r>
    <n v="1594"/>
    <n v="61"/>
    <s v="Male"/>
    <x v="10"/>
    <x v="0"/>
    <n v="95"/>
    <s v="Maryland"/>
    <x v="2"/>
    <x v="13"/>
    <x v="1"/>
    <x v="17"/>
    <x v="1"/>
    <x v="0"/>
    <n v="25"/>
    <x v="4"/>
    <x v="5"/>
    <m/>
  </r>
  <r>
    <n v="1595"/>
    <n v="40"/>
    <s v="Male"/>
    <x v="8"/>
    <x v="3"/>
    <n v="41"/>
    <s v="Colorado"/>
    <x v="3"/>
    <x v="4"/>
    <x v="2"/>
    <x v="5"/>
    <x v="1"/>
    <x v="0"/>
    <n v="3"/>
    <x v="1"/>
    <x v="0"/>
    <m/>
  </r>
  <r>
    <n v="1596"/>
    <n v="34"/>
    <s v="Male"/>
    <x v="21"/>
    <x v="3"/>
    <n v="35"/>
    <s v="Wisconsin"/>
    <x v="1"/>
    <x v="23"/>
    <x v="1"/>
    <x v="22"/>
    <x v="1"/>
    <x v="0"/>
    <n v="45"/>
    <x v="5"/>
    <x v="0"/>
    <m/>
  </r>
  <r>
    <n v="1597"/>
    <n v="42"/>
    <s v="Male"/>
    <x v="16"/>
    <x v="3"/>
    <n v="30"/>
    <s v="Mississippi"/>
    <x v="1"/>
    <x v="6"/>
    <x v="3"/>
    <x v="15"/>
    <x v="1"/>
    <x v="0"/>
    <n v="15"/>
    <x v="5"/>
    <x v="5"/>
    <m/>
  </r>
  <r>
    <n v="1598"/>
    <n v="43"/>
    <s v="Male"/>
    <x v="19"/>
    <x v="3"/>
    <n v="21"/>
    <s v="Mississippi"/>
    <x v="3"/>
    <x v="1"/>
    <x v="0"/>
    <x v="4"/>
    <x v="1"/>
    <x v="0"/>
    <n v="34"/>
    <x v="4"/>
    <x v="3"/>
    <m/>
  </r>
  <r>
    <n v="1599"/>
    <n v="47"/>
    <s v="Male"/>
    <x v="16"/>
    <x v="3"/>
    <n v="85"/>
    <s v="California"/>
    <x v="2"/>
    <x v="11"/>
    <x v="3"/>
    <x v="18"/>
    <x v="1"/>
    <x v="0"/>
    <n v="21"/>
    <x v="0"/>
    <x v="4"/>
    <m/>
  </r>
  <r>
    <n v="1600"/>
    <n v="48"/>
    <s v="Male"/>
    <x v="5"/>
    <x v="0"/>
    <n v="54"/>
    <s v="Delaware"/>
    <x v="2"/>
    <x v="20"/>
    <x v="0"/>
    <x v="24"/>
    <x v="1"/>
    <x v="0"/>
    <n v="22"/>
    <x v="5"/>
    <x v="4"/>
    <m/>
  </r>
  <r>
    <n v="1601"/>
    <n v="20"/>
    <s v="Male"/>
    <x v="23"/>
    <x v="1"/>
    <n v="26"/>
    <s v="Montana"/>
    <x v="1"/>
    <x v="22"/>
    <x v="1"/>
    <x v="15"/>
    <x v="1"/>
    <x v="0"/>
    <n v="24"/>
    <x v="3"/>
    <x v="1"/>
    <m/>
  </r>
  <r>
    <n v="1602"/>
    <n v="65"/>
    <s v="Male"/>
    <x v="5"/>
    <x v="0"/>
    <n v="59"/>
    <s v="Indiana"/>
    <x v="3"/>
    <x v="16"/>
    <x v="1"/>
    <x v="25"/>
    <x v="1"/>
    <x v="0"/>
    <n v="33"/>
    <x v="2"/>
    <x v="5"/>
    <m/>
  </r>
  <r>
    <n v="1603"/>
    <n v="54"/>
    <s v="Male"/>
    <x v="12"/>
    <x v="3"/>
    <n v="48"/>
    <s v="West Virginia"/>
    <x v="1"/>
    <x v="4"/>
    <x v="0"/>
    <x v="24"/>
    <x v="1"/>
    <x v="0"/>
    <n v="13"/>
    <x v="0"/>
    <x v="0"/>
    <m/>
  </r>
  <r>
    <n v="1604"/>
    <n v="23"/>
    <s v="Male"/>
    <x v="6"/>
    <x v="0"/>
    <n v="98"/>
    <s v="Iowa"/>
    <x v="0"/>
    <x v="13"/>
    <x v="2"/>
    <x v="12"/>
    <x v="1"/>
    <x v="0"/>
    <n v="17"/>
    <x v="5"/>
    <x v="4"/>
    <m/>
  </r>
  <r>
    <n v="1605"/>
    <n v="18"/>
    <s v="Male"/>
    <x v="1"/>
    <x v="0"/>
    <n v="92"/>
    <s v="Maine"/>
    <x v="2"/>
    <x v="3"/>
    <x v="2"/>
    <x v="3"/>
    <x v="1"/>
    <x v="0"/>
    <n v="25"/>
    <x v="2"/>
    <x v="6"/>
    <m/>
  </r>
  <r>
    <n v="1606"/>
    <n v="70"/>
    <s v="Male"/>
    <x v="22"/>
    <x v="3"/>
    <n v="46"/>
    <s v="Connecticut"/>
    <x v="2"/>
    <x v="12"/>
    <x v="0"/>
    <x v="10"/>
    <x v="1"/>
    <x v="0"/>
    <n v="15"/>
    <x v="2"/>
    <x v="4"/>
    <m/>
  </r>
  <r>
    <n v="1607"/>
    <n v="55"/>
    <s v="Male"/>
    <x v="17"/>
    <x v="0"/>
    <n v="21"/>
    <s v="Kansas"/>
    <x v="1"/>
    <x v="3"/>
    <x v="1"/>
    <x v="12"/>
    <x v="1"/>
    <x v="0"/>
    <n v="4"/>
    <x v="3"/>
    <x v="0"/>
    <m/>
  </r>
  <r>
    <n v="1608"/>
    <n v="49"/>
    <s v="Male"/>
    <x v="6"/>
    <x v="0"/>
    <n v="72"/>
    <s v="Vermont"/>
    <x v="1"/>
    <x v="0"/>
    <x v="3"/>
    <x v="6"/>
    <x v="1"/>
    <x v="0"/>
    <n v="43"/>
    <x v="5"/>
    <x v="3"/>
    <m/>
  </r>
  <r>
    <n v="1609"/>
    <n v="26"/>
    <s v="Male"/>
    <x v="3"/>
    <x v="1"/>
    <n v="58"/>
    <s v="Nebraska"/>
    <x v="3"/>
    <x v="17"/>
    <x v="3"/>
    <x v="7"/>
    <x v="1"/>
    <x v="0"/>
    <n v="12"/>
    <x v="4"/>
    <x v="4"/>
    <m/>
  </r>
  <r>
    <n v="1610"/>
    <n v="33"/>
    <s v="Male"/>
    <x v="5"/>
    <x v="0"/>
    <n v="93"/>
    <s v="Nevada"/>
    <x v="1"/>
    <x v="18"/>
    <x v="3"/>
    <x v="18"/>
    <x v="1"/>
    <x v="0"/>
    <n v="3"/>
    <x v="0"/>
    <x v="5"/>
    <m/>
  </r>
  <r>
    <n v="1611"/>
    <n v="20"/>
    <s v="Male"/>
    <x v="20"/>
    <x v="0"/>
    <n v="31"/>
    <s v="Tennessee"/>
    <x v="0"/>
    <x v="7"/>
    <x v="1"/>
    <x v="10"/>
    <x v="1"/>
    <x v="0"/>
    <n v="1"/>
    <x v="3"/>
    <x v="2"/>
    <m/>
  </r>
  <r>
    <n v="1612"/>
    <n v="41"/>
    <s v="Male"/>
    <x v="13"/>
    <x v="0"/>
    <n v="26"/>
    <s v="Arkansas"/>
    <x v="0"/>
    <x v="22"/>
    <x v="0"/>
    <x v="21"/>
    <x v="1"/>
    <x v="0"/>
    <n v="6"/>
    <x v="5"/>
    <x v="5"/>
    <m/>
  </r>
  <r>
    <n v="1613"/>
    <n v="18"/>
    <s v="Male"/>
    <x v="11"/>
    <x v="0"/>
    <n v="68"/>
    <s v="Wisconsin"/>
    <x v="2"/>
    <x v="21"/>
    <x v="2"/>
    <x v="9"/>
    <x v="1"/>
    <x v="0"/>
    <n v="26"/>
    <x v="0"/>
    <x v="5"/>
    <m/>
  </r>
  <r>
    <n v="1614"/>
    <n v="26"/>
    <s v="Male"/>
    <x v="16"/>
    <x v="3"/>
    <n v="31"/>
    <s v="Illinois"/>
    <x v="1"/>
    <x v="13"/>
    <x v="2"/>
    <x v="8"/>
    <x v="1"/>
    <x v="0"/>
    <n v="6"/>
    <x v="2"/>
    <x v="0"/>
    <m/>
  </r>
  <r>
    <n v="1615"/>
    <n v="30"/>
    <s v="Male"/>
    <x v="17"/>
    <x v="0"/>
    <n v="41"/>
    <s v="Kansas"/>
    <x v="1"/>
    <x v="0"/>
    <x v="2"/>
    <x v="10"/>
    <x v="1"/>
    <x v="0"/>
    <n v="22"/>
    <x v="1"/>
    <x v="4"/>
    <m/>
  </r>
  <r>
    <n v="1616"/>
    <n v="64"/>
    <s v="Male"/>
    <x v="16"/>
    <x v="3"/>
    <n v="62"/>
    <s v="New York"/>
    <x v="2"/>
    <x v="21"/>
    <x v="3"/>
    <x v="20"/>
    <x v="1"/>
    <x v="0"/>
    <n v="45"/>
    <x v="1"/>
    <x v="4"/>
    <m/>
  </r>
  <r>
    <n v="1617"/>
    <n v="26"/>
    <s v="Male"/>
    <x v="19"/>
    <x v="3"/>
    <n v="41"/>
    <s v="Colorado"/>
    <x v="2"/>
    <x v="14"/>
    <x v="1"/>
    <x v="10"/>
    <x v="1"/>
    <x v="0"/>
    <n v="50"/>
    <x v="1"/>
    <x v="3"/>
    <m/>
  </r>
  <r>
    <n v="1618"/>
    <n v="43"/>
    <s v="Male"/>
    <x v="0"/>
    <x v="0"/>
    <n v="64"/>
    <s v="Wisconsin"/>
    <x v="2"/>
    <x v="15"/>
    <x v="0"/>
    <x v="12"/>
    <x v="1"/>
    <x v="0"/>
    <n v="50"/>
    <x v="2"/>
    <x v="0"/>
    <m/>
  </r>
  <r>
    <n v="1619"/>
    <n v="63"/>
    <s v="Male"/>
    <x v="3"/>
    <x v="1"/>
    <n v="72"/>
    <s v="Michigan"/>
    <x v="0"/>
    <x v="7"/>
    <x v="2"/>
    <x v="11"/>
    <x v="1"/>
    <x v="0"/>
    <n v="39"/>
    <x v="5"/>
    <x v="3"/>
    <m/>
  </r>
  <r>
    <n v="1620"/>
    <n v="57"/>
    <s v="Male"/>
    <x v="8"/>
    <x v="3"/>
    <n v="78"/>
    <s v="Hawaii"/>
    <x v="0"/>
    <x v="19"/>
    <x v="0"/>
    <x v="22"/>
    <x v="1"/>
    <x v="0"/>
    <n v="50"/>
    <x v="0"/>
    <x v="4"/>
    <m/>
  </r>
  <r>
    <n v="1621"/>
    <n v="25"/>
    <s v="Male"/>
    <x v="19"/>
    <x v="3"/>
    <n v="47"/>
    <s v="Virginia"/>
    <x v="2"/>
    <x v="4"/>
    <x v="0"/>
    <x v="0"/>
    <x v="1"/>
    <x v="0"/>
    <n v="27"/>
    <x v="3"/>
    <x v="6"/>
    <m/>
  </r>
  <r>
    <n v="1622"/>
    <n v="68"/>
    <s v="Male"/>
    <x v="18"/>
    <x v="3"/>
    <n v="46"/>
    <s v="Ohio"/>
    <x v="0"/>
    <x v="0"/>
    <x v="2"/>
    <x v="14"/>
    <x v="1"/>
    <x v="0"/>
    <n v="38"/>
    <x v="5"/>
    <x v="0"/>
    <m/>
  </r>
  <r>
    <n v="1623"/>
    <n v="31"/>
    <s v="Male"/>
    <x v="6"/>
    <x v="0"/>
    <n v="43"/>
    <s v="Missouri"/>
    <x v="1"/>
    <x v="18"/>
    <x v="0"/>
    <x v="8"/>
    <x v="1"/>
    <x v="0"/>
    <n v="37"/>
    <x v="4"/>
    <x v="6"/>
    <m/>
  </r>
  <r>
    <n v="1624"/>
    <n v="64"/>
    <s v="Male"/>
    <x v="21"/>
    <x v="3"/>
    <n v="58"/>
    <s v="Indiana"/>
    <x v="2"/>
    <x v="17"/>
    <x v="2"/>
    <x v="22"/>
    <x v="1"/>
    <x v="0"/>
    <n v="50"/>
    <x v="5"/>
    <x v="2"/>
    <m/>
  </r>
  <r>
    <n v="1625"/>
    <n v="38"/>
    <s v="Male"/>
    <x v="1"/>
    <x v="0"/>
    <n v="32"/>
    <s v="Florida"/>
    <x v="2"/>
    <x v="3"/>
    <x v="0"/>
    <x v="2"/>
    <x v="1"/>
    <x v="0"/>
    <n v="40"/>
    <x v="3"/>
    <x v="6"/>
    <m/>
  </r>
  <r>
    <n v="1626"/>
    <n v="34"/>
    <s v="Male"/>
    <x v="11"/>
    <x v="0"/>
    <n v="45"/>
    <s v="Minnesota"/>
    <x v="0"/>
    <x v="19"/>
    <x v="0"/>
    <x v="23"/>
    <x v="1"/>
    <x v="0"/>
    <n v="3"/>
    <x v="3"/>
    <x v="4"/>
    <m/>
  </r>
  <r>
    <n v="1627"/>
    <n v="32"/>
    <s v="Male"/>
    <x v="4"/>
    <x v="1"/>
    <n v="35"/>
    <s v="Nevada"/>
    <x v="0"/>
    <x v="20"/>
    <x v="2"/>
    <x v="4"/>
    <x v="1"/>
    <x v="0"/>
    <n v="45"/>
    <x v="2"/>
    <x v="4"/>
    <m/>
  </r>
  <r>
    <n v="1628"/>
    <n v="69"/>
    <s v="Male"/>
    <x v="12"/>
    <x v="3"/>
    <n v="21"/>
    <s v="Maine"/>
    <x v="2"/>
    <x v="8"/>
    <x v="0"/>
    <x v="25"/>
    <x v="1"/>
    <x v="0"/>
    <n v="8"/>
    <x v="2"/>
    <x v="2"/>
    <m/>
  </r>
  <r>
    <n v="1629"/>
    <n v="45"/>
    <s v="Male"/>
    <x v="10"/>
    <x v="0"/>
    <n v="64"/>
    <s v="Massachusetts"/>
    <x v="1"/>
    <x v="11"/>
    <x v="0"/>
    <x v="0"/>
    <x v="1"/>
    <x v="0"/>
    <n v="7"/>
    <x v="1"/>
    <x v="5"/>
    <m/>
  </r>
  <r>
    <n v="1630"/>
    <n v="35"/>
    <s v="Male"/>
    <x v="0"/>
    <x v="0"/>
    <n v="88"/>
    <s v="North Dakota"/>
    <x v="1"/>
    <x v="5"/>
    <x v="1"/>
    <x v="19"/>
    <x v="1"/>
    <x v="0"/>
    <n v="13"/>
    <x v="0"/>
    <x v="3"/>
    <m/>
  </r>
  <r>
    <n v="1631"/>
    <n v="63"/>
    <s v="Male"/>
    <x v="9"/>
    <x v="1"/>
    <n v="48"/>
    <s v="New Jersey"/>
    <x v="2"/>
    <x v="9"/>
    <x v="2"/>
    <x v="25"/>
    <x v="1"/>
    <x v="0"/>
    <n v="29"/>
    <x v="0"/>
    <x v="6"/>
    <m/>
  </r>
  <r>
    <n v="1632"/>
    <n v="65"/>
    <s v="Male"/>
    <x v="1"/>
    <x v="0"/>
    <n v="36"/>
    <s v="Indiana"/>
    <x v="0"/>
    <x v="10"/>
    <x v="2"/>
    <x v="14"/>
    <x v="1"/>
    <x v="0"/>
    <n v="7"/>
    <x v="4"/>
    <x v="0"/>
    <m/>
  </r>
  <r>
    <n v="1633"/>
    <n v="35"/>
    <s v="Male"/>
    <x v="24"/>
    <x v="3"/>
    <n v="28"/>
    <s v="Oregon"/>
    <x v="1"/>
    <x v="3"/>
    <x v="2"/>
    <x v="15"/>
    <x v="1"/>
    <x v="0"/>
    <n v="50"/>
    <x v="5"/>
    <x v="6"/>
    <m/>
  </r>
  <r>
    <n v="1634"/>
    <n v="54"/>
    <s v="Male"/>
    <x v="20"/>
    <x v="0"/>
    <n v="80"/>
    <s v="North Dakota"/>
    <x v="2"/>
    <x v="15"/>
    <x v="1"/>
    <x v="9"/>
    <x v="1"/>
    <x v="0"/>
    <n v="33"/>
    <x v="5"/>
    <x v="4"/>
    <m/>
  </r>
  <r>
    <n v="1635"/>
    <n v="28"/>
    <s v="Male"/>
    <x v="7"/>
    <x v="2"/>
    <n v="23"/>
    <s v="South Carolina"/>
    <x v="1"/>
    <x v="20"/>
    <x v="2"/>
    <x v="2"/>
    <x v="1"/>
    <x v="0"/>
    <n v="30"/>
    <x v="1"/>
    <x v="6"/>
    <m/>
  </r>
  <r>
    <n v="1636"/>
    <n v="68"/>
    <s v="Male"/>
    <x v="12"/>
    <x v="3"/>
    <n v="24"/>
    <s v="North Carolina"/>
    <x v="0"/>
    <x v="10"/>
    <x v="2"/>
    <x v="20"/>
    <x v="1"/>
    <x v="0"/>
    <n v="40"/>
    <x v="1"/>
    <x v="2"/>
    <m/>
  </r>
  <r>
    <n v="1637"/>
    <n v="58"/>
    <s v="Male"/>
    <x v="23"/>
    <x v="1"/>
    <n v="22"/>
    <s v="North Dakota"/>
    <x v="0"/>
    <x v="14"/>
    <x v="3"/>
    <x v="8"/>
    <x v="1"/>
    <x v="0"/>
    <n v="49"/>
    <x v="1"/>
    <x v="0"/>
    <m/>
  </r>
  <r>
    <n v="1638"/>
    <n v="35"/>
    <s v="Male"/>
    <x v="10"/>
    <x v="0"/>
    <n v="21"/>
    <s v="Massachusetts"/>
    <x v="2"/>
    <x v="15"/>
    <x v="1"/>
    <x v="22"/>
    <x v="1"/>
    <x v="0"/>
    <n v="32"/>
    <x v="0"/>
    <x v="0"/>
    <m/>
  </r>
  <r>
    <n v="1639"/>
    <n v="68"/>
    <s v="Male"/>
    <x v="14"/>
    <x v="2"/>
    <n v="51"/>
    <s v="Tennessee"/>
    <x v="2"/>
    <x v="13"/>
    <x v="1"/>
    <x v="7"/>
    <x v="1"/>
    <x v="0"/>
    <n v="18"/>
    <x v="0"/>
    <x v="1"/>
    <m/>
  </r>
  <r>
    <n v="1640"/>
    <n v="41"/>
    <s v="Male"/>
    <x v="24"/>
    <x v="3"/>
    <n v="65"/>
    <s v="Missouri"/>
    <x v="0"/>
    <x v="24"/>
    <x v="2"/>
    <x v="19"/>
    <x v="1"/>
    <x v="0"/>
    <n v="50"/>
    <x v="3"/>
    <x v="2"/>
    <m/>
  </r>
  <r>
    <n v="1641"/>
    <n v="65"/>
    <s v="Male"/>
    <x v="18"/>
    <x v="3"/>
    <n v="51"/>
    <s v="Tennessee"/>
    <x v="1"/>
    <x v="23"/>
    <x v="1"/>
    <x v="8"/>
    <x v="1"/>
    <x v="0"/>
    <n v="13"/>
    <x v="3"/>
    <x v="1"/>
    <m/>
  </r>
  <r>
    <n v="1642"/>
    <n v="50"/>
    <s v="Male"/>
    <x v="15"/>
    <x v="0"/>
    <n v="32"/>
    <s v="Colorado"/>
    <x v="0"/>
    <x v="10"/>
    <x v="2"/>
    <x v="10"/>
    <x v="1"/>
    <x v="0"/>
    <n v="1"/>
    <x v="4"/>
    <x v="6"/>
    <m/>
  </r>
  <r>
    <n v="1643"/>
    <n v="18"/>
    <s v="Male"/>
    <x v="7"/>
    <x v="2"/>
    <n v="70"/>
    <s v="Mississippi"/>
    <x v="2"/>
    <x v="19"/>
    <x v="1"/>
    <x v="13"/>
    <x v="1"/>
    <x v="0"/>
    <n v="16"/>
    <x v="3"/>
    <x v="0"/>
    <m/>
  </r>
  <r>
    <n v="1644"/>
    <n v="38"/>
    <s v="Male"/>
    <x v="18"/>
    <x v="3"/>
    <n v="77"/>
    <s v="Ohio"/>
    <x v="0"/>
    <x v="6"/>
    <x v="2"/>
    <x v="14"/>
    <x v="1"/>
    <x v="0"/>
    <n v="6"/>
    <x v="3"/>
    <x v="5"/>
    <m/>
  </r>
  <r>
    <n v="1645"/>
    <n v="68"/>
    <s v="Male"/>
    <x v="7"/>
    <x v="2"/>
    <n v="90"/>
    <s v="North Carolina"/>
    <x v="1"/>
    <x v="19"/>
    <x v="2"/>
    <x v="14"/>
    <x v="1"/>
    <x v="0"/>
    <n v="21"/>
    <x v="5"/>
    <x v="5"/>
    <m/>
  </r>
  <r>
    <n v="1646"/>
    <n v="53"/>
    <s v="Male"/>
    <x v="18"/>
    <x v="3"/>
    <n v="36"/>
    <s v="Ohio"/>
    <x v="0"/>
    <x v="14"/>
    <x v="2"/>
    <x v="24"/>
    <x v="1"/>
    <x v="0"/>
    <n v="36"/>
    <x v="0"/>
    <x v="6"/>
    <m/>
  </r>
  <r>
    <n v="1647"/>
    <n v="58"/>
    <s v="Male"/>
    <x v="8"/>
    <x v="3"/>
    <n v="77"/>
    <s v="Nebraska"/>
    <x v="1"/>
    <x v="5"/>
    <x v="2"/>
    <x v="5"/>
    <x v="1"/>
    <x v="0"/>
    <n v="20"/>
    <x v="4"/>
    <x v="6"/>
    <m/>
  </r>
  <r>
    <n v="1648"/>
    <n v="34"/>
    <s v="Male"/>
    <x v="23"/>
    <x v="1"/>
    <n v="78"/>
    <s v="Hawaii"/>
    <x v="2"/>
    <x v="7"/>
    <x v="2"/>
    <x v="17"/>
    <x v="1"/>
    <x v="0"/>
    <n v="8"/>
    <x v="5"/>
    <x v="3"/>
    <m/>
  </r>
  <r>
    <n v="1649"/>
    <n v="36"/>
    <s v="Male"/>
    <x v="13"/>
    <x v="0"/>
    <n v="69"/>
    <s v="Oklahoma"/>
    <x v="2"/>
    <x v="0"/>
    <x v="2"/>
    <x v="4"/>
    <x v="1"/>
    <x v="0"/>
    <n v="22"/>
    <x v="2"/>
    <x v="5"/>
    <m/>
  </r>
  <r>
    <n v="1650"/>
    <n v="58"/>
    <s v="Male"/>
    <x v="17"/>
    <x v="0"/>
    <n v="63"/>
    <s v="Wisconsin"/>
    <x v="2"/>
    <x v="3"/>
    <x v="2"/>
    <x v="17"/>
    <x v="1"/>
    <x v="0"/>
    <n v="3"/>
    <x v="2"/>
    <x v="3"/>
    <m/>
  </r>
  <r>
    <n v="1651"/>
    <n v="60"/>
    <s v="Male"/>
    <x v="18"/>
    <x v="3"/>
    <n v="36"/>
    <s v="Arkansas"/>
    <x v="2"/>
    <x v="5"/>
    <x v="0"/>
    <x v="10"/>
    <x v="1"/>
    <x v="0"/>
    <n v="46"/>
    <x v="2"/>
    <x v="0"/>
    <m/>
  </r>
  <r>
    <n v="1652"/>
    <n v="59"/>
    <s v="Male"/>
    <x v="7"/>
    <x v="2"/>
    <n v="80"/>
    <s v="Texas"/>
    <x v="2"/>
    <x v="24"/>
    <x v="0"/>
    <x v="14"/>
    <x v="1"/>
    <x v="0"/>
    <n v="42"/>
    <x v="5"/>
    <x v="5"/>
    <m/>
  </r>
  <r>
    <n v="1653"/>
    <n v="65"/>
    <s v="Male"/>
    <x v="1"/>
    <x v="0"/>
    <n v="35"/>
    <s v="New Mexico"/>
    <x v="2"/>
    <x v="20"/>
    <x v="2"/>
    <x v="8"/>
    <x v="1"/>
    <x v="0"/>
    <n v="1"/>
    <x v="4"/>
    <x v="0"/>
    <m/>
  </r>
  <r>
    <n v="1654"/>
    <n v="31"/>
    <s v="Male"/>
    <x v="22"/>
    <x v="3"/>
    <n v="93"/>
    <s v="Colorado"/>
    <x v="0"/>
    <x v="5"/>
    <x v="0"/>
    <x v="23"/>
    <x v="1"/>
    <x v="0"/>
    <n v="29"/>
    <x v="5"/>
    <x v="4"/>
    <m/>
  </r>
  <r>
    <n v="1655"/>
    <n v="43"/>
    <s v="Male"/>
    <x v="22"/>
    <x v="3"/>
    <n v="25"/>
    <s v="Indiana"/>
    <x v="0"/>
    <x v="0"/>
    <x v="1"/>
    <x v="4"/>
    <x v="1"/>
    <x v="0"/>
    <n v="14"/>
    <x v="2"/>
    <x v="3"/>
    <m/>
  </r>
  <r>
    <n v="1656"/>
    <n v="37"/>
    <s v="Male"/>
    <x v="1"/>
    <x v="0"/>
    <n v="81"/>
    <s v="Arizona"/>
    <x v="0"/>
    <x v="9"/>
    <x v="1"/>
    <x v="20"/>
    <x v="1"/>
    <x v="0"/>
    <n v="4"/>
    <x v="3"/>
    <x v="5"/>
    <m/>
  </r>
  <r>
    <n v="1657"/>
    <n v="21"/>
    <s v="Male"/>
    <x v="0"/>
    <x v="0"/>
    <n v="42"/>
    <s v="Indiana"/>
    <x v="0"/>
    <x v="18"/>
    <x v="1"/>
    <x v="4"/>
    <x v="1"/>
    <x v="0"/>
    <n v="41"/>
    <x v="3"/>
    <x v="6"/>
    <m/>
  </r>
  <r>
    <n v="1658"/>
    <n v="69"/>
    <s v="Male"/>
    <x v="11"/>
    <x v="0"/>
    <n v="36"/>
    <s v="Indiana"/>
    <x v="0"/>
    <x v="2"/>
    <x v="1"/>
    <x v="20"/>
    <x v="1"/>
    <x v="0"/>
    <n v="4"/>
    <x v="5"/>
    <x v="4"/>
    <m/>
  </r>
  <r>
    <n v="1659"/>
    <n v="32"/>
    <s v="Male"/>
    <x v="16"/>
    <x v="3"/>
    <n v="66"/>
    <s v="Alaska"/>
    <x v="1"/>
    <x v="6"/>
    <x v="1"/>
    <x v="18"/>
    <x v="1"/>
    <x v="0"/>
    <n v="47"/>
    <x v="1"/>
    <x v="1"/>
    <m/>
  </r>
  <r>
    <n v="1660"/>
    <n v="53"/>
    <s v="Male"/>
    <x v="24"/>
    <x v="3"/>
    <n v="37"/>
    <s v="Utah"/>
    <x v="2"/>
    <x v="13"/>
    <x v="3"/>
    <x v="14"/>
    <x v="1"/>
    <x v="0"/>
    <n v="44"/>
    <x v="0"/>
    <x v="2"/>
    <m/>
  </r>
  <r>
    <n v="1661"/>
    <n v="59"/>
    <s v="Male"/>
    <x v="17"/>
    <x v="0"/>
    <n v="45"/>
    <s v="Louisiana"/>
    <x v="0"/>
    <x v="22"/>
    <x v="0"/>
    <x v="18"/>
    <x v="1"/>
    <x v="0"/>
    <n v="37"/>
    <x v="0"/>
    <x v="5"/>
    <m/>
  </r>
  <r>
    <n v="1662"/>
    <n v="64"/>
    <s v="Male"/>
    <x v="24"/>
    <x v="3"/>
    <n v="86"/>
    <s v="Iowa"/>
    <x v="1"/>
    <x v="19"/>
    <x v="2"/>
    <x v="6"/>
    <x v="1"/>
    <x v="0"/>
    <n v="21"/>
    <x v="5"/>
    <x v="3"/>
    <m/>
  </r>
  <r>
    <n v="1663"/>
    <n v="63"/>
    <s v="Male"/>
    <x v="12"/>
    <x v="3"/>
    <n v="24"/>
    <s v="New Mexico"/>
    <x v="2"/>
    <x v="8"/>
    <x v="0"/>
    <x v="7"/>
    <x v="1"/>
    <x v="0"/>
    <n v="46"/>
    <x v="5"/>
    <x v="0"/>
    <m/>
  </r>
  <r>
    <n v="1664"/>
    <n v="43"/>
    <s v="Male"/>
    <x v="5"/>
    <x v="0"/>
    <n v="22"/>
    <s v="Maine"/>
    <x v="3"/>
    <x v="9"/>
    <x v="2"/>
    <x v="22"/>
    <x v="1"/>
    <x v="0"/>
    <n v="1"/>
    <x v="1"/>
    <x v="4"/>
    <m/>
  </r>
  <r>
    <n v="1665"/>
    <n v="19"/>
    <s v="Male"/>
    <x v="8"/>
    <x v="3"/>
    <n v="53"/>
    <s v="Minnesota"/>
    <x v="2"/>
    <x v="7"/>
    <x v="1"/>
    <x v="11"/>
    <x v="1"/>
    <x v="0"/>
    <n v="35"/>
    <x v="3"/>
    <x v="1"/>
    <m/>
  </r>
  <r>
    <n v="1666"/>
    <n v="40"/>
    <s v="Male"/>
    <x v="14"/>
    <x v="2"/>
    <n v="41"/>
    <s v="New Mexico"/>
    <x v="0"/>
    <x v="6"/>
    <x v="3"/>
    <x v="10"/>
    <x v="1"/>
    <x v="0"/>
    <n v="49"/>
    <x v="0"/>
    <x v="5"/>
    <m/>
  </r>
  <r>
    <n v="1667"/>
    <n v="51"/>
    <s v="Male"/>
    <x v="11"/>
    <x v="0"/>
    <n v="64"/>
    <s v="Arkansas"/>
    <x v="2"/>
    <x v="24"/>
    <x v="2"/>
    <x v="0"/>
    <x v="1"/>
    <x v="0"/>
    <n v="47"/>
    <x v="3"/>
    <x v="2"/>
    <m/>
  </r>
  <r>
    <n v="1668"/>
    <n v="51"/>
    <s v="Male"/>
    <x v="8"/>
    <x v="3"/>
    <n v="40"/>
    <s v="Oklahoma"/>
    <x v="0"/>
    <x v="18"/>
    <x v="0"/>
    <x v="10"/>
    <x v="1"/>
    <x v="0"/>
    <n v="24"/>
    <x v="4"/>
    <x v="6"/>
    <m/>
  </r>
  <r>
    <n v="1669"/>
    <n v="66"/>
    <s v="Male"/>
    <x v="0"/>
    <x v="0"/>
    <n v="33"/>
    <s v="Utah"/>
    <x v="0"/>
    <x v="4"/>
    <x v="2"/>
    <x v="8"/>
    <x v="1"/>
    <x v="0"/>
    <n v="28"/>
    <x v="5"/>
    <x v="0"/>
    <m/>
  </r>
  <r>
    <n v="1670"/>
    <n v="42"/>
    <s v="Male"/>
    <x v="17"/>
    <x v="0"/>
    <n v="59"/>
    <s v="Wisconsin"/>
    <x v="0"/>
    <x v="1"/>
    <x v="0"/>
    <x v="6"/>
    <x v="1"/>
    <x v="0"/>
    <n v="22"/>
    <x v="4"/>
    <x v="3"/>
    <m/>
  </r>
  <r>
    <n v="1671"/>
    <n v="22"/>
    <s v="Male"/>
    <x v="13"/>
    <x v="0"/>
    <n v="73"/>
    <s v="Utah"/>
    <x v="0"/>
    <x v="17"/>
    <x v="3"/>
    <x v="2"/>
    <x v="1"/>
    <x v="0"/>
    <n v="20"/>
    <x v="1"/>
    <x v="1"/>
    <m/>
  </r>
  <r>
    <n v="1672"/>
    <n v="31"/>
    <s v="Male"/>
    <x v="15"/>
    <x v="0"/>
    <n v="22"/>
    <s v="Utah"/>
    <x v="2"/>
    <x v="8"/>
    <x v="0"/>
    <x v="8"/>
    <x v="1"/>
    <x v="0"/>
    <n v="25"/>
    <x v="4"/>
    <x v="1"/>
    <m/>
  </r>
  <r>
    <n v="1673"/>
    <n v="18"/>
    <s v="Male"/>
    <x v="23"/>
    <x v="1"/>
    <n v="73"/>
    <s v="South Carolina"/>
    <x v="0"/>
    <x v="9"/>
    <x v="3"/>
    <x v="1"/>
    <x v="1"/>
    <x v="0"/>
    <n v="15"/>
    <x v="0"/>
    <x v="3"/>
    <m/>
  </r>
  <r>
    <n v="1674"/>
    <n v="21"/>
    <s v="Male"/>
    <x v="0"/>
    <x v="0"/>
    <n v="62"/>
    <s v="Hawaii"/>
    <x v="2"/>
    <x v="10"/>
    <x v="3"/>
    <x v="10"/>
    <x v="1"/>
    <x v="0"/>
    <n v="49"/>
    <x v="0"/>
    <x v="4"/>
    <m/>
  </r>
  <r>
    <n v="1675"/>
    <n v="35"/>
    <s v="Male"/>
    <x v="7"/>
    <x v="2"/>
    <n v="56"/>
    <s v="Alaska"/>
    <x v="2"/>
    <x v="15"/>
    <x v="0"/>
    <x v="20"/>
    <x v="1"/>
    <x v="0"/>
    <n v="10"/>
    <x v="5"/>
    <x v="0"/>
    <m/>
  </r>
  <r>
    <n v="1676"/>
    <n v="35"/>
    <s v="Male"/>
    <x v="13"/>
    <x v="0"/>
    <n v="90"/>
    <s v="Colorado"/>
    <x v="2"/>
    <x v="19"/>
    <x v="1"/>
    <x v="15"/>
    <x v="1"/>
    <x v="0"/>
    <n v="21"/>
    <x v="2"/>
    <x v="2"/>
    <m/>
  </r>
  <r>
    <n v="1677"/>
    <n v="27"/>
    <s v="Male"/>
    <x v="12"/>
    <x v="3"/>
    <n v="44"/>
    <s v="West Virginia"/>
    <x v="2"/>
    <x v="17"/>
    <x v="0"/>
    <x v="0"/>
    <x v="1"/>
    <x v="0"/>
    <n v="34"/>
    <x v="4"/>
    <x v="1"/>
    <m/>
  </r>
  <r>
    <n v="1678"/>
    <n v="65"/>
    <s v="Male"/>
    <x v="2"/>
    <x v="0"/>
    <n v="35"/>
    <s v="Oregon"/>
    <x v="0"/>
    <x v="5"/>
    <x v="2"/>
    <x v="19"/>
    <x v="1"/>
    <x v="1"/>
    <n v="41"/>
    <x v="5"/>
    <x v="1"/>
    <m/>
  </r>
  <r>
    <n v="1679"/>
    <n v="41"/>
    <s v="Male"/>
    <x v="13"/>
    <x v="0"/>
    <n v="71"/>
    <s v="Ohio"/>
    <x v="1"/>
    <x v="23"/>
    <x v="2"/>
    <x v="3"/>
    <x v="1"/>
    <x v="1"/>
    <n v="30"/>
    <x v="0"/>
    <x v="0"/>
    <m/>
  </r>
  <r>
    <n v="1680"/>
    <n v="60"/>
    <s v="Male"/>
    <x v="10"/>
    <x v="0"/>
    <n v="52"/>
    <s v="Massachusetts"/>
    <x v="1"/>
    <x v="13"/>
    <x v="3"/>
    <x v="21"/>
    <x v="1"/>
    <x v="1"/>
    <n v="24"/>
    <x v="5"/>
    <x v="4"/>
    <m/>
  </r>
  <r>
    <n v="1681"/>
    <n v="61"/>
    <s v="Male"/>
    <x v="9"/>
    <x v="1"/>
    <n v="37"/>
    <s v="Louisiana"/>
    <x v="2"/>
    <x v="8"/>
    <x v="2"/>
    <x v="10"/>
    <x v="1"/>
    <x v="1"/>
    <n v="6"/>
    <x v="2"/>
    <x v="2"/>
    <m/>
  </r>
  <r>
    <n v="1682"/>
    <n v="24"/>
    <s v="Male"/>
    <x v="4"/>
    <x v="1"/>
    <n v="95"/>
    <s v="Virginia"/>
    <x v="0"/>
    <x v="14"/>
    <x v="0"/>
    <x v="5"/>
    <x v="1"/>
    <x v="1"/>
    <n v="14"/>
    <x v="2"/>
    <x v="4"/>
    <m/>
  </r>
  <r>
    <n v="1683"/>
    <n v="65"/>
    <s v="Male"/>
    <x v="20"/>
    <x v="0"/>
    <n v="97"/>
    <s v="New York"/>
    <x v="2"/>
    <x v="22"/>
    <x v="3"/>
    <x v="17"/>
    <x v="1"/>
    <x v="1"/>
    <n v="37"/>
    <x v="2"/>
    <x v="4"/>
    <m/>
  </r>
  <r>
    <n v="1684"/>
    <n v="23"/>
    <s v="Male"/>
    <x v="7"/>
    <x v="2"/>
    <n v="57"/>
    <s v="Arkansas"/>
    <x v="1"/>
    <x v="12"/>
    <x v="1"/>
    <x v="22"/>
    <x v="1"/>
    <x v="1"/>
    <n v="37"/>
    <x v="0"/>
    <x v="3"/>
    <m/>
  </r>
  <r>
    <n v="1685"/>
    <n v="30"/>
    <s v="Male"/>
    <x v="5"/>
    <x v="0"/>
    <n v="93"/>
    <s v="New Mexico"/>
    <x v="2"/>
    <x v="21"/>
    <x v="1"/>
    <x v="7"/>
    <x v="1"/>
    <x v="1"/>
    <n v="28"/>
    <x v="3"/>
    <x v="1"/>
    <m/>
  </r>
  <r>
    <n v="1686"/>
    <n v="33"/>
    <s v="Male"/>
    <x v="0"/>
    <x v="0"/>
    <n v="48"/>
    <s v="Minnesota"/>
    <x v="2"/>
    <x v="6"/>
    <x v="0"/>
    <x v="7"/>
    <x v="1"/>
    <x v="1"/>
    <n v="43"/>
    <x v="3"/>
    <x v="4"/>
    <m/>
  </r>
  <r>
    <n v="1687"/>
    <n v="22"/>
    <s v="Male"/>
    <x v="24"/>
    <x v="3"/>
    <n v="75"/>
    <s v="Illinois"/>
    <x v="0"/>
    <x v="16"/>
    <x v="3"/>
    <x v="13"/>
    <x v="1"/>
    <x v="1"/>
    <n v="25"/>
    <x v="1"/>
    <x v="2"/>
    <m/>
  </r>
  <r>
    <n v="1688"/>
    <n v="67"/>
    <s v="Male"/>
    <x v="11"/>
    <x v="0"/>
    <n v="70"/>
    <s v="Georgia"/>
    <x v="1"/>
    <x v="23"/>
    <x v="0"/>
    <x v="5"/>
    <x v="1"/>
    <x v="1"/>
    <n v="4"/>
    <x v="3"/>
    <x v="2"/>
    <m/>
  </r>
  <r>
    <n v="1689"/>
    <n v="28"/>
    <s v="Male"/>
    <x v="8"/>
    <x v="3"/>
    <n v="26"/>
    <s v="Mississippi"/>
    <x v="1"/>
    <x v="15"/>
    <x v="0"/>
    <x v="23"/>
    <x v="1"/>
    <x v="1"/>
    <n v="13"/>
    <x v="0"/>
    <x v="0"/>
    <m/>
  </r>
  <r>
    <n v="1690"/>
    <n v="32"/>
    <s v="Male"/>
    <x v="5"/>
    <x v="0"/>
    <n v="73"/>
    <s v="North Carolina"/>
    <x v="0"/>
    <x v="2"/>
    <x v="0"/>
    <x v="7"/>
    <x v="1"/>
    <x v="1"/>
    <n v="32"/>
    <x v="4"/>
    <x v="5"/>
    <m/>
  </r>
  <r>
    <n v="1691"/>
    <n v="40"/>
    <s v="Male"/>
    <x v="7"/>
    <x v="2"/>
    <n v="30"/>
    <s v="Nevada"/>
    <x v="2"/>
    <x v="13"/>
    <x v="2"/>
    <x v="20"/>
    <x v="1"/>
    <x v="1"/>
    <n v="1"/>
    <x v="1"/>
    <x v="2"/>
    <m/>
  </r>
  <r>
    <n v="1692"/>
    <n v="64"/>
    <s v="Male"/>
    <x v="9"/>
    <x v="1"/>
    <n v="61"/>
    <s v="Connecticut"/>
    <x v="0"/>
    <x v="24"/>
    <x v="2"/>
    <x v="22"/>
    <x v="1"/>
    <x v="1"/>
    <n v="4"/>
    <x v="1"/>
    <x v="2"/>
    <m/>
  </r>
  <r>
    <n v="1693"/>
    <n v="56"/>
    <s v="Male"/>
    <x v="8"/>
    <x v="3"/>
    <n v="75"/>
    <s v="Utah"/>
    <x v="2"/>
    <x v="19"/>
    <x v="0"/>
    <x v="4"/>
    <x v="1"/>
    <x v="1"/>
    <n v="33"/>
    <x v="1"/>
    <x v="4"/>
    <m/>
  </r>
  <r>
    <n v="1694"/>
    <n v="63"/>
    <s v="Male"/>
    <x v="14"/>
    <x v="2"/>
    <n v="88"/>
    <s v="Tennessee"/>
    <x v="3"/>
    <x v="8"/>
    <x v="3"/>
    <x v="17"/>
    <x v="1"/>
    <x v="1"/>
    <n v="45"/>
    <x v="4"/>
    <x v="0"/>
    <m/>
  </r>
  <r>
    <n v="1695"/>
    <n v="20"/>
    <s v="Male"/>
    <x v="5"/>
    <x v="0"/>
    <n v="67"/>
    <s v="Mississippi"/>
    <x v="2"/>
    <x v="2"/>
    <x v="2"/>
    <x v="6"/>
    <x v="1"/>
    <x v="1"/>
    <n v="20"/>
    <x v="5"/>
    <x v="0"/>
    <m/>
  </r>
  <r>
    <n v="1696"/>
    <n v="54"/>
    <s v="Male"/>
    <x v="19"/>
    <x v="3"/>
    <n v="95"/>
    <s v="Nebraska"/>
    <x v="1"/>
    <x v="22"/>
    <x v="3"/>
    <x v="15"/>
    <x v="1"/>
    <x v="1"/>
    <n v="1"/>
    <x v="3"/>
    <x v="0"/>
    <m/>
  </r>
  <r>
    <n v="1697"/>
    <n v="31"/>
    <s v="Male"/>
    <x v="12"/>
    <x v="3"/>
    <n v="69"/>
    <s v="West Virginia"/>
    <x v="1"/>
    <x v="2"/>
    <x v="1"/>
    <x v="8"/>
    <x v="1"/>
    <x v="1"/>
    <n v="7"/>
    <x v="2"/>
    <x v="4"/>
    <m/>
  </r>
  <r>
    <n v="1698"/>
    <n v="36"/>
    <s v="Male"/>
    <x v="5"/>
    <x v="0"/>
    <n v="87"/>
    <s v="South Carolina"/>
    <x v="0"/>
    <x v="12"/>
    <x v="3"/>
    <x v="22"/>
    <x v="1"/>
    <x v="1"/>
    <n v="48"/>
    <x v="2"/>
    <x v="6"/>
    <m/>
  </r>
  <r>
    <n v="1699"/>
    <n v="25"/>
    <s v="Male"/>
    <x v="22"/>
    <x v="3"/>
    <n v="41"/>
    <s v="Iowa"/>
    <x v="3"/>
    <x v="2"/>
    <x v="0"/>
    <x v="3"/>
    <x v="1"/>
    <x v="1"/>
    <n v="46"/>
    <x v="4"/>
    <x v="3"/>
    <m/>
  </r>
  <r>
    <n v="1700"/>
    <n v="20"/>
    <s v="Male"/>
    <x v="1"/>
    <x v="0"/>
    <n v="67"/>
    <s v="North Dakota"/>
    <x v="0"/>
    <x v="11"/>
    <x v="1"/>
    <x v="8"/>
    <x v="1"/>
    <x v="1"/>
    <n v="34"/>
    <x v="5"/>
    <x v="2"/>
    <m/>
  </r>
  <r>
    <n v="1701"/>
    <n v="62"/>
    <s v="Male"/>
    <x v="15"/>
    <x v="0"/>
    <n v="70"/>
    <s v="West Virginia"/>
    <x v="0"/>
    <x v="13"/>
    <x v="3"/>
    <x v="18"/>
    <x v="1"/>
    <x v="1"/>
    <n v="36"/>
    <x v="4"/>
    <x v="5"/>
    <m/>
  </r>
  <r>
    <n v="1702"/>
    <n v="69"/>
    <s v="Male"/>
    <x v="8"/>
    <x v="3"/>
    <n v="41"/>
    <s v="Mississippi"/>
    <x v="3"/>
    <x v="24"/>
    <x v="0"/>
    <x v="1"/>
    <x v="1"/>
    <x v="1"/>
    <n v="44"/>
    <x v="5"/>
    <x v="6"/>
    <m/>
  </r>
  <r>
    <n v="1703"/>
    <n v="54"/>
    <s v="Male"/>
    <x v="2"/>
    <x v="0"/>
    <n v="83"/>
    <s v="Alabama"/>
    <x v="3"/>
    <x v="22"/>
    <x v="2"/>
    <x v="11"/>
    <x v="1"/>
    <x v="1"/>
    <n v="48"/>
    <x v="4"/>
    <x v="1"/>
    <m/>
  </r>
  <r>
    <n v="1704"/>
    <n v="39"/>
    <s v="Male"/>
    <x v="21"/>
    <x v="3"/>
    <n v="22"/>
    <s v="California"/>
    <x v="2"/>
    <x v="13"/>
    <x v="1"/>
    <x v="8"/>
    <x v="1"/>
    <x v="1"/>
    <n v="12"/>
    <x v="4"/>
    <x v="2"/>
    <m/>
  </r>
  <r>
    <n v="1705"/>
    <n v="56"/>
    <s v="Male"/>
    <x v="4"/>
    <x v="1"/>
    <n v="20"/>
    <s v="Idaho"/>
    <x v="2"/>
    <x v="12"/>
    <x v="2"/>
    <x v="14"/>
    <x v="1"/>
    <x v="1"/>
    <n v="19"/>
    <x v="1"/>
    <x v="6"/>
    <m/>
  </r>
  <r>
    <n v="1706"/>
    <n v="39"/>
    <s v="Male"/>
    <x v="16"/>
    <x v="3"/>
    <n v="29"/>
    <s v="South Dakota"/>
    <x v="0"/>
    <x v="17"/>
    <x v="2"/>
    <x v="10"/>
    <x v="1"/>
    <x v="1"/>
    <n v="49"/>
    <x v="0"/>
    <x v="4"/>
    <m/>
  </r>
  <r>
    <n v="1707"/>
    <n v="37"/>
    <s v="Male"/>
    <x v="12"/>
    <x v="3"/>
    <n v="87"/>
    <s v="North Dakota"/>
    <x v="2"/>
    <x v="18"/>
    <x v="1"/>
    <x v="23"/>
    <x v="1"/>
    <x v="1"/>
    <n v="25"/>
    <x v="0"/>
    <x v="0"/>
    <m/>
  </r>
  <r>
    <n v="1708"/>
    <n v="25"/>
    <s v="Male"/>
    <x v="6"/>
    <x v="0"/>
    <n v="81"/>
    <s v="Nevada"/>
    <x v="0"/>
    <x v="1"/>
    <x v="3"/>
    <x v="17"/>
    <x v="1"/>
    <x v="1"/>
    <n v="25"/>
    <x v="1"/>
    <x v="4"/>
    <m/>
  </r>
  <r>
    <n v="1709"/>
    <n v="35"/>
    <s v="Male"/>
    <x v="23"/>
    <x v="1"/>
    <n v="58"/>
    <s v="Florida"/>
    <x v="0"/>
    <x v="17"/>
    <x v="1"/>
    <x v="20"/>
    <x v="1"/>
    <x v="1"/>
    <n v="1"/>
    <x v="2"/>
    <x v="3"/>
    <m/>
  </r>
  <r>
    <n v="1710"/>
    <n v="45"/>
    <s v="Male"/>
    <x v="11"/>
    <x v="0"/>
    <n v="83"/>
    <s v="Indiana"/>
    <x v="2"/>
    <x v="6"/>
    <x v="0"/>
    <x v="1"/>
    <x v="1"/>
    <x v="1"/>
    <n v="19"/>
    <x v="4"/>
    <x v="2"/>
    <m/>
  </r>
  <r>
    <n v="1711"/>
    <n v="19"/>
    <s v="Male"/>
    <x v="13"/>
    <x v="0"/>
    <n v="59"/>
    <s v="Arkansas"/>
    <x v="3"/>
    <x v="20"/>
    <x v="3"/>
    <x v="1"/>
    <x v="1"/>
    <x v="1"/>
    <n v="7"/>
    <x v="2"/>
    <x v="3"/>
    <m/>
  </r>
  <r>
    <n v="1712"/>
    <n v="21"/>
    <s v="Male"/>
    <x v="17"/>
    <x v="0"/>
    <n v="93"/>
    <s v="North Carolina"/>
    <x v="2"/>
    <x v="12"/>
    <x v="1"/>
    <x v="15"/>
    <x v="1"/>
    <x v="1"/>
    <n v="19"/>
    <x v="2"/>
    <x v="5"/>
    <m/>
  </r>
  <r>
    <n v="1713"/>
    <n v="65"/>
    <s v="Male"/>
    <x v="17"/>
    <x v="0"/>
    <n v="87"/>
    <s v="Illinois"/>
    <x v="1"/>
    <x v="19"/>
    <x v="3"/>
    <x v="1"/>
    <x v="1"/>
    <x v="1"/>
    <n v="9"/>
    <x v="1"/>
    <x v="0"/>
    <m/>
  </r>
  <r>
    <n v="1714"/>
    <n v="49"/>
    <s v="Male"/>
    <x v="14"/>
    <x v="2"/>
    <n v="22"/>
    <s v="Missouri"/>
    <x v="2"/>
    <x v="6"/>
    <x v="0"/>
    <x v="7"/>
    <x v="1"/>
    <x v="1"/>
    <n v="37"/>
    <x v="3"/>
    <x v="3"/>
    <m/>
  </r>
  <r>
    <n v="1715"/>
    <n v="30"/>
    <s v="Male"/>
    <x v="2"/>
    <x v="0"/>
    <n v="71"/>
    <s v="South Dakota"/>
    <x v="1"/>
    <x v="4"/>
    <x v="2"/>
    <x v="9"/>
    <x v="1"/>
    <x v="1"/>
    <n v="15"/>
    <x v="1"/>
    <x v="5"/>
    <m/>
  </r>
  <r>
    <n v="1716"/>
    <n v="23"/>
    <s v="Male"/>
    <x v="10"/>
    <x v="0"/>
    <n v="69"/>
    <s v="Idaho"/>
    <x v="3"/>
    <x v="0"/>
    <x v="1"/>
    <x v="10"/>
    <x v="1"/>
    <x v="1"/>
    <n v="30"/>
    <x v="3"/>
    <x v="4"/>
    <m/>
  </r>
  <r>
    <n v="1717"/>
    <n v="69"/>
    <s v="Male"/>
    <x v="0"/>
    <x v="0"/>
    <n v="47"/>
    <s v="Connecticut"/>
    <x v="2"/>
    <x v="17"/>
    <x v="0"/>
    <x v="15"/>
    <x v="1"/>
    <x v="1"/>
    <n v="30"/>
    <x v="1"/>
    <x v="6"/>
    <m/>
  </r>
  <r>
    <n v="1718"/>
    <n v="29"/>
    <s v="Male"/>
    <x v="15"/>
    <x v="0"/>
    <n v="50"/>
    <s v="Hawaii"/>
    <x v="0"/>
    <x v="20"/>
    <x v="2"/>
    <x v="25"/>
    <x v="1"/>
    <x v="1"/>
    <n v="16"/>
    <x v="5"/>
    <x v="4"/>
    <m/>
  </r>
  <r>
    <n v="1719"/>
    <n v="54"/>
    <s v="Male"/>
    <x v="17"/>
    <x v="0"/>
    <n v="96"/>
    <s v="Maryland"/>
    <x v="0"/>
    <x v="6"/>
    <x v="0"/>
    <x v="10"/>
    <x v="1"/>
    <x v="1"/>
    <n v="14"/>
    <x v="3"/>
    <x v="6"/>
    <m/>
  </r>
  <r>
    <n v="1720"/>
    <n v="45"/>
    <s v="Male"/>
    <x v="1"/>
    <x v="0"/>
    <n v="39"/>
    <s v="Maryland"/>
    <x v="2"/>
    <x v="3"/>
    <x v="0"/>
    <x v="20"/>
    <x v="1"/>
    <x v="1"/>
    <n v="8"/>
    <x v="0"/>
    <x v="3"/>
    <m/>
  </r>
  <r>
    <n v="1721"/>
    <n v="25"/>
    <s v="Male"/>
    <x v="6"/>
    <x v="0"/>
    <n v="84"/>
    <s v="Massachusetts"/>
    <x v="1"/>
    <x v="19"/>
    <x v="0"/>
    <x v="24"/>
    <x v="1"/>
    <x v="1"/>
    <n v="40"/>
    <x v="5"/>
    <x v="4"/>
    <m/>
  </r>
  <r>
    <n v="1722"/>
    <n v="34"/>
    <s v="Male"/>
    <x v="16"/>
    <x v="3"/>
    <n v="28"/>
    <s v="Delaware"/>
    <x v="1"/>
    <x v="23"/>
    <x v="1"/>
    <x v="12"/>
    <x v="1"/>
    <x v="1"/>
    <n v="24"/>
    <x v="2"/>
    <x v="5"/>
    <m/>
  </r>
  <r>
    <n v="1723"/>
    <n v="46"/>
    <s v="Male"/>
    <x v="17"/>
    <x v="0"/>
    <n v="51"/>
    <s v="Massachusetts"/>
    <x v="0"/>
    <x v="10"/>
    <x v="2"/>
    <x v="19"/>
    <x v="1"/>
    <x v="1"/>
    <n v="14"/>
    <x v="1"/>
    <x v="0"/>
    <m/>
  </r>
  <r>
    <n v="1724"/>
    <n v="70"/>
    <s v="Male"/>
    <x v="18"/>
    <x v="3"/>
    <n v="20"/>
    <s v="New York"/>
    <x v="3"/>
    <x v="9"/>
    <x v="1"/>
    <x v="19"/>
    <x v="1"/>
    <x v="1"/>
    <n v="39"/>
    <x v="3"/>
    <x v="2"/>
    <m/>
  </r>
  <r>
    <n v="1725"/>
    <n v="42"/>
    <s v="Male"/>
    <x v="9"/>
    <x v="1"/>
    <n v="72"/>
    <s v="Delaware"/>
    <x v="1"/>
    <x v="11"/>
    <x v="0"/>
    <x v="19"/>
    <x v="1"/>
    <x v="1"/>
    <n v="21"/>
    <x v="3"/>
    <x v="1"/>
    <m/>
  </r>
  <r>
    <n v="1726"/>
    <n v="45"/>
    <s v="Male"/>
    <x v="12"/>
    <x v="3"/>
    <n v="33"/>
    <s v="Massachusetts"/>
    <x v="2"/>
    <x v="21"/>
    <x v="1"/>
    <x v="23"/>
    <x v="1"/>
    <x v="1"/>
    <n v="32"/>
    <x v="0"/>
    <x v="3"/>
    <m/>
  </r>
  <r>
    <n v="1727"/>
    <n v="57"/>
    <s v="Male"/>
    <x v="7"/>
    <x v="2"/>
    <n v="28"/>
    <s v="Indiana"/>
    <x v="1"/>
    <x v="8"/>
    <x v="2"/>
    <x v="24"/>
    <x v="1"/>
    <x v="1"/>
    <n v="45"/>
    <x v="5"/>
    <x v="1"/>
    <m/>
  </r>
  <r>
    <n v="1728"/>
    <n v="49"/>
    <s v="Male"/>
    <x v="0"/>
    <x v="0"/>
    <n v="53"/>
    <s v="Virginia"/>
    <x v="1"/>
    <x v="10"/>
    <x v="1"/>
    <x v="8"/>
    <x v="1"/>
    <x v="1"/>
    <n v="19"/>
    <x v="3"/>
    <x v="5"/>
    <m/>
  </r>
  <r>
    <n v="1729"/>
    <n v="23"/>
    <s v="Male"/>
    <x v="2"/>
    <x v="0"/>
    <n v="48"/>
    <s v="Wyoming"/>
    <x v="0"/>
    <x v="13"/>
    <x v="3"/>
    <x v="12"/>
    <x v="1"/>
    <x v="1"/>
    <n v="1"/>
    <x v="5"/>
    <x v="6"/>
    <m/>
  </r>
  <r>
    <n v="1730"/>
    <n v="47"/>
    <s v="Male"/>
    <x v="6"/>
    <x v="0"/>
    <n v="21"/>
    <s v="Illinois"/>
    <x v="2"/>
    <x v="18"/>
    <x v="0"/>
    <x v="1"/>
    <x v="1"/>
    <x v="1"/>
    <n v="12"/>
    <x v="0"/>
    <x v="0"/>
    <m/>
  </r>
  <r>
    <n v="1731"/>
    <n v="23"/>
    <s v="Male"/>
    <x v="5"/>
    <x v="0"/>
    <n v="22"/>
    <s v="Alabama"/>
    <x v="1"/>
    <x v="5"/>
    <x v="3"/>
    <x v="13"/>
    <x v="1"/>
    <x v="1"/>
    <n v="26"/>
    <x v="2"/>
    <x v="1"/>
    <m/>
  </r>
  <r>
    <n v="1732"/>
    <n v="21"/>
    <s v="Male"/>
    <x v="21"/>
    <x v="3"/>
    <n v="87"/>
    <s v="Idaho"/>
    <x v="2"/>
    <x v="0"/>
    <x v="3"/>
    <x v="0"/>
    <x v="1"/>
    <x v="1"/>
    <n v="12"/>
    <x v="1"/>
    <x v="5"/>
    <m/>
  </r>
  <r>
    <n v="1733"/>
    <n v="45"/>
    <s v="Male"/>
    <x v="22"/>
    <x v="3"/>
    <n v="50"/>
    <s v="Rhode Island"/>
    <x v="1"/>
    <x v="4"/>
    <x v="0"/>
    <x v="4"/>
    <x v="1"/>
    <x v="1"/>
    <n v="36"/>
    <x v="1"/>
    <x v="6"/>
    <m/>
  </r>
  <r>
    <n v="1734"/>
    <n v="67"/>
    <s v="Male"/>
    <x v="0"/>
    <x v="0"/>
    <n v="85"/>
    <s v="New York"/>
    <x v="0"/>
    <x v="13"/>
    <x v="2"/>
    <x v="10"/>
    <x v="1"/>
    <x v="1"/>
    <n v="22"/>
    <x v="2"/>
    <x v="2"/>
    <m/>
  </r>
  <r>
    <n v="1735"/>
    <n v="31"/>
    <s v="Male"/>
    <x v="2"/>
    <x v="0"/>
    <n v="98"/>
    <s v="Missouri"/>
    <x v="0"/>
    <x v="18"/>
    <x v="1"/>
    <x v="0"/>
    <x v="1"/>
    <x v="1"/>
    <n v="16"/>
    <x v="3"/>
    <x v="3"/>
    <m/>
  </r>
  <r>
    <n v="1736"/>
    <n v="58"/>
    <s v="Male"/>
    <x v="10"/>
    <x v="0"/>
    <n v="34"/>
    <s v="Texas"/>
    <x v="2"/>
    <x v="7"/>
    <x v="0"/>
    <x v="2"/>
    <x v="1"/>
    <x v="1"/>
    <n v="31"/>
    <x v="0"/>
    <x v="2"/>
    <m/>
  </r>
  <r>
    <n v="1737"/>
    <n v="57"/>
    <s v="Male"/>
    <x v="6"/>
    <x v="0"/>
    <n v="61"/>
    <s v="Tennessee"/>
    <x v="2"/>
    <x v="7"/>
    <x v="2"/>
    <x v="4"/>
    <x v="1"/>
    <x v="1"/>
    <n v="43"/>
    <x v="1"/>
    <x v="3"/>
    <m/>
  </r>
  <r>
    <n v="1738"/>
    <n v="42"/>
    <s v="Male"/>
    <x v="16"/>
    <x v="3"/>
    <n v="98"/>
    <s v="Ohio"/>
    <x v="0"/>
    <x v="0"/>
    <x v="2"/>
    <x v="13"/>
    <x v="1"/>
    <x v="1"/>
    <n v="50"/>
    <x v="0"/>
    <x v="4"/>
    <m/>
  </r>
  <r>
    <n v="1739"/>
    <n v="60"/>
    <s v="Male"/>
    <x v="8"/>
    <x v="3"/>
    <n v="61"/>
    <s v="Tennessee"/>
    <x v="2"/>
    <x v="14"/>
    <x v="1"/>
    <x v="25"/>
    <x v="1"/>
    <x v="1"/>
    <n v="37"/>
    <x v="2"/>
    <x v="1"/>
    <m/>
  </r>
  <r>
    <n v="1740"/>
    <n v="21"/>
    <s v="Male"/>
    <x v="16"/>
    <x v="3"/>
    <n v="98"/>
    <s v="Minnesota"/>
    <x v="0"/>
    <x v="5"/>
    <x v="0"/>
    <x v="13"/>
    <x v="1"/>
    <x v="1"/>
    <n v="23"/>
    <x v="1"/>
    <x v="1"/>
    <m/>
  </r>
  <r>
    <n v="1741"/>
    <n v="69"/>
    <s v="Male"/>
    <x v="13"/>
    <x v="0"/>
    <n v="21"/>
    <s v="Wisconsin"/>
    <x v="0"/>
    <x v="4"/>
    <x v="3"/>
    <x v="19"/>
    <x v="1"/>
    <x v="1"/>
    <n v="10"/>
    <x v="4"/>
    <x v="6"/>
    <m/>
  </r>
  <r>
    <n v="1742"/>
    <n v="41"/>
    <s v="Male"/>
    <x v="13"/>
    <x v="0"/>
    <n v="51"/>
    <s v="Delaware"/>
    <x v="3"/>
    <x v="11"/>
    <x v="0"/>
    <x v="2"/>
    <x v="1"/>
    <x v="1"/>
    <n v="20"/>
    <x v="4"/>
    <x v="5"/>
    <m/>
  </r>
  <r>
    <n v="1743"/>
    <n v="51"/>
    <s v="Male"/>
    <x v="3"/>
    <x v="1"/>
    <n v="80"/>
    <s v="Kansas"/>
    <x v="3"/>
    <x v="3"/>
    <x v="1"/>
    <x v="12"/>
    <x v="1"/>
    <x v="1"/>
    <n v="18"/>
    <x v="0"/>
    <x v="6"/>
    <m/>
  </r>
  <r>
    <n v="1744"/>
    <n v="23"/>
    <s v="Male"/>
    <x v="11"/>
    <x v="0"/>
    <n v="72"/>
    <s v="Missouri"/>
    <x v="3"/>
    <x v="18"/>
    <x v="0"/>
    <x v="19"/>
    <x v="1"/>
    <x v="1"/>
    <n v="3"/>
    <x v="4"/>
    <x v="1"/>
    <m/>
  </r>
  <r>
    <n v="1745"/>
    <n v="57"/>
    <s v="Male"/>
    <x v="12"/>
    <x v="3"/>
    <n v="63"/>
    <s v="Michigan"/>
    <x v="0"/>
    <x v="11"/>
    <x v="0"/>
    <x v="23"/>
    <x v="1"/>
    <x v="1"/>
    <n v="23"/>
    <x v="3"/>
    <x v="1"/>
    <m/>
  </r>
  <r>
    <n v="1746"/>
    <n v="40"/>
    <s v="Male"/>
    <x v="11"/>
    <x v="0"/>
    <n v="27"/>
    <s v="West Virginia"/>
    <x v="0"/>
    <x v="16"/>
    <x v="0"/>
    <x v="2"/>
    <x v="1"/>
    <x v="1"/>
    <n v="27"/>
    <x v="1"/>
    <x v="1"/>
    <m/>
  </r>
  <r>
    <n v="1747"/>
    <n v="65"/>
    <s v="Male"/>
    <x v="8"/>
    <x v="3"/>
    <n v="44"/>
    <s v="Alabama"/>
    <x v="0"/>
    <x v="18"/>
    <x v="2"/>
    <x v="0"/>
    <x v="1"/>
    <x v="1"/>
    <n v="44"/>
    <x v="4"/>
    <x v="0"/>
    <m/>
  </r>
  <r>
    <n v="1748"/>
    <n v="61"/>
    <s v="Male"/>
    <x v="7"/>
    <x v="2"/>
    <n v="23"/>
    <s v="New Hampshire"/>
    <x v="2"/>
    <x v="22"/>
    <x v="0"/>
    <x v="25"/>
    <x v="1"/>
    <x v="1"/>
    <n v="41"/>
    <x v="0"/>
    <x v="3"/>
    <m/>
  </r>
  <r>
    <n v="1749"/>
    <n v="34"/>
    <s v="Male"/>
    <x v="11"/>
    <x v="0"/>
    <n v="93"/>
    <s v="Montana"/>
    <x v="0"/>
    <x v="11"/>
    <x v="0"/>
    <x v="14"/>
    <x v="1"/>
    <x v="1"/>
    <n v="41"/>
    <x v="4"/>
    <x v="2"/>
    <m/>
  </r>
  <r>
    <n v="1750"/>
    <n v="43"/>
    <s v="Male"/>
    <x v="15"/>
    <x v="0"/>
    <n v="70"/>
    <s v="Wyoming"/>
    <x v="0"/>
    <x v="6"/>
    <x v="3"/>
    <x v="20"/>
    <x v="1"/>
    <x v="1"/>
    <n v="36"/>
    <x v="5"/>
    <x v="6"/>
    <m/>
  </r>
  <r>
    <n v="1751"/>
    <n v="31"/>
    <s v="Male"/>
    <x v="12"/>
    <x v="3"/>
    <n v="85"/>
    <s v="Missouri"/>
    <x v="2"/>
    <x v="3"/>
    <x v="3"/>
    <x v="0"/>
    <x v="1"/>
    <x v="1"/>
    <n v="38"/>
    <x v="0"/>
    <x v="6"/>
    <m/>
  </r>
  <r>
    <n v="1752"/>
    <n v="57"/>
    <s v="Male"/>
    <x v="1"/>
    <x v="0"/>
    <n v="40"/>
    <s v="Ohio"/>
    <x v="2"/>
    <x v="5"/>
    <x v="0"/>
    <x v="20"/>
    <x v="1"/>
    <x v="1"/>
    <n v="34"/>
    <x v="1"/>
    <x v="2"/>
    <m/>
  </r>
  <r>
    <n v="1753"/>
    <n v="34"/>
    <s v="Male"/>
    <x v="23"/>
    <x v="1"/>
    <n v="29"/>
    <s v="South Dakota"/>
    <x v="0"/>
    <x v="24"/>
    <x v="0"/>
    <x v="19"/>
    <x v="1"/>
    <x v="1"/>
    <n v="14"/>
    <x v="0"/>
    <x v="3"/>
    <m/>
  </r>
  <r>
    <n v="1754"/>
    <n v="25"/>
    <s v="Male"/>
    <x v="11"/>
    <x v="0"/>
    <n v="27"/>
    <s v="Colorado"/>
    <x v="0"/>
    <x v="13"/>
    <x v="3"/>
    <x v="3"/>
    <x v="1"/>
    <x v="1"/>
    <n v="23"/>
    <x v="2"/>
    <x v="0"/>
    <m/>
  </r>
  <r>
    <n v="1755"/>
    <n v="66"/>
    <s v="Male"/>
    <x v="10"/>
    <x v="0"/>
    <n v="93"/>
    <s v="Massachusetts"/>
    <x v="1"/>
    <x v="19"/>
    <x v="3"/>
    <x v="1"/>
    <x v="1"/>
    <x v="1"/>
    <n v="18"/>
    <x v="2"/>
    <x v="0"/>
    <m/>
  </r>
  <r>
    <n v="1756"/>
    <n v="56"/>
    <s v="Male"/>
    <x v="22"/>
    <x v="3"/>
    <n v="20"/>
    <s v="Delaware"/>
    <x v="3"/>
    <x v="4"/>
    <x v="1"/>
    <x v="7"/>
    <x v="1"/>
    <x v="1"/>
    <n v="45"/>
    <x v="1"/>
    <x v="5"/>
    <m/>
  </r>
  <r>
    <n v="1757"/>
    <n v="49"/>
    <s v="Male"/>
    <x v="16"/>
    <x v="3"/>
    <n v="55"/>
    <s v="New Hampshire"/>
    <x v="1"/>
    <x v="17"/>
    <x v="3"/>
    <x v="24"/>
    <x v="1"/>
    <x v="1"/>
    <n v="14"/>
    <x v="4"/>
    <x v="1"/>
    <m/>
  </r>
  <r>
    <n v="1758"/>
    <n v="19"/>
    <s v="Male"/>
    <x v="10"/>
    <x v="0"/>
    <n v="94"/>
    <s v="Michigan"/>
    <x v="0"/>
    <x v="22"/>
    <x v="3"/>
    <x v="2"/>
    <x v="1"/>
    <x v="1"/>
    <n v="48"/>
    <x v="5"/>
    <x v="2"/>
    <m/>
  </r>
  <r>
    <n v="1759"/>
    <n v="27"/>
    <s v="Male"/>
    <x v="19"/>
    <x v="3"/>
    <n v="56"/>
    <s v="Pennsylvania"/>
    <x v="2"/>
    <x v="5"/>
    <x v="0"/>
    <x v="12"/>
    <x v="1"/>
    <x v="1"/>
    <n v="17"/>
    <x v="0"/>
    <x v="4"/>
    <m/>
  </r>
  <r>
    <n v="1760"/>
    <n v="68"/>
    <s v="Male"/>
    <x v="1"/>
    <x v="0"/>
    <n v="58"/>
    <s v="Louisiana"/>
    <x v="0"/>
    <x v="14"/>
    <x v="1"/>
    <x v="8"/>
    <x v="1"/>
    <x v="1"/>
    <n v="1"/>
    <x v="3"/>
    <x v="1"/>
    <m/>
  </r>
  <r>
    <n v="1761"/>
    <n v="20"/>
    <s v="Male"/>
    <x v="11"/>
    <x v="0"/>
    <n v="44"/>
    <s v="Minnesota"/>
    <x v="3"/>
    <x v="15"/>
    <x v="1"/>
    <x v="22"/>
    <x v="1"/>
    <x v="1"/>
    <n v="39"/>
    <x v="3"/>
    <x v="1"/>
    <m/>
  </r>
  <r>
    <n v="1762"/>
    <n v="21"/>
    <s v="Male"/>
    <x v="15"/>
    <x v="0"/>
    <n v="95"/>
    <s v="Hawaii"/>
    <x v="1"/>
    <x v="14"/>
    <x v="3"/>
    <x v="17"/>
    <x v="1"/>
    <x v="1"/>
    <n v="24"/>
    <x v="1"/>
    <x v="1"/>
    <m/>
  </r>
  <r>
    <n v="1763"/>
    <n v="36"/>
    <s v="Male"/>
    <x v="3"/>
    <x v="1"/>
    <n v="42"/>
    <s v="Idaho"/>
    <x v="2"/>
    <x v="18"/>
    <x v="2"/>
    <x v="0"/>
    <x v="1"/>
    <x v="1"/>
    <n v="41"/>
    <x v="4"/>
    <x v="0"/>
    <m/>
  </r>
  <r>
    <n v="1764"/>
    <n v="37"/>
    <s v="Male"/>
    <x v="16"/>
    <x v="3"/>
    <n v="93"/>
    <s v="Vermont"/>
    <x v="2"/>
    <x v="12"/>
    <x v="0"/>
    <x v="14"/>
    <x v="1"/>
    <x v="1"/>
    <n v="28"/>
    <x v="3"/>
    <x v="2"/>
    <m/>
  </r>
  <r>
    <n v="1765"/>
    <n v="61"/>
    <s v="Male"/>
    <x v="10"/>
    <x v="0"/>
    <n v="56"/>
    <s v="Delaware"/>
    <x v="2"/>
    <x v="4"/>
    <x v="2"/>
    <x v="23"/>
    <x v="1"/>
    <x v="1"/>
    <n v="34"/>
    <x v="0"/>
    <x v="3"/>
    <m/>
  </r>
  <r>
    <n v="1766"/>
    <n v="68"/>
    <s v="Male"/>
    <x v="15"/>
    <x v="0"/>
    <n v="88"/>
    <s v="New Mexico"/>
    <x v="2"/>
    <x v="20"/>
    <x v="1"/>
    <x v="18"/>
    <x v="1"/>
    <x v="1"/>
    <n v="41"/>
    <x v="0"/>
    <x v="3"/>
    <m/>
  </r>
  <r>
    <n v="1767"/>
    <n v="60"/>
    <s v="Male"/>
    <x v="1"/>
    <x v="0"/>
    <n v="54"/>
    <s v="Alaska"/>
    <x v="1"/>
    <x v="17"/>
    <x v="0"/>
    <x v="12"/>
    <x v="1"/>
    <x v="1"/>
    <n v="27"/>
    <x v="1"/>
    <x v="4"/>
    <m/>
  </r>
  <r>
    <n v="1768"/>
    <n v="69"/>
    <s v="Male"/>
    <x v="16"/>
    <x v="3"/>
    <n v="89"/>
    <s v="Minnesota"/>
    <x v="0"/>
    <x v="12"/>
    <x v="3"/>
    <x v="1"/>
    <x v="1"/>
    <x v="1"/>
    <n v="46"/>
    <x v="5"/>
    <x v="0"/>
    <m/>
  </r>
  <r>
    <n v="1769"/>
    <n v="25"/>
    <s v="Male"/>
    <x v="3"/>
    <x v="1"/>
    <n v="45"/>
    <s v="Nebraska"/>
    <x v="2"/>
    <x v="21"/>
    <x v="2"/>
    <x v="14"/>
    <x v="1"/>
    <x v="1"/>
    <n v="2"/>
    <x v="3"/>
    <x v="6"/>
    <m/>
  </r>
  <r>
    <n v="1770"/>
    <n v="32"/>
    <s v="Male"/>
    <x v="20"/>
    <x v="0"/>
    <n v="75"/>
    <s v="Alaska"/>
    <x v="0"/>
    <x v="18"/>
    <x v="0"/>
    <x v="12"/>
    <x v="1"/>
    <x v="1"/>
    <n v="45"/>
    <x v="1"/>
    <x v="5"/>
    <m/>
  </r>
  <r>
    <n v="1771"/>
    <n v="53"/>
    <s v="Male"/>
    <x v="21"/>
    <x v="3"/>
    <n v="22"/>
    <s v="Michigan"/>
    <x v="2"/>
    <x v="6"/>
    <x v="3"/>
    <x v="12"/>
    <x v="1"/>
    <x v="1"/>
    <n v="34"/>
    <x v="4"/>
    <x v="1"/>
    <m/>
  </r>
  <r>
    <n v="1772"/>
    <n v="46"/>
    <s v="Male"/>
    <x v="5"/>
    <x v="0"/>
    <n v="82"/>
    <s v="Indiana"/>
    <x v="3"/>
    <x v="2"/>
    <x v="3"/>
    <x v="15"/>
    <x v="1"/>
    <x v="1"/>
    <n v="9"/>
    <x v="2"/>
    <x v="2"/>
    <m/>
  </r>
  <r>
    <n v="1773"/>
    <n v="58"/>
    <s v="Male"/>
    <x v="9"/>
    <x v="1"/>
    <n v="34"/>
    <s v="Hawaii"/>
    <x v="2"/>
    <x v="9"/>
    <x v="2"/>
    <x v="0"/>
    <x v="1"/>
    <x v="1"/>
    <n v="1"/>
    <x v="4"/>
    <x v="2"/>
    <m/>
  </r>
  <r>
    <n v="1774"/>
    <n v="21"/>
    <s v="Male"/>
    <x v="7"/>
    <x v="2"/>
    <n v="92"/>
    <s v="West Virginia"/>
    <x v="2"/>
    <x v="24"/>
    <x v="2"/>
    <x v="6"/>
    <x v="1"/>
    <x v="1"/>
    <n v="17"/>
    <x v="3"/>
    <x v="2"/>
    <m/>
  </r>
  <r>
    <n v="1775"/>
    <n v="46"/>
    <s v="Male"/>
    <x v="1"/>
    <x v="0"/>
    <n v="78"/>
    <s v="New York"/>
    <x v="2"/>
    <x v="12"/>
    <x v="1"/>
    <x v="5"/>
    <x v="1"/>
    <x v="1"/>
    <n v="6"/>
    <x v="3"/>
    <x v="1"/>
    <m/>
  </r>
  <r>
    <n v="1776"/>
    <n v="18"/>
    <s v="Male"/>
    <x v="14"/>
    <x v="2"/>
    <n v="47"/>
    <s v="Iowa"/>
    <x v="2"/>
    <x v="10"/>
    <x v="1"/>
    <x v="19"/>
    <x v="1"/>
    <x v="1"/>
    <n v="12"/>
    <x v="1"/>
    <x v="4"/>
    <m/>
  </r>
  <r>
    <n v="1777"/>
    <n v="56"/>
    <s v="Male"/>
    <x v="14"/>
    <x v="2"/>
    <n v="64"/>
    <s v="Arizona"/>
    <x v="0"/>
    <x v="17"/>
    <x v="2"/>
    <x v="10"/>
    <x v="1"/>
    <x v="1"/>
    <n v="10"/>
    <x v="0"/>
    <x v="6"/>
    <m/>
  </r>
  <r>
    <n v="1778"/>
    <n v="18"/>
    <s v="Male"/>
    <x v="4"/>
    <x v="1"/>
    <n v="44"/>
    <s v="Minnesota"/>
    <x v="0"/>
    <x v="7"/>
    <x v="0"/>
    <x v="15"/>
    <x v="1"/>
    <x v="1"/>
    <n v="4"/>
    <x v="1"/>
    <x v="0"/>
    <m/>
  </r>
  <r>
    <n v="1779"/>
    <n v="49"/>
    <s v="Male"/>
    <x v="22"/>
    <x v="3"/>
    <n v="94"/>
    <s v="Texas"/>
    <x v="2"/>
    <x v="16"/>
    <x v="0"/>
    <x v="17"/>
    <x v="1"/>
    <x v="1"/>
    <n v="8"/>
    <x v="5"/>
    <x v="4"/>
    <m/>
  </r>
  <r>
    <n v="1780"/>
    <n v="29"/>
    <s v="Male"/>
    <x v="18"/>
    <x v="3"/>
    <n v="62"/>
    <s v="Virginia"/>
    <x v="2"/>
    <x v="4"/>
    <x v="0"/>
    <x v="12"/>
    <x v="1"/>
    <x v="1"/>
    <n v="41"/>
    <x v="0"/>
    <x v="1"/>
    <m/>
  </r>
  <r>
    <n v="1781"/>
    <n v="67"/>
    <s v="Male"/>
    <x v="16"/>
    <x v="3"/>
    <n v="81"/>
    <s v="North Dakota"/>
    <x v="1"/>
    <x v="0"/>
    <x v="2"/>
    <x v="13"/>
    <x v="1"/>
    <x v="1"/>
    <n v="49"/>
    <x v="2"/>
    <x v="1"/>
    <m/>
  </r>
  <r>
    <n v="1782"/>
    <n v="31"/>
    <s v="Male"/>
    <x v="17"/>
    <x v="0"/>
    <n v="33"/>
    <s v="Iowa"/>
    <x v="2"/>
    <x v="6"/>
    <x v="3"/>
    <x v="5"/>
    <x v="1"/>
    <x v="1"/>
    <n v="49"/>
    <x v="4"/>
    <x v="3"/>
    <m/>
  </r>
  <r>
    <n v="1783"/>
    <n v="52"/>
    <s v="Male"/>
    <x v="13"/>
    <x v="0"/>
    <n v="88"/>
    <s v="Utah"/>
    <x v="2"/>
    <x v="12"/>
    <x v="3"/>
    <x v="6"/>
    <x v="1"/>
    <x v="1"/>
    <n v="40"/>
    <x v="4"/>
    <x v="0"/>
    <m/>
  </r>
  <r>
    <n v="1784"/>
    <n v="42"/>
    <s v="Male"/>
    <x v="8"/>
    <x v="3"/>
    <n v="49"/>
    <s v="Ohio"/>
    <x v="0"/>
    <x v="12"/>
    <x v="0"/>
    <x v="19"/>
    <x v="1"/>
    <x v="1"/>
    <n v="30"/>
    <x v="2"/>
    <x v="5"/>
    <m/>
  </r>
  <r>
    <n v="1785"/>
    <n v="32"/>
    <s v="Male"/>
    <x v="21"/>
    <x v="3"/>
    <n v="31"/>
    <s v="Louisiana"/>
    <x v="0"/>
    <x v="22"/>
    <x v="2"/>
    <x v="3"/>
    <x v="1"/>
    <x v="1"/>
    <n v="4"/>
    <x v="5"/>
    <x v="3"/>
    <m/>
  </r>
  <r>
    <n v="1786"/>
    <n v="47"/>
    <s v="Male"/>
    <x v="24"/>
    <x v="3"/>
    <n v="29"/>
    <s v="Iowa"/>
    <x v="1"/>
    <x v="15"/>
    <x v="3"/>
    <x v="18"/>
    <x v="1"/>
    <x v="1"/>
    <n v="22"/>
    <x v="0"/>
    <x v="5"/>
    <m/>
  </r>
  <r>
    <n v="1787"/>
    <n v="45"/>
    <s v="Male"/>
    <x v="14"/>
    <x v="2"/>
    <n v="34"/>
    <s v="Maryland"/>
    <x v="2"/>
    <x v="18"/>
    <x v="1"/>
    <x v="7"/>
    <x v="1"/>
    <x v="1"/>
    <n v="22"/>
    <x v="0"/>
    <x v="5"/>
    <m/>
  </r>
  <r>
    <n v="1788"/>
    <n v="20"/>
    <s v="Male"/>
    <x v="1"/>
    <x v="0"/>
    <n v="38"/>
    <s v="Montana"/>
    <x v="0"/>
    <x v="9"/>
    <x v="3"/>
    <x v="17"/>
    <x v="1"/>
    <x v="1"/>
    <n v="10"/>
    <x v="4"/>
    <x v="3"/>
    <m/>
  </r>
  <r>
    <n v="1789"/>
    <n v="66"/>
    <s v="Male"/>
    <x v="0"/>
    <x v="0"/>
    <n v="41"/>
    <s v="Illinois"/>
    <x v="0"/>
    <x v="6"/>
    <x v="2"/>
    <x v="0"/>
    <x v="1"/>
    <x v="1"/>
    <n v="23"/>
    <x v="1"/>
    <x v="4"/>
    <m/>
  </r>
  <r>
    <n v="1790"/>
    <n v="52"/>
    <s v="Male"/>
    <x v="0"/>
    <x v="0"/>
    <n v="34"/>
    <s v="Arizona"/>
    <x v="0"/>
    <x v="15"/>
    <x v="1"/>
    <x v="23"/>
    <x v="1"/>
    <x v="1"/>
    <n v="43"/>
    <x v="5"/>
    <x v="3"/>
    <m/>
  </r>
  <r>
    <n v="1791"/>
    <n v="50"/>
    <s v="Male"/>
    <x v="24"/>
    <x v="3"/>
    <n v="26"/>
    <s v="North Carolina"/>
    <x v="1"/>
    <x v="10"/>
    <x v="2"/>
    <x v="5"/>
    <x v="1"/>
    <x v="1"/>
    <n v="31"/>
    <x v="3"/>
    <x v="4"/>
    <m/>
  </r>
  <r>
    <n v="1792"/>
    <n v="62"/>
    <s v="Male"/>
    <x v="2"/>
    <x v="0"/>
    <n v="98"/>
    <s v="Montana"/>
    <x v="1"/>
    <x v="7"/>
    <x v="0"/>
    <x v="8"/>
    <x v="1"/>
    <x v="1"/>
    <n v="38"/>
    <x v="1"/>
    <x v="2"/>
    <m/>
  </r>
  <r>
    <n v="1793"/>
    <n v="38"/>
    <s v="Male"/>
    <x v="4"/>
    <x v="1"/>
    <n v="59"/>
    <s v="Iowa"/>
    <x v="2"/>
    <x v="15"/>
    <x v="3"/>
    <x v="23"/>
    <x v="1"/>
    <x v="1"/>
    <n v="22"/>
    <x v="5"/>
    <x v="6"/>
    <m/>
  </r>
  <r>
    <n v="1794"/>
    <n v="65"/>
    <s v="Male"/>
    <x v="19"/>
    <x v="3"/>
    <n v="92"/>
    <s v="Iowa"/>
    <x v="1"/>
    <x v="3"/>
    <x v="3"/>
    <x v="1"/>
    <x v="1"/>
    <x v="1"/>
    <n v="45"/>
    <x v="1"/>
    <x v="6"/>
    <m/>
  </r>
  <r>
    <n v="1795"/>
    <n v="60"/>
    <s v="Male"/>
    <x v="21"/>
    <x v="3"/>
    <n v="40"/>
    <s v="Ohio"/>
    <x v="0"/>
    <x v="21"/>
    <x v="1"/>
    <x v="5"/>
    <x v="1"/>
    <x v="1"/>
    <n v="21"/>
    <x v="5"/>
    <x v="0"/>
    <m/>
  </r>
  <r>
    <n v="1796"/>
    <n v="68"/>
    <s v="Male"/>
    <x v="2"/>
    <x v="0"/>
    <n v="20"/>
    <s v="Wisconsin"/>
    <x v="1"/>
    <x v="10"/>
    <x v="3"/>
    <x v="8"/>
    <x v="1"/>
    <x v="1"/>
    <n v="9"/>
    <x v="5"/>
    <x v="0"/>
    <m/>
  </r>
  <r>
    <n v="1797"/>
    <n v="62"/>
    <s v="Male"/>
    <x v="11"/>
    <x v="0"/>
    <n v="35"/>
    <s v="South Carolina"/>
    <x v="1"/>
    <x v="18"/>
    <x v="1"/>
    <x v="0"/>
    <x v="1"/>
    <x v="1"/>
    <n v="34"/>
    <x v="0"/>
    <x v="1"/>
    <m/>
  </r>
  <r>
    <n v="1798"/>
    <n v="62"/>
    <s v="Male"/>
    <x v="22"/>
    <x v="3"/>
    <n v="35"/>
    <s v="Oregon"/>
    <x v="0"/>
    <x v="1"/>
    <x v="1"/>
    <x v="14"/>
    <x v="1"/>
    <x v="1"/>
    <n v="26"/>
    <x v="0"/>
    <x v="1"/>
    <m/>
  </r>
  <r>
    <n v="1799"/>
    <n v="40"/>
    <s v="Male"/>
    <x v="10"/>
    <x v="0"/>
    <n v="82"/>
    <s v="North Dakota"/>
    <x v="0"/>
    <x v="23"/>
    <x v="0"/>
    <x v="5"/>
    <x v="1"/>
    <x v="1"/>
    <n v="1"/>
    <x v="1"/>
    <x v="1"/>
    <m/>
  </r>
  <r>
    <n v="1800"/>
    <n v="32"/>
    <s v="Male"/>
    <x v="15"/>
    <x v="0"/>
    <n v="48"/>
    <s v="California"/>
    <x v="2"/>
    <x v="4"/>
    <x v="3"/>
    <x v="14"/>
    <x v="1"/>
    <x v="1"/>
    <n v="47"/>
    <x v="0"/>
    <x v="1"/>
    <m/>
  </r>
  <r>
    <n v="1801"/>
    <n v="22"/>
    <s v="Male"/>
    <x v="7"/>
    <x v="2"/>
    <n v="58"/>
    <s v="Mississippi"/>
    <x v="3"/>
    <x v="21"/>
    <x v="0"/>
    <x v="6"/>
    <x v="1"/>
    <x v="1"/>
    <n v="30"/>
    <x v="2"/>
    <x v="1"/>
    <m/>
  </r>
  <r>
    <n v="1802"/>
    <n v="33"/>
    <s v="Male"/>
    <x v="1"/>
    <x v="0"/>
    <n v="57"/>
    <s v="New Jersey"/>
    <x v="2"/>
    <x v="2"/>
    <x v="1"/>
    <x v="14"/>
    <x v="1"/>
    <x v="1"/>
    <n v="48"/>
    <x v="5"/>
    <x v="0"/>
    <m/>
  </r>
  <r>
    <n v="1803"/>
    <n v="57"/>
    <s v="Male"/>
    <x v="6"/>
    <x v="0"/>
    <n v="96"/>
    <s v="Rhode Island"/>
    <x v="0"/>
    <x v="2"/>
    <x v="0"/>
    <x v="4"/>
    <x v="1"/>
    <x v="1"/>
    <n v="31"/>
    <x v="0"/>
    <x v="4"/>
    <m/>
  </r>
  <r>
    <n v="1804"/>
    <n v="60"/>
    <s v="Male"/>
    <x v="4"/>
    <x v="1"/>
    <n v="97"/>
    <s v="New Hampshire"/>
    <x v="1"/>
    <x v="0"/>
    <x v="2"/>
    <x v="22"/>
    <x v="1"/>
    <x v="1"/>
    <n v="33"/>
    <x v="0"/>
    <x v="0"/>
    <m/>
  </r>
  <r>
    <n v="1805"/>
    <n v="30"/>
    <s v="Male"/>
    <x v="1"/>
    <x v="0"/>
    <n v="42"/>
    <s v="Louisiana"/>
    <x v="0"/>
    <x v="15"/>
    <x v="0"/>
    <x v="9"/>
    <x v="1"/>
    <x v="1"/>
    <n v="39"/>
    <x v="2"/>
    <x v="1"/>
    <m/>
  </r>
  <r>
    <n v="1806"/>
    <n v="41"/>
    <s v="Male"/>
    <x v="17"/>
    <x v="0"/>
    <n v="62"/>
    <s v="Arizona"/>
    <x v="0"/>
    <x v="9"/>
    <x v="1"/>
    <x v="17"/>
    <x v="1"/>
    <x v="1"/>
    <n v="46"/>
    <x v="5"/>
    <x v="1"/>
    <m/>
  </r>
  <r>
    <n v="1807"/>
    <n v="58"/>
    <s v="Male"/>
    <x v="8"/>
    <x v="3"/>
    <n v="67"/>
    <s v="Rhode Island"/>
    <x v="2"/>
    <x v="14"/>
    <x v="3"/>
    <x v="14"/>
    <x v="1"/>
    <x v="1"/>
    <n v="24"/>
    <x v="0"/>
    <x v="2"/>
    <m/>
  </r>
  <r>
    <n v="1808"/>
    <n v="34"/>
    <s v="Male"/>
    <x v="4"/>
    <x v="1"/>
    <n v="46"/>
    <s v="Vermont"/>
    <x v="0"/>
    <x v="9"/>
    <x v="2"/>
    <x v="22"/>
    <x v="1"/>
    <x v="1"/>
    <n v="37"/>
    <x v="0"/>
    <x v="0"/>
    <m/>
  </r>
  <r>
    <n v="1809"/>
    <n v="67"/>
    <s v="Male"/>
    <x v="14"/>
    <x v="2"/>
    <n v="71"/>
    <s v="Tennessee"/>
    <x v="2"/>
    <x v="12"/>
    <x v="1"/>
    <x v="12"/>
    <x v="1"/>
    <x v="1"/>
    <n v="7"/>
    <x v="5"/>
    <x v="5"/>
    <m/>
  </r>
  <r>
    <n v="1810"/>
    <n v="58"/>
    <s v="Male"/>
    <x v="21"/>
    <x v="3"/>
    <n v="99"/>
    <s v="Alaska"/>
    <x v="1"/>
    <x v="24"/>
    <x v="3"/>
    <x v="10"/>
    <x v="1"/>
    <x v="1"/>
    <n v="6"/>
    <x v="5"/>
    <x v="0"/>
    <m/>
  </r>
  <r>
    <n v="1811"/>
    <n v="41"/>
    <s v="Male"/>
    <x v="2"/>
    <x v="0"/>
    <n v="28"/>
    <s v="Maryland"/>
    <x v="2"/>
    <x v="23"/>
    <x v="3"/>
    <x v="6"/>
    <x v="1"/>
    <x v="1"/>
    <n v="16"/>
    <x v="1"/>
    <x v="4"/>
    <m/>
  </r>
  <r>
    <n v="1812"/>
    <n v="42"/>
    <s v="Male"/>
    <x v="22"/>
    <x v="3"/>
    <n v="77"/>
    <s v="Wisconsin"/>
    <x v="0"/>
    <x v="24"/>
    <x v="2"/>
    <x v="2"/>
    <x v="1"/>
    <x v="1"/>
    <n v="33"/>
    <x v="4"/>
    <x v="2"/>
    <m/>
  </r>
  <r>
    <n v="1813"/>
    <n v="50"/>
    <s v="Male"/>
    <x v="23"/>
    <x v="1"/>
    <n v="63"/>
    <s v="Nevada"/>
    <x v="1"/>
    <x v="24"/>
    <x v="2"/>
    <x v="17"/>
    <x v="1"/>
    <x v="1"/>
    <n v="18"/>
    <x v="3"/>
    <x v="4"/>
    <m/>
  </r>
  <r>
    <n v="1814"/>
    <n v="40"/>
    <s v="Male"/>
    <x v="6"/>
    <x v="0"/>
    <n v="62"/>
    <s v="Illinois"/>
    <x v="2"/>
    <x v="8"/>
    <x v="1"/>
    <x v="22"/>
    <x v="1"/>
    <x v="1"/>
    <n v="24"/>
    <x v="3"/>
    <x v="1"/>
    <m/>
  </r>
  <r>
    <n v="1815"/>
    <n v="32"/>
    <s v="Male"/>
    <x v="2"/>
    <x v="0"/>
    <n v="92"/>
    <s v="Montana"/>
    <x v="2"/>
    <x v="3"/>
    <x v="2"/>
    <x v="1"/>
    <x v="1"/>
    <x v="1"/>
    <n v="24"/>
    <x v="1"/>
    <x v="3"/>
    <m/>
  </r>
  <r>
    <n v="1816"/>
    <n v="51"/>
    <s v="Male"/>
    <x v="9"/>
    <x v="1"/>
    <n v="72"/>
    <s v="New Mexico"/>
    <x v="0"/>
    <x v="3"/>
    <x v="0"/>
    <x v="21"/>
    <x v="1"/>
    <x v="1"/>
    <n v="48"/>
    <x v="2"/>
    <x v="6"/>
    <m/>
  </r>
  <r>
    <n v="1817"/>
    <n v="26"/>
    <s v="Male"/>
    <x v="19"/>
    <x v="3"/>
    <n v="79"/>
    <s v="Virginia"/>
    <x v="2"/>
    <x v="7"/>
    <x v="2"/>
    <x v="8"/>
    <x v="1"/>
    <x v="1"/>
    <n v="4"/>
    <x v="1"/>
    <x v="1"/>
    <m/>
  </r>
  <r>
    <n v="1818"/>
    <n v="32"/>
    <s v="Male"/>
    <x v="17"/>
    <x v="0"/>
    <n v="27"/>
    <s v="Delaware"/>
    <x v="2"/>
    <x v="3"/>
    <x v="2"/>
    <x v="15"/>
    <x v="1"/>
    <x v="1"/>
    <n v="20"/>
    <x v="1"/>
    <x v="1"/>
    <m/>
  </r>
  <r>
    <n v="1819"/>
    <n v="58"/>
    <s v="Male"/>
    <x v="12"/>
    <x v="3"/>
    <n v="39"/>
    <s v="North Carolina"/>
    <x v="2"/>
    <x v="3"/>
    <x v="3"/>
    <x v="1"/>
    <x v="1"/>
    <x v="1"/>
    <n v="47"/>
    <x v="5"/>
    <x v="6"/>
    <m/>
  </r>
  <r>
    <n v="1820"/>
    <n v="51"/>
    <s v="Male"/>
    <x v="20"/>
    <x v="0"/>
    <n v="86"/>
    <s v="Nevada"/>
    <x v="1"/>
    <x v="15"/>
    <x v="1"/>
    <x v="21"/>
    <x v="1"/>
    <x v="1"/>
    <n v="50"/>
    <x v="1"/>
    <x v="3"/>
    <m/>
  </r>
  <r>
    <n v="1821"/>
    <n v="19"/>
    <s v="Male"/>
    <x v="5"/>
    <x v="0"/>
    <n v="94"/>
    <s v="Washington"/>
    <x v="3"/>
    <x v="9"/>
    <x v="3"/>
    <x v="11"/>
    <x v="1"/>
    <x v="1"/>
    <n v="31"/>
    <x v="3"/>
    <x v="5"/>
    <m/>
  </r>
  <r>
    <n v="1822"/>
    <n v="57"/>
    <s v="Male"/>
    <x v="6"/>
    <x v="0"/>
    <n v="53"/>
    <s v="Maine"/>
    <x v="2"/>
    <x v="11"/>
    <x v="1"/>
    <x v="24"/>
    <x v="1"/>
    <x v="1"/>
    <n v="29"/>
    <x v="3"/>
    <x v="3"/>
    <m/>
  </r>
  <r>
    <n v="1823"/>
    <n v="66"/>
    <s v="Male"/>
    <x v="5"/>
    <x v="0"/>
    <n v="85"/>
    <s v="Connecticut"/>
    <x v="1"/>
    <x v="17"/>
    <x v="2"/>
    <x v="9"/>
    <x v="1"/>
    <x v="1"/>
    <n v="4"/>
    <x v="1"/>
    <x v="2"/>
    <m/>
  </r>
  <r>
    <n v="1824"/>
    <n v="62"/>
    <s v="Male"/>
    <x v="20"/>
    <x v="0"/>
    <n v="50"/>
    <s v="Louisiana"/>
    <x v="0"/>
    <x v="6"/>
    <x v="3"/>
    <x v="15"/>
    <x v="1"/>
    <x v="1"/>
    <n v="40"/>
    <x v="4"/>
    <x v="4"/>
    <m/>
  </r>
  <r>
    <n v="1825"/>
    <n v="58"/>
    <s v="Male"/>
    <x v="13"/>
    <x v="0"/>
    <n v="47"/>
    <s v="Illinois"/>
    <x v="3"/>
    <x v="23"/>
    <x v="0"/>
    <x v="1"/>
    <x v="1"/>
    <x v="1"/>
    <n v="31"/>
    <x v="1"/>
    <x v="5"/>
    <m/>
  </r>
  <r>
    <n v="1826"/>
    <n v="23"/>
    <s v="Male"/>
    <x v="23"/>
    <x v="1"/>
    <n v="75"/>
    <s v="South Dakota"/>
    <x v="2"/>
    <x v="6"/>
    <x v="0"/>
    <x v="17"/>
    <x v="1"/>
    <x v="1"/>
    <n v="41"/>
    <x v="2"/>
    <x v="1"/>
    <m/>
  </r>
  <r>
    <n v="1827"/>
    <n v="45"/>
    <s v="Male"/>
    <x v="17"/>
    <x v="0"/>
    <n v="60"/>
    <s v="Indiana"/>
    <x v="2"/>
    <x v="2"/>
    <x v="0"/>
    <x v="13"/>
    <x v="1"/>
    <x v="1"/>
    <n v="44"/>
    <x v="5"/>
    <x v="2"/>
    <m/>
  </r>
  <r>
    <n v="1828"/>
    <n v="20"/>
    <s v="Male"/>
    <x v="17"/>
    <x v="0"/>
    <n v="36"/>
    <s v="Vermont"/>
    <x v="1"/>
    <x v="6"/>
    <x v="1"/>
    <x v="17"/>
    <x v="1"/>
    <x v="1"/>
    <n v="31"/>
    <x v="4"/>
    <x v="1"/>
    <m/>
  </r>
  <r>
    <n v="1829"/>
    <n v="33"/>
    <s v="Male"/>
    <x v="7"/>
    <x v="2"/>
    <n v="80"/>
    <s v="New Hampshire"/>
    <x v="0"/>
    <x v="0"/>
    <x v="1"/>
    <x v="14"/>
    <x v="1"/>
    <x v="1"/>
    <n v="45"/>
    <x v="1"/>
    <x v="6"/>
    <m/>
  </r>
  <r>
    <n v="1830"/>
    <n v="30"/>
    <s v="Male"/>
    <x v="19"/>
    <x v="3"/>
    <n v="96"/>
    <s v="Oregon"/>
    <x v="2"/>
    <x v="3"/>
    <x v="1"/>
    <x v="17"/>
    <x v="1"/>
    <x v="1"/>
    <n v="50"/>
    <x v="2"/>
    <x v="3"/>
    <m/>
  </r>
  <r>
    <n v="1831"/>
    <n v="50"/>
    <s v="Male"/>
    <x v="12"/>
    <x v="3"/>
    <n v="80"/>
    <s v="Kansas"/>
    <x v="2"/>
    <x v="24"/>
    <x v="0"/>
    <x v="3"/>
    <x v="1"/>
    <x v="1"/>
    <n v="7"/>
    <x v="0"/>
    <x v="2"/>
    <m/>
  </r>
  <r>
    <n v="1832"/>
    <n v="62"/>
    <s v="Male"/>
    <x v="0"/>
    <x v="0"/>
    <n v="71"/>
    <s v="Maine"/>
    <x v="2"/>
    <x v="17"/>
    <x v="2"/>
    <x v="19"/>
    <x v="1"/>
    <x v="1"/>
    <n v="5"/>
    <x v="4"/>
    <x v="6"/>
    <m/>
  </r>
  <r>
    <n v="1833"/>
    <n v="69"/>
    <s v="Male"/>
    <x v="16"/>
    <x v="3"/>
    <n v="29"/>
    <s v="Louisiana"/>
    <x v="2"/>
    <x v="24"/>
    <x v="3"/>
    <x v="7"/>
    <x v="1"/>
    <x v="1"/>
    <n v="48"/>
    <x v="1"/>
    <x v="5"/>
    <m/>
  </r>
  <r>
    <n v="1834"/>
    <n v="34"/>
    <s v="Male"/>
    <x v="16"/>
    <x v="3"/>
    <n v="53"/>
    <s v="Louisiana"/>
    <x v="2"/>
    <x v="22"/>
    <x v="1"/>
    <x v="21"/>
    <x v="1"/>
    <x v="1"/>
    <n v="19"/>
    <x v="3"/>
    <x v="0"/>
    <m/>
  </r>
  <r>
    <n v="1835"/>
    <n v="49"/>
    <s v="Male"/>
    <x v="11"/>
    <x v="0"/>
    <n v="35"/>
    <s v="Indiana"/>
    <x v="2"/>
    <x v="4"/>
    <x v="2"/>
    <x v="18"/>
    <x v="1"/>
    <x v="1"/>
    <n v="39"/>
    <x v="0"/>
    <x v="0"/>
    <m/>
  </r>
  <r>
    <n v="1836"/>
    <n v="65"/>
    <s v="Male"/>
    <x v="18"/>
    <x v="3"/>
    <n v="75"/>
    <s v="Kentucky"/>
    <x v="2"/>
    <x v="12"/>
    <x v="3"/>
    <x v="20"/>
    <x v="1"/>
    <x v="1"/>
    <n v="45"/>
    <x v="2"/>
    <x v="3"/>
    <m/>
  </r>
  <r>
    <n v="1837"/>
    <n v="66"/>
    <s v="Male"/>
    <x v="13"/>
    <x v="0"/>
    <n v="52"/>
    <s v="South Carolina"/>
    <x v="2"/>
    <x v="11"/>
    <x v="3"/>
    <x v="13"/>
    <x v="1"/>
    <x v="1"/>
    <n v="35"/>
    <x v="2"/>
    <x v="5"/>
    <m/>
  </r>
  <r>
    <n v="1838"/>
    <n v="41"/>
    <s v="Male"/>
    <x v="19"/>
    <x v="3"/>
    <n v="77"/>
    <s v="Montana"/>
    <x v="2"/>
    <x v="19"/>
    <x v="0"/>
    <x v="3"/>
    <x v="1"/>
    <x v="1"/>
    <n v="8"/>
    <x v="0"/>
    <x v="5"/>
    <m/>
  </r>
  <r>
    <n v="1839"/>
    <n v="37"/>
    <s v="Male"/>
    <x v="24"/>
    <x v="3"/>
    <n v="24"/>
    <s v="Vermont"/>
    <x v="0"/>
    <x v="24"/>
    <x v="3"/>
    <x v="18"/>
    <x v="1"/>
    <x v="1"/>
    <n v="11"/>
    <x v="2"/>
    <x v="3"/>
    <m/>
  </r>
  <r>
    <n v="1840"/>
    <n v="32"/>
    <s v="Male"/>
    <x v="5"/>
    <x v="0"/>
    <n v="78"/>
    <s v="Mississippi"/>
    <x v="3"/>
    <x v="7"/>
    <x v="0"/>
    <x v="5"/>
    <x v="1"/>
    <x v="1"/>
    <n v="32"/>
    <x v="1"/>
    <x v="2"/>
    <m/>
  </r>
  <r>
    <n v="1841"/>
    <n v="42"/>
    <s v="Male"/>
    <x v="3"/>
    <x v="1"/>
    <n v="98"/>
    <s v="Wyoming"/>
    <x v="2"/>
    <x v="9"/>
    <x v="0"/>
    <x v="4"/>
    <x v="1"/>
    <x v="1"/>
    <n v="46"/>
    <x v="4"/>
    <x v="6"/>
    <m/>
  </r>
  <r>
    <n v="1842"/>
    <n v="31"/>
    <s v="Male"/>
    <x v="20"/>
    <x v="0"/>
    <n v="57"/>
    <s v="Vermont"/>
    <x v="0"/>
    <x v="24"/>
    <x v="0"/>
    <x v="23"/>
    <x v="1"/>
    <x v="1"/>
    <n v="7"/>
    <x v="3"/>
    <x v="6"/>
    <m/>
  </r>
  <r>
    <n v="1843"/>
    <n v="61"/>
    <s v="Male"/>
    <x v="8"/>
    <x v="3"/>
    <n v="78"/>
    <s v="Alabama"/>
    <x v="2"/>
    <x v="13"/>
    <x v="2"/>
    <x v="9"/>
    <x v="1"/>
    <x v="1"/>
    <n v="1"/>
    <x v="5"/>
    <x v="2"/>
    <m/>
  </r>
  <r>
    <n v="1844"/>
    <n v="36"/>
    <s v="Male"/>
    <x v="14"/>
    <x v="2"/>
    <n v="76"/>
    <s v="Kentucky"/>
    <x v="2"/>
    <x v="4"/>
    <x v="3"/>
    <x v="15"/>
    <x v="1"/>
    <x v="1"/>
    <n v="32"/>
    <x v="2"/>
    <x v="5"/>
    <m/>
  </r>
  <r>
    <n v="1845"/>
    <n v="60"/>
    <s v="Male"/>
    <x v="6"/>
    <x v="0"/>
    <n v="26"/>
    <s v="South Dakota"/>
    <x v="2"/>
    <x v="7"/>
    <x v="1"/>
    <x v="6"/>
    <x v="1"/>
    <x v="1"/>
    <n v="31"/>
    <x v="2"/>
    <x v="2"/>
    <m/>
  </r>
  <r>
    <n v="1846"/>
    <n v="51"/>
    <s v="Male"/>
    <x v="3"/>
    <x v="1"/>
    <n v="78"/>
    <s v="Delaware"/>
    <x v="2"/>
    <x v="20"/>
    <x v="0"/>
    <x v="24"/>
    <x v="1"/>
    <x v="1"/>
    <n v="39"/>
    <x v="4"/>
    <x v="3"/>
    <m/>
  </r>
  <r>
    <n v="1847"/>
    <n v="68"/>
    <s v="Male"/>
    <x v="18"/>
    <x v="3"/>
    <n v="53"/>
    <s v="Wisconsin"/>
    <x v="2"/>
    <x v="22"/>
    <x v="2"/>
    <x v="25"/>
    <x v="1"/>
    <x v="1"/>
    <n v="9"/>
    <x v="0"/>
    <x v="3"/>
    <m/>
  </r>
  <r>
    <n v="1848"/>
    <n v="46"/>
    <s v="Male"/>
    <x v="3"/>
    <x v="1"/>
    <n v="100"/>
    <s v="Arizona"/>
    <x v="3"/>
    <x v="17"/>
    <x v="2"/>
    <x v="9"/>
    <x v="1"/>
    <x v="1"/>
    <n v="49"/>
    <x v="2"/>
    <x v="1"/>
    <m/>
  </r>
  <r>
    <n v="1849"/>
    <n v="19"/>
    <s v="Male"/>
    <x v="2"/>
    <x v="0"/>
    <n v="73"/>
    <s v="Maine"/>
    <x v="3"/>
    <x v="22"/>
    <x v="0"/>
    <x v="6"/>
    <x v="1"/>
    <x v="1"/>
    <n v="34"/>
    <x v="1"/>
    <x v="6"/>
    <m/>
  </r>
  <r>
    <n v="1850"/>
    <n v="30"/>
    <s v="Male"/>
    <x v="11"/>
    <x v="0"/>
    <n v="40"/>
    <s v="New Mexico"/>
    <x v="2"/>
    <x v="1"/>
    <x v="0"/>
    <x v="21"/>
    <x v="1"/>
    <x v="1"/>
    <n v="35"/>
    <x v="4"/>
    <x v="5"/>
    <m/>
  </r>
  <r>
    <n v="1851"/>
    <n v="51"/>
    <s v="Male"/>
    <x v="24"/>
    <x v="3"/>
    <n v="76"/>
    <s v="Wyoming"/>
    <x v="1"/>
    <x v="13"/>
    <x v="0"/>
    <x v="24"/>
    <x v="1"/>
    <x v="1"/>
    <n v="50"/>
    <x v="5"/>
    <x v="1"/>
    <m/>
  </r>
  <r>
    <n v="1852"/>
    <n v="28"/>
    <s v="Male"/>
    <x v="11"/>
    <x v="0"/>
    <n v="80"/>
    <s v="Delaware"/>
    <x v="1"/>
    <x v="12"/>
    <x v="3"/>
    <x v="0"/>
    <x v="1"/>
    <x v="1"/>
    <n v="4"/>
    <x v="4"/>
    <x v="0"/>
    <m/>
  </r>
  <r>
    <n v="1853"/>
    <n v="41"/>
    <s v="Male"/>
    <x v="1"/>
    <x v="0"/>
    <n v="80"/>
    <s v="Pennsylvania"/>
    <x v="3"/>
    <x v="10"/>
    <x v="0"/>
    <x v="1"/>
    <x v="1"/>
    <x v="1"/>
    <n v="32"/>
    <x v="1"/>
    <x v="1"/>
    <m/>
  </r>
  <r>
    <n v="1854"/>
    <n v="29"/>
    <s v="Male"/>
    <x v="0"/>
    <x v="0"/>
    <n v="67"/>
    <s v="North Dakota"/>
    <x v="3"/>
    <x v="8"/>
    <x v="1"/>
    <x v="25"/>
    <x v="1"/>
    <x v="1"/>
    <n v="11"/>
    <x v="3"/>
    <x v="0"/>
    <m/>
  </r>
  <r>
    <n v="1855"/>
    <n v="25"/>
    <s v="Male"/>
    <x v="1"/>
    <x v="0"/>
    <n v="61"/>
    <s v="Kentucky"/>
    <x v="2"/>
    <x v="11"/>
    <x v="1"/>
    <x v="1"/>
    <x v="1"/>
    <x v="1"/>
    <n v="49"/>
    <x v="2"/>
    <x v="2"/>
    <m/>
  </r>
  <r>
    <n v="1856"/>
    <n v="60"/>
    <s v="Male"/>
    <x v="5"/>
    <x v="0"/>
    <n v="76"/>
    <s v="Rhode Island"/>
    <x v="3"/>
    <x v="11"/>
    <x v="1"/>
    <x v="15"/>
    <x v="1"/>
    <x v="1"/>
    <n v="9"/>
    <x v="1"/>
    <x v="2"/>
    <m/>
  </r>
  <r>
    <n v="1857"/>
    <n v="63"/>
    <s v="Male"/>
    <x v="16"/>
    <x v="3"/>
    <n v="55"/>
    <s v="Arizona"/>
    <x v="3"/>
    <x v="19"/>
    <x v="2"/>
    <x v="20"/>
    <x v="1"/>
    <x v="1"/>
    <n v="30"/>
    <x v="3"/>
    <x v="4"/>
    <m/>
  </r>
  <r>
    <n v="1858"/>
    <n v="51"/>
    <s v="Male"/>
    <x v="17"/>
    <x v="0"/>
    <n v="85"/>
    <s v="Colorado"/>
    <x v="0"/>
    <x v="1"/>
    <x v="2"/>
    <x v="8"/>
    <x v="1"/>
    <x v="1"/>
    <n v="33"/>
    <x v="1"/>
    <x v="5"/>
    <m/>
  </r>
  <r>
    <n v="1859"/>
    <n v="22"/>
    <s v="Male"/>
    <x v="18"/>
    <x v="3"/>
    <n v="69"/>
    <s v="Maine"/>
    <x v="1"/>
    <x v="15"/>
    <x v="1"/>
    <x v="17"/>
    <x v="1"/>
    <x v="1"/>
    <n v="8"/>
    <x v="5"/>
    <x v="2"/>
    <m/>
  </r>
  <r>
    <n v="1860"/>
    <n v="54"/>
    <s v="Male"/>
    <x v="22"/>
    <x v="3"/>
    <n v="26"/>
    <s v="New Jersey"/>
    <x v="0"/>
    <x v="19"/>
    <x v="2"/>
    <x v="5"/>
    <x v="1"/>
    <x v="1"/>
    <n v="29"/>
    <x v="5"/>
    <x v="0"/>
    <m/>
  </r>
  <r>
    <n v="1861"/>
    <n v="18"/>
    <s v="Male"/>
    <x v="17"/>
    <x v="0"/>
    <n v="64"/>
    <s v="Kansas"/>
    <x v="2"/>
    <x v="5"/>
    <x v="2"/>
    <x v="3"/>
    <x v="1"/>
    <x v="1"/>
    <n v="4"/>
    <x v="2"/>
    <x v="5"/>
    <m/>
  </r>
  <r>
    <n v="1862"/>
    <n v="29"/>
    <s v="Male"/>
    <x v="4"/>
    <x v="1"/>
    <n v="60"/>
    <s v="South Dakota"/>
    <x v="1"/>
    <x v="15"/>
    <x v="3"/>
    <x v="2"/>
    <x v="1"/>
    <x v="1"/>
    <n v="19"/>
    <x v="5"/>
    <x v="5"/>
    <m/>
  </r>
  <r>
    <n v="1863"/>
    <n v="59"/>
    <s v="Male"/>
    <x v="24"/>
    <x v="3"/>
    <n v="36"/>
    <s v="New Hampshire"/>
    <x v="2"/>
    <x v="2"/>
    <x v="0"/>
    <x v="7"/>
    <x v="1"/>
    <x v="1"/>
    <n v="10"/>
    <x v="3"/>
    <x v="0"/>
    <m/>
  </r>
  <r>
    <n v="1864"/>
    <n v="25"/>
    <s v="Male"/>
    <x v="3"/>
    <x v="1"/>
    <n v="21"/>
    <s v="Connecticut"/>
    <x v="0"/>
    <x v="20"/>
    <x v="1"/>
    <x v="12"/>
    <x v="1"/>
    <x v="1"/>
    <n v="39"/>
    <x v="5"/>
    <x v="5"/>
    <m/>
  </r>
  <r>
    <n v="1865"/>
    <n v="19"/>
    <s v="Male"/>
    <x v="21"/>
    <x v="3"/>
    <n v="72"/>
    <s v="Wyoming"/>
    <x v="1"/>
    <x v="17"/>
    <x v="3"/>
    <x v="20"/>
    <x v="1"/>
    <x v="1"/>
    <n v="21"/>
    <x v="0"/>
    <x v="3"/>
    <m/>
  </r>
  <r>
    <n v="1866"/>
    <n v="56"/>
    <s v="Male"/>
    <x v="13"/>
    <x v="0"/>
    <n v="62"/>
    <s v="Missouri"/>
    <x v="1"/>
    <x v="5"/>
    <x v="2"/>
    <x v="1"/>
    <x v="1"/>
    <x v="1"/>
    <n v="12"/>
    <x v="4"/>
    <x v="5"/>
    <m/>
  </r>
  <r>
    <n v="1867"/>
    <n v="31"/>
    <s v="Male"/>
    <x v="17"/>
    <x v="0"/>
    <n v="44"/>
    <s v="Alaska"/>
    <x v="3"/>
    <x v="9"/>
    <x v="0"/>
    <x v="13"/>
    <x v="1"/>
    <x v="1"/>
    <n v="9"/>
    <x v="2"/>
    <x v="0"/>
    <m/>
  </r>
  <r>
    <n v="1868"/>
    <n v="45"/>
    <s v="Male"/>
    <x v="11"/>
    <x v="0"/>
    <n v="52"/>
    <s v="Delaware"/>
    <x v="2"/>
    <x v="18"/>
    <x v="3"/>
    <x v="10"/>
    <x v="1"/>
    <x v="1"/>
    <n v="20"/>
    <x v="0"/>
    <x v="3"/>
    <m/>
  </r>
  <r>
    <n v="1869"/>
    <n v="23"/>
    <s v="Male"/>
    <x v="24"/>
    <x v="3"/>
    <n v="58"/>
    <s v="Indiana"/>
    <x v="2"/>
    <x v="5"/>
    <x v="1"/>
    <x v="15"/>
    <x v="1"/>
    <x v="1"/>
    <n v="44"/>
    <x v="1"/>
    <x v="0"/>
    <m/>
  </r>
  <r>
    <n v="1870"/>
    <n v="18"/>
    <s v="Male"/>
    <x v="0"/>
    <x v="0"/>
    <n v="77"/>
    <s v="West Virginia"/>
    <x v="1"/>
    <x v="19"/>
    <x v="1"/>
    <x v="14"/>
    <x v="1"/>
    <x v="1"/>
    <n v="16"/>
    <x v="5"/>
    <x v="6"/>
    <m/>
  </r>
  <r>
    <n v="1871"/>
    <n v="43"/>
    <s v="Male"/>
    <x v="0"/>
    <x v="0"/>
    <n v="99"/>
    <s v="Wyoming"/>
    <x v="0"/>
    <x v="10"/>
    <x v="1"/>
    <x v="12"/>
    <x v="1"/>
    <x v="1"/>
    <n v="27"/>
    <x v="5"/>
    <x v="0"/>
    <m/>
  </r>
  <r>
    <n v="1872"/>
    <n v="56"/>
    <s v="Male"/>
    <x v="2"/>
    <x v="0"/>
    <n v="96"/>
    <s v="Illinois"/>
    <x v="3"/>
    <x v="10"/>
    <x v="3"/>
    <x v="6"/>
    <x v="1"/>
    <x v="1"/>
    <n v="14"/>
    <x v="1"/>
    <x v="6"/>
    <m/>
  </r>
  <r>
    <n v="1873"/>
    <n v="43"/>
    <s v="Male"/>
    <x v="17"/>
    <x v="0"/>
    <n v="64"/>
    <s v="Alaska"/>
    <x v="2"/>
    <x v="12"/>
    <x v="2"/>
    <x v="7"/>
    <x v="1"/>
    <x v="1"/>
    <n v="24"/>
    <x v="2"/>
    <x v="5"/>
    <m/>
  </r>
  <r>
    <n v="1874"/>
    <n v="64"/>
    <s v="Male"/>
    <x v="1"/>
    <x v="0"/>
    <n v="44"/>
    <s v="Wisconsin"/>
    <x v="3"/>
    <x v="16"/>
    <x v="3"/>
    <x v="25"/>
    <x v="1"/>
    <x v="1"/>
    <n v="49"/>
    <x v="4"/>
    <x v="1"/>
    <m/>
  </r>
  <r>
    <n v="1875"/>
    <n v="67"/>
    <s v="Male"/>
    <x v="13"/>
    <x v="0"/>
    <n v="33"/>
    <s v="Indiana"/>
    <x v="0"/>
    <x v="7"/>
    <x v="3"/>
    <x v="2"/>
    <x v="1"/>
    <x v="1"/>
    <n v="14"/>
    <x v="1"/>
    <x v="1"/>
    <m/>
  </r>
  <r>
    <n v="1876"/>
    <n v="63"/>
    <s v="Male"/>
    <x v="23"/>
    <x v="1"/>
    <n v="71"/>
    <s v="Tennessee"/>
    <x v="2"/>
    <x v="18"/>
    <x v="0"/>
    <x v="14"/>
    <x v="1"/>
    <x v="1"/>
    <n v="6"/>
    <x v="2"/>
    <x v="3"/>
    <m/>
  </r>
  <r>
    <n v="1877"/>
    <n v="54"/>
    <s v="Male"/>
    <x v="11"/>
    <x v="0"/>
    <n v="36"/>
    <s v="Illinois"/>
    <x v="2"/>
    <x v="0"/>
    <x v="3"/>
    <x v="4"/>
    <x v="1"/>
    <x v="1"/>
    <n v="20"/>
    <x v="0"/>
    <x v="3"/>
    <m/>
  </r>
  <r>
    <n v="1878"/>
    <n v="69"/>
    <s v="Male"/>
    <x v="24"/>
    <x v="3"/>
    <n v="62"/>
    <s v="Pennsylvania"/>
    <x v="0"/>
    <x v="6"/>
    <x v="3"/>
    <x v="2"/>
    <x v="1"/>
    <x v="1"/>
    <n v="3"/>
    <x v="2"/>
    <x v="2"/>
    <m/>
  </r>
  <r>
    <n v="1879"/>
    <n v="34"/>
    <s v="Male"/>
    <x v="20"/>
    <x v="0"/>
    <n v="29"/>
    <s v="Oklahoma"/>
    <x v="0"/>
    <x v="23"/>
    <x v="2"/>
    <x v="10"/>
    <x v="1"/>
    <x v="1"/>
    <n v="5"/>
    <x v="2"/>
    <x v="5"/>
    <m/>
  </r>
  <r>
    <n v="1880"/>
    <n v="56"/>
    <s v="Male"/>
    <x v="17"/>
    <x v="0"/>
    <n v="33"/>
    <s v="Tennessee"/>
    <x v="0"/>
    <x v="4"/>
    <x v="1"/>
    <x v="22"/>
    <x v="1"/>
    <x v="1"/>
    <n v="46"/>
    <x v="1"/>
    <x v="4"/>
    <m/>
  </r>
  <r>
    <n v="1881"/>
    <n v="34"/>
    <s v="Male"/>
    <x v="0"/>
    <x v="0"/>
    <n v="33"/>
    <s v="New Jersey"/>
    <x v="0"/>
    <x v="22"/>
    <x v="3"/>
    <x v="0"/>
    <x v="1"/>
    <x v="1"/>
    <n v="8"/>
    <x v="5"/>
    <x v="5"/>
    <m/>
  </r>
  <r>
    <n v="1882"/>
    <n v="58"/>
    <s v="Male"/>
    <x v="0"/>
    <x v="0"/>
    <n v="41"/>
    <s v="New Jersey"/>
    <x v="2"/>
    <x v="16"/>
    <x v="0"/>
    <x v="12"/>
    <x v="1"/>
    <x v="1"/>
    <n v="13"/>
    <x v="1"/>
    <x v="4"/>
    <m/>
  </r>
  <r>
    <n v="1883"/>
    <n v="44"/>
    <s v="Male"/>
    <x v="18"/>
    <x v="3"/>
    <n v="54"/>
    <s v="Tennessee"/>
    <x v="0"/>
    <x v="24"/>
    <x v="0"/>
    <x v="11"/>
    <x v="1"/>
    <x v="1"/>
    <n v="25"/>
    <x v="4"/>
    <x v="3"/>
    <m/>
  </r>
  <r>
    <n v="1884"/>
    <n v="25"/>
    <s v="Male"/>
    <x v="21"/>
    <x v="3"/>
    <n v="58"/>
    <s v="Georgia"/>
    <x v="2"/>
    <x v="17"/>
    <x v="1"/>
    <x v="17"/>
    <x v="1"/>
    <x v="1"/>
    <n v="39"/>
    <x v="5"/>
    <x v="0"/>
    <m/>
  </r>
  <r>
    <n v="1885"/>
    <n v="27"/>
    <s v="Male"/>
    <x v="6"/>
    <x v="0"/>
    <n v="30"/>
    <s v="Arizona"/>
    <x v="1"/>
    <x v="6"/>
    <x v="2"/>
    <x v="12"/>
    <x v="1"/>
    <x v="1"/>
    <n v="15"/>
    <x v="4"/>
    <x v="4"/>
    <m/>
  </r>
  <r>
    <n v="1886"/>
    <n v="26"/>
    <s v="Male"/>
    <x v="16"/>
    <x v="3"/>
    <n v="53"/>
    <s v="Nevada"/>
    <x v="1"/>
    <x v="1"/>
    <x v="0"/>
    <x v="9"/>
    <x v="1"/>
    <x v="1"/>
    <n v="35"/>
    <x v="1"/>
    <x v="5"/>
    <m/>
  </r>
  <r>
    <n v="1887"/>
    <n v="18"/>
    <s v="Male"/>
    <x v="24"/>
    <x v="3"/>
    <n v="91"/>
    <s v="Arkansas"/>
    <x v="0"/>
    <x v="19"/>
    <x v="1"/>
    <x v="9"/>
    <x v="1"/>
    <x v="1"/>
    <n v="46"/>
    <x v="1"/>
    <x v="4"/>
    <m/>
  </r>
  <r>
    <n v="1888"/>
    <n v="64"/>
    <s v="Male"/>
    <x v="15"/>
    <x v="0"/>
    <n v="44"/>
    <s v="North Dakota"/>
    <x v="3"/>
    <x v="9"/>
    <x v="3"/>
    <x v="22"/>
    <x v="1"/>
    <x v="1"/>
    <n v="3"/>
    <x v="3"/>
    <x v="5"/>
    <m/>
  </r>
  <r>
    <n v="1889"/>
    <n v="62"/>
    <s v="Male"/>
    <x v="15"/>
    <x v="0"/>
    <n v="89"/>
    <s v="South Dakota"/>
    <x v="3"/>
    <x v="2"/>
    <x v="0"/>
    <x v="10"/>
    <x v="1"/>
    <x v="1"/>
    <n v="48"/>
    <x v="2"/>
    <x v="1"/>
    <m/>
  </r>
  <r>
    <n v="1890"/>
    <n v="59"/>
    <s v="Male"/>
    <x v="11"/>
    <x v="0"/>
    <n v="57"/>
    <s v="North Carolina"/>
    <x v="0"/>
    <x v="15"/>
    <x v="1"/>
    <x v="16"/>
    <x v="1"/>
    <x v="1"/>
    <n v="27"/>
    <x v="4"/>
    <x v="1"/>
    <m/>
  </r>
  <r>
    <n v="1891"/>
    <n v="36"/>
    <s v="Male"/>
    <x v="12"/>
    <x v="3"/>
    <n v="57"/>
    <s v="Hawaii"/>
    <x v="2"/>
    <x v="12"/>
    <x v="1"/>
    <x v="10"/>
    <x v="1"/>
    <x v="1"/>
    <n v="5"/>
    <x v="2"/>
    <x v="1"/>
    <m/>
  </r>
  <r>
    <n v="1892"/>
    <n v="69"/>
    <s v="Male"/>
    <x v="16"/>
    <x v="3"/>
    <n v="74"/>
    <s v="New Hampshire"/>
    <x v="2"/>
    <x v="0"/>
    <x v="2"/>
    <x v="4"/>
    <x v="1"/>
    <x v="1"/>
    <n v="48"/>
    <x v="5"/>
    <x v="3"/>
    <m/>
  </r>
  <r>
    <n v="1893"/>
    <n v="39"/>
    <s v="Male"/>
    <x v="14"/>
    <x v="2"/>
    <n v="30"/>
    <s v="California"/>
    <x v="2"/>
    <x v="24"/>
    <x v="3"/>
    <x v="7"/>
    <x v="1"/>
    <x v="1"/>
    <n v="12"/>
    <x v="0"/>
    <x v="1"/>
    <m/>
  </r>
  <r>
    <n v="1894"/>
    <n v="28"/>
    <s v="Male"/>
    <x v="10"/>
    <x v="0"/>
    <n v="20"/>
    <s v="Delaware"/>
    <x v="0"/>
    <x v="16"/>
    <x v="2"/>
    <x v="5"/>
    <x v="1"/>
    <x v="1"/>
    <n v="10"/>
    <x v="3"/>
    <x v="0"/>
    <m/>
  </r>
  <r>
    <n v="1895"/>
    <n v="42"/>
    <s v="Male"/>
    <x v="15"/>
    <x v="0"/>
    <n v="90"/>
    <s v="Arizona"/>
    <x v="2"/>
    <x v="7"/>
    <x v="3"/>
    <x v="16"/>
    <x v="1"/>
    <x v="1"/>
    <n v="48"/>
    <x v="5"/>
    <x v="4"/>
    <m/>
  </r>
  <r>
    <n v="1896"/>
    <n v="31"/>
    <s v="Male"/>
    <x v="2"/>
    <x v="0"/>
    <n v="61"/>
    <s v="Washington"/>
    <x v="0"/>
    <x v="21"/>
    <x v="3"/>
    <x v="21"/>
    <x v="1"/>
    <x v="1"/>
    <n v="3"/>
    <x v="5"/>
    <x v="5"/>
    <m/>
  </r>
  <r>
    <n v="1897"/>
    <n v="57"/>
    <s v="Male"/>
    <x v="3"/>
    <x v="1"/>
    <n v="51"/>
    <s v="Nevada"/>
    <x v="2"/>
    <x v="9"/>
    <x v="3"/>
    <x v="25"/>
    <x v="1"/>
    <x v="1"/>
    <n v="19"/>
    <x v="0"/>
    <x v="5"/>
    <m/>
  </r>
  <r>
    <n v="1898"/>
    <n v="53"/>
    <s v="Male"/>
    <x v="12"/>
    <x v="3"/>
    <n v="97"/>
    <s v="Alaska"/>
    <x v="0"/>
    <x v="11"/>
    <x v="0"/>
    <x v="25"/>
    <x v="1"/>
    <x v="1"/>
    <n v="11"/>
    <x v="5"/>
    <x v="0"/>
    <m/>
  </r>
  <r>
    <n v="1899"/>
    <n v="59"/>
    <s v="Male"/>
    <x v="13"/>
    <x v="0"/>
    <n v="97"/>
    <s v="Texas"/>
    <x v="0"/>
    <x v="23"/>
    <x v="3"/>
    <x v="22"/>
    <x v="1"/>
    <x v="1"/>
    <n v="25"/>
    <x v="0"/>
    <x v="5"/>
    <m/>
  </r>
  <r>
    <n v="1900"/>
    <n v="32"/>
    <s v="Male"/>
    <x v="6"/>
    <x v="0"/>
    <n v="40"/>
    <s v="New York"/>
    <x v="0"/>
    <x v="1"/>
    <x v="0"/>
    <x v="13"/>
    <x v="1"/>
    <x v="1"/>
    <n v="42"/>
    <x v="3"/>
    <x v="1"/>
    <m/>
  </r>
  <r>
    <n v="1901"/>
    <n v="65"/>
    <s v="Male"/>
    <x v="16"/>
    <x v="3"/>
    <n v="85"/>
    <s v="Iowa"/>
    <x v="1"/>
    <x v="24"/>
    <x v="2"/>
    <x v="19"/>
    <x v="1"/>
    <x v="1"/>
    <n v="34"/>
    <x v="1"/>
    <x v="3"/>
    <m/>
  </r>
  <r>
    <n v="1902"/>
    <n v="56"/>
    <s v="Male"/>
    <x v="20"/>
    <x v="0"/>
    <n v="76"/>
    <s v="Arizona"/>
    <x v="1"/>
    <x v="19"/>
    <x v="0"/>
    <x v="14"/>
    <x v="1"/>
    <x v="1"/>
    <n v="50"/>
    <x v="1"/>
    <x v="3"/>
    <m/>
  </r>
  <r>
    <n v="1903"/>
    <n v="31"/>
    <s v="Male"/>
    <x v="3"/>
    <x v="1"/>
    <n v="22"/>
    <s v="New Mexico"/>
    <x v="1"/>
    <x v="8"/>
    <x v="1"/>
    <x v="11"/>
    <x v="1"/>
    <x v="1"/>
    <n v="21"/>
    <x v="0"/>
    <x v="5"/>
    <m/>
  </r>
  <r>
    <n v="1904"/>
    <n v="59"/>
    <s v="Male"/>
    <x v="13"/>
    <x v="0"/>
    <n v="63"/>
    <s v="North Carolina"/>
    <x v="2"/>
    <x v="9"/>
    <x v="2"/>
    <x v="19"/>
    <x v="1"/>
    <x v="1"/>
    <n v="37"/>
    <x v="4"/>
    <x v="1"/>
    <m/>
  </r>
  <r>
    <n v="1905"/>
    <n v="22"/>
    <s v="Male"/>
    <x v="17"/>
    <x v="0"/>
    <n v="71"/>
    <s v="Nevada"/>
    <x v="1"/>
    <x v="5"/>
    <x v="1"/>
    <x v="13"/>
    <x v="1"/>
    <x v="1"/>
    <n v="46"/>
    <x v="1"/>
    <x v="5"/>
    <m/>
  </r>
  <r>
    <n v="1906"/>
    <n v="47"/>
    <s v="Male"/>
    <x v="23"/>
    <x v="1"/>
    <n v="35"/>
    <s v="Idaho"/>
    <x v="2"/>
    <x v="11"/>
    <x v="2"/>
    <x v="17"/>
    <x v="1"/>
    <x v="1"/>
    <n v="14"/>
    <x v="4"/>
    <x v="0"/>
    <m/>
  </r>
  <r>
    <n v="1907"/>
    <n v="23"/>
    <s v="Male"/>
    <x v="21"/>
    <x v="3"/>
    <n v="30"/>
    <s v="Vermont"/>
    <x v="2"/>
    <x v="14"/>
    <x v="1"/>
    <x v="7"/>
    <x v="1"/>
    <x v="1"/>
    <n v="24"/>
    <x v="3"/>
    <x v="0"/>
    <m/>
  </r>
  <r>
    <n v="1908"/>
    <n v="69"/>
    <s v="Male"/>
    <x v="11"/>
    <x v="0"/>
    <n v="74"/>
    <s v="New Mexico"/>
    <x v="0"/>
    <x v="20"/>
    <x v="3"/>
    <x v="3"/>
    <x v="1"/>
    <x v="1"/>
    <n v="36"/>
    <x v="2"/>
    <x v="6"/>
    <m/>
  </r>
  <r>
    <n v="1909"/>
    <n v="18"/>
    <s v="Male"/>
    <x v="18"/>
    <x v="3"/>
    <n v="71"/>
    <s v="Georgia"/>
    <x v="3"/>
    <x v="4"/>
    <x v="0"/>
    <x v="6"/>
    <x v="1"/>
    <x v="1"/>
    <n v="19"/>
    <x v="5"/>
    <x v="4"/>
    <m/>
  </r>
  <r>
    <n v="1910"/>
    <n v="50"/>
    <s v="Male"/>
    <x v="1"/>
    <x v="0"/>
    <n v="84"/>
    <s v="Kentucky"/>
    <x v="1"/>
    <x v="13"/>
    <x v="1"/>
    <x v="12"/>
    <x v="1"/>
    <x v="1"/>
    <n v="12"/>
    <x v="2"/>
    <x v="5"/>
    <m/>
  </r>
  <r>
    <n v="1911"/>
    <n v="29"/>
    <s v="Male"/>
    <x v="3"/>
    <x v="1"/>
    <n v="38"/>
    <s v="New York"/>
    <x v="1"/>
    <x v="22"/>
    <x v="3"/>
    <x v="1"/>
    <x v="1"/>
    <x v="1"/>
    <n v="13"/>
    <x v="5"/>
    <x v="3"/>
    <m/>
  </r>
  <r>
    <n v="1912"/>
    <n v="65"/>
    <s v="Male"/>
    <x v="16"/>
    <x v="3"/>
    <n v="81"/>
    <s v="Arizona"/>
    <x v="2"/>
    <x v="0"/>
    <x v="1"/>
    <x v="17"/>
    <x v="1"/>
    <x v="1"/>
    <n v="32"/>
    <x v="5"/>
    <x v="4"/>
    <m/>
  </r>
  <r>
    <n v="1913"/>
    <n v="29"/>
    <s v="Male"/>
    <x v="1"/>
    <x v="0"/>
    <n v="56"/>
    <s v="Colorado"/>
    <x v="1"/>
    <x v="4"/>
    <x v="0"/>
    <x v="10"/>
    <x v="1"/>
    <x v="1"/>
    <n v="5"/>
    <x v="2"/>
    <x v="4"/>
    <m/>
  </r>
  <r>
    <n v="1914"/>
    <n v="49"/>
    <s v="Male"/>
    <x v="11"/>
    <x v="0"/>
    <n v="48"/>
    <s v="Kentucky"/>
    <x v="2"/>
    <x v="15"/>
    <x v="0"/>
    <x v="2"/>
    <x v="1"/>
    <x v="1"/>
    <n v="29"/>
    <x v="1"/>
    <x v="2"/>
    <m/>
  </r>
  <r>
    <n v="1915"/>
    <n v="28"/>
    <s v="Male"/>
    <x v="6"/>
    <x v="0"/>
    <n v="97"/>
    <s v="Alaska"/>
    <x v="0"/>
    <x v="14"/>
    <x v="3"/>
    <x v="10"/>
    <x v="1"/>
    <x v="1"/>
    <n v="40"/>
    <x v="2"/>
    <x v="0"/>
    <m/>
  </r>
  <r>
    <n v="1916"/>
    <n v="51"/>
    <s v="Male"/>
    <x v="21"/>
    <x v="3"/>
    <n v="74"/>
    <s v="Alabama"/>
    <x v="2"/>
    <x v="23"/>
    <x v="3"/>
    <x v="15"/>
    <x v="1"/>
    <x v="1"/>
    <n v="44"/>
    <x v="1"/>
    <x v="1"/>
    <m/>
  </r>
  <r>
    <n v="1917"/>
    <n v="26"/>
    <s v="Male"/>
    <x v="15"/>
    <x v="0"/>
    <n v="50"/>
    <s v="Connecticut"/>
    <x v="1"/>
    <x v="19"/>
    <x v="0"/>
    <x v="23"/>
    <x v="1"/>
    <x v="1"/>
    <n v="3"/>
    <x v="5"/>
    <x v="4"/>
    <m/>
  </r>
  <r>
    <n v="1918"/>
    <n v="38"/>
    <s v="Male"/>
    <x v="11"/>
    <x v="0"/>
    <n v="71"/>
    <s v="Hawaii"/>
    <x v="0"/>
    <x v="13"/>
    <x v="0"/>
    <x v="10"/>
    <x v="1"/>
    <x v="1"/>
    <n v="35"/>
    <x v="3"/>
    <x v="4"/>
    <m/>
  </r>
  <r>
    <n v="1919"/>
    <n v="35"/>
    <s v="Male"/>
    <x v="11"/>
    <x v="0"/>
    <n v="33"/>
    <s v="Idaho"/>
    <x v="1"/>
    <x v="7"/>
    <x v="2"/>
    <x v="7"/>
    <x v="1"/>
    <x v="1"/>
    <n v="33"/>
    <x v="5"/>
    <x v="5"/>
    <m/>
  </r>
  <r>
    <n v="1920"/>
    <n v="34"/>
    <s v="Male"/>
    <x v="21"/>
    <x v="3"/>
    <n v="56"/>
    <s v="Virginia"/>
    <x v="2"/>
    <x v="8"/>
    <x v="2"/>
    <x v="0"/>
    <x v="1"/>
    <x v="1"/>
    <n v="20"/>
    <x v="3"/>
    <x v="4"/>
    <m/>
  </r>
  <r>
    <n v="1921"/>
    <n v="51"/>
    <s v="Male"/>
    <x v="0"/>
    <x v="0"/>
    <n v="84"/>
    <s v="Connecticut"/>
    <x v="2"/>
    <x v="7"/>
    <x v="1"/>
    <x v="24"/>
    <x v="1"/>
    <x v="1"/>
    <n v="40"/>
    <x v="1"/>
    <x v="6"/>
    <m/>
  </r>
  <r>
    <n v="1922"/>
    <n v="47"/>
    <s v="Male"/>
    <x v="5"/>
    <x v="0"/>
    <n v="36"/>
    <s v="Michigan"/>
    <x v="2"/>
    <x v="14"/>
    <x v="3"/>
    <x v="22"/>
    <x v="1"/>
    <x v="1"/>
    <n v="13"/>
    <x v="0"/>
    <x v="2"/>
    <m/>
  </r>
  <r>
    <n v="1923"/>
    <n v="18"/>
    <s v="Male"/>
    <x v="24"/>
    <x v="3"/>
    <n v="63"/>
    <s v="Kentucky"/>
    <x v="1"/>
    <x v="15"/>
    <x v="2"/>
    <x v="7"/>
    <x v="1"/>
    <x v="1"/>
    <n v="9"/>
    <x v="3"/>
    <x v="5"/>
    <m/>
  </r>
  <r>
    <n v="1924"/>
    <n v="64"/>
    <s v="Male"/>
    <x v="3"/>
    <x v="1"/>
    <n v="36"/>
    <s v="Nebraska"/>
    <x v="3"/>
    <x v="24"/>
    <x v="2"/>
    <x v="12"/>
    <x v="1"/>
    <x v="1"/>
    <n v="7"/>
    <x v="1"/>
    <x v="2"/>
    <m/>
  </r>
  <r>
    <n v="1925"/>
    <n v="30"/>
    <s v="Male"/>
    <x v="14"/>
    <x v="2"/>
    <n v="63"/>
    <s v="Michigan"/>
    <x v="2"/>
    <x v="0"/>
    <x v="3"/>
    <x v="3"/>
    <x v="1"/>
    <x v="1"/>
    <n v="42"/>
    <x v="3"/>
    <x v="3"/>
    <m/>
  </r>
  <r>
    <n v="1926"/>
    <n v="59"/>
    <s v="Male"/>
    <x v="4"/>
    <x v="1"/>
    <n v="32"/>
    <s v="Utah"/>
    <x v="0"/>
    <x v="13"/>
    <x v="0"/>
    <x v="25"/>
    <x v="1"/>
    <x v="1"/>
    <n v="44"/>
    <x v="2"/>
    <x v="0"/>
    <m/>
  </r>
  <r>
    <n v="1927"/>
    <n v="66"/>
    <s v="Male"/>
    <x v="21"/>
    <x v="3"/>
    <n v="93"/>
    <s v="New Mexico"/>
    <x v="2"/>
    <x v="5"/>
    <x v="1"/>
    <x v="23"/>
    <x v="1"/>
    <x v="1"/>
    <n v="6"/>
    <x v="3"/>
    <x v="2"/>
    <m/>
  </r>
  <r>
    <n v="1928"/>
    <n v="40"/>
    <s v="Male"/>
    <x v="13"/>
    <x v="0"/>
    <n v="29"/>
    <s v="Florida"/>
    <x v="2"/>
    <x v="6"/>
    <x v="2"/>
    <x v="25"/>
    <x v="1"/>
    <x v="1"/>
    <n v="8"/>
    <x v="1"/>
    <x v="6"/>
    <m/>
  </r>
  <r>
    <n v="1929"/>
    <n v="25"/>
    <s v="Male"/>
    <x v="12"/>
    <x v="3"/>
    <n v="92"/>
    <s v="Mississippi"/>
    <x v="1"/>
    <x v="12"/>
    <x v="2"/>
    <x v="5"/>
    <x v="1"/>
    <x v="1"/>
    <n v="10"/>
    <x v="3"/>
    <x v="1"/>
    <m/>
  </r>
  <r>
    <n v="1930"/>
    <n v="59"/>
    <s v="Male"/>
    <x v="2"/>
    <x v="0"/>
    <n v="33"/>
    <s v="Hawaii"/>
    <x v="0"/>
    <x v="18"/>
    <x v="3"/>
    <x v="15"/>
    <x v="1"/>
    <x v="1"/>
    <n v="46"/>
    <x v="0"/>
    <x v="3"/>
    <m/>
  </r>
  <r>
    <n v="1931"/>
    <n v="66"/>
    <s v="Male"/>
    <x v="13"/>
    <x v="0"/>
    <n v="52"/>
    <s v="North Carolina"/>
    <x v="0"/>
    <x v="2"/>
    <x v="1"/>
    <x v="22"/>
    <x v="1"/>
    <x v="1"/>
    <n v="26"/>
    <x v="1"/>
    <x v="1"/>
    <m/>
  </r>
  <r>
    <n v="1932"/>
    <n v="54"/>
    <s v="Male"/>
    <x v="16"/>
    <x v="3"/>
    <n v="42"/>
    <s v="Illinois"/>
    <x v="1"/>
    <x v="8"/>
    <x v="1"/>
    <x v="6"/>
    <x v="1"/>
    <x v="1"/>
    <n v="6"/>
    <x v="5"/>
    <x v="6"/>
    <m/>
  </r>
  <r>
    <n v="1933"/>
    <n v="42"/>
    <s v="Male"/>
    <x v="15"/>
    <x v="0"/>
    <n v="36"/>
    <s v="Maryland"/>
    <x v="2"/>
    <x v="3"/>
    <x v="1"/>
    <x v="11"/>
    <x v="1"/>
    <x v="1"/>
    <n v="47"/>
    <x v="2"/>
    <x v="6"/>
    <m/>
  </r>
  <r>
    <n v="1934"/>
    <n v="48"/>
    <s v="Male"/>
    <x v="3"/>
    <x v="1"/>
    <n v="67"/>
    <s v="Montana"/>
    <x v="0"/>
    <x v="10"/>
    <x v="2"/>
    <x v="18"/>
    <x v="1"/>
    <x v="1"/>
    <n v="28"/>
    <x v="0"/>
    <x v="2"/>
    <m/>
  </r>
  <r>
    <n v="1935"/>
    <n v="34"/>
    <s v="Male"/>
    <x v="14"/>
    <x v="2"/>
    <n v="43"/>
    <s v="Michigan"/>
    <x v="0"/>
    <x v="9"/>
    <x v="0"/>
    <x v="6"/>
    <x v="1"/>
    <x v="1"/>
    <n v="23"/>
    <x v="4"/>
    <x v="2"/>
    <m/>
  </r>
  <r>
    <n v="1936"/>
    <n v="19"/>
    <s v="Male"/>
    <x v="0"/>
    <x v="0"/>
    <n v="68"/>
    <s v="North Carolina"/>
    <x v="3"/>
    <x v="10"/>
    <x v="1"/>
    <x v="3"/>
    <x v="1"/>
    <x v="1"/>
    <n v="45"/>
    <x v="1"/>
    <x v="0"/>
    <m/>
  </r>
  <r>
    <n v="1937"/>
    <n v="70"/>
    <s v="Male"/>
    <x v="16"/>
    <x v="3"/>
    <n v="60"/>
    <s v="Minnesota"/>
    <x v="1"/>
    <x v="11"/>
    <x v="2"/>
    <x v="12"/>
    <x v="1"/>
    <x v="1"/>
    <n v="44"/>
    <x v="3"/>
    <x v="6"/>
    <m/>
  </r>
  <r>
    <n v="1938"/>
    <n v="43"/>
    <s v="Male"/>
    <x v="20"/>
    <x v="0"/>
    <n v="53"/>
    <s v="Delaware"/>
    <x v="2"/>
    <x v="8"/>
    <x v="2"/>
    <x v="21"/>
    <x v="1"/>
    <x v="1"/>
    <n v="11"/>
    <x v="4"/>
    <x v="5"/>
    <m/>
  </r>
  <r>
    <n v="1939"/>
    <n v="46"/>
    <s v="Male"/>
    <x v="2"/>
    <x v="0"/>
    <n v="23"/>
    <s v="Kentucky"/>
    <x v="0"/>
    <x v="24"/>
    <x v="1"/>
    <x v="1"/>
    <x v="1"/>
    <x v="1"/>
    <n v="39"/>
    <x v="5"/>
    <x v="4"/>
    <m/>
  </r>
  <r>
    <n v="1940"/>
    <n v="66"/>
    <s v="Male"/>
    <x v="24"/>
    <x v="3"/>
    <n v="57"/>
    <s v="Ohio"/>
    <x v="0"/>
    <x v="23"/>
    <x v="0"/>
    <x v="5"/>
    <x v="1"/>
    <x v="1"/>
    <n v="20"/>
    <x v="3"/>
    <x v="6"/>
    <m/>
  </r>
  <r>
    <n v="1941"/>
    <n v="50"/>
    <s v="Male"/>
    <x v="19"/>
    <x v="3"/>
    <n v="89"/>
    <s v="Alaska"/>
    <x v="0"/>
    <x v="0"/>
    <x v="3"/>
    <x v="14"/>
    <x v="1"/>
    <x v="1"/>
    <n v="48"/>
    <x v="3"/>
    <x v="0"/>
    <m/>
  </r>
  <r>
    <n v="1942"/>
    <n v="55"/>
    <s v="Male"/>
    <x v="9"/>
    <x v="1"/>
    <n v="99"/>
    <s v="Vermont"/>
    <x v="3"/>
    <x v="15"/>
    <x v="0"/>
    <x v="19"/>
    <x v="1"/>
    <x v="1"/>
    <n v="46"/>
    <x v="2"/>
    <x v="3"/>
    <m/>
  </r>
  <r>
    <n v="1943"/>
    <n v="63"/>
    <s v="Male"/>
    <x v="13"/>
    <x v="0"/>
    <n v="28"/>
    <s v="Alabama"/>
    <x v="2"/>
    <x v="17"/>
    <x v="3"/>
    <x v="10"/>
    <x v="1"/>
    <x v="1"/>
    <n v="22"/>
    <x v="3"/>
    <x v="5"/>
    <m/>
  </r>
  <r>
    <n v="1944"/>
    <n v="32"/>
    <s v="Male"/>
    <x v="20"/>
    <x v="0"/>
    <n v="53"/>
    <s v="Wisconsin"/>
    <x v="0"/>
    <x v="10"/>
    <x v="2"/>
    <x v="1"/>
    <x v="1"/>
    <x v="1"/>
    <n v="45"/>
    <x v="1"/>
    <x v="2"/>
    <m/>
  </r>
  <r>
    <n v="1945"/>
    <n v="30"/>
    <s v="Male"/>
    <x v="15"/>
    <x v="0"/>
    <n v="45"/>
    <s v="Arkansas"/>
    <x v="2"/>
    <x v="9"/>
    <x v="0"/>
    <x v="6"/>
    <x v="1"/>
    <x v="1"/>
    <n v="49"/>
    <x v="1"/>
    <x v="6"/>
    <m/>
  </r>
  <r>
    <n v="1946"/>
    <n v="35"/>
    <s v="Male"/>
    <x v="15"/>
    <x v="0"/>
    <n v="38"/>
    <s v="Georgia"/>
    <x v="2"/>
    <x v="9"/>
    <x v="0"/>
    <x v="25"/>
    <x v="1"/>
    <x v="1"/>
    <n v="9"/>
    <x v="2"/>
    <x v="6"/>
    <m/>
  </r>
  <r>
    <n v="1947"/>
    <n v="59"/>
    <s v="Male"/>
    <x v="13"/>
    <x v="0"/>
    <n v="49"/>
    <s v="Louisiana"/>
    <x v="2"/>
    <x v="3"/>
    <x v="2"/>
    <x v="21"/>
    <x v="1"/>
    <x v="1"/>
    <n v="41"/>
    <x v="2"/>
    <x v="3"/>
    <m/>
  </r>
  <r>
    <n v="1948"/>
    <n v="59"/>
    <s v="Male"/>
    <x v="5"/>
    <x v="0"/>
    <n v="32"/>
    <s v="New York"/>
    <x v="2"/>
    <x v="0"/>
    <x v="2"/>
    <x v="4"/>
    <x v="1"/>
    <x v="1"/>
    <n v="2"/>
    <x v="3"/>
    <x v="5"/>
    <m/>
  </r>
  <r>
    <n v="1949"/>
    <n v="54"/>
    <s v="Male"/>
    <x v="17"/>
    <x v="0"/>
    <n v="37"/>
    <s v="Connecticut"/>
    <x v="0"/>
    <x v="18"/>
    <x v="0"/>
    <x v="0"/>
    <x v="1"/>
    <x v="1"/>
    <n v="39"/>
    <x v="3"/>
    <x v="4"/>
    <m/>
  </r>
  <r>
    <n v="1950"/>
    <n v="63"/>
    <s v="Male"/>
    <x v="10"/>
    <x v="0"/>
    <n v="80"/>
    <s v="Nebraska"/>
    <x v="0"/>
    <x v="0"/>
    <x v="0"/>
    <x v="15"/>
    <x v="1"/>
    <x v="1"/>
    <n v="12"/>
    <x v="3"/>
    <x v="3"/>
    <m/>
  </r>
  <r>
    <n v="1951"/>
    <n v="43"/>
    <s v="Male"/>
    <x v="21"/>
    <x v="3"/>
    <n v="78"/>
    <s v="Arkansas"/>
    <x v="0"/>
    <x v="24"/>
    <x v="2"/>
    <x v="7"/>
    <x v="1"/>
    <x v="1"/>
    <n v="26"/>
    <x v="3"/>
    <x v="6"/>
    <m/>
  </r>
  <r>
    <n v="1952"/>
    <n v="33"/>
    <s v="Male"/>
    <x v="24"/>
    <x v="3"/>
    <n v="53"/>
    <s v="Connecticut"/>
    <x v="0"/>
    <x v="9"/>
    <x v="2"/>
    <x v="6"/>
    <x v="1"/>
    <x v="1"/>
    <n v="32"/>
    <x v="4"/>
    <x v="4"/>
    <m/>
  </r>
  <r>
    <n v="1953"/>
    <n v="57"/>
    <s v="Male"/>
    <x v="9"/>
    <x v="1"/>
    <n v="82"/>
    <s v="Maryland"/>
    <x v="0"/>
    <x v="22"/>
    <x v="2"/>
    <x v="7"/>
    <x v="1"/>
    <x v="1"/>
    <n v="50"/>
    <x v="1"/>
    <x v="4"/>
    <m/>
  </r>
  <r>
    <n v="1954"/>
    <n v="25"/>
    <s v="Male"/>
    <x v="11"/>
    <x v="0"/>
    <n v="33"/>
    <s v="Colorado"/>
    <x v="3"/>
    <x v="14"/>
    <x v="1"/>
    <x v="3"/>
    <x v="1"/>
    <x v="1"/>
    <n v="3"/>
    <x v="3"/>
    <x v="0"/>
    <m/>
  </r>
  <r>
    <n v="1955"/>
    <n v="26"/>
    <s v="Male"/>
    <x v="24"/>
    <x v="3"/>
    <n v="77"/>
    <s v="Colorado"/>
    <x v="2"/>
    <x v="6"/>
    <x v="0"/>
    <x v="13"/>
    <x v="1"/>
    <x v="1"/>
    <n v="3"/>
    <x v="0"/>
    <x v="3"/>
    <m/>
  </r>
  <r>
    <n v="1956"/>
    <n v="50"/>
    <s v="Male"/>
    <x v="15"/>
    <x v="0"/>
    <n v="56"/>
    <s v="Maine"/>
    <x v="2"/>
    <x v="6"/>
    <x v="0"/>
    <x v="17"/>
    <x v="1"/>
    <x v="1"/>
    <n v="37"/>
    <x v="1"/>
    <x v="5"/>
    <m/>
  </r>
  <r>
    <n v="1957"/>
    <n v="70"/>
    <s v="Male"/>
    <x v="20"/>
    <x v="0"/>
    <n v="37"/>
    <s v="Oklahoma"/>
    <x v="2"/>
    <x v="6"/>
    <x v="0"/>
    <x v="17"/>
    <x v="1"/>
    <x v="1"/>
    <n v="20"/>
    <x v="2"/>
    <x v="0"/>
    <m/>
  </r>
  <r>
    <n v="1958"/>
    <n v="68"/>
    <s v="Male"/>
    <x v="24"/>
    <x v="3"/>
    <n v="54"/>
    <s v="South Carolina"/>
    <x v="2"/>
    <x v="17"/>
    <x v="1"/>
    <x v="21"/>
    <x v="1"/>
    <x v="1"/>
    <n v="26"/>
    <x v="1"/>
    <x v="4"/>
    <m/>
  </r>
  <r>
    <n v="1959"/>
    <n v="39"/>
    <s v="Male"/>
    <x v="6"/>
    <x v="0"/>
    <n v="67"/>
    <s v="Nevada"/>
    <x v="2"/>
    <x v="0"/>
    <x v="0"/>
    <x v="6"/>
    <x v="1"/>
    <x v="1"/>
    <n v="47"/>
    <x v="1"/>
    <x v="3"/>
    <m/>
  </r>
  <r>
    <n v="1960"/>
    <n v="46"/>
    <s v="Male"/>
    <x v="9"/>
    <x v="1"/>
    <n v="90"/>
    <s v="Colorado"/>
    <x v="2"/>
    <x v="3"/>
    <x v="3"/>
    <x v="0"/>
    <x v="1"/>
    <x v="1"/>
    <n v="7"/>
    <x v="2"/>
    <x v="6"/>
    <m/>
  </r>
  <r>
    <n v="1961"/>
    <n v="57"/>
    <s v="Male"/>
    <x v="2"/>
    <x v="0"/>
    <n v="72"/>
    <s v="Massachusetts"/>
    <x v="0"/>
    <x v="16"/>
    <x v="2"/>
    <x v="19"/>
    <x v="1"/>
    <x v="1"/>
    <n v="40"/>
    <x v="2"/>
    <x v="2"/>
    <m/>
  </r>
  <r>
    <n v="1962"/>
    <n v="47"/>
    <s v="Male"/>
    <x v="23"/>
    <x v="1"/>
    <n v="59"/>
    <s v="Nevada"/>
    <x v="0"/>
    <x v="13"/>
    <x v="2"/>
    <x v="4"/>
    <x v="1"/>
    <x v="1"/>
    <n v="45"/>
    <x v="5"/>
    <x v="3"/>
    <m/>
  </r>
  <r>
    <n v="1963"/>
    <n v="40"/>
    <s v="Male"/>
    <x v="19"/>
    <x v="3"/>
    <n v="45"/>
    <s v="Iowa"/>
    <x v="2"/>
    <x v="5"/>
    <x v="3"/>
    <x v="9"/>
    <x v="1"/>
    <x v="1"/>
    <n v="20"/>
    <x v="3"/>
    <x v="0"/>
    <m/>
  </r>
  <r>
    <n v="1964"/>
    <n v="52"/>
    <s v="Male"/>
    <x v="6"/>
    <x v="0"/>
    <n v="30"/>
    <s v="Michigan"/>
    <x v="0"/>
    <x v="6"/>
    <x v="1"/>
    <x v="14"/>
    <x v="1"/>
    <x v="1"/>
    <n v="11"/>
    <x v="2"/>
    <x v="1"/>
    <m/>
  </r>
  <r>
    <n v="1965"/>
    <n v="40"/>
    <s v="Male"/>
    <x v="13"/>
    <x v="0"/>
    <n v="51"/>
    <s v="West Virginia"/>
    <x v="1"/>
    <x v="17"/>
    <x v="2"/>
    <x v="7"/>
    <x v="1"/>
    <x v="1"/>
    <n v="50"/>
    <x v="5"/>
    <x v="5"/>
    <m/>
  </r>
  <r>
    <n v="1966"/>
    <n v="67"/>
    <s v="Male"/>
    <x v="1"/>
    <x v="0"/>
    <n v="90"/>
    <s v="Indiana"/>
    <x v="2"/>
    <x v="3"/>
    <x v="3"/>
    <x v="17"/>
    <x v="1"/>
    <x v="1"/>
    <n v="25"/>
    <x v="5"/>
    <x v="3"/>
    <m/>
  </r>
  <r>
    <n v="1967"/>
    <n v="67"/>
    <s v="Male"/>
    <x v="14"/>
    <x v="2"/>
    <n v="95"/>
    <s v="Indiana"/>
    <x v="3"/>
    <x v="7"/>
    <x v="0"/>
    <x v="5"/>
    <x v="1"/>
    <x v="1"/>
    <n v="5"/>
    <x v="2"/>
    <x v="0"/>
    <m/>
  </r>
  <r>
    <n v="1968"/>
    <n v="37"/>
    <s v="Male"/>
    <x v="10"/>
    <x v="0"/>
    <n v="81"/>
    <s v="Georgia"/>
    <x v="0"/>
    <x v="22"/>
    <x v="3"/>
    <x v="5"/>
    <x v="1"/>
    <x v="1"/>
    <n v="4"/>
    <x v="0"/>
    <x v="2"/>
    <m/>
  </r>
  <r>
    <n v="1969"/>
    <n v="67"/>
    <s v="Male"/>
    <x v="5"/>
    <x v="0"/>
    <n v="70"/>
    <s v="Minnesota"/>
    <x v="1"/>
    <x v="24"/>
    <x v="1"/>
    <x v="13"/>
    <x v="1"/>
    <x v="1"/>
    <n v="25"/>
    <x v="2"/>
    <x v="1"/>
    <m/>
  </r>
  <r>
    <n v="1970"/>
    <n v="64"/>
    <s v="Male"/>
    <x v="10"/>
    <x v="0"/>
    <n v="32"/>
    <s v="Louisiana"/>
    <x v="1"/>
    <x v="17"/>
    <x v="0"/>
    <x v="22"/>
    <x v="1"/>
    <x v="1"/>
    <n v="11"/>
    <x v="4"/>
    <x v="0"/>
    <m/>
  </r>
  <r>
    <n v="1971"/>
    <n v="28"/>
    <s v="Male"/>
    <x v="22"/>
    <x v="3"/>
    <n v="94"/>
    <s v="Maryland"/>
    <x v="2"/>
    <x v="21"/>
    <x v="1"/>
    <x v="25"/>
    <x v="1"/>
    <x v="1"/>
    <n v="4"/>
    <x v="2"/>
    <x v="4"/>
    <m/>
  </r>
  <r>
    <n v="1972"/>
    <n v="54"/>
    <s v="Male"/>
    <x v="19"/>
    <x v="3"/>
    <n v="29"/>
    <s v="Pennsylvania"/>
    <x v="3"/>
    <x v="21"/>
    <x v="1"/>
    <x v="10"/>
    <x v="1"/>
    <x v="1"/>
    <n v="1"/>
    <x v="0"/>
    <x v="5"/>
    <m/>
  </r>
  <r>
    <n v="1973"/>
    <n v="54"/>
    <s v="Male"/>
    <x v="21"/>
    <x v="3"/>
    <n v="31"/>
    <s v="Louisiana"/>
    <x v="2"/>
    <x v="5"/>
    <x v="2"/>
    <x v="19"/>
    <x v="1"/>
    <x v="1"/>
    <n v="48"/>
    <x v="3"/>
    <x v="6"/>
    <m/>
  </r>
  <r>
    <n v="1974"/>
    <n v="24"/>
    <s v="Male"/>
    <x v="11"/>
    <x v="0"/>
    <n v="20"/>
    <s v="Maryland"/>
    <x v="3"/>
    <x v="16"/>
    <x v="3"/>
    <x v="21"/>
    <x v="1"/>
    <x v="1"/>
    <n v="9"/>
    <x v="0"/>
    <x v="6"/>
    <m/>
  </r>
  <r>
    <n v="1975"/>
    <n v="27"/>
    <s v="Male"/>
    <x v="24"/>
    <x v="3"/>
    <n v="44"/>
    <s v="Tennessee"/>
    <x v="2"/>
    <x v="15"/>
    <x v="0"/>
    <x v="7"/>
    <x v="1"/>
    <x v="1"/>
    <n v="2"/>
    <x v="3"/>
    <x v="0"/>
    <m/>
  </r>
  <r>
    <n v="1976"/>
    <n v="53"/>
    <s v="Male"/>
    <x v="14"/>
    <x v="2"/>
    <n v="77"/>
    <s v="Illinois"/>
    <x v="0"/>
    <x v="2"/>
    <x v="3"/>
    <x v="25"/>
    <x v="1"/>
    <x v="1"/>
    <n v="4"/>
    <x v="1"/>
    <x v="3"/>
    <m/>
  </r>
  <r>
    <n v="1977"/>
    <n v="32"/>
    <s v="Male"/>
    <x v="8"/>
    <x v="3"/>
    <n v="51"/>
    <s v="Wyoming"/>
    <x v="2"/>
    <x v="6"/>
    <x v="1"/>
    <x v="20"/>
    <x v="1"/>
    <x v="1"/>
    <n v="43"/>
    <x v="3"/>
    <x v="0"/>
    <m/>
  </r>
  <r>
    <n v="1978"/>
    <n v="24"/>
    <s v="Male"/>
    <x v="3"/>
    <x v="1"/>
    <n v="49"/>
    <s v="Florida"/>
    <x v="2"/>
    <x v="11"/>
    <x v="2"/>
    <x v="4"/>
    <x v="1"/>
    <x v="1"/>
    <n v="32"/>
    <x v="4"/>
    <x v="2"/>
    <m/>
  </r>
  <r>
    <n v="1979"/>
    <n v="45"/>
    <s v="Male"/>
    <x v="12"/>
    <x v="3"/>
    <n v="78"/>
    <s v="Massachusetts"/>
    <x v="0"/>
    <x v="23"/>
    <x v="1"/>
    <x v="1"/>
    <x v="1"/>
    <x v="1"/>
    <n v="1"/>
    <x v="1"/>
    <x v="3"/>
    <m/>
  </r>
  <r>
    <n v="1980"/>
    <n v="49"/>
    <s v="Male"/>
    <x v="2"/>
    <x v="0"/>
    <n v="98"/>
    <s v="Tennessee"/>
    <x v="0"/>
    <x v="24"/>
    <x v="1"/>
    <x v="24"/>
    <x v="1"/>
    <x v="1"/>
    <n v="38"/>
    <x v="5"/>
    <x v="0"/>
    <m/>
  </r>
  <r>
    <n v="1981"/>
    <n v="51"/>
    <s v="Male"/>
    <x v="3"/>
    <x v="1"/>
    <n v="94"/>
    <s v="Iowa"/>
    <x v="2"/>
    <x v="14"/>
    <x v="0"/>
    <x v="9"/>
    <x v="1"/>
    <x v="1"/>
    <n v="25"/>
    <x v="3"/>
    <x v="0"/>
    <m/>
  </r>
  <r>
    <n v="1982"/>
    <n v="69"/>
    <s v="Male"/>
    <x v="9"/>
    <x v="1"/>
    <n v="91"/>
    <s v="Michigan"/>
    <x v="0"/>
    <x v="10"/>
    <x v="2"/>
    <x v="15"/>
    <x v="1"/>
    <x v="1"/>
    <n v="42"/>
    <x v="3"/>
    <x v="3"/>
    <m/>
  </r>
  <r>
    <n v="1983"/>
    <n v="41"/>
    <s v="Male"/>
    <x v="12"/>
    <x v="3"/>
    <n v="77"/>
    <s v="Kansas"/>
    <x v="2"/>
    <x v="2"/>
    <x v="2"/>
    <x v="6"/>
    <x v="1"/>
    <x v="1"/>
    <n v="32"/>
    <x v="3"/>
    <x v="5"/>
    <m/>
  </r>
  <r>
    <n v="1984"/>
    <n v="59"/>
    <s v="Male"/>
    <x v="18"/>
    <x v="3"/>
    <n v="97"/>
    <s v="Georgia"/>
    <x v="2"/>
    <x v="6"/>
    <x v="2"/>
    <x v="4"/>
    <x v="1"/>
    <x v="1"/>
    <n v="21"/>
    <x v="5"/>
    <x v="3"/>
    <m/>
  </r>
  <r>
    <n v="1985"/>
    <n v="26"/>
    <s v="Male"/>
    <x v="11"/>
    <x v="0"/>
    <n v="58"/>
    <s v="West Virginia"/>
    <x v="2"/>
    <x v="13"/>
    <x v="2"/>
    <x v="10"/>
    <x v="1"/>
    <x v="1"/>
    <n v="26"/>
    <x v="3"/>
    <x v="0"/>
    <m/>
  </r>
  <r>
    <n v="1986"/>
    <n v="23"/>
    <s v="Male"/>
    <x v="24"/>
    <x v="3"/>
    <n v="97"/>
    <s v="Tennessee"/>
    <x v="2"/>
    <x v="9"/>
    <x v="1"/>
    <x v="14"/>
    <x v="1"/>
    <x v="1"/>
    <n v="6"/>
    <x v="2"/>
    <x v="0"/>
    <m/>
  </r>
  <r>
    <n v="1987"/>
    <n v="62"/>
    <s v="Male"/>
    <x v="7"/>
    <x v="2"/>
    <n v="48"/>
    <s v="Arkansas"/>
    <x v="0"/>
    <x v="14"/>
    <x v="2"/>
    <x v="10"/>
    <x v="1"/>
    <x v="1"/>
    <n v="14"/>
    <x v="0"/>
    <x v="3"/>
    <m/>
  </r>
  <r>
    <n v="1988"/>
    <n v="69"/>
    <s v="Male"/>
    <x v="22"/>
    <x v="3"/>
    <n v="23"/>
    <s v="Vermont"/>
    <x v="3"/>
    <x v="3"/>
    <x v="2"/>
    <x v="10"/>
    <x v="1"/>
    <x v="1"/>
    <n v="4"/>
    <x v="1"/>
    <x v="3"/>
    <m/>
  </r>
  <r>
    <n v="1989"/>
    <n v="46"/>
    <s v="Male"/>
    <x v="13"/>
    <x v="0"/>
    <n v="79"/>
    <s v="Virginia"/>
    <x v="2"/>
    <x v="9"/>
    <x v="0"/>
    <x v="14"/>
    <x v="1"/>
    <x v="1"/>
    <n v="26"/>
    <x v="4"/>
    <x v="1"/>
    <m/>
  </r>
  <r>
    <n v="1990"/>
    <n v="35"/>
    <s v="Male"/>
    <x v="16"/>
    <x v="3"/>
    <n v="42"/>
    <s v="Maryland"/>
    <x v="1"/>
    <x v="4"/>
    <x v="1"/>
    <x v="8"/>
    <x v="1"/>
    <x v="1"/>
    <n v="39"/>
    <x v="3"/>
    <x v="4"/>
    <m/>
  </r>
  <r>
    <n v="1991"/>
    <n v="32"/>
    <s v="Male"/>
    <x v="21"/>
    <x v="3"/>
    <n v="95"/>
    <s v="Connecticut"/>
    <x v="0"/>
    <x v="3"/>
    <x v="1"/>
    <x v="10"/>
    <x v="1"/>
    <x v="1"/>
    <n v="15"/>
    <x v="3"/>
    <x v="2"/>
    <m/>
  </r>
  <r>
    <n v="1992"/>
    <n v="46"/>
    <s v="Male"/>
    <x v="4"/>
    <x v="1"/>
    <n v="29"/>
    <s v="Missouri"/>
    <x v="2"/>
    <x v="18"/>
    <x v="2"/>
    <x v="5"/>
    <x v="1"/>
    <x v="1"/>
    <n v="1"/>
    <x v="0"/>
    <x v="6"/>
    <m/>
  </r>
  <r>
    <n v="1993"/>
    <n v="33"/>
    <s v="Male"/>
    <x v="15"/>
    <x v="0"/>
    <n v="98"/>
    <s v="New Jersey"/>
    <x v="0"/>
    <x v="9"/>
    <x v="0"/>
    <x v="17"/>
    <x v="1"/>
    <x v="1"/>
    <n v="28"/>
    <x v="0"/>
    <x v="5"/>
    <m/>
  </r>
  <r>
    <n v="1994"/>
    <n v="32"/>
    <s v="Male"/>
    <x v="0"/>
    <x v="0"/>
    <n v="96"/>
    <s v="Arkansas"/>
    <x v="1"/>
    <x v="7"/>
    <x v="1"/>
    <x v="11"/>
    <x v="1"/>
    <x v="1"/>
    <n v="17"/>
    <x v="1"/>
    <x v="1"/>
    <m/>
  </r>
  <r>
    <n v="1995"/>
    <n v="33"/>
    <s v="Male"/>
    <x v="12"/>
    <x v="3"/>
    <n v="66"/>
    <s v="Nevada"/>
    <x v="2"/>
    <x v="18"/>
    <x v="3"/>
    <x v="25"/>
    <x v="1"/>
    <x v="1"/>
    <n v="24"/>
    <x v="2"/>
    <x v="1"/>
    <m/>
  </r>
  <r>
    <n v="1996"/>
    <n v="67"/>
    <s v="Male"/>
    <x v="23"/>
    <x v="1"/>
    <n v="80"/>
    <s v="Missouri"/>
    <x v="1"/>
    <x v="11"/>
    <x v="1"/>
    <x v="23"/>
    <x v="1"/>
    <x v="1"/>
    <n v="29"/>
    <x v="5"/>
    <x v="3"/>
    <m/>
  </r>
  <r>
    <n v="1997"/>
    <n v="67"/>
    <s v="Male"/>
    <x v="4"/>
    <x v="1"/>
    <n v="27"/>
    <s v="South Dakota"/>
    <x v="0"/>
    <x v="21"/>
    <x v="2"/>
    <x v="19"/>
    <x v="1"/>
    <x v="1"/>
    <n v="18"/>
    <x v="1"/>
    <x v="6"/>
    <m/>
  </r>
  <r>
    <n v="1998"/>
    <n v="42"/>
    <s v="Male"/>
    <x v="21"/>
    <x v="3"/>
    <n v="25"/>
    <s v="Connecticut"/>
    <x v="2"/>
    <x v="7"/>
    <x v="3"/>
    <x v="15"/>
    <x v="1"/>
    <x v="1"/>
    <n v="10"/>
    <x v="5"/>
    <x v="4"/>
    <m/>
  </r>
  <r>
    <n v="1999"/>
    <n v="20"/>
    <s v="Male"/>
    <x v="13"/>
    <x v="0"/>
    <n v="45"/>
    <s v="Vermont"/>
    <x v="2"/>
    <x v="20"/>
    <x v="3"/>
    <x v="10"/>
    <x v="1"/>
    <x v="1"/>
    <n v="19"/>
    <x v="1"/>
    <x v="3"/>
    <m/>
  </r>
  <r>
    <n v="2000"/>
    <n v="39"/>
    <s v="Male"/>
    <x v="20"/>
    <x v="0"/>
    <n v="89"/>
    <s v="Tennessee"/>
    <x v="0"/>
    <x v="21"/>
    <x v="0"/>
    <x v="7"/>
    <x v="1"/>
    <x v="1"/>
    <n v="26"/>
    <x v="5"/>
    <x v="5"/>
    <m/>
  </r>
  <r>
    <n v="2001"/>
    <n v="26"/>
    <s v="Male"/>
    <x v="22"/>
    <x v="3"/>
    <n v="27"/>
    <s v="California"/>
    <x v="2"/>
    <x v="12"/>
    <x v="0"/>
    <x v="2"/>
    <x v="1"/>
    <x v="1"/>
    <n v="25"/>
    <x v="1"/>
    <x v="4"/>
    <m/>
  </r>
  <r>
    <n v="2002"/>
    <n v="51"/>
    <s v="Male"/>
    <x v="12"/>
    <x v="3"/>
    <n v="90"/>
    <s v="Wyoming"/>
    <x v="1"/>
    <x v="7"/>
    <x v="0"/>
    <x v="4"/>
    <x v="1"/>
    <x v="1"/>
    <n v="2"/>
    <x v="5"/>
    <x v="0"/>
    <m/>
  </r>
  <r>
    <n v="2003"/>
    <n v="31"/>
    <s v="Male"/>
    <x v="5"/>
    <x v="0"/>
    <n v="65"/>
    <s v="New York"/>
    <x v="2"/>
    <x v="16"/>
    <x v="2"/>
    <x v="6"/>
    <x v="1"/>
    <x v="1"/>
    <n v="19"/>
    <x v="3"/>
    <x v="6"/>
    <m/>
  </r>
  <r>
    <n v="2004"/>
    <n v="68"/>
    <s v="Male"/>
    <x v="4"/>
    <x v="1"/>
    <n v="72"/>
    <s v="Maine"/>
    <x v="1"/>
    <x v="24"/>
    <x v="1"/>
    <x v="0"/>
    <x v="1"/>
    <x v="1"/>
    <n v="32"/>
    <x v="1"/>
    <x v="3"/>
    <m/>
  </r>
  <r>
    <n v="2005"/>
    <n v="44"/>
    <s v="Male"/>
    <x v="9"/>
    <x v="1"/>
    <n v="70"/>
    <s v="Georgia"/>
    <x v="0"/>
    <x v="24"/>
    <x v="3"/>
    <x v="20"/>
    <x v="1"/>
    <x v="1"/>
    <n v="13"/>
    <x v="1"/>
    <x v="4"/>
    <m/>
  </r>
  <r>
    <n v="2006"/>
    <n v="18"/>
    <s v="Male"/>
    <x v="3"/>
    <x v="1"/>
    <n v="82"/>
    <s v="Tennessee"/>
    <x v="2"/>
    <x v="17"/>
    <x v="0"/>
    <x v="10"/>
    <x v="1"/>
    <x v="1"/>
    <n v="30"/>
    <x v="3"/>
    <x v="0"/>
    <m/>
  </r>
  <r>
    <n v="2007"/>
    <n v="58"/>
    <s v="Male"/>
    <x v="18"/>
    <x v="3"/>
    <n v="97"/>
    <s v="New Mexico"/>
    <x v="1"/>
    <x v="6"/>
    <x v="3"/>
    <x v="9"/>
    <x v="1"/>
    <x v="1"/>
    <n v="2"/>
    <x v="2"/>
    <x v="2"/>
    <m/>
  </r>
  <r>
    <n v="2008"/>
    <n v="26"/>
    <s v="Male"/>
    <x v="5"/>
    <x v="0"/>
    <n v="25"/>
    <s v="Virginia"/>
    <x v="2"/>
    <x v="5"/>
    <x v="2"/>
    <x v="20"/>
    <x v="1"/>
    <x v="1"/>
    <n v="8"/>
    <x v="3"/>
    <x v="3"/>
    <m/>
  </r>
  <r>
    <n v="2009"/>
    <n v="57"/>
    <s v="Male"/>
    <x v="11"/>
    <x v="0"/>
    <n v="48"/>
    <s v="Florida"/>
    <x v="2"/>
    <x v="0"/>
    <x v="1"/>
    <x v="16"/>
    <x v="1"/>
    <x v="1"/>
    <n v="27"/>
    <x v="3"/>
    <x v="6"/>
    <m/>
  </r>
  <r>
    <n v="2010"/>
    <n v="37"/>
    <s v="Male"/>
    <x v="23"/>
    <x v="1"/>
    <n v="99"/>
    <s v="Alabama"/>
    <x v="2"/>
    <x v="21"/>
    <x v="2"/>
    <x v="1"/>
    <x v="1"/>
    <x v="1"/>
    <n v="26"/>
    <x v="0"/>
    <x v="4"/>
    <m/>
  </r>
  <r>
    <n v="2011"/>
    <n v="24"/>
    <s v="Male"/>
    <x v="1"/>
    <x v="0"/>
    <n v="21"/>
    <s v="Texas"/>
    <x v="2"/>
    <x v="1"/>
    <x v="2"/>
    <x v="9"/>
    <x v="1"/>
    <x v="1"/>
    <n v="3"/>
    <x v="5"/>
    <x v="4"/>
    <m/>
  </r>
  <r>
    <n v="2012"/>
    <n v="57"/>
    <s v="Male"/>
    <x v="3"/>
    <x v="1"/>
    <n v="94"/>
    <s v="West Virginia"/>
    <x v="2"/>
    <x v="19"/>
    <x v="1"/>
    <x v="5"/>
    <x v="1"/>
    <x v="1"/>
    <n v="4"/>
    <x v="4"/>
    <x v="5"/>
    <m/>
  </r>
  <r>
    <n v="2013"/>
    <n v="48"/>
    <s v="Male"/>
    <x v="2"/>
    <x v="0"/>
    <n v="53"/>
    <s v="Nevada"/>
    <x v="0"/>
    <x v="14"/>
    <x v="3"/>
    <x v="20"/>
    <x v="1"/>
    <x v="1"/>
    <n v="5"/>
    <x v="1"/>
    <x v="0"/>
    <m/>
  </r>
  <r>
    <n v="2014"/>
    <n v="39"/>
    <s v="Male"/>
    <x v="21"/>
    <x v="3"/>
    <n v="70"/>
    <s v="Virginia"/>
    <x v="2"/>
    <x v="15"/>
    <x v="0"/>
    <x v="17"/>
    <x v="1"/>
    <x v="1"/>
    <n v="25"/>
    <x v="5"/>
    <x v="3"/>
    <m/>
  </r>
  <r>
    <n v="2015"/>
    <n v="51"/>
    <s v="Male"/>
    <x v="11"/>
    <x v="0"/>
    <n v="26"/>
    <s v="Wisconsin"/>
    <x v="0"/>
    <x v="13"/>
    <x v="2"/>
    <x v="14"/>
    <x v="1"/>
    <x v="1"/>
    <n v="47"/>
    <x v="3"/>
    <x v="4"/>
    <m/>
  </r>
  <r>
    <n v="2016"/>
    <n v="57"/>
    <s v="Male"/>
    <x v="22"/>
    <x v="3"/>
    <n v="82"/>
    <s v="Virginia"/>
    <x v="1"/>
    <x v="6"/>
    <x v="2"/>
    <x v="21"/>
    <x v="1"/>
    <x v="1"/>
    <n v="8"/>
    <x v="2"/>
    <x v="0"/>
    <m/>
  </r>
  <r>
    <n v="2017"/>
    <n v="53"/>
    <s v="Male"/>
    <x v="9"/>
    <x v="1"/>
    <n v="47"/>
    <s v="Maine"/>
    <x v="1"/>
    <x v="10"/>
    <x v="0"/>
    <x v="10"/>
    <x v="1"/>
    <x v="1"/>
    <n v="20"/>
    <x v="5"/>
    <x v="0"/>
    <m/>
  </r>
  <r>
    <n v="2018"/>
    <n v="70"/>
    <s v="Male"/>
    <x v="20"/>
    <x v="0"/>
    <n v="32"/>
    <s v="Massachusetts"/>
    <x v="1"/>
    <x v="14"/>
    <x v="0"/>
    <x v="18"/>
    <x v="1"/>
    <x v="1"/>
    <n v="42"/>
    <x v="4"/>
    <x v="6"/>
    <m/>
  </r>
  <r>
    <n v="2019"/>
    <n v="60"/>
    <s v="Male"/>
    <x v="21"/>
    <x v="3"/>
    <n v="97"/>
    <s v="Arkansas"/>
    <x v="1"/>
    <x v="9"/>
    <x v="3"/>
    <x v="21"/>
    <x v="1"/>
    <x v="1"/>
    <n v="20"/>
    <x v="4"/>
    <x v="1"/>
    <m/>
  </r>
  <r>
    <n v="2020"/>
    <n v="31"/>
    <s v="Male"/>
    <x v="5"/>
    <x v="0"/>
    <n v="68"/>
    <s v="Idaho"/>
    <x v="1"/>
    <x v="16"/>
    <x v="0"/>
    <x v="15"/>
    <x v="1"/>
    <x v="1"/>
    <n v="23"/>
    <x v="1"/>
    <x v="0"/>
    <m/>
  </r>
  <r>
    <n v="2021"/>
    <n v="41"/>
    <s v="Male"/>
    <x v="1"/>
    <x v="0"/>
    <n v="23"/>
    <s v="Pennsylvania"/>
    <x v="2"/>
    <x v="19"/>
    <x v="0"/>
    <x v="3"/>
    <x v="1"/>
    <x v="1"/>
    <n v="26"/>
    <x v="1"/>
    <x v="3"/>
    <m/>
  </r>
  <r>
    <n v="2022"/>
    <n v="62"/>
    <s v="Male"/>
    <x v="8"/>
    <x v="3"/>
    <n v="33"/>
    <s v="Maine"/>
    <x v="2"/>
    <x v="14"/>
    <x v="0"/>
    <x v="9"/>
    <x v="1"/>
    <x v="1"/>
    <n v="48"/>
    <x v="0"/>
    <x v="3"/>
    <m/>
  </r>
  <r>
    <n v="2023"/>
    <n v="59"/>
    <s v="Male"/>
    <x v="16"/>
    <x v="3"/>
    <n v="38"/>
    <s v="Alabama"/>
    <x v="1"/>
    <x v="13"/>
    <x v="0"/>
    <x v="8"/>
    <x v="1"/>
    <x v="1"/>
    <n v="16"/>
    <x v="1"/>
    <x v="4"/>
    <m/>
  </r>
  <r>
    <n v="2024"/>
    <n v="46"/>
    <s v="Male"/>
    <x v="20"/>
    <x v="0"/>
    <n v="68"/>
    <s v="Idaho"/>
    <x v="1"/>
    <x v="11"/>
    <x v="0"/>
    <x v="18"/>
    <x v="1"/>
    <x v="1"/>
    <n v="28"/>
    <x v="1"/>
    <x v="4"/>
    <m/>
  </r>
  <r>
    <n v="2025"/>
    <n v="62"/>
    <s v="Male"/>
    <x v="20"/>
    <x v="0"/>
    <n v="23"/>
    <s v="Arkansas"/>
    <x v="0"/>
    <x v="5"/>
    <x v="3"/>
    <x v="5"/>
    <x v="1"/>
    <x v="1"/>
    <n v="39"/>
    <x v="3"/>
    <x v="1"/>
    <m/>
  </r>
  <r>
    <n v="2026"/>
    <n v="42"/>
    <s v="Male"/>
    <x v="5"/>
    <x v="0"/>
    <n v="29"/>
    <s v="Delaware"/>
    <x v="2"/>
    <x v="2"/>
    <x v="2"/>
    <x v="23"/>
    <x v="1"/>
    <x v="1"/>
    <n v="43"/>
    <x v="5"/>
    <x v="0"/>
    <m/>
  </r>
  <r>
    <n v="2027"/>
    <n v="37"/>
    <s v="Male"/>
    <x v="18"/>
    <x v="3"/>
    <n v="35"/>
    <s v="Maine"/>
    <x v="2"/>
    <x v="20"/>
    <x v="0"/>
    <x v="2"/>
    <x v="1"/>
    <x v="1"/>
    <n v="45"/>
    <x v="4"/>
    <x v="6"/>
    <m/>
  </r>
  <r>
    <n v="2028"/>
    <n v="50"/>
    <s v="Male"/>
    <x v="9"/>
    <x v="1"/>
    <n v="73"/>
    <s v="Nebraska"/>
    <x v="1"/>
    <x v="9"/>
    <x v="3"/>
    <x v="3"/>
    <x v="1"/>
    <x v="1"/>
    <n v="50"/>
    <x v="2"/>
    <x v="6"/>
    <m/>
  </r>
  <r>
    <n v="2029"/>
    <n v="29"/>
    <s v="Male"/>
    <x v="9"/>
    <x v="1"/>
    <n v="84"/>
    <s v="Ohio"/>
    <x v="3"/>
    <x v="7"/>
    <x v="3"/>
    <x v="5"/>
    <x v="1"/>
    <x v="1"/>
    <n v="10"/>
    <x v="0"/>
    <x v="4"/>
    <m/>
  </r>
  <r>
    <n v="2030"/>
    <n v="25"/>
    <s v="Male"/>
    <x v="18"/>
    <x v="3"/>
    <n v="23"/>
    <s v="Montana"/>
    <x v="2"/>
    <x v="6"/>
    <x v="1"/>
    <x v="7"/>
    <x v="1"/>
    <x v="1"/>
    <n v="40"/>
    <x v="3"/>
    <x v="3"/>
    <m/>
  </r>
  <r>
    <n v="2031"/>
    <n v="66"/>
    <s v="Male"/>
    <x v="12"/>
    <x v="3"/>
    <n v="67"/>
    <s v="New Mexico"/>
    <x v="1"/>
    <x v="14"/>
    <x v="2"/>
    <x v="24"/>
    <x v="1"/>
    <x v="1"/>
    <n v="38"/>
    <x v="2"/>
    <x v="5"/>
    <m/>
  </r>
  <r>
    <n v="2032"/>
    <n v="21"/>
    <s v="Male"/>
    <x v="20"/>
    <x v="0"/>
    <n v="51"/>
    <s v="North Carolina"/>
    <x v="0"/>
    <x v="4"/>
    <x v="1"/>
    <x v="8"/>
    <x v="1"/>
    <x v="1"/>
    <n v="2"/>
    <x v="2"/>
    <x v="5"/>
    <m/>
  </r>
  <r>
    <n v="2033"/>
    <n v="46"/>
    <s v="Male"/>
    <x v="0"/>
    <x v="0"/>
    <n v="36"/>
    <s v="South Carolina"/>
    <x v="2"/>
    <x v="1"/>
    <x v="0"/>
    <x v="13"/>
    <x v="1"/>
    <x v="1"/>
    <n v="13"/>
    <x v="1"/>
    <x v="2"/>
    <m/>
  </r>
  <r>
    <n v="2034"/>
    <n v="57"/>
    <s v="Male"/>
    <x v="2"/>
    <x v="0"/>
    <n v="55"/>
    <s v="Illinois"/>
    <x v="0"/>
    <x v="8"/>
    <x v="2"/>
    <x v="2"/>
    <x v="1"/>
    <x v="1"/>
    <n v="33"/>
    <x v="0"/>
    <x v="2"/>
    <m/>
  </r>
  <r>
    <n v="2035"/>
    <n v="61"/>
    <s v="Male"/>
    <x v="6"/>
    <x v="0"/>
    <n v="30"/>
    <s v="Alabama"/>
    <x v="2"/>
    <x v="15"/>
    <x v="1"/>
    <x v="25"/>
    <x v="1"/>
    <x v="1"/>
    <n v="27"/>
    <x v="3"/>
    <x v="5"/>
    <m/>
  </r>
  <r>
    <n v="2036"/>
    <n v="53"/>
    <s v="Male"/>
    <x v="17"/>
    <x v="0"/>
    <n v="70"/>
    <s v="Oklahoma"/>
    <x v="1"/>
    <x v="22"/>
    <x v="2"/>
    <x v="18"/>
    <x v="1"/>
    <x v="1"/>
    <n v="43"/>
    <x v="4"/>
    <x v="1"/>
    <m/>
  </r>
  <r>
    <n v="2037"/>
    <n v="37"/>
    <s v="Male"/>
    <x v="0"/>
    <x v="0"/>
    <n v="63"/>
    <s v="Minnesota"/>
    <x v="1"/>
    <x v="12"/>
    <x v="0"/>
    <x v="0"/>
    <x v="1"/>
    <x v="1"/>
    <n v="46"/>
    <x v="1"/>
    <x v="1"/>
    <m/>
  </r>
  <r>
    <n v="2038"/>
    <n v="39"/>
    <s v="Male"/>
    <x v="22"/>
    <x v="3"/>
    <n v="87"/>
    <s v="Illinois"/>
    <x v="1"/>
    <x v="14"/>
    <x v="2"/>
    <x v="12"/>
    <x v="1"/>
    <x v="1"/>
    <n v="7"/>
    <x v="0"/>
    <x v="4"/>
    <m/>
  </r>
  <r>
    <n v="2039"/>
    <n v="53"/>
    <s v="Male"/>
    <x v="0"/>
    <x v="0"/>
    <n v="70"/>
    <s v="Arkansas"/>
    <x v="0"/>
    <x v="20"/>
    <x v="1"/>
    <x v="9"/>
    <x v="1"/>
    <x v="1"/>
    <n v="35"/>
    <x v="2"/>
    <x v="0"/>
    <m/>
  </r>
  <r>
    <n v="2040"/>
    <n v="35"/>
    <s v="Male"/>
    <x v="17"/>
    <x v="0"/>
    <n v="51"/>
    <s v="Minnesota"/>
    <x v="2"/>
    <x v="8"/>
    <x v="1"/>
    <x v="0"/>
    <x v="1"/>
    <x v="1"/>
    <n v="31"/>
    <x v="5"/>
    <x v="4"/>
    <m/>
  </r>
  <r>
    <n v="2041"/>
    <n v="69"/>
    <s v="Male"/>
    <x v="16"/>
    <x v="3"/>
    <n v="25"/>
    <s v="South Carolina"/>
    <x v="3"/>
    <x v="0"/>
    <x v="1"/>
    <x v="25"/>
    <x v="1"/>
    <x v="1"/>
    <n v="42"/>
    <x v="0"/>
    <x v="3"/>
    <m/>
  </r>
  <r>
    <n v="2042"/>
    <n v="66"/>
    <s v="Male"/>
    <x v="14"/>
    <x v="2"/>
    <n v="32"/>
    <s v="New York"/>
    <x v="1"/>
    <x v="12"/>
    <x v="0"/>
    <x v="20"/>
    <x v="1"/>
    <x v="1"/>
    <n v="14"/>
    <x v="3"/>
    <x v="4"/>
    <m/>
  </r>
  <r>
    <n v="2043"/>
    <n v="19"/>
    <s v="Male"/>
    <x v="9"/>
    <x v="1"/>
    <n v="52"/>
    <s v="Alabama"/>
    <x v="2"/>
    <x v="16"/>
    <x v="1"/>
    <x v="8"/>
    <x v="1"/>
    <x v="1"/>
    <n v="35"/>
    <x v="0"/>
    <x v="5"/>
    <m/>
  </r>
  <r>
    <n v="2044"/>
    <n v="47"/>
    <s v="Male"/>
    <x v="24"/>
    <x v="3"/>
    <n v="33"/>
    <s v="New York"/>
    <x v="2"/>
    <x v="4"/>
    <x v="2"/>
    <x v="6"/>
    <x v="1"/>
    <x v="1"/>
    <n v="49"/>
    <x v="3"/>
    <x v="1"/>
    <m/>
  </r>
  <r>
    <n v="2045"/>
    <n v="49"/>
    <s v="Male"/>
    <x v="2"/>
    <x v="0"/>
    <n v="68"/>
    <s v="Missouri"/>
    <x v="0"/>
    <x v="20"/>
    <x v="1"/>
    <x v="23"/>
    <x v="1"/>
    <x v="1"/>
    <n v="17"/>
    <x v="3"/>
    <x v="0"/>
    <m/>
  </r>
  <r>
    <n v="2046"/>
    <n v="31"/>
    <s v="Male"/>
    <x v="16"/>
    <x v="3"/>
    <n v="20"/>
    <s v="Georgia"/>
    <x v="2"/>
    <x v="16"/>
    <x v="3"/>
    <x v="9"/>
    <x v="1"/>
    <x v="1"/>
    <n v="26"/>
    <x v="3"/>
    <x v="3"/>
    <m/>
  </r>
  <r>
    <n v="2047"/>
    <n v="39"/>
    <s v="Male"/>
    <x v="13"/>
    <x v="0"/>
    <n v="32"/>
    <s v="Oklahoma"/>
    <x v="2"/>
    <x v="1"/>
    <x v="0"/>
    <x v="24"/>
    <x v="1"/>
    <x v="1"/>
    <n v="30"/>
    <x v="1"/>
    <x v="6"/>
    <m/>
  </r>
  <r>
    <n v="2048"/>
    <n v="58"/>
    <s v="Male"/>
    <x v="16"/>
    <x v="3"/>
    <n v="82"/>
    <s v="Connecticut"/>
    <x v="2"/>
    <x v="5"/>
    <x v="2"/>
    <x v="0"/>
    <x v="1"/>
    <x v="1"/>
    <n v="32"/>
    <x v="1"/>
    <x v="2"/>
    <m/>
  </r>
  <r>
    <n v="2049"/>
    <n v="45"/>
    <s v="Male"/>
    <x v="4"/>
    <x v="1"/>
    <n v="64"/>
    <s v="Michigan"/>
    <x v="3"/>
    <x v="6"/>
    <x v="0"/>
    <x v="14"/>
    <x v="1"/>
    <x v="1"/>
    <n v="35"/>
    <x v="4"/>
    <x v="3"/>
    <m/>
  </r>
  <r>
    <n v="2050"/>
    <n v="68"/>
    <s v="Male"/>
    <x v="23"/>
    <x v="1"/>
    <n v="24"/>
    <s v="Rhode Island"/>
    <x v="0"/>
    <x v="24"/>
    <x v="3"/>
    <x v="6"/>
    <x v="1"/>
    <x v="1"/>
    <n v="15"/>
    <x v="0"/>
    <x v="2"/>
    <m/>
  </r>
  <r>
    <n v="2051"/>
    <n v="35"/>
    <s v="Male"/>
    <x v="19"/>
    <x v="3"/>
    <n v="96"/>
    <s v="Mississippi"/>
    <x v="2"/>
    <x v="11"/>
    <x v="2"/>
    <x v="10"/>
    <x v="1"/>
    <x v="1"/>
    <n v="10"/>
    <x v="5"/>
    <x v="2"/>
    <m/>
  </r>
  <r>
    <n v="2052"/>
    <n v="65"/>
    <s v="Male"/>
    <x v="17"/>
    <x v="0"/>
    <n v="94"/>
    <s v="Massachusetts"/>
    <x v="0"/>
    <x v="13"/>
    <x v="1"/>
    <x v="1"/>
    <x v="1"/>
    <x v="1"/>
    <n v="14"/>
    <x v="2"/>
    <x v="5"/>
    <m/>
  </r>
  <r>
    <n v="2053"/>
    <n v="45"/>
    <s v="Male"/>
    <x v="21"/>
    <x v="3"/>
    <n v="48"/>
    <s v="New Hampshire"/>
    <x v="2"/>
    <x v="0"/>
    <x v="0"/>
    <x v="5"/>
    <x v="1"/>
    <x v="1"/>
    <n v="30"/>
    <x v="4"/>
    <x v="2"/>
    <m/>
  </r>
  <r>
    <n v="2054"/>
    <n v="19"/>
    <s v="Male"/>
    <x v="12"/>
    <x v="3"/>
    <n v="60"/>
    <s v="Wyoming"/>
    <x v="1"/>
    <x v="7"/>
    <x v="1"/>
    <x v="21"/>
    <x v="1"/>
    <x v="1"/>
    <n v="16"/>
    <x v="2"/>
    <x v="0"/>
    <m/>
  </r>
  <r>
    <n v="2055"/>
    <n v="65"/>
    <s v="Male"/>
    <x v="1"/>
    <x v="0"/>
    <n v="56"/>
    <s v="New Jersey"/>
    <x v="3"/>
    <x v="9"/>
    <x v="1"/>
    <x v="25"/>
    <x v="1"/>
    <x v="1"/>
    <n v="14"/>
    <x v="3"/>
    <x v="2"/>
    <m/>
  </r>
  <r>
    <n v="2056"/>
    <n v="28"/>
    <s v="Male"/>
    <x v="8"/>
    <x v="3"/>
    <n v="33"/>
    <s v="Texas"/>
    <x v="2"/>
    <x v="5"/>
    <x v="3"/>
    <x v="10"/>
    <x v="1"/>
    <x v="1"/>
    <n v="28"/>
    <x v="4"/>
    <x v="1"/>
    <m/>
  </r>
  <r>
    <n v="2057"/>
    <n v="55"/>
    <s v="Male"/>
    <x v="21"/>
    <x v="3"/>
    <n v="46"/>
    <s v="Minnesota"/>
    <x v="0"/>
    <x v="24"/>
    <x v="1"/>
    <x v="9"/>
    <x v="1"/>
    <x v="1"/>
    <n v="29"/>
    <x v="3"/>
    <x v="5"/>
    <m/>
  </r>
  <r>
    <n v="2058"/>
    <n v="66"/>
    <s v="Male"/>
    <x v="20"/>
    <x v="0"/>
    <n v="37"/>
    <s v="South Dakota"/>
    <x v="0"/>
    <x v="22"/>
    <x v="1"/>
    <x v="13"/>
    <x v="1"/>
    <x v="1"/>
    <n v="5"/>
    <x v="3"/>
    <x v="6"/>
    <m/>
  </r>
  <r>
    <n v="2059"/>
    <n v="29"/>
    <s v="Male"/>
    <x v="5"/>
    <x v="0"/>
    <n v="98"/>
    <s v="Washington"/>
    <x v="2"/>
    <x v="18"/>
    <x v="0"/>
    <x v="19"/>
    <x v="1"/>
    <x v="1"/>
    <n v="17"/>
    <x v="4"/>
    <x v="3"/>
    <m/>
  </r>
  <r>
    <n v="2060"/>
    <n v="56"/>
    <s v="Male"/>
    <x v="6"/>
    <x v="0"/>
    <n v="50"/>
    <s v="California"/>
    <x v="3"/>
    <x v="19"/>
    <x v="1"/>
    <x v="5"/>
    <x v="1"/>
    <x v="1"/>
    <n v="50"/>
    <x v="3"/>
    <x v="1"/>
    <m/>
  </r>
  <r>
    <n v="2061"/>
    <n v="21"/>
    <s v="Male"/>
    <x v="22"/>
    <x v="3"/>
    <n v="63"/>
    <s v="Wisconsin"/>
    <x v="2"/>
    <x v="24"/>
    <x v="3"/>
    <x v="20"/>
    <x v="1"/>
    <x v="1"/>
    <n v="23"/>
    <x v="4"/>
    <x v="3"/>
    <m/>
  </r>
  <r>
    <n v="2062"/>
    <n v="32"/>
    <s v="Male"/>
    <x v="1"/>
    <x v="0"/>
    <n v="70"/>
    <s v="Michigan"/>
    <x v="1"/>
    <x v="23"/>
    <x v="2"/>
    <x v="4"/>
    <x v="1"/>
    <x v="1"/>
    <n v="22"/>
    <x v="5"/>
    <x v="2"/>
    <m/>
  </r>
  <r>
    <n v="2063"/>
    <n v="54"/>
    <s v="Male"/>
    <x v="7"/>
    <x v="2"/>
    <n v="63"/>
    <s v="South Carolina"/>
    <x v="0"/>
    <x v="5"/>
    <x v="3"/>
    <x v="24"/>
    <x v="1"/>
    <x v="1"/>
    <n v="15"/>
    <x v="1"/>
    <x v="3"/>
    <m/>
  </r>
  <r>
    <n v="2064"/>
    <n v="61"/>
    <s v="Male"/>
    <x v="6"/>
    <x v="0"/>
    <n v="86"/>
    <s v="Indiana"/>
    <x v="2"/>
    <x v="17"/>
    <x v="3"/>
    <x v="25"/>
    <x v="1"/>
    <x v="1"/>
    <n v="32"/>
    <x v="1"/>
    <x v="5"/>
    <m/>
  </r>
  <r>
    <n v="2065"/>
    <n v="31"/>
    <s v="Male"/>
    <x v="9"/>
    <x v="1"/>
    <n v="99"/>
    <s v="Arkansas"/>
    <x v="2"/>
    <x v="14"/>
    <x v="2"/>
    <x v="8"/>
    <x v="1"/>
    <x v="1"/>
    <n v="5"/>
    <x v="4"/>
    <x v="5"/>
    <m/>
  </r>
  <r>
    <n v="2066"/>
    <n v="27"/>
    <s v="Male"/>
    <x v="4"/>
    <x v="1"/>
    <n v="40"/>
    <s v="Oregon"/>
    <x v="2"/>
    <x v="24"/>
    <x v="1"/>
    <x v="25"/>
    <x v="1"/>
    <x v="1"/>
    <n v="6"/>
    <x v="4"/>
    <x v="4"/>
    <m/>
  </r>
  <r>
    <n v="2067"/>
    <n v="64"/>
    <s v="Male"/>
    <x v="4"/>
    <x v="1"/>
    <n v="92"/>
    <s v="Illinois"/>
    <x v="2"/>
    <x v="8"/>
    <x v="3"/>
    <x v="15"/>
    <x v="1"/>
    <x v="1"/>
    <n v="44"/>
    <x v="5"/>
    <x v="0"/>
    <m/>
  </r>
  <r>
    <n v="2068"/>
    <n v="60"/>
    <s v="Male"/>
    <x v="13"/>
    <x v="0"/>
    <n v="21"/>
    <s v="Maryland"/>
    <x v="3"/>
    <x v="19"/>
    <x v="3"/>
    <x v="0"/>
    <x v="1"/>
    <x v="1"/>
    <n v="23"/>
    <x v="1"/>
    <x v="0"/>
    <m/>
  </r>
  <r>
    <n v="2069"/>
    <n v="70"/>
    <s v="Male"/>
    <x v="16"/>
    <x v="3"/>
    <n v="81"/>
    <s v="Vermont"/>
    <x v="3"/>
    <x v="13"/>
    <x v="2"/>
    <x v="14"/>
    <x v="1"/>
    <x v="1"/>
    <n v="44"/>
    <x v="0"/>
    <x v="5"/>
    <m/>
  </r>
  <r>
    <n v="2070"/>
    <n v="36"/>
    <s v="Male"/>
    <x v="17"/>
    <x v="0"/>
    <n v="82"/>
    <s v="Texas"/>
    <x v="2"/>
    <x v="21"/>
    <x v="3"/>
    <x v="10"/>
    <x v="1"/>
    <x v="1"/>
    <n v="3"/>
    <x v="5"/>
    <x v="3"/>
    <m/>
  </r>
  <r>
    <n v="2071"/>
    <n v="56"/>
    <s v="Male"/>
    <x v="16"/>
    <x v="3"/>
    <n v="88"/>
    <s v="Nebraska"/>
    <x v="3"/>
    <x v="16"/>
    <x v="1"/>
    <x v="0"/>
    <x v="1"/>
    <x v="1"/>
    <n v="14"/>
    <x v="1"/>
    <x v="5"/>
    <m/>
  </r>
  <r>
    <n v="2072"/>
    <n v="69"/>
    <s v="Male"/>
    <x v="14"/>
    <x v="2"/>
    <n v="100"/>
    <s v="South Carolina"/>
    <x v="1"/>
    <x v="22"/>
    <x v="3"/>
    <x v="3"/>
    <x v="1"/>
    <x v="1"/>
    <n v="37"/>
    <x v="3"/>
    <x v="3"/>
    <m/>
  </r>
  <r>
    <n v="2073"/>
    <n v="39"/>
    <s v="Male"/>
    <x v="21"/>
    <x v="3"/>
    <n v="66"/>
    <s v="Massachusetts"/>
    <x v="2"/>
    <x v="19"/>
    <x v="0"/>
    <x v="14"/>
    <x v="1"/>
    <x v="1"/>
    <n v="22"/>
    <x v="4"/>
    <x v="1"/>
    <m/>
  </r>
  <r>
    <n v="2074"/>
    <n v="38"/>
    <s v="Male"/>
    <x v="22"/>
    <x v="3"/>
    <n v="25"/>
    <s v="Texas"/>
    <x v="1"/>
    <x v="14"/>
    <x v="0"/>
    <x v="22"/>
    <x v="1"/>
    <x v="1"/>
    <n v="2"/>
    <x v="3"/>
    <x v="6"/>
    <m/>
  </r>
  <r>
    <n v="2075"/>
    <n v="36"/>
    <s v="Male"/>
    <x v="18"/>
    <x v="3"/>
    <n v="53"/>
    <s v="Florida"/>
    <x v="2"/>
    <x v="3"/>
    <x v="2"/>
    <x v="0"/>
    <x v="1"/>
    <x v="1"/>
    <n v="44"/>
    <x v="5"/>
    <x v="0"/>
    <m/>
  </r>
  <r>
    <n v="2076"/>
    <n v="46"/>
    <s v="Male"/>
    <x v="1"/>
    <x v="0"/>
    <n v="28"/>
    <s v="South Carolina"/>
    <x v="1"/>
    <x v="2"/>
    <x v="3"/>
    <x v="15"/>
    <x v="1"/>
    <x v="1"/>
    <n v="49"/>
    <x v="5"/>
    <x v="5"/>
    <m/>
  </r>
  <r>
    <n v="2077"/>
    <n v="59"/>
    <s v="Male"/>
    <x v="24"/>
    <x v="3"/>
    <n v="23"/>
    <s v="Florida"/>
    <x v="1"/>
    <x v="21"/>
    <x v="3"/>
    <x v="7"/>
    <x v="1"/>
    <x v="1"/>
    <n v="22"/>
    <x v="5"/>
    <x v="4"/>
    <m/>
  </r>
  <r>
    <n v="2078"/>
    <n v="64"/>
    <s v="Male"/>
    <x v="18"/>
    <x v="3"/>
    <n v="34"/>
    <s v="Nebraska"/>
    <x v="0"/>
    <x v="20"/>
    <x v="3"/>
    <x v="19"/>
    <x v="1"/>
    <x v="1"/>
    <n v="26"/>
    <x v="4"/>
    <x v="2"/>
    <m/>
  </r>
  <r>
    <n v="2079"/>
    <n v="49"/>
    <s v="Male"/>
    <x v="10"/>
    <x v="0"/>
    <n v="42"/>
    <s v="Hawaii"/>
    <x v="2"/>
    <x v="24"/>
    <x v="1"/>
    <x v="20"/>
    <x v="1"/>
    <x v="1"/>
    <n v="40"/>
    <x v="5"/>
    <x v="1"/>
    <m/>
  </r>
  <r>
    <n v="2080"/>
    <n v="32"/>
    <s v="Male"/>
    <x v="2"/>
    <x v="0"/>
    <n v="24"/>
    <s v="Montana"/>
    <x v="0"/>
    <x v="10"/>
    <x v="2"/>
    <x v="0"/>
    <x v="1"/>
    <x v="1"/>
    <n v="16"/>
    <x v="3"/>
    <x v="3"/>
    <m/>
  </r>
  <r>
    <n v="2081"/>
    <n v="29"/>
    <s v="Male"/>
    <x v="12"/>
    <x v="3"/>
    <n v="47"/>
    <s v="South Dakota"/>
    <x v="1"/>
    <x v="0"/>
    <x v="3"/>
    <x v="22"/>
    <x v="1"/>
    <x v="1"/>
    <n v="17"/>
    <x v="5"/>
    <x v="4"/>
    <m/>
  </r>
  <r>
    <n v="2082"/>
    <n v="24"/>
    <s v="Male"/>
    <x v="7"/>
    <x v="2"/>
    <n v="78"/>
    <s v="Alabama"/>
    <x v="1"/>
    <x v="17"/>
    <x v="1"/>
    <x v="12"/>
    <x v="1"/>
    <x v="1"/>
    <n v="48"/>
    <x v="4"/>
    <x v="4"/>
    <m/>
  </r>
  <r>
    <n v="2083"/>
    <n v="41"/>
    <s v="Male"/>
    <x v="2"/>
    <x v="0"/>
    <n v="89"/>
    <s v="Arkansas"/>
    <x v="2"/>
    <x v="22"/>
    <x v="2"/>
    <x v="25"/>
    <x v="1"/>
    <x v="1"/>
    <n v="28"/>
    <x v="0"/>
    <x v="6"/>
    <m/>
  </r>
  <r>
    <n v="2084"/>
    <n v="41"/>
    <s v="Male"/>
    <x v="18"/>
    <x v="3"/>
    <n v="59"/>
    <s v="Mississippi"/>
    <x v="0"/>
    <x v="20"/>
    <x v="3"/>
    <x v="6"/>
    <x v="1"/>
    <x v="1"/>
    <n v="26"/>
    <x v="2"/>
    <x v="0"/>
    <m/>
  </r>
  <r>
    <n v="2085"/>
    <n v="32"/>
    <s v="Male"/>
    <x v="0"/>
    <x v="0"/>
    <n v="94"/>
    <s v="Vermont"/>
    <x v="1"/>
    <x v="18"/>
    <x v="2"/>
    <x v="8"/>
    <x v="1"/>
    <x v="1"/>
    <n v="43"/>
    <x v="4"/>
    <x v="3"/>
    <m/>
  </r>
  <r>
    <n v="2086"/>
    <n v="69"/>
    <s v="Male"/>
    <x v="2"/>
    <x v="0"/>
    <n v="49"/>
    <s v="New York"/>
    <x v="2"/>
    <x v="11"/>
    <x v="3"/>
    <x v="7"/>
    <x v="1"/>
    <x v="1"/>
    <n v="38"/>
    <x v="5"/>
    <x v="1"/>
    <m/>
  </r>
  <r>
    <n v="2087"/>
    <n v="65"/>
    <s v="Male"/>
    <x v="10"/>
    <x v="0"/>
    <n v="89"/>
    <s v="North Dakota"/>
    <x v="0"/>
    <x v="19"/>
    <x v="2"/>
    <x v="15"/>
    <x v="1"/>
    <x v="1"/>
    <n v="36"/>
    <x v="1"/>
    <x v="6"/>
    <m/>
  </r>
  <r>
    <n v="2088"/>
    <n v="54"/>
    <s v="Male"/>
    <x v="19"/>
    <x v="3"/>
    <n v="91"/>
    <s v="Wisconsin"/>
    <x v="2"/>
    <x v="24"/>
    <x v="2"/>
    <x v="15"/>
    <x v="1"/>
    <x v="1"/>
    <n v="1"/>
    <x v="2"/>
    <x v="1"/>
    <m/>
  </r>
  <r>
    <n v="2089"/>
    <n v="39"/>
    <s v="Male"/>
    <x v="3"/>
    <x v="1"/>
    <n v="89"/>
    <s v="California"/>
    <x v="0"/>
    <x v="20"/>
    <x v="1"/>
    <x v="8"/>
    <x v="1"/>
    <x v="1"/>
    <n v="49"/>
    <x v="5"/>
    <x v="2"/>
    <m/>
  </r>
  <r>
    <n v="2090"/>
    <n v="37"/>
    <s v="Male"/>
    <x v="14"/>
    <x v="2"/>
    <n v="57"/>
    <s v="Maryland"/>
    <x v="0"/>
    <x v="9"/>
    <x v="1"/>
    <x v="2"/>
    <x v="1"/>
    <x v="1"/>
    <n v="41"/>
    <x v="2"/>
    <x v="6"/>
    <m/>
  </r>
  <r>
    <n v="2091"/>
    <n v="51"/>
    <s v="Male"/>
    <x v="20"/>
    <x v="0"/>
    <n v="71"/>
    <s v="Massachusetts"/>
    <x v="1"/>
    <x v="11"/>
    <x v="0"/>
    <x v="10"/>
    <x v="1"/>
    <x v="1"/>
    <n v="21"/>
    <x v="5"/>
    <x v="5"/>
    <m/>
  </r>
  <r>
    <n v="2092"/>
    <n v="26"/>
    <s v="Male"/>
    <x v="2"/>
    <x v="0"/>
    <n v="97"/>
    <s v="Washington"/>
    <x v="3"/>
    <x v="19"/>
    <x v="3"/>
    <x v="23"/>
    <x v="1"/>
    <x v="1"/>
    <n v="24"/>
    <x v="4"/>
    <x v="3"/>
    <m/>
  </r>
  <r>
    <n v="2093"/>
    <n v="42"/>
    <s v="Male"/>
    <x v="3"/>
    <x v="1"/>
    <n v="45"/>
    <s v="Minnesota"/>
    <x v="2"/>
    <x v="5"/>
    <x v="3"/>
    <x v="4"/>
    <x v="1"/>
    <x v="1"/>
    <n v="27"/>
    <x v="4"/>
    <x v="1"/>
    <m/>
  </r>
  <r>
    <n v="2094"/>
    <n v="21"/>
    <s v="Male"/>
    <x v="10"/>
    <x v="0"/>
    <n v="91"/>
    <s v="Washington"/>
    <x v="2"/>
    <x v="1"/>
    <x v="1"/>
    <x v="13"/>
    <x v="1"/>
    <x v="1"/>
    <n v="4"/>
    <x v="5"/>
    <x v="2"/>
    <m/>
  </r>
  <r>
    <n v="2095"/>
    <n v="53"/>
    <s v="Male"/>
    <x v="20"/>
    <x v="0"/>
    <n v="25"/>
    <s v="South Carolina"/>
    <x v="2"/>
    <x v="21"/>
    <x v="1"/>
    <x v="10"/>
    <x v="1"/>
    <x v="1"/>
    <n v="19"/>
    <x v="0"/>
    <x v="2"/>
    <m/>
  </r>
  <r>
    <n v="2096"/>
    <n v="36"/>
    <s v="Male"/>
    <x v="15"/>
    <x v="0"/>
    <n v="63"/>
    <s v="New Mexico"/>
    <x v="2"/>
    <x v="0"/>
    <x v="3"/>
    <x v="8"/>
    <x v="1"/>
    <x v="1"/>
    <n v="1"/>
    <x v="4"/>
    <x v="0"/>
    <m/>
  </r>
  <r>
    <n v="2097"/>
    <n v="21"/>
    <s v="Male"/>
    <x v="10"/>
    <x v="0"/>
    <n v="52"/>
    <s v="North Carolina"/>
    <x v="0"/>
    <x v="24"/>
    <x v="2"/>
    <x v="15"/>
    <x v="1"/>
    <x v="1"/>
    <n v="27"/>
    <x v="5"/>
    <x v="2"/>
    <m/>
  </r>
  <r>
    <n v="2098"/>
    <n v="33"/>
    <s v="Male"/>
    <x v="4"/>
    <x v="1"/>
    <n v="43"/>
    <s v="Iowa"/>
    <x v="1"/>
    <x v="17"/>
    <x v="0"/>
    <x v="14"/>
    <x v="1"/>
    <x v="1"/>
    <n v="5"/>
    <x v="2"/>
    <x v="1"/>
    <m/>
  </r>
  <r>
    <n v="2099"/>
    <n v="49"/>
    <s v="Male"/>
    <x v="17"/>
    <x v="0"/>
    <n v="28"/>
    <s v="Louisiana"/>
    <x v="2"/>
    <x v="3"/>
    <x v="2"/>
    <x v="19"/>
    <x v="1"/>
    <x v="1"/>
    <n v="20"/>
    <x v="0"/>
    <x v="3"/>
    <m/>
  </r>
  <r>
    <n v="2100"/>
    <n v="31"/>
    <s v="Male"/>
    <x v="17"/>
    <x v="0"/>
    <n v="78"/>
    <s v="Oklahoma"/>
    <x v="0"/>
    <x v="14"/>
    <x v="2"/>
    <x v="25"/>
    <x v="1"/>
    <x v="1"/>
    <n v="50"/>
    <x v="3"/>
    <x v="2"/>
    <m/>
  </r>
  <r>
    <n v="2101"/>
    <n v="68"/>
    <s v="Male"/>
    <x v="1"/>
    <x v="0"/>
    <n v="31"/>
    <s v="Michigan"/>
    <x v="2"/>
    <x v="5"/>
    <x v="1"/>
    <x v="9"/>
    <x v="1"/>
    <x v="1"/>
    <n v="36"/>
    <x v="1"/>
    <x v="0"/>
    <m/>
  </r>
  <r>
    <n v="2102"/>
    <n v="49"/>
    <s v="Male"/>
    <x v="5"/>
    <x v="0"/>
    <n v="23"/>
    <s v="Oregon"/>
    <x v="2"/>
    <x v="24"/>
    <x v="0"/>
    <x v="2"/>
    <x v="1"/>
    <x v="1"/>
    <n v="12"/>
    <x v="4"/>
    <x v="4"/>
    <m/>
  </r>
  <r>
    <n v="2103"/>
    <n v="23"/>
    <s v="Male"/>
    <x v="19"/>
    <x v="3"/>
    <n v="25"/>
    <s v="Idaho"/>
    <x v="2"/>
    <x v="18"/>
    <x v="1"/>
    <x v="21"/>
    <x v="1"/>
    <x v="1"/>
    <n v="23"/>
    <x v="1"/>
    <x v="5"/>
    <m/>
  </r>
  <r>
    <n v="2104"/>
    <n v="30"/>
    <s v="Male"/>
    <x v="13"/>
    <x v="0"/>
    <n v="86"/>
    <s v="Indiana"/>
    <x v="1"/>
    <x v="16"/>
    <x v="2"/>
    <x v="5"/>
    <x v="1"/>
    <x v="1"/>
    <n v="21"/>
    <x v="0"/>
    <x v="1"/>
    <m/>
  </r>
  <r>
    <n v="2105"/>
    <n v="53"/>
    <s v="Male"/>
    <x v="9"/>
    <x v="1"/>
    <n v="88"/>
    <s v="New Mexico"/>
    <x v="2"/>
    <x v="9"/>
    <x v="1"/>
    <x v="24"/>
    <x v="1"/>
    <x v="1"/>
    <n v="47"/>
    <x v="0"/>
    <x v="1"/>
    <m/>
  </r>
  <r>
    <n v="2106"/>
    <n v="65"/>
    <s v="Male"/>
    <x v="24"/>
    <x v="3"/>
    <n v="35"/>
    <s v="South Carolina"/>
    <x v="2"/>
    <x v="5"/>
    <x v="1"/>
    <x v="21"/>
    <x v="1"/>
    <x v="1"/>
    <n v="38"/>
    <x v="0"/>
    <x v="4"/>
    <m/>
  </r>
  <r>
    <n v="2107"/>
    <n v="60"/>
    <s v="Male"/>
    <x v="16"/>
    <x v="3"/>
    <n v="34"/>
    <s v="Vermont"/>
    <x v="2"/>
    <x v="0"/>
    <x v="3"/>
    <x v="9"/>
    <x v="1"/>
    <x v="1"/>
    <n v="40"/>
    <x v="2"/>
    <x v="6"/>
    <m/>
  </r>
  <r>
    <n v="2108"/>
    <n v="46"/>
    <s v="Male"/>
    <x v="13"/>
    <x v="0"/>
    <n v="75"/>
    <s v="Delaware"/>
    <x v="2"/>
    <x v="13"/>
    <x v="0"/>
    <x v="19"/>
    <x v="1"/>
    <x v="1"/>
    <n v="35"/>
    <x v="3"/>
    <x v="3"/>
    <m/>
  </r>
  <r>
    <n v="2109"/>
    <n v="54"/>
    <s v="Male"/>
    <x v="15"/>
    <x v="0"/>
    <n v="46"/>
    <s v="North Dakota"/>
    <x v="3"/>
    <x v="19"/>
    <x v="0"/>
    <x v="13"/>
    <x v="1"/>
    <x v="1"/>
    <n v="4"/>
    <x v="2"/>
    <x v="3"/>
    <m/>
  </r>
  <r>
    <n v="2110"/>
    <n v="59"/>
    <s v="Male"/>
    <x v="16"/>
    <x v="3"/>
    <n v="31"/>
    <s v="California"/>
    <x v="0"/>
    <x v="15"/>
    <x v="3"/>
    <x v="6"/>
    <x v="1"/>
    <x v="1"/>
    <n v="28"/>
    <x v="0"/>
    <x v="6"/>
    <m/>
  </r>
  <r>
    <n v="2111"/>
    <n v="52"/>
    <s v="Male"/>
    <x v="20"/>
    <x v="0"/>
    <n v="93"/>
    <s v="Montana"/>
    <x v="0"/>
    <x v="17"/>
    <x v="1"/>
    <x v="14"/>
    <x v="1"/>
    <x v="1"/>
    <n v="36"/>
    <x v="5"/>
    <x v="6"/>
    <m/>
  </r>
  <r>
    <n v="2112"/>
    <n v="41"/>
    <s v="Male"/>
    <x v="12"/>
    <x v="3"/>
    <n v="85"/>
    <s v="Missouri"/>
    <x v="3"/>
    <x v="6"/>
    <x v="1"/>
    <x v="4"/>
    <x v="1"/>
    <x v="1"/>
    <n v="15"/>
    <x v="4"/>
    <x v="2"/>
    <m/>
  </r>
  <r>
    <n v="2113"/>
    <n v="43"/>
    <s v="Male"/>
    <x v="22"/>
    <x v="3"/>
    <n v="68"/>
    <s v="Tennessee"/>
    <x v="2"/>
    <x v="12"/>
    <x v="3"/>
    <x v="21"/>
    <x v="1"/>
    <x v="1"/>
    <n v="7"/>
    <x v="1"/>
    <x v="0"/>
    <m/>
  </r>
  <r>
    <n v="2114"/>
    <n v="63"/>
    <s v="Male"/>
    <x v="10"/>
    <x v="0"/>
    <n v="40"/>
    <s v="Virginia"/>
    <x v="2"/>
    <x v="18"/>
    <x v="1"/>
    <x v="6"/>
    <x v="1"/>
    <x v="1"/>
    <n v="29"/>
    <x v="3"/>
    <x v="6"/>
    <m/>
  </r>
  <r>
    <n v="2115"/>
    <n v="37"/>
    <s v="Male"/>
    <x v="5"/>
    <x v="0"/>
    <n v="51"/>
    <s v="Vermont"/>
    <x v="2"/>
    <x v="23"/>
    <x v="0"/>
    <x v="25"/>
    <x v="1"/>
    <x v="1"/>
    <n v="12"/>
    <x v="5"/>
    <x v="2"/>
    <m/>
  </r>
  <r>
    <n v="2116"/>
    <n v="44"/>
    <s v="Male"/>
    <x v="18"/>
    <x v="3"/>
    <n v="85"/>
    <s v="Rhode Island"/>
    <x v="2"/>
    <x v="10"/>
    <x v="0"/>
    <x v="10"/>
    <x v="1"/>
    <x v="1"/>
    <n v="16"/>
    <x v="4"/>
    <x v="4"/>
    <m/>
  </r>
  <r>
    <n v="2117"/>
    <n v="67"/>
    <s v="Male"/>
    <x v="14"/>
    <x v="2"/>
    <n v="23"/>
    <s v="Kansas"/>
    <x v="2"/>
    <x v="11"/>
    <x v="2"/>
    <x v="25"/>
    <x v="1"/>
    <x v="1"/>
    <n v="50"/>
    <x v="5"/>
    <x v="4"/>
    <m/>
  </r>
  <r>
    <n v="2118"/>
    <n v="27"/>
    <s v="Male"/>
    <x v="10"/>
    <x v="0"/>
    <n v="28"/>
    <s v="Colorado"/>
    <x v="0"/>
    <x v="18"/>
    <x v="2"/>
    <x v="1"/>
    <x v="1"/>
    <x v="1"/>
    <n v="11"/>
    <x v="5"/>
    <x v="2"/>
    <m/>
  </r>
  <r>
    <n v="2119"/>
    <n v="60"/>
    <s v="Male"/>
    <x v="20"/>
    <x v="0"/>
    <n v="44"/>
    <s v="Georgia"/>
    <x v="2"/>
    <x v="8"/>
    <x v="3"/>
    <x v="13"/>
    <x v="1"/>
    <x v="1"/>
    <n v="28"/>
    <x v="5"/>
    <x v="3"/>
    <m/>
  </r>
  <r>
    <n v="2120"/>
    <n v="58"/>
    <s v="Male"/>
    <x v="16"/>
    <x v="3"/>
    <n v="57"/>
    <s v="Nebraska"/>
    <x v="2"/>
    <x v="21"/>
    <x v="1"/>
    <x v="22"/>
    <x v="1"/>
    <x v="1"/>
    <n v="36"/>
    <x v="0"/>
    <x v="4"/>
    <m/>
  </r>
  <r>
    <n v="2121"/>
    <n v="53"/>
    <s v="Male"/>
    <x v="18"/>
    <x v="3"/>
    <n v="98"/>
    <s v="Missouri"/>
    <x v="1"/>
    <x v="16"/>
    <x v="3"/>
    <x v="0"/>
    <x v="1"/>
    <x v="1"/>
    <n v="38"/>
    <x v="3"/>
    <x v="3"/>
    <m/>
  </r>
  <r>
    <n v="2122"/>
    <n v="43"/>
    <s v="Male"/>
    <x v="21"/>
    <x v="3"/>
    <n v="68"/>
    <s v="Alaska"/>
    <x v="2"/>
    <x v="8"/>
    <x v="0"/>
    <x v="22"/>
    <x v="1"/>
    <x v="1"/>
    <n v="32"/>
    <x v="4"/>
    <x v="5"/>
    <m/>
  </r>
  <r>
    <n v="2123"/>
    <n v="32"/>
    <s v="Male"/>
    <x v="14"/>
    <x v="2"/>
    <n v="36"/>
    <s v="Virginia"/>
    <x v="0"/>
    <x v="11"/>
    <x v="3"/>
    <x v="8"/>
    <x v="1"/>
    <x v="1"/>
    <n v="42"/>
    <x v="5"/>
    <x v="1"/>
    <m/>
  </r>
  <r>
    <n v="2124"/>
    <n v="54"/>
    <s v="Male"/>
    <x v="7"/>
    <x v="2"/>
    <n v="71"/>
    <s v="Nebraska"/>
    <x v="0"/>
    <x v="17"/>
    <x v="1"/>
    <x v="5"/>
    <x v="1"/>
    <x v="1"/>
    <n v="22"/>
    <x v="5"/>
    <x v="4"/>
    <m/>
  </r>
  <r>
    <n v="2125"/>
    <n v="47"/>
    <s v="Male"/>
    <x v="11"/>
    <x v="0"/>
    <n v="60"/>
    <s v="Rhode Island"/>
    <x v="2"/>
    <x v="11"/>
    <x v="3"/>
    <x v="13"/>
    <x v="1"/>
    <x v="1"/>
    <n v="22"/>
    <x v="0"/>
    <x v="3"/>
    <m/>
  </r>
  <r>
    <n v="2126"/>
    <n v="57"/>
    <s v="Male"/>
    <x v="7"/>
    <x v="2"/>
    <n v="87"/>
    <s v="New Hampshire"/>
    <x v="2"/>
    <x v="19"/>
    <x v="3"/>
    <x v="3"/>
    <x v="1"/>
    <x v="1"/>
    <n v="31"/>
    <x v="3"/>
    <x v="3"/>
    <m/>
  </r>
  <r>
    <n v="2127"/>
    <n v="63"/>
    <s v="Male"/>
    <x v="9"/>
    <x v="1"/>
    <n v="38"/>
    <s v="Alabama"/>
    <x v="3"/>
    <x v="23"/>
    <x v="0"/>
    <x v="18"/>
    <x v="1"/>
    <x v="1"/>
    <n v="28"/>
    <x v="2"/>
    <x v="5"/>
    <m/>
  </r>
  <r>
    <n v="2128"/>
    <n v="70"/>
    <s v="Male"/>
    <x v="23"/>
    <x v="1"/>
    <n v="45"/>
    <s v="North Carolina"/>
    <x v="2"/>
    <x v="21"/>
    <x v="1"/>
    <x v="21"/>
    <x v="1"/>
    <x v="1"/>
    <n v="40"/>
    <x v="5"/>
    <x v="1"/>
    <m/>
  </r>
  <r>
    <n v="2129"/>
    <n v="62"/>
    <s v="Male"/>
    <x v="7"/>
    <x v="2"/>
    <n v="47"/>
    <s v="New Mexico"/>
    <x v="0"/>
    <x v="17"/>
    <x v="3"/>
    <x v="6"/>
    <x v="1"/>
    <x v="1"/>
    <n v="21"/>
    <x v="3"/>
    <x v="1"/>
    <m/>
  </r>
  <r>
    <n v="2130"/>
    <n v="40"/>
    <s v="Male"/>
    <x v="11"/>
    <x v="0"/>
    <n v="57"/>
    <s v="Minnesota"/>
    <x v="0"/>
    <x v="20"/>
    <x v="3"/>
    <x v="24"/>
    <x v="1"/>
    <x v="1"/>
    <n v="12"/>
    <x v="3"/>
    <x v="6"/>
    <m/>
  </r>
  <r>
    <n v="2131"/>
    <n v="25"/>
    <s v="Male"/>
    <x v="21"/>
    <x v="3"/>
    <n v="68"/>
    <s v="Arizona"/>
    <x v="0"/>
    <x v="10"/>
    <x v="2"/>
    <x v="5"/>
    <x v="1"/>
    <x v="1"/>
    <n v="33"/>
    <x v="2"/>
    <x v="2"/>
    <m/>
  </r>
  <r>
    <n v="2132"/>
    <n v="19"/>
    <s v="Male"/>
    <x v="6"/>
    <x v="0"/>
    <n v="52"/>
    <s v="Montana"/>
    <x v="2"/>
    <x v="16"/>
    <x v="3"/>
    <x v="2"/>
    <x v="1"/>
    <x v="1"/>
    <n v="9"/>
    <x v="4"/>
    <x v="0"/>
    <m/>
  </r>
  <r>
    <n v="2133"/>
    <n v="25"/>
    <s v="Male"/>
    <x v="11"/>
    <x v="0"/>
    <n v="87"/>
    <s v="Vermont"/>
    <x v="2"/>
    <x v="23"/>
    <x v="3"/>
    <x v="15"/>
    <x v="1"/>
    <x v="1"/>
    <n v="15"/>
    <x v="5"/>
    <x v="1"/>
    <m/>
  </r>
  <r>
    <n v="2134"/>
    <n v="21"/>
    <s v="Male"/>
    <x v="19"/>
    <x v="3"/>
    <n v="34"/>
    <s v="Maine"/>
    <x v="2"/>
    <x v="8"/>
    <x v="2"/>
    <x v="1"/>
    <x v="1"/>
    <x v="1"/>
    <n v="13"/>
    <x v="4"/>
    <x v="2"/>
    <m/>
  </r>
  <r>
    <n v="2135"/>
    <n v="55"/>
    <s v="Male"/>
    <x v="3"/>
    <x v="1"/>
    <n v="41"/>
    <s v="Virginia"/>
    <x v="3"/>
    <x v="1"/>
    <x v="0"/>
    <x v="25"/>
    <x v="1"/>
    <x v="1"/>
    <n v="35"/>
    <x v="2"/>
    <x v="0"/>
    <m/>
  </r>
  <r>
    <n v="2136"/>
    <n v="34"/>
    <s v="Male"/>
    <x v="12"/>
    <x v="3"/>
    <n v="94"/>
    <s v="California"/>
    <x v="1"/>
    <x v="22"/>
    <x v="0"/>
    <x v="7"/>
    <x v="1"/>
    <x v="1"/>
    <n v="1"/>
    <x v="5"/>
    <x v="6"/>
    <m/>
  </r>
  <r>
    <n v="2137"/>
    <n v="47"/>
    <s v="Male"/>
    <x v="12"/>
    <x v="3"/>
    <n v="93"/>
    <s v="New York"/>
    <x v="2"/>
    <x v="16"/>
    <x v="2"/>
    <x v="24"/>
    <x v="1"/>
    <x v="1"/>
    <n v="25"/>
    <x v="4"/>
    <x v="0"/>
    <m/>
  </r>
  <r>
    <n v="2138"/>
    <n v="27"/>
    <s v="Male"/>
    <x v="20"/>
    <x v="0"/>
    <n v="51"/>
    <s v="Indiana"/>
    <x v="3"/>
    <x v="7"/>
    <x v="0"/>
    <x v="7"/>
    <x v="1"/>
    <x v="1"/>
    <n v="20"/>
    <x v="2"/>
    <x v="6"/>
    <m/>
  </r>
  <r>
    <n v="2139"/>
    <n v="67"/>
    <s v="Male"/>
    <x v="1"/>
    <x v="0"/>
    <n v="42"/>
    <s v="Mississippi"/>
    <x v="2"/>
    <x v="11"/>
    <x v="3"/>
    <x v="24"/>
    <x v="1"/>
    <x v="1"/>
    <n v="36"/>
    <x v="0"/>
    <x v="3"/>
    <m/>
  </r>
  <r>
    <n v="2140"/>
    <n v="40"/>
    <s v="Male"/>
    <x v="23"/>
    <x v="1"/>
    <n v="95"/>
    <s v="New York"/>
    <x v="2"/>
    <x v="16"/>
    <x v="0"/>
    <x v="23"/>
    <x v="1"/>
    <x v="1"/>
    <n v="33"/>
    <x v="1"/>
    <x v="1"/>
    <m/>
  </r>
  <r>
    <n v="2141"/>
    <n v="53"/>
    <s v="Male"/>
    <x v="8"/>
    <x v="3"/>
    <n v="90"/>
    <s v="New Mexico"/>
    <x v="2"/>
    <x v="18"/>
    <x v="3"/>
    <x v="5"/>
    <x v="1"/>
    <x v="1"/>
    <n v="36"/>
    <x v="1"/>
    <x v="0"/>
    <m/>
  </r>
  <r>
    <n v="2142"/>
    <n v="24"/>
    <s v="Male"/>
    <x v="10"/>
    <x v="0"/>
    <n v="98"/>
    <s v="Kentucky"/>
    <x v="2"/>
    <x v="15"/>
    <x v="0"/>
    <x v="18"/>
    <x v="1"/>
    <x v="1"/>
    <n v="32"/>
    <x v="3"/>
    <x v="2"/>
    <m/>
  </r>
  <r>
    <n v="2143"/>
    <n v="47"/>
    <s v="Male"/>
    <x v="19"/>
    <x v="3"/>
    <n v="39"/>
    <s v="North Dakota"/>
    <x v="2"/>
    <x v="1"/>
    <x v="0"/>
    <x v="12"/>
    <x v="1"/>
    <x v="1"/>
    <n v="21"/>
    <x v="0"/>
    <x v="3"/>
    <m/>
  </r>
  <r>
    <n v="2144"/>
    <n v="53"/>
    <s v="Male"/>
    <x v="3"/>
    <x v="1"/>
    <n v="66"/>
    <s v="Arkansas"/>
    <x v="0"/>
    <x v="16"/>
    <x v="3"/>
    <x v="1"/>
    <x v="1"/>
    <x v="1"/>
    <n v="48"/>
    <x v="0"/>
    <x v="4"/>
    <m/>
  </r>
  <r>
    <n v="2145"/>
    <n v="47"/>
    <s v="Male"/>
    <x v="9"/>
    <x v="1"/>
    <n v="23"/>
    <s v="Maryland"/>
    <x v="0"/>
    <x v="20"/>
    <x v="0"/>
    <x v="5"/>
    <x v="1"/>
    <x v="1"/>
    <n v="25"/>
    <x v="3"/>
    <x v="3"/>
    <m/>
  </r>
  <r>
    <n v="2146"/>
    <n v="38"/>
    <s v="Male"/>
    <x v="11"/>
    <x v="0"/>
    <n v="73"/>
    <s v="Connecticut"/>
    <x v="1"/>
    <x v="3"/>
    <x v="0"/>
    <x v="3"/>
    <x v="1"/>
    <x v="1"/>
    <n v="32"/>
    <x v="3"/>
    <x v="2"/>
    <m/>
  </r>
  <r>
    <n v="2147"/>
    <n v="48"/>
    <s v="Male"/>
    <x v="12"/>
    <x v="3"/>
    <n v="23"/>
    <s v="Utah"/>
    <x v="3"/>
    <x v="3"/>
    <x v="2"/>
    <x v="7"/>
    <x v="1"/>
    <x v="1"/>
    <n v="45"/>
    <x v="3"/>
    <x v="6"/>
    <m/>
  </r>
  <r>
    <n v="2148"/>
    <n v="47"/>
    <s v="Male"/>
    <x v="11"/>
    <x v="0"/>
    <n v="43"/>
    <s v="Missouri"/>
    <x v="1"/>
    <x v="4"/>
    <x v="3"/>
    <x v="3"/>
    <x v="1"/>
    <x v="1"/>
    <n v="4"/>
    <x v="1"/>
    <x v="0"/>
    <m/>
  </r>
  <r>
    <n v="2149"/>
    <n v="19"/>
    <s v="Male"/>
    <x v="17"/>
    <x v="0"/>
    <n v="45"/>
    <s v="Nebraska"/>
    <x v="3"/>
    <x v="2"/>
    <x v="0"/>
    <x v="7"/>
    <x v="1"/>
    <x v="1"/>
    <n v="19"/>
    <x v="3"/>
    <x v="4"/>
    <m/>
  </r>
  <r>
    <n v="2150"/>
    <n v="38"/>
    <s v="Male"/>
    <x v="3"/>
    <x v="1"/>
    <n v="21"/>
    <s v="Hawaii"/>
    <x v="0"/>
    <x v="20"/>
    <x v="0"/>
    <x v="8"/>
    <x v="1"/>
    <x v="1"/>
    <n v="1"/>
    <x v="4"/>
    <x v="1"/>
    <m/>
  </r>
  <r>
    <n v="2151"/>
    <n v="57"/>
    <s v="Male"/>
    <x v="5"/>
    <x v="0"/>
    <n v="40"/>
    <s v="Illinois"/>
    <x v="2"/>
    <x v="20"/>
    <x v="1"/>
    <x v="4"/>
    <x v="1"/>
    <x v="1"/>
    <n v="12"/>
    <x v="1"/>
    <x v="1"/>
    <m/>
  </r>
  <r>
    <n v="2152"/>
    <n v="70"/>
    <s v="Male"/>
    <x v="2"/>
    <x v="0"/>
    <n v="58"/>
    <s v="Vermont"/>
    <x v="0"/>
    <x v="18"/>
    <x v="3"/>
    <x v="4"/>
    <x v="1"/>
    <x v="1"/>
    <n v="18"/>
    <x v="0"/>
    <x v="5"/>
    <m/>
  </r>
  <r>
    <n v="2153"/>
    <n v="38"/>
    <s v="Male"/>
    <x v="6"/>
    <x v="0"/>
    <n v="48"/>
    <s v="New Jersey"/>
    <x v="0"/>
    <x v="23"/>
    <x v="2"/>
    <x v="21"/>
    <x v="1"/>
    <x v="1"/>
    <n v="43"/>
    <x v="4"/>
    <x v="4"/>
    <m/>
  </r>
  <r>
    <n v="2154"/>
    <n v="35"/>
    <s v="Male"/>
    <x v="5"/>
    <x v="0"/>
    <n v="94"/>
    <s v="Kentucky"/>
    <x v="2"/>
    <x v="10"/>
    <x v="3"/>
    <x v="13"/>
    <x v="1"/>
    <x v="1"/>
    <n v="31"/>
    <x v="3"/>
    <x v="2"/>
    <m/>
  </r>
  <r>
    <n v="2155"/>
    <n v="46"/>
    <s v="Male"/>
    <x v="18"/>
    <x v="3"/>
    <n v="74"/>
    <s v="Wyoming"/>
    <x v="2"/>
    <x v="10"/>
    <x v="1"/>
    <x v="10"/>
    <x v="1"/>
    <x v="1"/>
    <n v="33"/>
    <x v="1"/>
    <x v="6"/>
    <m/>
  </r>
  <r>
    <n v="2156"/>
    <n v="32"/>
    <s v="Male"/>
    <x v="8"/>
    <x v="3"/>
    <n v="51"/>
    <s v="Hawaii"/>
    <x v="0"/>
    <x v="22"/>
    <x v="3"/>
    <x v="5"/>
    <x v="1"/>
    <x v="1"/>
    <n v="46"/>
    <x v="3"/>
    <x v="5"/>
    <m/>
  </r>
  <r>
    <n v="2157"/>
    <n v="38"/>
    <s v="Male"/>
    <x v="11"/>
    <x v="0"/>
    <n v="83"/>
    <s v="Missouri"/>
    <x v="2"/>
    <x v="1"/>
    <x v="0"/>
    <x v="2"/>
    <x v="1"/>
    <x v="1"/>
    <n v="41"/>
    <x v="5"/>
    <x v="4"/>
    <m/>
  </r>
  <r>
    <n v="2158"/>
    <n v="41"/>
    <s v="Male"/>
    <x v="8"/>
    <x v="3"/>
    <n v="68"/>
    <s v="Mississippi"/>
    <x v="0"/>
    <x v="2"/>
    <x v="0"/>
    <x v="8"/>
    <x v="1"/>
    <x v="1"/>
    <n v="41"/>
    <x v="0"/>
    <x v="0"/>
    <m/>
  </r>
  <r>
    <n v="2159"/>
    <n v="19"/>
    <s v="Male"/>
    <x v="24"/>
    <x v="3"/>
    <n v="84"/>
    <s v="Massachusetts"/>
    <x v="3"/>
    <x v="8"/>
    <x v="1"/>
    <x v="7"/>
    <x v="1"/>
    <x v="1"/>
    <n v="9"/>
    <x v="4"/>
    <x v="0"/>
    <m/>
  </r>
  <r>
    <n v="2160"/>
    <n v="18"/>
    <s v="Male"/>
    <x v="5"/>
    <x v="0"/>
    <n v="58"/>
    <s v="Louisiana"/>
    <x v="2"/>
    <x v="15"/>
    <x v="3"/>
    <x v="23"/>
    <x v="1"/>
    <x v="1"/>
    <n v="34"/>
    <x v="1"/>
    <x v="2"/>
    <m/>
  </r>
  <r>
    <n v="2161"/>
    <n v="45"/>
    <s v="Male"/>
    <x v="0"/>
    <x v="0"/>
    <n v="92"/>
    <s v="West Virginia"/>
    <x v="0"/>
    <x v="4"/>
    <x v="0"/>
    <x v="19"/>
    <x v="1"/>
    <x v="1"/>
    <n v="21"/>
    <x v="3"/>
    <x v="2"/>
    <m/>
  </r>
  <r>
    <n v="2162"/>
    <n v="23"/>
    <s v="Male"/>
    <x v="10"/>
    <x v="0"/>
    <n v="69"/>
    <s v="Washington"/>
    <x v="1"/>
    <x v="15"/>
    <x v="2"/>
    <x v="1"/>
    <x v="1"/>
    <x v="1"/>
    <n v="5"/>
    <x v="5"/>
    <x v="0"/>
    <m/>
  </r>
  <r>
    <n v="2163"/>
    <n v="60"/>
    <s v="Male"/>
    <x v="6"/>
    <x v="0"/>
    <n v="48"/>
    <s v="Oregon"/>
    <x v="1"/>
    <x v="13"/>
    <x v="2"/>
    <x v="6"/>
    <x v="1"/>
    <x v="1"/>
    <n v="32"/>
    <x v="3"/>
    <x v="1"/>
    <m/>
  </r>
  <r>
    <n v="2164"/>
    <n v="52"/>
    <s v="Male"/>
    <x v="9"/>
    <x v="1"/>
    <n v="60"/>
    <s v="New York"/>
    <x v="0"/>
    <x v="0"/>
    <x v="1"/>
    <x v="21"/>
    <x v="1"/>
    <x v="1"/>
    <n v="44"/>
    <x v="4"/>
    <x v="5"/>
    <m/>
  </r>
  <r>
    <n v="2165"/>
    <n v="42"/>
    <s v="Male"/>
    <x v="3"/>
    <x v="1"/>
    <n v="20"/>
    <s v="Iowa"/>
    <x v="1"/>
    <x v="8"/>
    <x v="0"/>
    <x v="3"/>
    <x v="1"/>
    <x v="1"/>
    <n v="46"/>
    <x v="3"/>
    <x v="4"/>
    <m/>
  </r>
  <r>
    <n v="2166"/>
    <n v="29"/>
    <s v="Male"/>
    <x v="13"/>
    <x v="0"/>
    <n v="55"/>
    <s v="Idaho"/>
    <x v="2"/>
    <x v="2"/>
    <x v="2"/>
    <x v="13"/>
    <x v="1"/>
    <x v="1"/>
    <n v="42"/>
    <x v="2"/>
    <x v="6"/>
    <m/>
  </r>
  <r>
    <n v="2167"/>
    <n v="31"/>
    <s v="Male"/>
    <x v="14"/>
    <x v="2"/>
    <n v="88"/>
    <s v="New Jersey"/>
    <x v="1"/>
    <x v="7"/>
    <x v="1"/>
    <x v="22"/>
    <x v="1"/>
    <x v="1"/>
    <n v="50"/>
    <x v="2"/>
    <x v="4"/>
    <m/>
  </r>
  <r>
    <n v="2168"/>
    <n v="30"/>
    <s v="Male"/>
    <x v="11"/>
    <x v="0"/>
    <n v="48"/>
    <s v="Ohio"/>
    <x v="0"/>
    <x v="14"/>
    <x v="0"/>
    <x v="17"/>
    <x v="1"/>
    <x v="1"/>
    <n v="33"/>
    <x v="0"/>
    <x v="0"/>
    <m/>
  </r>
  <r>
    <n v="2169"/>
    <n v="23"/>
    <s v="Male"/>
    <x v="8"/>
    <x v="3"/>
    <n v="74"/>
    <s v="Connecticut"/>
    <x v="2"/>
    <x v="19"/>
    <x v="1"/>
    <x v="18"/>
    <x v="1"/>
    <x v="1"/>
    <n v="32"/>
    <x v="1"/>
    <x v="3"/>
    <m/>
  </r>
  <r>
    <n v="2170"/>
    <n v="31"/>
    <s v="Male"/>
    <x v="7"/>
    <x v="2"/>
    <n v="42"/>
    <s v="Florida"/>
    <x v="2"/>
    <x v="18"/>
    <x v="3"/>
    <x v="25"/>
    <x v="1"/>
    <x v="1"/>
    <n v="32"/>
    <x v="4"/>
    <x v="4"/>
    <m/>
  </r>
  <r>
    <n v="2171"/>
    <n v="40"/>
    <s v="Male"/>
    <x v="1"/>
    <x v="0"/>
    <n v="32"/>
    <s v="South Carolina"/>
    <x v="2"/>
    <x v="2"/>
    <x v="3"/>
    <x v="8"/>
    <x v="1"/>
    <x v="1"/>
    <n v="37"/>
    <x v="0"/>
    <x v="6"/>
    <m/>
  </r>
  <r>
    <n v="2172"/>
    <n v="39"/>
    <s v="Male"/>
    <x v="6"/>
    <x v="0"/>
    <n v="98"/>
    <s v="Missouri"/>
    <x v="2"/>
    <x v="22"/>
    <x v="2"/>
    <x v="7"/>
    <x v="1"/>
    <x v="1"/>
    <n v="9"/>
    <x v="1"/>
    <x v="0"/>
    <m/>
  </r>
  <r>
    <n v="2173"/>
    <n v="28"/>
    <s v="Male"/>
    <x v="11"/>
    <x v="0"/>
    <n v="89"/>
    <s v="Rhode Island"/>
    <x v="1"/>
    <x v="12"/>
    <x v="3"/>
    <x v="24"/>
    <x v="1"/>
    <x v="1"/>
    <n v="6"/>
    <x v="3"/>
    <x v="0"/>
    <m/>
  </r>
  <r>
    <n v="2174"/>
    <n v="23"/>
    <s v="Male"/>
    <x v="24"/>
    <x v="3"/>
    <n v="97"/>
    <s v="Delaware"/>
    <x v="1"/>
    <x v="17"/>
    <x v="2"/>
    <x v="11"/>
    <x v="1"/>
    <x v="1"/>
    <n v="36"/>
    <x v="0"/>
    <x v="3"/>
    <m/>
  </r>
  <r>
    <n v="2175"/>
    <n v="42"/>
    <s v="Male"/>
    <x v="21"/>
    <x v="3"/>
    <n v="49"/>
    <s v="Colorado"/>
    <x v="1"/>
    <x v="8"/>
    <x v="1"/>
    <x v="25"/>
    <x v="1"/>
    <x v="1"/>
    <n v="1"/>
    <x v="1"/>
    <x v="2"/>
    <m/>
  </r>
  <r>
    <n v="2176"/>
    <n v="68"/>
    <s v="Male"/>
    <x v="10"/>
    <x v="0"/>
    <n v="50"/>
    <s v="Nebraska"/>
    <x v="2"/>
    <x v="5"/>
    <x v="1"/>
    <x v="19"/>
    <x v="1"/>
    <x v="1"/>
    <n v="48"/>
    <x v="2"/>
    <x v="0"/>
    <m/>
  </r>
  <r>
    <n v="2177"/>
    <n v="24"/>
    <s v="Male"/>
    <x v="22"/>
    <x v="3"/>
    <n v="91"/>
    <s v="Vermont"/>
    <x v="1"/>
    <x v="16"/>
    <x v="0"/>
    <x v="10"/>
    <x v="1"/>
    <x v="1"/>
    <n v="44"/>
    <x v="5"/>
    <x v="3"/>
    <m/>
  </r>
  <r>
    <n v="2178"/>
    <n v="24"/>
    <s v="Male"/>
    <x v="24"/>
    <x v="3"/>
    <n v="93"/>
    <s v="Montana"/>
    <x v="3"/>
    <x v="14"/>
    <x v="0"/>
    <x v="23"/>
    <x v="1"/>
    <x v="1"/>
    <n v="9"/>
    <x v="3"/>
    <x v="4"/>
    <m/>
  </r>
  <r>
    <n v="2179"/>
    <n v="21"/>
    <s v="Male"/>
    <x v="16"/>
    <x v="3"/>
    <n v="98"/>
    <s v="Florida"/>
    <x v="2"/>
    <x v="9"/>
    <x v="2"/>
    <x v="15"/>
    <x v="1"/>
    <x v="1"/>
    <n v="32"/>
    <x v="0"/>
    <x v="2"/>
    <m/>
  </r>
  <r>
    <n v="2180"/>
    <n v="49"/>
    <s v="Male"/>
    <x v="20"/>
    <x v="0"/>
    <n v="82"/>
    <s v="Delaware"/>
    <x v="0"/>
    <x v="12"/>
    <x v="3"/>
    <x v="25"/>
    <x v="1"/>
    <x v="1"/>
    <n v="14"/>
    <x v="3"/>
    <x v="5"/>
    <m/>
  </r>
  <r>
    <n v="2181"/>
    <n v="41"/>
    <s v="Male"/>
    <x v="7"/>
    <x v="2"/>
    <n v="37"/>
    <s v="Connecticut"/>
    <x v="2"/>
    <x v="22"/>
    <x v="2"/>
    <x v="18"/>
    <x v="1"/>
    <x v="1"/>
    <n v="43"/>
    <x v="1"/>
    <x v="3"/>
    <m/>
  </r>
  <r>
    <n v="2182"/>
    <n v="22"/>
    <s v="Male"/>
    <x v="8"/>
    <x v="3"/>
    <n v="63"/>
    <s v="Hawaii"/>
    <x v="2"/>
    <x v="13"/>
    <x v="3"/>
    <x v="20"/>
    <x v="1"/>
    <x v="1"/>
    <n v="32"/>
    <x v="4"/>
    <x v="4"/>
    <m/>
  </r>
  <r>
    <n v="2183"/>
    <n v="42"/>
    <s v="Male"/>
    <x v="0"/>
    <x v="0"/>
    <n v="99"/>
    <s v="New Mexico"/>
    <x v="2"/>
    <x v="1"/>
    <x v="0"/>
    <x v="6"/>
    <x v="1"/>
    <x v="1"/>
    <n v="26"/>
    <x v="0"/>
    <x v="4"/>
    <m/>
  </r>
  <r>
    <n v="2184"/>
    <n v="30"/>
    <s v="Male"/>
    <x v="6"/>
    <x v="0"/>
    <n v="37"/>
    <s v="Kansas"/>
    <x v="2"/>
    <x v="1"/>
    <x v="1"/>
    <x v="15"/>
    <x v="1"/>
    <x v="1"/>
    <n v="2"/>
    <x v="1"/>
    <x v="5"/>
    <m/>
  </r>
  <r>
    <n v="2185"/>
    <n v="38"/>
    <s v="Male"/>
    <x v="9"/>
    <x v="1"/>
    <n v="34"/>
    <s v="Nevada"/>
    <x v="1"/>
    <x v="9"/>
    <x v="1"/>
    <x v="20"/>
    <x v="1"/>
    <x v="1"/>
    <n v="16"/>
    <x v="3"/>
    <x v="6"/>
    <m/>
  </r>
  <r>
    <n v="2186"/>
    <n v="40"/>
    <s v="Male"/>
    <x v="6"/>
    <x v="0"/>
    <n v="32"/>
    <s v="North Carolina"/>
    <x v="2"/>
    <x v="10"/>
    <x v="0"/>
    <x v="16"/>
    <x v="1"/>
    <x v="1"/>
    <n v="50"/>
    <x v="5"/>
    <x v="6"/>
    <m/>
  </r>
  <r>
    <n v="2187"/>
    <n v="55"/>
    <s v="Male"/>
    <x v="3"/>
    <x v="1"/>
    <n v="23"/>
    <s v="New Mexico"/>
    <x v="3"/>
    <x v="11"/>
    <x v="0"/>
    <x v="12"/>
    <x v="1"/>
    <x v="1"/>
    <n v="6"/>
    <x v="3"/>
    <x v="6"/>
    <m/>
  </r>
  <r>
    <n v="2188"/>
    <n v="37"/>
    <s v="Male"/>
    <x v="0"/>
    <x v="0"/>
    <n v="78"/>
    <s v="Idaho"/>
    <x v="2"/>
    <x v="10"/>
    <x v="1"/>
    <x v="9"/>
    <x v="1"/>
    <x v="1"/>
    <n v="20"/>
    <x v="3"/>
    <x v="2"/>
    <m/>
  </r>
  <r>
    <n v="2189"/>
    <n v="41"/>
    <s v="Male"/>
    <x v="7"/>
    <x v="2"/>
    <n v="54"/>
    <s v="California"/>
    <x v="2"/>
    <x v="18"/>
    <x v="0"/>
    <x v="15"/>
    <x v="1"/>
    <x v="1"/>
    <n v="9"/>
    <x v="2"/>
    <x v="1"/>
    <m/>
  </r>
  <r>
    <n v="2190"/>
    <n v="38"/>
    <s v="Male"/>
    <x v="0"/>
    <x v="0"/>
    <n v="94"/>
    <s v="Wisconsin"/>
    <x v="3"/>
    <x v="18"/>
    <x v="3"/>
    <x v="8"/>
    <x v="1"/>
    <x v="1"/>
    <n v="47"/>
    <x v="2"/>
    <x v="4"/>
    <m/>
  </r>
  <r>
    <n v="2191"/>
    <n v="42"/>
    <s v="Male"/>
    <x v="22"/>
    <x v="3"/>
    <n v="75"/>
    <s v="Alaska"/>
    <x v="1"/>
    <x v="1"/>
    <x v="1"/>
    <x v="7"/>
    <x v="1"/>
    <x v="1"/>
    <n v="33"/>
    <x v="2"/>
    <x v="2"/>
    <m/>
  </r>
  <r>
    <n v="2192"/>
    <n v="26"/>
    <s v="Male"/>
    <x v="0"/>
    <x v="0"/>
    <n v="69"/>
    <s v="Pennsylvania"/>
    <x v="1"/>
    <x v="1"/>
    <x v="2"/>
    <x v="1"/>
    <x v="1"/>
    <x v="1"/>
    <n v="46"/>
    <x v="1"/>
    <x v="4"/>
    <m/>
  </r>
  <r>
    <n v="2193"/>
    <n v="41"/>
    <s v="Male"/>
    <x v="18"/>
    <x v="3"/>
    <n v="35"/>
    <s v="Virginia"/>
    <x v="0"/>
    <x v="22"/>
    <x v="0"/>
    <x v="20"/>
    <x v="1"/>
    <x v="1"/>
    <n v="9"/>
    <x v="2"/>
    <x v="5"/>
    <m/>
  </r>
  <r>
    <n v="2194"/>
    <n v="27"/>
    <s v="Male"/>
    <x v="5"/>
    <x v="0"/>
    <n v="78"/>
    <s v="California"/>
    <x v="0"/>
    <x v="2"/>
    <x v="1"/>
    <x v="11"/>
    <x v="1"/>
    <x v="1"/>
    <n v="8"/>
    <x v="3"/>
    <x v="5"/>
    <m/>
  </r>
  <r>
    <n v="2195"/>
    <n v="61"/>
    <s v="Male"/>
    <x v="20"/>
    <x v="0"/>
    <n v="29"/>
    <s v="Kentucky"/>
    <x v="2"/>
    <x v="5"/>
    <x v="2"/>
    <x v="22"/>
    <x v="1"/>
    <x v="1"/>
    <n v="48"/>
    <x v="4"/>
    <x v="3"/>
    <m/>
  </r>
  <r>
    <n v="2196"/>
    <n v="58"/>
    <s v="Male"/>
    <x v="2"/>
    <x v="0"/>
    <n v="62"/>
    <s v="New York"/>
    <x v="2"/>
    <x v="18"/>
    <x v="3"/>
    <x v="5"/>
    <x v="1"/>
    <x v="1"/>
    <n v="2"/>
    <x v="1"/>
    <x v="5"/>
    <m/>
  </r>
  <r>
    <n v="2197"/>
    <n v="25"/>
    <s v="Male"/>
    <x v="10"/>
    <x v="0"/>
    <n v="58"/>
    <s v="Vermont"/>
    <x v="2"/>
    <x v="0"/>
    <x v="1"/>
    <x v="3"/>
    <x v="1"/>
    <x v="1"/>
    <n v="31"/>
    <x v="3"/>
    <x v="1"/>
    <m/>
  </r>
  <r>
    <n v="2198"/>
    <n v="33"/>
    <s v="Male"/>
    <x v="23"/>
    <x v="1"/>
    <n v="88"/>
    <s v="Pennsylvania"/>
    <x v="2"/>
    <x v="21"/>
    <x v="2"/>
    <x v="5"/>
    <x v="1"/>
    <x v="1"/>
    <n v="40"/>
    <x v="0"/>
    <x v="5"/>
    <m/>
  </r>
  <r>
    <n v="2199"/>
    <n v="57"/>
    <s v="Male"/>
    <x v="18"/>
    <x v="3"/>
    <n v="80"/>
    <s v="New York"/>
    <x v="0"/>
    <x v="2"/>
    <x v="2"/>
    <x v="22"/>
    <x v="1"/>
    <x v="1"/>
    <n v="35"/>
    <x v="0"/>
    <x v="5"/>
    <m/>
  </r>
  <r>
    <n v="2200"/>
    <n v="39"/>
    <s v="Male"/>
    <x v="18"/>
    <x v="3"/>
    <n v="47"/>
    <s v="North Carolina"/>
    <x v="2"/>
    <x v="1"/>
    <x v="2"/>
    <x v="17"/>
    <x v="1"/>
    <x v="1"/>
    <n v="40"/>
    <x v="5"/>
    <x v="5"/>
    <m/>
  </r>
  <r>
    <n v="2201"/>
    <n v="60"/>
    <s v="Male"/>
    <x v="24"/>
    <x v="3"/>
    <n v="51"/>
    <s v="Wyoming"/>
    <x v="0"/>
    <x v="4"/>
    <x v="2"/>
    <x v="15"/>
    <x v="1"/>
    <x v="1"/>
    <n v="27"/>
    <x v="5"/>
    <x v="6"/>
    <m/>
  </r>
  <r>
    <n v="2202"/>
    <n v="39"/>
    <s v="Male"/>
    <x v="13"/>
    <x v="0"/>
    <n v="25"/>
    <s v="Ohio"/>
    <x v="0"/>
    <x v="15"/>
    <x v="1"/>
    <x v="17"/>
    <x v="1"/>
    <x v="1"/>
    <n v="10"/>
    <x v="0"/>
    <x v="2"/>
    <m/>
  </r>
  <r>
    <n v="2203"/>
    <n v="42"/>
    <s v="Male"/>
    <x v="10"/>
    <x v="0"/>
    <n v="36"/>
    <s v="Alabama"/>
    <x v="2"/>
    <x v="16"/>
    <x v="2"/>
    <x v="12"/>
    <x v="1"/>
    <x v="1"/>
    <n v="23"/>
    <x v="2"/>
    <x v="1"/>
    <m/>
  </r>
  <r>
    <n v="2204"/>
    <n v="53"/>
    <s v="Male"/>
    <x v="10"/>
    <x v="0"/>
    <n v="79"/>
    <s v="Rhode Island"/>
    <x v="2"/>
    <x v="21"/>
    <x v="0"/>
    <x v="0"/>
    <x v="1"/>
    <x v="1"/>
    <n v="32"/>
    <x v="1"/>
    <x v="3"/>
    <m/>
  </r>
  <r>
    <n v="2205"/>
    <n v="20"/>
    <s v="Male"/>
    <x v="2"/>
    <x v="0"/>
    <n v="41"/>
    <s v="Oregon"/>
    <x v="1"/>
    <x v="12"/>
    <x v="0"/>
    <x v="10"/>
    <x v="1"/>
    <x v="1"/>
    <n v="6"/>
    <x v="5"/>
    <x v="5"/>
    <m/>
  </r>
  <r>
    <n v="2206"/>
    <n v="46"/>
    <s v="Male"/>
    <x v="1"/>
    <x v="0"/>
    <n v="68"/>
    <s v="North Dakota"/>
    <x v="3"/>
    <x v="16"/>
    <x v="3"/>
    <x v="6"/>
    <x v="1"/>
    <x v="1"/>
    <n v="27"/>
    <x v="3"/>
    <x v="1"/>
    <m/>
  </r>
  <r>
    <n v="2207"/>
    <n v="46"/>
    <s v="Male"/>
    <x v="3"/>
    <x v="1"/>
    <n v="51"/>
    <s v="Illinois"/>
    <x v="0"/>
    <x v="14"/>
    <x v="1"/>
    <x v="4"/>
    <x v="1"/>
    <x v="1"/>
    <n v="25"/>
    <x v="4"/>
    <x v="0"/>
    <m/>
  </r>
  <r>
    <n v="2208"/>
    <n v="69"/>
    <s v="Male"/>
    <x v="8"/>
    <x v="3"/>
    <n v="38"/>
    <s v="New Mexico"/>
    <x v="2"/>
    <x v="0"/>
    <x v="3"/>
    <x v="25"/>
    <x v="1"/>
    <x v="1"/>
    <n v="11"/>
    <x v="2"/>
    <x v="2"/>
    <m/>
  </r>
  <r>
    <n v="2209"/>
    <n v="28"/>
    <s v="Male"/>
    <x v="18"/>
    <x v="3"/>
    <n v="46"/>
    <s v="Colorado"/>
    <x v="3"/>
    <x v="10"/>
    <x v="2"/>
    <x v="6"/>
    <x v="1"/>
    <x v="1"/>
    <n v="23"/>
    <x v="3"/>
    <x v="5"/>
    <m/>
  </r>
  <r>
    <n v="2210"/>
    <n v="42"/>
    <s v="Male"/>
    <x v="3"/>
    <x v="1"/>
    <n v="20"/>
    <s v="Utah"/>
    <x v="3"/>
    <x v="19"/>
    <x v="2"/>
    <x v="21"/>
    <x v="1"/>
    <x v="1"/>
    <n v="44"/>
    <x v="4"/>
    <x v="3"/>
    <m/>
  </r>
  <r>
    <n v="2211"/>
    <n v="30"/>
    <s v="Male"/>
    <x v="12"/>
    <x v="3"/>
    <n v="25"/>
    <s v="Virginia"/>
    <x v="2"/>
    <x v="20"/>
    <x v="2"/>
    <x v="0"/>
    <x v="1"/>
    <x v="1"/>
    <n v="35"/>
    <x v="3"/>
    <x v="0"/>
    <m/>
  </r>
  <r>
    <n v="2212"/>
    <n v="50"/>
    <s v="Male"/>
    <x v="1"/>
    <x v="0"/>
    <n v="89"/>
    <s v="Maine"/>
    <x v="0"/>
    <x v="7"/>
    <x v="0"/>
    <x v="20"/>
    <x v="1"/>
    <x v="1"/>
    <n v="45"/>
    <x v="5"/>
    <x v="6"/>
    <m/>
  </r>
  <r>
    <n v="2213"/>
    <n v="59"/>
    <s v="Male"/>
    <x v="13"/>
    <x v="0"/>
    <n v="77"/>
    <s v="Nebraska"/>
    <x v="2"/>
    <x v="18"/>
    <x v="0"/>
    <x v="19"/>
    <x v="1"/>
    <x v="1"/>
    <n v="22"/>
    <x v="4"/>
    <x v="3"/>
    <m/>
  </r>
  <r>
    <n v="2214"/>
    <n v="54"/>
    <s v="Male"/>
    <x v="19"/>
    <x v="3"/>
    <n v="94"/>
    <s v="Hawaii"/>
    <x v="2"/>
    <x v="1"/>
    <x v="3"/>
    <x v="25"/>
    <x v="1"/>
    <x v="1"/>
    <n v="18"/>
    <x v="5"/>
    <x v="3"/>
    <m/>
  </r>
  <r>
    <n v="2215"/>
    <n v="50"/>
    <s v="Male"/>
    <x v="22"/>
    <x v="3"/>
    <n v="100"/>
    <s v="Idaho"/>
    <x v="0"/>
    <x v="9"/>
    <x v="3"/>
    <x v="18"/>
    <x v="1"/>
    <x v="1"/>
    <n v="20"/>
    <x v="5"/>
    <x v="1"/>
    <m/>
  </r>
  <r>
    <n v="2216"/>
    <n v="25"/>
    <s v="Male"/>
    <x v="3"/>
    <x v="1"/>
    <n v="96"/>
    <s v="West Virginia"/>
    <x v="2"/>
    <x v="21"/>
    <x v="0"/>
    <x v="6"/>
    <x v="1"/>
    <x v="1"/>
    <n v="28"/>
    <x v="2"/>
    <x v="0"/>
    <m/>
  </r>
  <r>
    <n v="2217"/>
    <n v="41"/>
    <s v="Male"/>
    <x v="13"/>
    <x v="0"/>
    <n v="36"/>
    <s v="Vermont"/>
    <x v="3"/>
    <x v="5"/>
    <x v="0"/>
    <x v="8"/>
    <x v="1"/>
    <x v="1"/>
    <n v="15"/>
    <x v="0"/>
    <x v="4"/>
    <m/>
  </r>
  <r>
    <n v="2218"/>
    <n v="35"/>
    <s v="Male"/>
    <x v="16"/>
    <x v="3"/>
    <n v="27"/>
    <s v="Indiana"/>
    <x v="3"/>
    <x v="16"/>
    <x v="3"/>
    <x v="4"/>
    <x v="1"/>
    <x v="1"/>
    <n v="42"/>
    <x v="4"/>
    <x v="0"/>
    <m/>
  </r>
  <r>
    <n v="2219"/>
    <n v="67"/>
    <s v="Male"/>
    <x v="12"/>
    <x v="3"/>
    <n v="67"/>
    <s v="Idaho"/>
    <x v="2"/>
    <x v="23"/>
    <x v="0"/>
    <x v="22"/>
    <x v="1"/>
    <x v="1"/>
    <n v="20"/>
    <x v="5"/>
    <x v="3"/>
    <m/>
  </r>
  <r>
    <n v="2220"/>
    <n v="33"/>
    <s v="Male"/>
    <x v="0"/>
    <x v="0"/>
    <n v="91"/>
    <s v="Minnesota"/>
    <x v="1"/>
    <x v="7"/>
    <x v="3"/>
    <x v="24"/>
    <x v="1"/>
    <x v="1"/>
    <n v="16"/>
    <x v="4"/>
    <x v="0"/>
    <m/>
  </r>
  <r>
    <n v="2221"/>
    <n v="19"/>
    <s v="Male"/>
    <x v="22"/>
    <x v="3"/>
    <n v="62"/>
    <s v="Wyoming"/>
    <x v="3"/>
    <x v="19"/>
    <x v="3"/>
    <x v="21"/>
    <x v="1"/>
    <x v="1"/>
    <n v="47"/>
    <x v="1"/>
    <x v="2"/>
    <m/>
  </r>
  <r>
    <n v="2222"/>
    <n v="25"/>
    <s v="Male"/>
    <x v="6"/>
    <x v="0"/>
    <n v="88"/>
    <s v="Kansas"/>
    <x v="3"/>
    <x v="3"/>
    <x v="3"/>
    <x v="23"/>
    <x v="1"/>
    <x v="1"/>
    <n v="34"/>
    <x v="2"/>
    <x v="2"/>
    <m/>
  </r>
  <r>
    <n v="2223"/>
    <n v="32"/>
    <s v="Male"/>
    <x v="13"/>
    <x v="0"/>
    <n v="66"/>
    <s v="Georgia"/>
    <x v="2"/>
    <x v="11"/>
    <x v="2"/>
    <x v="9"/>
    <x v="1"/>
    <x v="1"/>
    <n v="30"/>
    <x v="2"/>
    <x v="1"/>
    <m/>
  </r>
  <r>
    <n v="2224"/>
    <n v="30"/>
    <s v="Male"/>
    <x v="3"/>
    <x v="1"/>
    <n v="65"/>
    <s v="Kansas"/>
    <x v="2"/>
    <x v="0"/>
    <x v="3"/>
    <x v="15"/>
    <x v="1"/>
    <x v="1"/>
    <n v="5"/>
    <x v="3"/>
    <x v="3"/>
    <m/>
  </r>
  <r>
    <n v="2225"/>
    <n v="18"/>
    <s v="Male"/>
    <x v="24"/>
    <x v="3"/>
    <n v="25"/>
    <s v="Nebraska"/>
    <x v="0"/>
    <x v="4"/>
    <x v="0"/>
    <x v="12"/>
    <x v="1"/>
    <x v="1"/>
    <n v="38"/>
    <x v="1"/>
    <x v="3"/>
    <m/>
  </r>
  <r>
    <n v="2226"/>
    <n v="38"/>
    <s v="Male"/>
    <x v="22"/>
    <x v="3"/>
    <n v="64"/>
    <s v="Washington"/>
    <x v="1"/>
    <x v="8"/>
    <x v="1"/>
    <x v="3"/>
    <x v="1"/>
    <x v="1"/>
    <n v="18"/>
    <x v="2"/>
    <x v="2"/>
    <m/>
  </r>
  <r>
    <n v="2227"/>
    <n v="22"/>
    <s v="Male"/>
    <x v="5"/>
    <x v="0"/>
    <n v="72"/>
    <s v="Missouri"/>
    <x v="0"/>
    <x v="24"/>
    <x v="1"/>
    <x v="3"/>
    <x v="1"/>
    <x v="1"/>
    <n v="28"/>
    <x v="1"/>
    <x v="2"/>
    <m/>
  </r>
  <r>
    <n v="2228"/>
    <n v="40"/>
    <s v="Male"/>
    <x v="18"/>
    <x v="3"/>
    <n v="74"/>
    <s v="Washington"/>
    <x v="1"/>
    <x v="0"/>
    <x v="2"/>
    <x v="9"/>
    <x v="1"/>
    <x v="1"/>
    <n v="42"/>
    <x v="2"/>
    <x v="0"/>
    <m/>
  </r>
  <r>
    <n v="2229"/>
    <n v="54"/>
    <s v="Male"/>
    <x v="24"/>
    <x v="3"/>
    <n v="50"/>
    <s v="Kansas"/>
    <x v="2"/>
    <x v="14"/>
    <x v="3"/>
    <x v="5"/>
    <x v="1"/>
    <x v="1"/>
    <n v="5"/>
    <x v="2"/>
    <x v="1"/>
    <m/>
  </r>
  <r>
    <n v="2230"/>
    <n v="70"/>
    <s v="Male"/>
    <x v="13"/>
    <x v="0"/>
    <n v="97"/>
    <s v="Minnesota"/>
    <x v="2"/>
    <x v="5"/>
    <x v="3"/>
    <x v="14"/>
    <x v="1"/>
    <x v="1"/>
    <n v="50"/>
    <x v="0"/>
    <x v="5"/>
    <m/>
  </r>
  <r>
    <n v="2231"/>
    <n v="52"/>
    <s v="Male"/>
    <x v="4"/>
    <x v="1"/>
    <n v="36"/>
    <s v="Colorado"/>
    <x v="1"/>
    <x v="11"/>
    <x v="1"/>
    <x v="1"/>
    <x v="1"/>
    <x v="1"/>
    <n v="33"/>
    <x v="0"/>
    <x v="0"/>
    <m/>
  </r>
  <r>
    <n v="2232"/>
    <n v="34"/>
    <s v="Male"/>
    <x v="14"/>
    <x v="2"/>
    <n v="49"/>
    <s v="Utah"/>
    <x v="2"/>
    <x v="19"/>
    <x v="3"/>
    <x v="18"/>
    <x v="1"/>
    <x v="1"/>
    <n v="1"/>
    <x v="2"/>
    <x v="1"/>
    <m/>
  </r>
  <r>
    <n v="2233"/>
    <n v="65"/>
    <s v="Male"/>
    <x v="9"/>
    <x v="1"/>
    <n v="64"/>
    <s v="North Carolina"/>
    <x v="0"/>
    <x v="12"/>
    <x v="1"/>
    <x v="8"/>
    <x v="1"/>
    <x v="1"/>
    <n v="14"/>
    <x v="1"/>
    <x v="0"/>
    <m/>
  </r>
  <r>
    <n v="2234"/>
    <n v="38"/>
    <s v="Male"/>
    <x v="0"/>
    <x v="0"/>
    <n v="31"/>
    <s v="Florida"/>
    <x v="3"/>
    <x v="0"/>
    <x v="2"/>
    <x v="21"/>
    <x v="1"/>
    <x v="1"/>
    <n v="48"/>
    <x v="2"/>
    <x v="5"/>
    <m/>
  </r>
  <r>
    <n v="2235"/>
    <n v="35"/>
    <s v="Male"/>
    <x v="23"/>
    <x v="1"/>
    <n v="66"/>
    <s v="New Hampshire"/>
    <x v="1"/>
    <x v="22"/>
    <x v="0"/>
    <x v="8"/>
    <x v="1"/>
    <x v="1"/>
    <n v="26"/>
    <x v="1"/>
    <x v="1"/>
    <m/>
  </r>
  <r>
    <n v="2236"/>
    <n v="40"/>
    <s v="Male"/>
    <x v="20"/>
    <x v="0"/>
    <n v="82"/>
    <s v="Illinois"/>
    <x v="2"/>
    <x v="0"/>
    <x v="1"/>
    <x v="21"/>
    <x v="1"/>
    <x v="1"/>
    <n v="44"/>
    <x v="2"/>
    <x v="2"/>
    <m/>
  </r>
  <r>
    <n v="2237"/>
    <n v="23"/>
    <s v="Male"/>
    <x v="17"/>
    <x v="0"/>
    <n v="88"/>
    <s v="Louisiana"/>
    <x v="2"/>
    <x v="22"/>
    <x v="0"/>
    <x v="6"/>
    <x v="1"/>
    <x v="1"/>
    <n v="18"/>
    <x v="5"/>
    <x v="0"/>
    <m/>
  </r>
  <r>
    <n v="2238"/>
    <n v="45"/>
    <s v="Male"/>
    <x v="3"/>
    <x v="1"/>
    <n v="34"/>
    <s v="Alabama"/>
    <x v="1"/>
    <x v="13"/>
    <x v="2"/>
    <x v="1"/>
    <x v="1"/>
    <x v="1"/>
    <n v="31"/>
    <x v="0"/>
    <x v="6"/>
    <m/>
  </r>
  <r>
    <n v="2239"/>
    <n v="40"/>
    <s v="Male"/>
    <x v="4"/>
    <x v="1"/>
    <n v="84"/>
    <s v="Florida"/>
    <x v="0"/>
    <x v="19"/>
    <x v="0"/>
    <x v="1"/>
    <x v="1"/>
    <x v="1"/>
    <n v="18"/>
    <x v="5"/>
    <x v="1"/>
    <m/>
  </r>
  <r>
    <n v="2240"/>
    <n v="42"/>
    <s v="Male"/>
    <x v="16"/>
    <x v="3"/>
    <n v="96"/>
    <s v="Alabama"/>
    <x v="0"/>
    <x v="21"/>
    <x v="2"/>
    <x v="1"/>
    <x v="1"/>
    <x v="1"/>
    <n v="41"/>
    <x v="2"/>
    <x v="6"/>
    <m/>
  </r>
  <r>
    <n v="2241"/>
    <n v="57"/>
    <s v="Male"/>
    <x v="3"/>
    <x v="1"/>
    <n v="71"/>
    <s v="California"/>
    <x v="0"/>
    <x v="14"/>
    <x v="0"/>
    <x v="12"/>
    <x v="1"/>
    <x v="1"/>
    <n v="18"/>
    <x v="5"/>
    <x v="6"/>
    <m/>
  </r>
  <r>
    <n v="2242"/>
    <n v="18"/>
    <s v="Male"/>
    <x v="14"/>
    <x v="2"/>
    <n v="77"/>
    <s v="Maryland"/>
    <x v="2"/>
    <x v="7"/>
    <x v="2"/>
    <x v="22"/>
    <x v="1"/>
    <x v="1"/>
    <n v="3"/>
    <x v="4"/>
    <x v="4"/>
    <m/>
  </r>
  <r>
    <n v="2243"/>
    <n v="18"/>
    <s v="Male"/>
    <x v="11"/>
    <x v="0"/>
    <n v="66"/>
    <s v="Nevada"/>
    <x v="2"/>
    <x v="20"/>
    <x v="1"/>
    <x v="1"/>
    <x v="1"/>
    <x v="1"/>
    <n v="5"/>
    <x v="2"/>
    <x v="4"/>
    <m/>
  </r>
  <r>
    <n v="2244"/>
    <n v="56"/>
    <s v="Male"/>
    <x v="5"/>
    <x v="0"/>
    <n v="21"/>
    <s v="Massachusetts"/>
    <x v="2"/>
    <x v="11"/>
    <x v="0"/>
    <x v="5"/>
    <x v="1"/>
    <x v="1"/>
    <n v="13"/>
    <x v="5"/>
    <x v="2"/>
    <m/>
  </r>
  <r>
    <n v="2245"/>
    <n v="35"/>
    <s v="Male"/>
    <x v="6"/>
    <x v="0"/>
    <n v="37"/>
    <s v="South Carolina"/>
    <x v="2"/>
    <x v="9"/>
    <x v="2"/>
    <x v="3"/>
    <x v="1"/>
    <x v="1"/>
    <n v="22"/>
    <x v="3"/>
    <x v="2"/>
    <m/>
  </r>
  <r>
    <n v="2246"/>
    <n v="49"/>
    <s v="Male"/>
    <x v="20"/>
    <x v="0"/>
    <n v="90"/>
    <s v="Delaware"/>
    <x v="0"/>
    <x v="0"/>
    <x v="3"/>
    <x v="17"/>
    <x v="1"/>
    <x v="1"/>
    <n v="45"/>
    <x v="3"/>
    <x v="0"/>
    <m/>
  </r>
  <r>
    <n v="2247"/>
    <n v="49"/>
    <s v="Male"/>
    <x v="14"/>
    <x v="2"/>
    <n v="96"/>
    <s v="Hawaii"/>
    <x v="2"/>
    <x v="17"/>
    <x v="3"/>
    <x v="12"/>
    <x v="1"/>
    <x v="1"/>
    <n v="39"/>
    <x v="3"/>
    <x v="6"/>
    <m/>
  </r>
  <r>
    <n v="2248"/>
    <n v="34"/>
    <s v="Male"/>
    <x v="16"/>
    <x v="3"/>
    <n v="37"/>
    <s v="Florida"/>
    <x v="0"/>
    <x v="11"/>
    <x v="2"/>
    <x v="9"/>
    <x v="1"/>
    <x v="1"/>
    <n v="18"/>
    <x v="0"/>
    <x v="2"/>
    <m/>
  </r>
  <r>
    <n v="2249"/>
    <n v="63"/>
    <s v="Male"/>
    <x v="17"/>
    <x v="0"/>
    <n v="66"/>
    <s v="Rhode Island"/>
    <x v="2"/>
    <x v="10"/>
    <x v="0"/>
    <x v="10"/>
    <x v="1"/>
    <x v="1"/>
    <n v="19"/>
    <x v="3"/>
    <x v="0"/>
    <m/>
  </r>
  <r>
    <n v="2250"/>
    <n v="42"/>
    <s v="Male"/>
    <x v="24"/>
    <x v="3"/>
    <n v="45"/>
    <s v="Wyoming"/>
    <x v="3"/>
    <x v="21"/>
    <x v="1"/>
    <x v="12"/>
    <x v="1"/>
    <x v="1"/>
    <n v="29"/>
    <x v="5"/>
    <x v="1"/>
    <m/>
  </r>
  <r>
    <n v="2251"/>
    <n v="41"/>
    <s v="Male"/>
    <x v="9"/>
    <x v="1"/>
    <n v="89"/>
    <s v="Colorado"/>
    <x v="0"/>
    <x v="6"/>
    <x v="2"/>
    <x v="7"/>
    <x v="1"/>
    <x v="1"/>
    <n v="19"/>
    <x v="2"/>
    <x v="1"/>
    <m/>
  </r>
  <r>
    <n v="2252"/>
    <n v="26"/>
    <s v="Male"/>
    <x v="9"/>
    <x v="1"/>
    <n v="94"/>
    <s v="Virginia"/>
    <x v="0"/>
    <x v="9"/>
    <x v="3"/>
    <x v="1"/>
    <x v="1"/>
    <x v="1"/>
    <n v="22"/>
    <x v="5"/>
    <x v="5"/>
    <m/>
  </r>
  <r>
    <n v="2253"/>
    <n v="48"/>
    <s v="Male"/>
    <x v="9"/>
    <x v="1"/>
    <n v="96"/>
    <s v="Nebraska"/>
    <x v="1"/>
    <x v="1"/>
    <x v="2"/>
    <x v="14"/>
    <x v="1"/>
    <x v="1"/>
    <n v="21"/>
    <x v="4"/>
    <x v="2"/>
    <m/>
  </r>
  <r>
    <n v="2254"/>
    <n v="62"/>
    <s v="Male"/>
    <x v="15"/>
    <x v="0"/>
    <n v="31"/>
    <s v="Oklahoma"/>
    <x v="2"/>
    <x v="18"/>
    <x v="1"/>
    <x v="4"/>
    <x v="1"/>
    <x v="1"/>
    <n v="22"/>
    <x v="3"/>
    <x v="5"/>
    <m/>
  </r>
  <r>
    <n v="2255"/>
    <n v="24"/>
    <s v="Male"/>
    <x v="22"/>
    <x v="3"/>
    <n v="79"/>
    <s v="North Dakota"/>
    <x v="2"/>
    <x v="9"/>
    <x v="0"/>
    <x v="13"/>
    <x v="1"/>
    <x v="1"/>
    <n v="44"/>
    <x v="3"/>
    <x v="6"/>
    <m/>
  </r>
  <r>
    <n v="2256"/>
    <n v="48"/>
    <s v="Male"/>
    <x v="7"/>
    <x v="2"/>
    <n v="39"/>
    <s v="Michigan"/>
    <x v="0"/>
    <x v="11"/>
    <x v="1"/>
    <x v="7"/>
    <x v="1"/>
    <x v="1"/>
    <n v="42"/>
    <x v="4"/>
    <x v="3"/>
    <m/>
  </r>
  <r>
    <n v="2257"/>
    <n v="31"/>
    <s v="Male"/>
    <x v="0"/>
    <x v="0"/>
    <n v="22"/>
    <s v="California"/>
    <x v="2"/>
    <x v="2"/>
    <x v="3"/>
    <x v="11"/>
    <x v="1"/>
    <x v="1"/>
    <n v="33"/>
    <x v="2"/>
    <x v="3"/>
    <m/>
  </r>
  <r>
    <n v="2258"/>
    <n v="41"/>
    <s v="Male"/>
    <x v="11"/>
    <x v="0"/>
    <n v="32"/>
    <s v="Tennessee"/>
    <x v="0"/>
    <x v="8"/>
    <x v="3"/>
    <x v="13"/>
    <x v="1"/>
    <x v="1"/>
    <n v="6"/>
    <x v="4"/>
    <x v="2"/>
    <m/>
  </r>
  <r>
    <n v="2259"/>
    <n v="24"/>
    <s v="Male"/>
    <x v="17"/>
    <x v="0"/>
    <n v="71"/>
    <s v="Ohio"/>
    <x v="0"/>
    <x v="17"/>
    <x v="0"/>
    <x v="12"/>
    <x v="1"/>
    <x v="1"/>
    <n v="44"/>
    <x v="2"/>
    <x v="6"/>
    <m/>
  </r>
  <r>
    <n v="2260"/>
    <n v="60"/>
    <s v="Male"/>
    <x v="2"/>
    <x v="0"/>
    <n v="96"/>
    <s v="Florida"/>
    <x v="3"/>
    <x v="19"/>
    <x v="1"/>
    <x v="19"/>
    <x v="1"/>
    <x v="1"/>
    <n v="24"/>
    <x v="1"/>
    <x v="2"/>
    <m/>
  </r>
  <r>
    <n v="2261"/>
    <n v="38"/>
    <s v="Male"/>
    <x v="18"/>
    <x v="3"/>
    <n v="82"/>
    <s v="Missouri"/>
    <x v="2"/>
    <x v="24"/>
    <x v="3"/>
    <x v="17"/>
    <x v="1"/>
    <x v="1"/>
    <n v="16"/>
    <x v="3"/>
    <x v="3"/>
    <m/>
  </r>
  <r>
    <n v="2262"/>
    <n v="58"/>
    <s v="Male"/>
    <x v="21"/>
    <x v="3"/>
    <n v="76"/>
    <s v="South Carolina"/>
    <x v="0"/>
    <x v="9"/>
    <x v="1"/>
    <x v="9"/>
    <x v="1"/>
    <x v="1"/>
    <n v="12"/>
    <x v="4"/>
    <x v="0"/>
    <m/>
  </r>
  <r>
    <n v="2263"/>
    <n v="53"/>
    <s v="Male"/>
    <x v="21"/>
    <x v="3"/>
    <n v="22"/>
    <s v="Arizona"/>
    <x v="2"/>
    <x v="14"/>
    <x v="0"/>
    <x v="0"/>
    <x v="1"/>
    <x v="1"/>
    <n v="50"/>
    <x v="3"/>
    <x v="5"/>
    <m/>
  </r>
  <r>
    <n v="2264"/>
    <n v="44"/>
    <s v="Male"/>
    <x v="18"/>
    <x v="3"/>
    <n v="40"/>
    <s v="Indiana"/>
    <x v="3"/>
    <x v="14"/>
    <x v="0"/>
    <x v="22"/>
    <x v="1"/>
    <x v="1"/>
    <n v="42"/>
    <x v="1"/>
    <x v="3"/>
    <m/>
  </r>
  <r>
    <n v="2265"/>
    <n v="51"/>
    <s v="Male"/>
    <x v="19"/>
    <x v="3"/>
    <n v="92"/>
    <s v="North Dakota"/>
    <x v="2"/>
    <x v="2"/>
    <x v="2"/>
    <x v="14"/>
    <x v="1"/>
    <x v="1"/>
    <n v="50"/>
    <x v="3"/>
    <x v="5"/>
    <m/>
  </r>
  <r>
    <n v="2266"/>
    <n v="36"/>
    <s v="Male"/>
    <x v="7"/>
    <x v="2"/>
    <n v="94"/>
    <s v="Montana"/>
    <x v="3"/>
    <x v="22"/>
    <x v="3"/>
    <x v="14"/>
    <x v="1"/>
    <x v="1"/>
    <n v="10"/>
    <x v="3"/>
    <x v="3"/>
    <m/>
  </r>
  <r>
    <n v="2267"/>
    <n v="20"/>
    <s v="Male"/>
    <x v="10"/>
    <x v="0"/>
    <n v="44"/>
    <s v="Missouri"/>
    <x v="2"/>
    <x v="22"/>
    <x v="3"/>
    <x v="12"/>
    <x v="1"/>
    <x v="1"/>
    <n v="32"/>
    <x v="5"/>
    <x v="1"/>
    <m/>
  </r>
  <r>
    <n v="2268"/>
    <n v="32"/>
    <s v="Male"/>
    <x v="24"/>
    <x v="3"/>
    <n v="49"/>
    <s v="Kentucky"/>
    <x v="1"/>
    <x v="24"/>
    <x v="1"/>
    <x v="1"/>
    <x v="1"/>
    <x v="1"/>
    <n v="37"/>
    <x v="0"/>
    <x v="1"/>
    <m/>
  </r>
  <r>
    <n v="2269"/>
    <n v="66"/>
    <s v="Male"/>
    <x v="1"/>
    <x v="0"/>
    <n v="26"/>
    <s v="Georgia"/>
    <x v="0"/>
    <x v="4"/>
    <x v="1"/>
    <x v="6"/>
    <x v="1"/>
    <x v="1"/>
    <n v="15"/>
    <x v="4"/>
    <x v="5"/>
    <m/>
  </r>
  <r>
    <n v="2270"/>
    <n v="49"/>
    <s v="Male"/>
    <x v="11"/>
    <x v="0"/>
    <n v="38"/>
    <s v="Kentucky"/>
    <x v="2"/>
    <x v="22"/>
    <x v="3"/>
    <x v="9"/>
    <x v="1"/>
    <x v="1"/>
    <n v="27"/>
    <x v="2"/>
    <x v="2"/>
    <m/>
  </r>
  <r>
    <n v="2271"/>
    <n v="27"/>
    <s v="Male"/>
    <x v="0"/>
    <x v="0"/>
    <n v="72"/>
    <s v="Georgia"/>
    <x v="0"/>
    <x v="7"/>
    <x v="1"/>
    <x v="22"/>
    <x v="1"/>
    <x v="1"/>
    <n v="7"/>
    <x v="0"/>
    <x v="1"/>
    <m/>
  </r>
  <r>
    <n v="2272"/>
    <n v="29"/>
    <s v="Male"/>
    <x v="10"/>
    <x v="0"/>
    <n v="99"/>
    <s v="Alaska"/>
    <x v="2"/>
    <x v="14"/>
    <x v="2"/>
    <x v="10"/>
    <x v="1"/>
    <x v="1"/>
    <n v="49"/>
    <x v="3"/>
    <x v="3"/>
    <m/>
  </r>
  <r>
    <n v="2273"/>
    <n v="29"/>
    <s v="Male"/>
    <x v="14"/>
    <x v="2"/>
    <n v="38"/>
    <s v="Maine"/>
    <x v="0"/>
    <x v="4"/>
    <x v="1"/>
    <x v="8"/>
    <x v="1"/>
    <x v="1"/>
    <n v="44"/>
    <x v="3"/>
    <x v="5"/>
    <m/>
  </r>
  <r>
    <n v="2274"/>
    <n v="55"/>
    <s v="Male"/>
    <x v="7"/>
    <x v="2"/>
    <n v="96"/>
    <s v="New Mexico"/>
    <x v="0"/>
    <x v="5"/>
    <x v="0"/>
    <x v="3"/>
    <x v="1"/>
    <x v="1"/>
    <n v="13"/>
    <x v="3"/>
    <x v="4"/>
    <m/>
  </r>
  <r>
    <n v="2275"/>
    <n v="57"/>
    <s v="Male"/>
    <x v="10"/>
    <x v="0"/>
    <n v="27"/>
    <s v="New York"/>
    <x v="0"/>
    <x v="2"/>
    <x v="1"/>
    <x v="21"/>
    <x v="1"/>
    <x v="1"/>
    <n v="38"/>
    <x v="3"/>
    <x v="0"/>
    <m/>
  </r>
  <r>
    <n v="2276"/>
    <n v="29"/>
    <s v="Male"/>
    <x v="6"/>
    <x v="0"/>
    <n v="24"/>
    <s v="Oklahoma"/>
    <x v="2"/>
    <x v="0"/>
    <x v="0"/>
    <x v="9"/>
    <x v="1"/>
    <x v="1"/>
    <n v="10"/>
    <x v="5"/>
    <x v="1"/>
    <m/>
  </r>
  <r>
    <n v="2277"/>
    <n v="31"/>
    <s v="Male"/>
    <x v="2"/>
    <x v="0"/>
    <n v="82"/>
    <s v="Wyoming"/>
    <x v="0"/>
    <x v="16"/>
    <x v="2"/>
    <x v="18"/>
    <x v="1"/>
    <x v="1"/>
    <n v="25"/>
    <x v="5"/>
    <x v="1"/>
    <m/>
  </r>
  <r>
    <n v="2278"/>
    <n v="25"/>
    <s v="Male"/>
    <x v="19"/>
    <x v="3"/>
    <n v="56"/>
    <s v="Alabama"/>
    <x v="2"/>
    <x v="19"/>
    <x v="2"/>
    <x v="7"/>
    <x v="1"/>
    <x v="1"/>
    <n v="18"/>
    <x v="2"/>
    <x v="3"/>
    <m/>
  </r>
  <r>
    <n v="2279"/>
    <n v="61"/>
    <s v="Male"/>
    <x v="24"/>
    <x v="3"/>
    <n v="25"/>
    <s v="Maryland"/>
    <x v="2"/>
    <x v="1"/>
    <x v="3"/>
    <x v="1"/>
    <x v="1"/>
    <x v="1"/>
    <n v="6"/>
    <x v="1"/>
    <x v="6"/>
    <m/>
  </r>
  <r>
    <n v="2280"/>
    <n v="53"/>
    <s v="Male"/>
    <x v="4"/>
    <x v="1"/>
    <n v="67"/>
    <s v="West Virginia"/>
    <x v="0"/>
    <x v="21"/>
    <x v="1"/>
    <x v="25"/>
    <x v="1"/>
    <x v="1"/>
    <n v="35"/>
    <x v="4"/>
    <x v="3"/>
    <m/>
  </r>
  <r>
    <n v="2281"/>
    <n v="22"/>
    <s v="Male"/>
    <x v="9"/>
    <x v="1"/>
    <n v="21"/>
    <s v="Kentucky"/>
    <x v="2"/>
    <x v="16"/>
    <x v="2"/>
    <x v="24"/>
    <x v="1"/>
    <x v="1"/>
    <n v="31"/>
    <x v="2"/>
    <x v="0"/>
    <m/>
  </r>
  <r>
    <n v="2282"/>
    <n v="28"/>
    <s v="Male"/>
    <x v="15"/>
    <x v="0"/>
    <n v="27"/>
    <s v="Kansas"/>
    <x v="3"/>
    <x v="1"/>
    <x v="2"/>
    <x v="23"/>
    <x v="1"/>
    <x v="1"/>
    <n v="41"/>
    <x v="4"/>
    <x v="2"/>
    <m/>
  </r>
  <r>
    <n v="2283"/>
    <n v="18"/>
    <s v="Male"/>
    <x v="4"/>
    <x v="1"/>
    <n v="97"/>
    <s v="Idaho"/>
    <x v="1"/>
    <x v="16"/>
    <x v="3"/>
    <x v="13"/>
    <x v="1"/>
    <x v="1"/>
    <n v="8"/>
    <x v="2"/>
    <x v="2"/>
    <m/>
  </r>
  <r>
    <n v="2284"/>
    <n v="44"/>
    <s v="Male"/>
    <x v="8"/>
    <x v="3"/>
    <n v="45"/>
    <s v="Ohio"/>
    <x v="1"/>
    <x v="13"/>
    <x v="0"/>
    <x v="18"/>
    <x v="1"/>
    <x v="1"/>
    <n v="34"/>
    <x v="2"/>
    <x v="0"/>
    <m/>
  </r>
  <r>
    <n v="2285"/>
    <n v="32"/>
    <s v="Male"/>
    <x v="0"/>
    <x v="0"/>
    <n v="63"/>
    <s v="Iowa"/>
    <x v="3"/>
    <x v="13"/>
    <x v="3"/>
    <x v="18"/>
    <x v="1"/>
    <x v="1"/>
    <n v="20"/>
    <x v="0"/>
    <x v="2"/>
    <m/>
  </r>
  <r>
    <n v="2286"/>
    <n v="34"/>
    <s v="Male"/>
    <x v="22"/>
    <x v="3"/>
    <n v="100"/>
    <s v="Michigan"/>
    <x v="0"/>
    <x v="6"/>
    <x v="2"/>
    <x v="7"/>
    <x v="1"/>
    <x v="1"/>
    <n v="38"/>
    <x v="3"/>
    <x v="6"/>
    <m/>
  </r>
  <r>
    <n v="2287"/>
    <n v="67"/>
    <s v="Male"/>
    <x v="20"/>
    <x v="0"/>
    <n v="38"/>
    <s v="South Dakota"/>
    <x v="0"/>
    <x v="24"/>
    <x v="1"/>
    <x v="16"/>
    <x v="1"/>
    <x v="1"/>
    <n v="35"/>
    <x v="0"/>
    <x v="3"/>
    <m/>
  </r>
  <r>
    <n v="2288"/>
    <n v="66"/>
    <s v="Male"/>
    <x v="0"/>
    <x v="0"/>
    <n v="45"/>
    <s v="Nebraska"/>
    <x v="0"/>
    <x v="14"/>
    <x v="2"/>
    <x v="23"/>
    <x v="1"/>
    <x v="1"/>
    <n v="6"/>
    <x v="5"/>
    <x v="2"/>
    <m/>
  </r>
  <r>
    <n v="2289"/>
    <n v="28"/>
    <s v="Male"/>
    <x v="16"/>
    <x v="3"/>
    <n v="91"/>
    <s v="California"/>
    <x v="2"/>
    <x v="20"/>
    <x v="3"/>
    <x v="1"/>
    <x v="1"/>
    <x v="1"/>
    <n v="50"/>
    <x v="3"/>
    <x v="1"/>
    <m/>
  </r>
  <r>
    <n v="2290"/>
    <n v="70"/>
    <s v="Male"/>
    <x v="6"/>
    <x v="0"/>
    <n v="82"/>
    <s v="Nevada"/>
    <x v="2"/>
    <x v="20"/>
    <x v="3"/>
    <x v="18"/>
    <x v="1"/>
    <x v="1"/>
    <n v="47"/>
    <x v="0"/>
    <x v="1"/>
    <m/>
  </r>
  <r>
    <n v="2291"/>
    <n v="37"/>
    <s v="Male"/>
    <x v="23"/>
    <x v="1"/>
    <n v="48"/>
    <s v="Kansas"/>
    <x v="0"/>
    <x v="23"/>
    <x v="0"/>
    <x v="19"/>
    <x v="1"/>
    <x v="1"/>
    <n v="23"/>
    <x v="3"/>
    <x v="3"/>
    <m/>
  </r>
  <r>
    <n v="2292"/>
    <n v="28"/>
    <s v="Male"/>
    <x v="7"/>
    <x v="2"/>
    <n v="30"/>
    <s v="Ohio"/>
    <x v="2"/>
    <x v="21"/>
    <x v="1"/>
    <x v="11"/>
    <x v="1"/>
    <x v="1"/>
    <n v="13"/>
    <x v="2"/>
    <x v="3"/>
    <m/>
  </r>
  <r>
    <n v="2293"/>
    <n v="43"/>
    <s v="Male"/>
    <x v="17"/>
    <x v="0"/>
    <n v="34"/>
    <s v="Vermont"/>
    <x v="1"/>
    <x v="19"/>
    <x v="1"/>
    <x v="1"/>
    <x v="1"/>
    <x v="1"/>
    <n v="31"/>
    <x v="5"/>
    <x v="5"/>
    <m/>
  </r>
  <r>
    <n v="2294"/>
    <n v="37"/>
    <s v="Male"/>
    <x v="1"/>
    <x v="0"/>
    <n v="68"/>
    <s v="Georgia"/>
    <x v="0"/>
    <x v="14"/>
    <x v="3"/>
    <x v="19"/>
    <x v="1"/>
    <x v="1"/>
    <n v="16"/>
    <x v="5"/>
    <x v="6"/>
    <m/>
  </r>
  <r>
    <n v="2295"/>
    <n v="54"/>
    <s v="Male"/>
    <x v="12"/>
    <x v="3"/>
    <n v="95"/>
    <s v="Maryland"/>
    <x v="2"/>
    <x v="16"/>
    <x v="0"/>
    <x v="11"/>
    <x v="1"/>
    <x v="1"/>
    <n v="40"/>
    <x v="5"/>
    <x v="2"/>
    <m/>
  </r>
  <r>
    <n v="2296"/>
    <n v="50"/>
    <s v="Male"/>
    <x v="19"/>
    <x v="3"/>
    <n v="22"/>
    <s v="Connecticut"/>
    <x v="0"/>
    <x v="19"/>
    <x v="1"/>
    <x v="25"/>
    <x v="1"/>
    <x v="1"/>
    <n v="45"/>
    <x v="3"/>
    <x v="3"/>
    <m/>
  </r>
  <r>
    <n v="2297"/>
    <n v="46"/>
    <s v="Male"/>
    <x v="24"/>
    <x v="3"/>
    <n v="88"/>
    <s v="Washington"/>
    <x v="2"/>
    <x v="14"/>
    <x v="3"/>
    <x v="16"/>
    <x v="1"/>
    <x v="1"/>
    <n v="50"/>
    <x v="0"/>
    <x v="6"/>
    <m/>
  </r>
  <r>
    <n v="2298"/>
    <n v="60"/>
    <s v="Male"/>
    <x v="20"/>
    <x v="0"/>
    <n v="83"/>
    <s v="California"/>
    <x v="2"/>
    <x v="20"/>
    <x v="2"/>
    <x v="15"/>
    <x v="1"/>
    <x v="1"/>
    <n v="1"/>
    <x v="4"/>
    <x v="3"/>
    <m/>
  </r>
  <r>
    <n v="2299"/>
    <n v="40"/>
    <s v="Male"/>
    <x v="8"/>
    <x v="3"/>
    <n v="87"/>
    <s v="Montana"/>
    <x v="0"/>
    <x v="17"/>
    <x v="1"/>
    <x v="25"/>
    <x v="1"/>
    <x v="1"/>
    <n v="10"/>
    <x v="1"/>
    <x v="6"/>
    <m/>
  </r>
  <r>
    <n v="2300"/>
    <n v="64"/>
    <s v="Male"/>
    <x v="7"/>
    <x v="2"/>
    <n v="57"/>
    <s v="Idaho"/>
    <x v="2"/>
    <x v="10"/>
    <x v="2"/>
    <x v="5"/>
    <x v="1"/>
    <x v="1"/>
    <n v="48"/>
    <x v="2"/>
    <x v="6"/>
    <m/>
  </r>
  <r>
    <n v="2301"/>
    <n v="18"/>
    <s v="Male"/>
    <x v="7"/>
    <x v="2"/>
    <n v="88"/>
    <s v="Pennsylvania"/>
    <x v="3"/>
    <x v="12"/>
    <x v="2"/>
    <x v="9"/>
    <x v="1"/>
    <x v="1"/>
    <n v="38"/>
    <x v="2"/>
    <x v="5"/>
    <m/>
  </r>
  <r>
    <n v="2302"/>
    <n v="37"/>
    <s v="Male"/>
    <x v="13"/>
    <x v="0"/>
    <n v="20"/>
    <s v="Maine"/>
    <x v="0"/>
    <x v="2"/>
    <x v="0"/>
    <x v="25"/>
    <x v="1"/>
    <x v="1"/>
    <n v="21"/>
    <x v="5"/>
    <x v="2"/>
    <m/>
  </r>
  <r>
    <n v="2303"/>
    <n v="36"/>
    <s v="Male"/>
    <x v="22"/>
    <x v="3"/>
    <n v="39"/>
    <s v="Montana"/>
    <x v="0"/>
    <x v="6"/>
    <x v="2"/>
    <x v="2"/>
    <x v="1"/>
    <x v="1"/>
    <n v="38"/>
    <x v="0"/>
    <x v="5"/>
    <m/>
  </r>
  <r>
    <n v="2304"/>
    <n v="51"/>
    <s v="Male"/>
    <x v="12"/>
    <x v="3"/>
    <n v="71"/>
    <s v="New Jersey"/>
    <x v="1"/>
    <x v="19"/>
    <x v="1"/>
    <x v="3"/>
    <x v="1"/>
    <x v="1"/>
    <n v="31"/>
    <x v="2"/>
    <x v="0"/>
    <m/>
  </r>
  <r>
    <n v="2305"/>
    <n v="26"/>
    <s v="Male"/>
    <x v="15"/>
    <x v="0"/>
    <n v="73"/>
    <s v="Louisiana"/>
    <x v="0"/>
    <x v="5"/>
    <x v="0"/>
    <x v="15"/>
    <x v="1"/>
    <x v="1"/>
    <n v="9"/>
    <x v="5"/>
    <x v="0"/>
    <m/>
  </r>
  <r>
    <n v="2306"/>
    <n v="68"/>
    <s v="Male"/>
    <x v="8"/>
    <x v="3"/>
    <n v="63"/>
    <s v="Maine"/>
    <x v="2"/>
    <x v="9"/>
    <x v="2"/>
    <x v="4"/>
    <x v="1"/>
    <x v="1"/>
    <n v="47"/>
    <x v="1"/>
    <x v="1"/>
    <m/>
  </r>
  <r>
    <n v="2307"/>
    <n v="27"/>
    <s v="Male"/>
    <x v="24"/>
    <x v="3"/>
    <n v="78"/>
    <s v="Florida"/>
    <x v="0"/>
    <x v="5"/>
    <x v="0"/>
    <x v="10"/>
    <x v="1"/>
    <x v="1"/>
    <n v="8"/>
    <x v="1"/>
    <x v="4"/>
    <m/>
  </r>
  <r>
    <n v="2308"/>
    <n v="28"/>
    <s v="Male"/>
    <x v="11"/>
    <x v="0"/>
    <n v="96"/>
    <s v="Missouri"/>
    <x v="0"/>
    <x v="14"/>
    <x v="3"/>
    <x v="22"/>
    <x v="1"/>
    <x v="1"/>
    <n v="30"/>
    <x v="5"/>
    <x v="2"/>
    <m/>
  </r>
  <r>
    <n v="2309"/>
    <n v="49"/>
    <s v="Male"/>
    <x v="12"/>
    <x v="3"/>
    <n v="81"/>
    <s v="North Dakota"/>
    <x v="2"/>
    <x v="11"/>
    <x v="0"/>
    <x v="10"/>
    <x v="1"/>
    <x v="1"/>
    <n v="22"/>
    <x v="4"/>
    <x v="3"/>
    <m/>
  </r>
  <r>
    <n v="2310"/>
    <n v="70"/>
    <s v="Male"/>
    <x v="10"/>
    <x v="0"/>
    <n v="95"/>
    <s v="Connecticut"/>
    <x v="1"/>
    <x v="9"/>
    <x v="3"/>
    <x v="11"/>
    <x v="1"/>
    <x v="1"/>
    <n v="3"/>
    <x v="4"/>
    <x v="3"/>
    <m/>
  </r>
  <r>
    <n v="2311"/>
    <n v="30"/>
    <s v="Male"/>
    <x v="24"/>
    <x v="3"/>
    <n v="68"/>
    <s v="Virginia"/>
    <x v="2"/>
    <x v="17"/>
    <x v="1"/>
    <x v="7"/>
    <x v="1"/>
    <x v="1"/>
    <n v="15"/>
    <x v="3"/>
    <x v="5"/>
    <m/>
  </r>
  <r>
    <n v="2312"/>
    <n v="27"/>
    <s v="Male"/>
    <x v="4"/>
    <x v="1"/>
    <n v="28"/>
    <s v="Montana"/>
    <x v="0"/>
    <x v="9"/>
    <x v="1"/>
    <x v="3"/>
    <x v="1"/>
    <x v="1"/>
    <n v="10"/>
    <x v="4"/>
    <x v="6"/>
    <m/>
  </r>
  <r>
    <n v="2313"/>
    <n v="19"/>
    <s v="Male"/>
    <x v="17"/>
    <x v="0"/>
    <n v="30"/>
    <s v="Vermont"/>
    <x v="0"/>
    <x v="10"/>
    <x v="2"/>
    <x v="5"/>
    <x v="1"/>
    <x v="1"/>
    <n v="19"/>
    <x v="1"/>
    <x v="6"/>
    <m/>
  </r>
  <r>
    <n v="2314"/>
    <n v="64"/>
    <s v="Male"/>
    <x v="10"/>
    <x v="0"/>
    <n v="31"/>
    <s v="Georgia"/>
    <x v="2"/>
    <x v="13"/>
    <x v="2"/>
    <x v="15"/>
    <x v="1"/>
    <x v="1"/>
    <n v="36"/>
    <x v="4"/>
    <x v="0"/>
    <m/>
  </r>
  <r>
    <n v="2315"/>
    <n v="42"/>
    <s v="Male"/>
    <x v="8"/>
    <x v="3"/>
    <n v="95"/>
    <s v="Virginia"/>
    <x v="3"/>
    <x v="18"/>
    <x v="0"/>
    <x v="9"/>
    <x v="1"/>
    <x v="1"/>
    <n v="12"/>
    <x v="4"/>
    <x v="6"/>
    <m/>
  </r>
  <r>
    <n v="2316"/>
    <n v="69"/>
    <s v="Male"/>
    <x v="20"/>
    <x v="0"/>
    <n v="79"/>
    <s v="Vermont"/>
    <x v="2"/>
    <x v="21"/>
    <x v="0"/>
    <x v="22"/>
    <x v="1"/>
    <x v="1"/>
    <n v="49"/>
    <x v="5"/>
    <x v="3"/>
    <m/>
  </r>
  <r>
    <n v="2317"/>
    <n v="28"/>
    <s v="Male"/>
    <x v="4"/>
    <x v="1"/>
    <n v="39"/>
    <s v="Montana"/>
    <x v="0"/>
    <x v="22"/>
    <x v="0"/>
    <x v="1"/>
    <x v="1"/>
    <x v="1"/>
    <n v="7"/>
    <x v="5"/>
    <x v="2"/>
    <m/>
  </r>
  <r>
    <n v="2318"/>
    <n v="47"/>
    <s v="Male"/>
    <x v="14"/>
    <x v="2"/>
    <n v="34"/>
    <s v="New Jersey"/>
    <x v="2"/>
    <x v="7"/>
    <x v="2"/>
    <x v="15"/>
    <x v="1"/>
    <x v="1"/>
    <n v="28"/>
    <x v="4"/>
    <x v="5"/>
    <m/>
  </r>
  <r>
    <n v="2319"/>
    <n v="69"/>
    <s v="Male"/>
    <x v="15"/>
    <x v="0"/>
    <n v="28"/>
    <s v="Wyoming"/>
    <x v="0"/>
    <x v="3"/>
    <x v="1"/>
    <x v="0"/>
    <x v="1"/>
    <x v="1"/>
    <n v="30"/>
    <x v="2"/>
    <x v="2"/>
    <m/>
  </r>
  <r>
    <n v="2320"/>
    <n v="56"/>
    <s v="Male"/>
    <x v="3"/>
    <x v="1"/>
    <n v="38"/>
    <s v="Maine"/>
    <x v="3"/>
    <x v="2"/>
    <x v="0"/>
    <x v="11"/>
    <x v="1"/>
    <x v="1"/>
    <n v="29"/>
    <x v="3"/>
    <x v="5"/>
    <m/>
  </r>
  <r>
    <n v="2321"/>
    <n v="28"/>
    <s v="Male"/>
    <x v="9"/>
    <x v="1"/>
    <n v="55"/>
    <s v="New Mexico"/>
    <x v="2"/>
    <x v="8"/>
    <x v="1"/>
    <x v="5"/>
    <x v="1"/>
    <x v="1"/>
    <n v="9"/>
    <x v="5"/>
    <x v="6"/>
    <m/>
  </r>
  <r>
    <n v="2322"/>
    <n v="50"/>
    <s v="Male"/>
    <x v="3"/>
    <x v="1"/>
    <n v="31"/>
    <s v="Colorado"/>
    <x v="2"/>
    <x v="19"/>
    <x v="0"/>
    <x v="23"/>
    <x v="1"/>
    <x v="1"/>
    <n v="27"/>
    <x v="5"/>
    <x v="0"/>
    <m/>
  </r>
  <r>
    <n v="2323"/>
    <n v="39"/>
    <s v="Male"/>
    <x v="7"/>
    <x v="2"/>
    <n v="84"/>
    <s v="Connecticut"/>
    <x v="1"/>
    <x v="12"/>
    <x v="1"/>
    <x v="21"/>
    <x v="1"/>
    <x v="1"/>
    <n v="21"/>
    <x v="0"/>
    <x v="0"/>
    <m/>
  </r>
  <r>
    <n v="2324"/>
    <n v="35"/>
    <s v="Male"/>
    <x v="24"/>
    <x v="3"/>
    <n v="93"/>
    <s v="Maryland"/>
    <x v="0"/>
    <x v="3"/>
    <x v="0"/>
    <x v="15"/>
    <x v="1"/>
    <x v="1"/>
    <n v="36"/>
    <x v="2"/>
    <x v="5"/>
    <m/>
  </r>
  <r>
    <n v="2325"/>
    <n v="59"/>
    <s v="Male"/>
    <x v="7"/>
    <x v="2"/>
    <n v="28"/>
    <s v="Oregon"/>
    <x v="0"/>
    <x v="18"/>
    <x v="0"/>
    <x v="22"/>
    <x v="1"/>
    <x v="1"/>
    <n v="19"/>
    <x v="5"/>
    <x v="2"/>
    <m/>
  </r>
  <r>
    <n v="2326"/>
    <n v="44"/>
    <s v="Male"/>
    <x v="23"/>
    <x v="1"/>
    <n v="55"/>
    <s v="New York"/>
    <x v="2"/>
    <x v="4"/>
    <x v="2"/>
    <x v="9"/>
    <x v="1"/>
    <x v="1"/>
    <n v="47"/>
    <x v="1"/>
    <x v="1"/>
    <m/>
  </r>
  <r>
    <n v="2327"/>
    <n v="66"/>
    <s v="Male"/>
    <x v="11"/>
    <x v="0"/>
    <n v="63"/>
    <s v="Oklahoma"/>
    <x v="0"/>
    <x v="1"/>
    <x v="0"/>
    <x v="4"/>
    <x v="1"/>
    <x v="1"/>
    <n v="38"/>
    <x v="4"/>
    <x v="2"/>
    <m/>
  </r>
  <r>
    <n v="2328"/>
    <n v="20"/>
    <s v="Male"/>
    <x v="11"/>
    <x v="0"/>
    <n v="94"/>
    <s v="Alabama"/>
    <x v="2"/>
    <x v="16"/>
    <x v="0"/>
    <x v="13"/>
    <x v="1"/>
    <x v="1"/>
    <n v="22"/>
    <x v="0"/>
    <x v="4"/>
    <m/>
  </r>
  <r>
    <n v="2329"/>
    <n v="45"/>
    <s v="Male"/>
    <x v="13"/>
    <x v="0"/>
    <n v="36"/>
    <s v="North Dakota"/>
    <x v="2"/>
    <x v="1"/>
    <x v="3"/>
    <x v="4"/>
    <x v="1"/>
    <x v="1"/>
    <n v="29"/>
    <x v="0"/>
    <x v="4"/>
    <m/>
  </r>
  <r>
    <n v="2330"/>
    <n v="49"/>
    <s v="Male"/>
    <x v="19"/>
    <x v="3"/>
    <n v="97"/>
    <s v="Nebraska"/>
    <x v="1"/>
    <x v="11"/>
    <x v="1"/>
    <x v="3"/>
    <x v="1"/>
    <x v="1"/>
    <n v="42"/>
    <x v="4"/>
    <x v="2"/>
    <m/>
  </r>
  <r>
    <n v="2331"/>
    <n v="60"/>
    <s v="Male"/>
    <x v="21"/>
    <x v="3"/>
    <n v="63"/>
    <s v="Arizona"/>
    <x v="0"/>
    <x v="20"/>
    <x v="2"/>
    <x v="25"/>
    <x v="1"/>
    <x v="1"/>
    <n v="47"/>
    <x v="3"/>
    <x v="6"/>
    <m/>
  </r>
  <r>
    <n v="2332"/>
    <n v="61"/>
    <s v="Male"/>
    <x v="18"/>
    <x v="3"/>
    <n v="77"/>
    <s v="Illinois"/>
    <x v="1"/>
    <x v="8"/>
    <x v="1"/>
    <x v="12"/>
    <x v="1"/>
    <x v="1"/>
    <n v="10"/>
    <x v="2"/>
    <x v="4"/>
    <m/>
  </r>
  <r>
    <n v="2333"/>
    <n v="36"/>
    <s v="Male"/>
    <x v="18"/>
    <x v="3"/>
    <n v="53"/>
    <s v="South Carolina"/>
    <x v="3"/>
    <x v="8"/>
    <x v="3"/>
    <x v="4"/>
    <x v="1"/>
    <x v="1"/>
    <n v="10"/>
    <x v="0"/>
    <x v="5"/>
    <m/>
  </r>
  <r>
    <n v="2334"/>
    <n v="33"/>
    <s v="Male"/>
    <x v="5"/>
    <x v="0"/>
    <n v="77"/>
    <s v="Kansas"/>
    <x v="2"/>
    <x v="19"/>
    <x v="1"/>
    <x v="1"/>
    <x v="1"/>
    <x v="1"/>
    <n v="1"/>
    <x v="3"/>
    <x v="6"/>
    <m/>
  </r>
  <r>
    <n v="2335"/>
    <n v="49"/>
    <s v="Male"/>
    <x v="23"/>
    <x v="1"/>
    <n v="79"/>
    <s v="Kansas"/>
    <x v="0"/>
    <x v="14"/>
    <x v="2"/>
    <x v="13"/>
    <x v="1"/>
    <x v="1"/>
    <n v="7"/>
    <x v="2"/>
    <x v="5"/>
    <m/>
  </r>
  <r>
    <n v="2336"/>
    <n v="31"/>
    <s v="Male"/>
    <x v="7"/>
    <x v="2"/>
    <n v="37"/>
    <s v="Idaho"/>
    <x v="2"/>
    <x v="13"/>
    <x v="2"/>
    <x v="14"/>
    <x v="1"/>
    <x v="1"/>
    <n v="10"/>
    <x v="0"/>
    <x v="0"/>
    <m/>
  </r>
  <r>
    <n v="2337"/>
    <n v="19"/>
    <s v="Male"/>
    <x v="22"/>
    <x v="3"/>
    <n v="94"/>
    <s v="California"/>
    <x v="2"/>
    <x v="14"/>
    <x v="0"/>
    <x v="0"/>
    <x v="1"/>
    <x v="1"/>
    <n v="11"/>
    <x v="2"/>
    <x v="1"/>
    <m/>
  </r>
  <r>
    <n v="2338"/>
    <n v="39"/>
    <s v="Male"/>
    <x v="23"/>
    <x v="1"/>
    <n v="76"/>
    <s v="North Dakota"/>
    <x v="1"/>
    <x v="10"/>
    <x v="3"/>
    <x v="2"/>
    <x v="1"/>
    <x v="1"/>
    <n v="5"/>
    <x v="1"/>
    <x v="2"/>
    <m/>
  </r>
  <r>
    <n v="2339"/>
    <n v="66"/>
    <s v="Male"/>
    <x v="4"/>
    <x v="1"/>
    <n v="68"/>
    <s v="Georgia"/>
    <x v="1"/>
    <x v="5"/>
    <x v="3"/>
    <x v="8"/>
    <x v="1"/>
    <x v="1"/>
    <n v="21"/>
    <x v="3"/>
    <x v="3"/>
    <m/>
  </r>
  <r>
    <n v="2340"/>
    <n v="25"/>
    <s v="Male"/>
    <x v="5"/>
    <x v="0"/>
    <n v="65"/>
    <s v="Illinois"/>
    <x v="0"/>
    <x v="1"/>
    <x v="1"/>
    <x v="10"/>
    <x v="1"/>
    <x v="1"/>
    <n v="24"/>
    <x v="4"/>
    <x v="3"/>
    <m/>
  </r>
  <r>
    <n v="2341"/>
    <n v="63"/>
    <s v="Male"/>
    <x v="0"/>
    <x v="0"/>
    <n v="24"/>
    <s v="Delaware"/>
    <x v="2"/>
    <x v="17"/>
    <x v="2"/>
    <x v="4"/>
    <x v="1"/>
    <x v="1"/>
    <n v="37"/>
    <x v="2"/>
    <x v="0"/>
    <m/>
  </r>
  <r>
    <n v="2342"/>
    <n v="56"/>
    <s v="Male"/>
    <x v="14"/>
    <x v="2"/>
    <n v="31"/>
    <s v="Connecticut"/>
    <x v="0"/>
    <x v="11"/>
    <x v="2"/>
    <x v="21"/>
    <x v="1"/>
    <x v="1"/>
    <n v="22"/>
    <x v="0"/>
    <x v="6"/>
    <m/>
  </r>
  <r>
    <n v="2343"/>
    <n v="20"/>
    <s v="Male"/>
    <x v="11"/>
    <x v="0"/>
    <n v="89"/>
    <s v="Tennessee"/>
    <x v="2"/>
    <x v="8"/>
    <x v="3"/>
    <x v="17"/>
    <x v="1"/>
    <x v="1"/>
    <n v="16"/>
    <x v="5"/>
    <x v="0"/>
    <m/>
  </r>
  <r>
    <n v="2344"/>
    <n v="58"/>
    <s v="Male"/>
    <x v="20"/>
    <x v="0"/>
    <n v="49"/>
    <s v="Maryland"/>
    <x v="2"/>
    <x v="16"/>
    <x v="2"/>
    <x v="9"/>
    <x v="1"/>
    <x v="1"/>
    <n v="44"/>
    <x v="3"/>
    <x v="5"/>
    <m/>
  </r>
  <r>
    <n v="2345"/>
    <n v="34"/>
    <s v="Male"/>
    <x v="3"/>
    <x v="1"/>
    <n v="92"/>
    <s v="Rhode Island"/>
    <x v="3"/>
    <x v="12"/>
    <x v="3"/>
    <x v="22"/>
    <x v="1"/>
    <x v="1"/>
    <n v="14"/>
    <x v="0"/>
    <x v="4"/>
    <m/>
  </r>
  <r>
    <n v="2346"/>
    <n v="28"/>
    <s v="Male"/>
    <x v="17"/>
    <x v="0"/>
    <n v="32"/>
    <s v="New York"/>
    <x v="1"/>
    <x v="20"/>
    <x v="0"/>
    <x v="19"/>
    <x v="1"/>
    <x v="1"/>
    <n v="23"/>
    <x v="4"/>
    <x v="6"/>
    <m/>
  </r>
  <r>
    <n v="2347"/>
    <n v="22"/>
    <s v="Male"/>
    <x v="14"/>
    <x v="2"/>
    <n v="67"/>
    <s v="New Mexico"/>
    <x v="0"/>
    <x v="18"/>
    <x v="0"/>
    <x v="0"/>
    <x v="1"/>
    <x v="1"/>
    <n v="46"/>
    <x v="5"/>
    <x v="0"/>
    <m/>
  </r>
  <r>
    <n v="2348"/>
    <n v="37"/>
    <s v="Male"/>
    <x v="22"/>
    <x v="3"/>
    <n v="64"/>
    <s v="California"/>
    <x v="1"/>
    <x v="0"/>
    <x v="3"/>
    <x v="13"/>
    <x v="1"/>
    <x v="1"/>
    <n v="46"/>
    <x v="1"/>
    <x v="6"/>
    <m/>
  </r>
  <r>
    <n v="2349"/>
    <n v="54"/>
    <s v="Male"/>
    <x v="9"/>
    <x v="1"/>
    <n v="84"/>
    <s v="Maine"/>
    <x v="2"/>
    <x v="20"/>
    <x v="1"/>
    <x v="17"/>
    <x v="1"/>
    <x v="1"/>
    <n v="16"/>
    <x v="3"/>
    <x v="6"/>
    <m/>
  </r>
  <r>
    <n v="2350"/>
    <n v="65"/>
    <s v="Male"/>
    <x v="0"/>
    <x v="0"/>
    <n v="34"/>
    <s v="New York"/>
    <x v="2"/>
    <x v="20"/>
    <x v="3"/>
    <x v="14"/>
    <x v="1"/>
    <x v="1"/>
    <n v="40"/>
    <x v="2"/>
    <x v="6"/>
    <m/>
  </r>
  <r>
    <n v="2351"/>
    <n v="57"/>
    <s v="Male"/>
    <x v="9"/>
    <x v="1"/>
    <n v="26"/>
    <s v="Hawaii"/>
    <x v="2"/>
    <x v="2"/>
    <x v="0"/>
    <x v="13"/>
    <x v="1"/>
    <x v="1"/>
    <n v="21"/>
    <x v="1"/>
    <x v="2"/>
    <m/>
  </r>
  <r>
    <n v="2352"/>
    <n v="38"/>
    <s v="Male"/>
    <x v="1"/>
    <x v="0"/>
    <n v="50"/>
    <s v="New Hampshire"/>
    <x v="1"/>
    <x v="17"/>
    <x v="3"/>
    <x v="17"/>
    <x v="1"/>
    <x v="1"/>
    <n v="25"/>
    <x v="3"/>
    <x v="4"/>
    <m/>
  </r>
  <r>
    <n v="2353"/>
    <n v="70"/>
    <s v="Male"/>
    <x v="23"/>
    <x v="1"/>
    <n v="46"/>
    <s v="Nebraska"/>
    <x v="2"/>
    <x v="22"/>
    <x v="3"/>
    <x v="24"/>
    <x v="1"/>
    <x v="1"/>
    <n v="25"/>
    <x v="4"/>
    <x v="3"/>
    <m/>
  </r>
  <r>
    <n v="2354"/>
    <n v="56"/>
    <s v="Male"/>
    <x v="8"/>
    <x v="3"/>
    <n v="71"/>
    <s v="Montana"/>
    <x v="2"/>
    <x v="3"/>
    <x v="3"/>
    <x v="18"/>
    <x v="1"/>
    <x v="1"/>
    <n v="25"/>
    <x v="5"/>
    <x v="6"/>
    <m/>
  </r>
  <r>
    <n v="2355"/>
    <n v="56"/>
    <s v="Male"/>
    <x v="0"/>
    <x v="0"/>
    <n v="78"/>
    <s v="Wisconsin"/>
    <x v="2"/>
    <x v="24"/>
    <x v="2"/>
    <x v="3"/>
    <x v="1"/>
    <x v="1"/>
    <n v="27"/>
    <x v="0"/>
    <x v="5"/>
    <m/>
  </r>
  <r>
    <n v="2356"/>
    <n v="22"/>
    <s v="Male"/>
    <x v="11"/>
    <x v="0"/>
    <n v="35"/>
    <s v="Tennessee"/>
    <x v="1"/>
    <x v="7"/>
    <x v="0"/>
    <x v="18"/>
    <x v="1"/>
    <x v="1"/>
    <n v="12"/>
    <x v="1"/>
    <x v="5"/>
    <m/>
  </r>
  <r>
    <n v="2357"/>
    <n v="57"/>
    <s v="Male"/>
    <x v="21"/>
    <x v="3"/>
    <n v="58"/>
    <s v="Montana"/>
    <x v="2"/>
    <x v="0"/>
    <x v="2"/>
    <x v="23"/>
    <x v="1"/>
    <x v="1"/>
    <n v="27"/>
    <x v="5"/>
    <x v="3"/>
    <m/>
  </r>
  <r>
    <n v="2358"/>
    <n v="53"/>
    <s v="Male"/>
    <x v="5"/>
    <x v="0"/>
    <n v="67"/>
    <s v="Michigan"/>
    <x v="0"/>
    <x v="17"/>
    <x v="3"/>
    <x v="13"/>
    <x v="1"/>
    <x v="1"/>
    <n v="40"/>
    <x v="2"/>
    <x v="4"/>
    <m/>
  </r>
  <r>
    <n v="2359"/>
    <n v="53"/>
    <s v="Male"/>
    <x v="1"/>
    <x v="0"/>
    <n v="93"/>
    <s v="Texas"/>
    <x v="0"/>
    <x v="6"/>
    <x v="1"/>
    <x v="1"/>
    <x v="1"/>
    <x v="1"/>
    <n v="38"/>
    <x v="2"/>
    <x v="3"/>
    <m/>
  </r>
  <r>
    <n v="2360"/>
    <n v="19"/>
    <s v="Male"/>
    <x v="18"/>
    <x v="3"/>
    <n v="81"/>
    <s v="Pennsylvania"/>
    <x v="1"/>
    <x v="9"/>
    <x v="1"/>
    <x v="19"/>
    <x v="1"/>
    <x v="1"/>
    <n v="44"/>
    <x v="4"/>
    <x v="6"/>
    <m/>
  </r>
  <r>
    <n v="2361"/>
    <n v="49"/>
    <s v="Male"/>
    <x v="8"/>
    <x v="3"/>
    <n v="80"/>
    <s v="New York"/>
    <x v="0"/>
    <x v="5"/>
    <x v="3"/>
    <x v="15"/>
    <x v="1"/>
    <x v="1"/>
    <n v="27"/>
    <x v="0"/>
    <x v="6"/>
    <m/>
  </r>
  <r>
    <n v="2362"/>
    <n v="44"/>
    <s v="Male"/>
    <x v="18"/>
    <x v="3"/>
    <n v="64"/>
    <s v="Alabama"/>
    <x v="2"/>
    <x v="0"/>
    <x v="1"/>
    <x v="12"/>
    <x v="1"/>
    <x v="1"/>
    <n v="30"/>
    <x v="2"/>
    <x v="6"/>
    <m/>
  </r>
  <r>
    <n v="2363"/>
    <n v="27"/>
    <s v="Male"/>
    <x v="2"/>
    <x v="0"/>
    <n v="41"/>
    <s v="Virginia"/>
    <x v="2"/>
    <x v="18"/>
    <x v="3"/>
    <x v="6"/>
    <x v="1"/>
    <x v="1"/>
    <n v="24"/>
    <x v="2"/>
    <x v="5"/>
    <m/>
  </r>
  <r>
    <n v="2364"/>
    <n v="60"/>
    <s v="Male"/>
    <x v="20"/>
    <x v="0"/>
    <n v="79"/>
    <s v="Pennsylvania"/>
    <x v="3"/>
    <x v="6"/>
    <x v="0"/>
    <x v="13"/>
    <x v="1"/>
    <x v="1"/>
    <n v="38"/>
    <x v="1"/>
    <x v="4"/>
    <m/>
  </r>
  <r>
    <n v="2365"/>
    <n v="62"/>
    <s v="Male"/>
    <x v="12"/>
    <x v="3"/>
    <n v="60"/>
    <s v="Mississippi"/>
    <x v="0"/>
    <x v="1"/>
    <x v="0"/>
    <x v="13"/>
    <x v="1"/>
    <x v="1"/>
    <n v="4"/>
    <x v="3"/>
    <x v="3"/>
    <m/>
  </r>
  <r>
    <n v="2366"/>
    <n v="52"/>
    <s v="Male"/>
    <x v="4"/>
    <x v="1"/>
    <n v="91"/>
    <s v="Wyoming"/>
    <x v="1"/>
    <x v="15"/>
    <x v="0"/>
    <x v="16"/>
    <x v="1"/>
    <x v="1"/>
    <n v="32"/>
    <x v="0"/>
    <x v="5"/>
    <m/>
  </r>
  <r>
    <n v="2367"/>
    <n v="30"/>
    <s v="Male"/>
    <x v="9"/>
    <x v="1"/>
    <n v="66"/>
    <s v="New Mexico"/>
    <x v="0"/>
    <x v="18"/>
    <x v="0"/>
    <x v="2"/>
    <x v="1"/>
    <x v="1"/>
    <n v="32"/>
    <x v="2"/>
    <x v="0"/>
    <m/>
  </r>
  <r>
    <n v="2368"/>
    <n v="66"/>
    <s v="Male"/>
    <x v="20"/>
    <x v="0"/>
    <n v="85"/>
    <s v="North Dakota"/>
    <x v="0"/>
    <x v="14"/>
    <x v="0"/>
    <x v="10"/>
    <x v="1"/>
    <x v="1"/>
    <n v="28"/>
    <x v="4"/>
    <x v="4"/>
    <m/>
  </r>
  <r>
    <n v="2369"/>
    <n v="29"/>
    <s v="Male"/>
    <x v="12"/>
    <x v="3"/>
    <n v="38"/>
    <s v="New Jersey"/>
    <x v="2"/>
    <x v="12"/>
    <x v="2"/>
    <x v="19"/>
    <x v="1"/>
    <x v="1"/>
    <n v="6"/>
    <x v="5"/>
    <x v="6"/>
    <m/>
  </r>
  <r>
    <n v="2370"/>
    <n v="24"/>
    <s v="Male"/>
    <x v="1"/>
    <x v="0"/>
    <n v="23"/>
    <s v="Vermont"/>
    <x v="2"/>
    <x v="17"/>
    <x v="0"/>
    <x v="7"/>
    <x v="1"/>
    <x v="1"/>
    <n v="24"/>
    <x v="3"/>
    <x v="5"/>
    <m/>
  </r>
  <r>
    <n v="2371"/>
    <n v="51"/>
    <s v="Male"/>
    <x v="9"/>
    <x v="1"/>
    <n v="71"/>
    <s v="Alaska"/>
    <x v="2"/>
    <x v="13"/>
    <x v="1"/>
    <x v="14"/>
    <x v="1"/>
    <x v="1"/>
    <n v="38"/>
    <x v="0"/>
    <x v="1"/>
    <m/>
  </r>
  <r>
    <n v="2372"/>
    <n v="67"/>
    <s v="Male"/>
    <x v="20"/>
    <x v="0"/>
    <n v="25"/>
    <s v="Indiana"/>
    <x v="2"/>
    <x v="4"/>
    <x v="0"/>
    <x v="5"/>
    <x v="1"/>
    <x v="1"/>
    <n v="28"/>
    <x v="5"/>
    <x v="2"/>
    <m/>
  </r>
  <r>
    <n v="2373"/>
    <n v="50"/>
    <s v="Male"/>
    <x v="23"/>
    <x v="1"/>
    <n v="39"/>
    <s v="Alabama"/>
    <x v="3"/>
    <x v="5"/>
    <x v="1"/>
    <x v="0"/>
    <x v="1"/>
    <x v="1"/>
    <n v="9"/>
    <x v="3"/>
    <x v="0"/>
    <m/>
  </r>
  <r>
    <n v="2374"/>
    <n v="37"/>
    <s v="Male"/>
    <x v="15"/>
    <x v="0"/>
    <n v="20"/>
    <s v="Michigan"/>
    <x v="2"/>
    <x v="0"/>
    <x v="1"/>
    <x v="17"/>
    <x v="1"/>
    <x v="1"/>
    <n v="21"/>
    <x v="5"/>
    <x v="6"/>
    <m/>
  </r>
  <r>
    <n v="2375"/>
    <n v="69"/>
    <s v="Male"/>
    <x v="24"/>
    <x v="3"/>
    <n v="73"/>
    <s v="Washington"/>
    <x v="0"/>
    <x v="15"/>
    <x v="0"/>
    <x v="15"/>
    <x v="1"/>
    <x v="1"/>
    <n v="31"/>
    <x v="5"/>
    <x v="5"/>
    <m/>
  </r>
  <r>
    <n v="2376"/>
    <n v="60"/>
    <s v="Male"/>
    <x v="21"/>
    <x v="3"/>
    <n v="63"/>
    <s v="Virginia"/>
    <x v="0"/>
    <x v="15"/>
    <x v="3"/>
    <x v="25"/>
    <x v="1"/>
    <x v="1"/>
    <n v="18"/>
    <x v="2"/>
    <x v="3"/>
    <m/>
  </r>
  <r>
    <n v="2377"/>
    <n v="21"/>
    <s v="Male"/>
    <x v="24"/>
    <x v="3"/>
    <n v="94"/>
    <s v="Tennessee"/>
    <x v="3"/>
    <x v="17"/>
    <x v="1"/>
    <x v="18"/>
    <x v="1"/>
    <x v="1"/>
    <n v="5"/>
    <x v="1"/>
    <x v="1"/>
    <m/>
  </r>
  <r>
    <n v="2378"/>
    <n v="44"/>
    <s v="Male"/>
    <x v="0"/>
    <x v="0"/>
    <n v="94"/>
    <s v="South Dakota"/>
    <x v="0"/>
    <x v="23"/>
    <x v="3"/>
    <x v="8"/>
    <x v="1"/>
    <x v="1"/>
    <n v="22"/>
    <x v="1"/>
    <x v="2"/>
    <m/>
  </r>
  <r>
    <n v="2379"/>
    <n v="26"/>
    <s v="Male"/>
    <x v="18"/>
    <x v="3"/>
    <n v="71"/>
    <s v="New Hampshire"/>
    <x v="0"/>
    <x v="11"/>
    <x v="2"/>
    <x v="6"/>
    <x v="1"/>
    <x v="1"/>
    <n v="37"/>
    <x v="3"/>
    <x v="4"/>
    <m/>
  </r>
  <r>
    <n v="2380"/>
    <n v="40"/>
    <s v="Male"/>
    <x v="19"/>
    <x v="3"/>
    <n v="77"/>
    <s v="South Dakota"/>
    <x v="2"/>
    <x v="15"/>
    <x v="1"/>
    <x v="8"/>
    <x v="1"/>
    <x v="1"/>
    <n v="22"/>
    <x v="5"/>
    <x v="5"/>
    <m/>
  </r>
  <r>
    <n v="2381"/>
    <n v="41"/>
    <s v="Male"/>
    <x v="18"/>
    <x v="3"/>
    <n v="66"/>
    <s v="Pennsylvania"/>
    <x v="2"/>
    <x v="13"/>
    <x v="3"/>
    <x v="16"/>
    <x v="1"/>
    <x v="1"/>
    <n v="36"/>
    <x v="3"/>
    <x v="0"/>
    <m/>
  </r>
  <r>
    <n v="2382"/>
    <n v="62"/>
    <s v="Male"/>
    <x v="3"/>
    <x v="1"/>
    <n v="23"/>
    <s v="Wisconsin"/>
    <x v="2"/>
    <x v="11"/>
    <x v="2"/>
    <x v="21"/>
    <x v="1"/>
    <x v="1"/>
    <n v="23"/>
    <x v="3"/>
    <x v="2"/>
    <m/>
  </r>
  <r>
    <n v="2383"/>
    <n v="39"/>
    <s v="Male"/>
    <x v="1"/>
    <x v="0"/>
    <n v="60"/>
    <s v="California"/>
    <x v="2"/>
    <x v="2"/>
    <x v="1"/>
    <x v="14"/>
    <x v="1"/>
    <x v="1"/>
    <n v="44"/>
    <x v="5"/>
    <x v="1"/>
    <m/>
  </r>
  <r>
    <n v="2384"/>
    <n v="53"/>
    <s v="Male"/>
    <x v="21"/>
    <x v="3"/>
    <n v="72"/>
    <s v="Rhode Island"/>
    <x v="0"/>
    <x v="9"/>
    <x v="1"/>
    <x v="17"/>
    <x v="1"/>
    <x v="1"/>
    <n v="25"/>
    <x v="4"/>
    <x v="2"/>
    <m/>
  </r>
  <r>
    <n v="2385"/>
    <n v="24"/>
    <s v="Male"/>
    <x v="0"/>
    <x v="0"/>
    <n v="35"/>
    <s v="Alabama"/>
    <x v="0"/>
    <x v="14"/>
    <x v="0"/>
    <x v="19"/>
    <x v="1"/>
    <x v="1"/>
    <n v="40"/>
    <x v="3"/>
    <x v="3"/>
    <m/>
  </r>
  <r>
    <n v="2386"/>
    <n v="41"/>
    <s v="Male"/>
    <x v="18"/>
    <x v="3"/>
    <n v="31"/>
    <s v="Oklahoma"/>
    <x v="2"/>
    <x v="18"/>
    <x v="3"/>
    <x v="1"/>
    <x v="1"/>
    <x v="1"/>
    <n v="12"/>
    <x v="3"/>
    <x v="1"/>
    <m/>
  </r>
  <r>
    <n v="2387"/>
    <n v="19"/>
    <s v="Male"/>
    <x v="20"/>
    <x v="0"/>
    <n v="33"/>
    <s v="Illinois"/>
    <x v="0"/>
    <x v="24"/>
    <x v="2"/>
    <x v="25"/>
    <x v="1"/>
    <x v="1"/>
    <n v="14"/>
    <x v="0"/>
    <x v="5"/>
    <m/>
  </r>
  <r>
    <n v="2388"/>
    <n v="36"/>
    <s v="Male"/>
    <x v="19"/>
    <x v="3"/>
    <n v="95"/>
    <s v="Tennessee"/>
    <x v="2"/>
    <x v="9"/>
    <x v="2"/>
    <x v="8"/>
    <x v="1"/>
    <x v="1"/>
    <n v="14"/>
    <x v="5"/>
    <x v="5"/>
    <m/>
  </r>
  <r>
    <n v="2389"/>
    <n v="21"/>
    <s v="Male"/>
    <x v="10"/>
    <x v="0"/>
    <n v="68"/>
    <s v="Alabama"/>
    <x v="2"/>
    <x v="15"/>
    <x v="3"/>
    <x v="18"/>
    <x v="1"/>
    <x v="1"/>
    <n v="10"/>
    <x v="5"/>
    <x v="2"/>
    <m/>
  </r>
  <r>
    <n v="2390"/>
    <n v="25"/>
    <s v="Male"/>
    <x v="7"/>
    <x v="2"/>
    <n v="87"/>
    <s v="Kansas"/>
    <x v="2"/>
    <x v="10"/>
    <x v="1"/>
    <x v="0"/>
    <x v="1"/>
    <x v="1"/>
    <n v="17"/>
    <x v="4"/>
    <x v="6"/>
    <m/>
  </r>
  <r>
    <n v="2391"/>
    <n v="65"/>
    <s v="Male"/>
    <x v="5"/>
    <x v="0"/>
    <n v="64"/>
    <s v="Arizona"/>
    <x v="3"/>
    <x v="22"/>
    <x v="0"/>
    <x v="7"/>
    <x v="1"/>
    <x v="1"/>
    <n v="24"/>
    <x v="5"/>
    <x v="0"/>
    <m/>
  </r>
  <r>
    <n v="2392"/>
    <n v="42"/>
    <s v="Male"/>
    <x v="5"/>
    <x v="0"/>
    <n v="74"/>
    <s v="Michigan"/>
    <x v="2"/>
    <x v="13"/>
    <x v="0"/>
    <x v="7"/>
    <x v="1"/>
    <x v="1"/>
    <n v="31"/>
    <x v="4"/>
    <x v="3"/>
    <m/>
  </r>
  <r>
    <n v="2393"/>
    <n v="40"/>
    <s v="Male"/>
    <x v="2"/>
    <x v="0"/>
    <n v="62"/>
    <s v="Missouri"/>
    <x v="0"/>
    <x v="5"/>
    <x v="1"/>
    <x v="4"/>
    <x v="1"/>
    <x v="1"/>
    <n v="36"/>
    <x v="1"/>
    <x v="2"/>
    <m/>
  </r>
  <r>
    <n v="2394"/>
    <n v="58"/>
    <s v="Male"/>
    <x v="20"/>
    <x v="0"/>
    <n v="97"/>
    <s v="Louisiana"/>
    <x v="2"/>
    <x v="18"/>
    <x v="0"/>
    <x v="11"/>
    <x v="1"/>
    <x v="1"/>
    <n v="38"/>
    <x v="3"/>
    <x v="6"/>
    <m/>
  </r>
  <r>
    <n v="2395"/>
    <n v="40"/>
    <s v="Male"/>
    <x v="3"/>
    <x v="1"/>
    <n v="47"/>
    <s v="Connecticut"/>
    <x v="0"/>
    <x v="15"/>
    <x v="3"/>
    <x v="25"/>
    <x v="1"/>
    <x v="1"/>
    <n v="23"/>
    <x v="5"/>
    <x v="0"/>
    <m/>
  </r>
  <r>
    <n v="2396"/>
    <n v="62"/>
    <s v="Male"/>
    <x v="0"/>
    <x v="0"/>
    <n v="83"/>
    <s v="Connecticut"/>
    <x v="2"/>
    <x v="17"/>
    <x v="0"/>
    <x v="22"/>
    <x v="1"/>
    <x v="1"/>
    <n v="47"/>
    <x v="3"/>
    <x v="4"/>
    <m/>
  </r>
  <r>
    <n v="2397"/>
    <n v="38"/>
    <s v="Male"/>
    <x v="5"/>
    <x v="0"/>
    <n v="82"/>
    <s v="Oregon"/>
    <x v="2"/>
    <x v="8"/>
    <x v="1"/>
    <x v="5"/>
    <x v="1"/>
    <x v="1"/>
    <n v="20"/>
    <x v="0"/>
    <x v="1"/>
    <m/>
  </r>
  <r>
    <n v="2398"/>
    <n v="37"/>
    <s v="Male"/>
    <x v="12"/>
    <x v="3"/>
    <n v="26"/>
    <s v="West Virginia"/>
    <x v="0"/>
    <x v="13"/>
    <x v="3"/>
    <x v="25"/>
    <x v="1"/>
    <x v="1"/>
    <n v="41"/>
    <x v="0"/>
    <x v="5"/>
    <m/>
  </r>
  <r>
    <n v="2399"/>
    <n v="65"/>
    <s v="Male"/>
    <x v="14"/>
    <x v="2"/>
    <n v="81"/>
    <s v="Florida"/>
    <x v="2"/>
    <x v="20"/>
    <x v="0"/>
    <x v="12"/>
    <x v="1"/>
    <x v="1"/>
    <n v="44"/>
    <x v="4"/>
    <x v="0"/>
    <m/>
  </r>
  <r>
    <n v="2400"/>
    <n v="55"/>
    <s v="Male"/>
    <x v="10"/>
    <x v="0"/>
    <n v="44"/>
    <s v="New Hampshire"/>
    <x v="0"/>
    <x v="19"/>
    <x v="1"/>
    <x v="20"/>
    <x v="1"/>
    <x v="1"/>
    <n v="31"/>
    <x v="1"/>
    <x v="5"/>
    <m/>
  </r>
  <r>
    <n v="2401"/>
    <n v="43"/>
    <s v="Male"/>
    <x v="12"/>
    <x v="3"/>
    <n v="88"/>
    <s v="Oregon"/>
    <x v="2"/>
    <x v="15"/>
    <x v="0"/>
    <x v="13"/>
    <x v="1"/>
    <x v="1"/>
    <n v="11"/>
    <x v="2"/>
    <x v="4"/>
    <m/>
  </r>
  <r>
    <n v="2402"/>
    <n v="43"/>
    <s v="Male"/>
    <x v="23"/>
    <x v="1"/>
    <n v="76"/>
    <s v="Oregon"/>
    <x v="2"/>
    <x v="6"/>
    <x v="0"/>
    <x v="13"/>
    <x v="1"/>
    <x v="1"/>
    <n v="25"/>
    <x v="3"/>
    <x v="4"/>
    <m/>
  </r>
  <r>
    <n v="2403"/>
    <n v="45"/>
    <s v="Male"/>
    <x v="18"/>
    <x v="3"/>
    <n v="89"/>
    <s v="Utah"/>
    <x v="2"/>
    <x v="18"/>
    <x v="0"/>
    <x v="1"/>
    <x v="1"/>
    <x v="1"/>
    <n v="31"/>
    <x v="1"/>
    <x v="1"/>
    <m/>
  </r>
  <r>
    <n v="2404"/>
    <n v="64"/>
    <s v="Male"/>
    <x v="6"/>
    <x v="0"/>
    <n v="22"/>
    <s v="Missouri"/>
    <x v="2"/>
    <x v="23"/>
    <x v="3"/>
    <x v="9"/>
    <x v="1"/>
    <x v="1"/>
    <n v="40"/>
    <x v="5"/>
    <x v="1"/>
    <m/>
  </r>
  <r>
    <n v="2405"/>
    <n v="28"/>
    <s v="Male"/>
    <x v="6"/>
    <x v="0"/>
    <n v="33"/>
    <s v="West Virginia"/>
    <x v="0"/>
    <x v="17"/>
    <x v="0"/>
    <x v="0"/>
    <x v="1"/>
    <x v="1"/>
    <n v="23"/>
    <x v="2"/>
    <x v="4"/>
    <m/>
  </r>
  <r>
    <n v="2406"/>
    <n v="69"/>
    <s v="Male"/>
    <x v="2"/>
    <x v="0"/>
    <n v="97"/>
    <s v="California"/>
    <x v="3"/>
    <x v="5"/>
    <x v="3"/>
    <x v="11"/>
    <x v="1"/>
    <x v="1"/>
    <n v="5"/>
    <x v="5"/>
    <x v="3"/>
    <m/>
  </r>
  <r>
    <n v="2407"/>
    <n v="54"/>
    <s v="Male"/>
    <x v="18"/>
    <x v="3"/>
    <n v="57"/>
    <s v="California"/>
    <x v="2"/>
    <x v="21"/>
    <x v="0"/>
    <x v="15"/>
    <x v="1"/>
    <x v="1"/>
    <n v="26"/>
    <x v="3"/>
    <x v="1"/>
    <m/>
  </r>
  <r>
    <n v="2408"/>
    <n v="52"/>
    <s v="Male"/>
    <x v="6"/>
    <x v="0"/>
    <n v="38"/>
    <s v="Illinois"/>
    <x v="2"/>
    <x v="19"/>
    <x v="2"/>
    <x v="23"/>
    <x v="1"/>
    <x v="1"/>
    <n v="11"/>
    <x v="2"/>
    <x v="4"/>
    <m/>
  </r>
  <r>
    <n v="2409"/>
    <n v="23"/>
    <s v="Male"/>
    <x v="4"/>
    <x v="1"/>
    <n v="55"/>
    <s v="Hawaii"/>
    <x v="3"/>
    <x v="13"/>
    <x v="3"/>
    <x v="13"/>
    <x v="1"/>
    <x v="1"/>
    <n v="44"/>
    <x v="5"/>
    <x v="6"/>
    <m/>
  </r>
  <r>
    <n v="2410"/>
    <n v="26"/>
    <s v="Male"/>
    <x v="16"/>
    <x v="3"/>
    <n v="37"/>
    <s v="Washington"/>
    <x v="0"/>
    <x v="22"/>
    <x v="1"/>
    <x v="23"/>
    <x v="1"/>
    <x v="1"/>
    <n v="47"/>
    <x v="1"/>
    <x v="6"/>
    <m/>
  </r>
  <r>
    <n v="2411"/>
    <n v="48"/>
    <s v="Male"/>
    <x v="9"/>
    <x v="1"/>
    <n v="43"/>
    <s v="Wisconsin"/>
    <x v="2"/>
    <x v="1"/>
    <x v="2"/>
    <x v="5"/>
    <x v="1"/>
    <x v="1"/>
    <n v="46"/>
    <x v="3"/>
    <x v="5"/>
    <m/>
  </r>
  <r>
    <n v="2412"/>
    <n v="49"/>
    <s v="Male"/>
    <x v="15"/>
    <x v="0"/>
    <n v="96"/>
    <s v="Virginia"/>
    <x v="2"/>
    <x v="17"/>
    <x v="2"/>
    <x v="6"/>
    <x v="1"/>
    <x v="1"/>
    <n v="35"/>
    <x v="1"/>
    <x v="6"/>
    <m/>
  </r>
  <r>
    <n v="2413"/>
    <n v="53"/>
    <s v="Male"/>
    <x v="14"/>
    <x v="2"/>
    <n v="51"/>
    <s v="Oregon"/>
    <x v="2"/>
    <x v="6"/>
    <x v="0"/>
    <x v="12"/>
    <x v="1"/>
    <x v="1"/>
    <n v="8"/>
    <x v="4"/>
    <x v="4"/>
    <m/>
  </r>
  <r>
    <n v="2414"/>
    <n v="69"/>
    <s v="Male"/>
    <x v="6"/>
    <x v="0"/>
    <n v="95"/>
    <s v="Pennsylvania"/>
    <x v="3"/>
    <x v="10"/>
    <x v="3"/>
    <x v="6"/>
    <x v="1"/>
    <x v="1"/>
    <n v="30"/>
    <x v="4"/>
    <x v="1"/>
    <m/>
  </r>
  <r>
    <n v="2415"/>
    <n v="26"/>
    <s v="Male"/>
    <x v="20"/>
    <x v="0"/>
    <n v="26"/>
    <s v="Virginia"/>
    <x v="2"/>
    <x v="12"/>
    <x v="2"/>
    <x v="5"/>
    <x v="1"/>
    <x v="1"/>
    <n v="14"/>
    <x v="2"/>
    <x v="4"/>
    <m/>
  </r>
  <r>
    <n v="2416"/>
    <n v="21"/>
    <s v="Male"/>
    <x v="7"/>
    <x v="2"/>
    <n v="34"/>
    <s v="Hawaii"/>
    <x v="3"/>
    <x v="12"/>
    <x v="3"/>
    <x v="12"/>
    <x v="1"/>
    <x v="1"/>
    <n v="30"/>
    <x v="4"/>
    <x v="1"/>
    <m/>
  </r>
  <r>
    <n v="2417"/>
    <n v="59"/>
    <s v="Male"/>
    <x v="3"/>
    <x v="1"/>
    <n v="83"/>
    <s v="Nebraska"/>
    <x v="1"/>
    <x v="13"/>
    <x v="2"/>
    <x v="8"/>
    <x v="1"/>
    <x v="1"/>
    <n v="26"/>
    <x v="2"/>
    <x v="6"/>
    <m/>
  </r>
  <r>
    <n v="2418"/>
    <n v="21"/>
    <s v="Male"/>
    <x v="21"/>
    <x v="3"/>
    <n v="24"/>
    <s v="Alaska"/>
    <x v="2"/>
    <x v="8"/>
    <x v="3"/>
    <x v="19"/>
    <x v="1"/>
    <x v="1"/>
    <n v="32"/>
    <x v="0"/>
    <x v="0"/>
    <m/>
  </r>
  <r>
    <n v="2419"/>
    <n v="22"/>
    <s v="Male"/>
    <x v="13"/>
    <x v="0"/>
    <n v="69"/>
    <s v="Michigan"/>
    <x v="1"/>
    <x v="21"/>
    <x v="3"/>
    <x v="8"/>
    <x v="1"/>
    <x v="1"/>
    <n v="47"/>
    <x v="1"/>
    <x v="6"/>
    <m/>
  </r>
  <r>
    <n v="2420"/>
    <n v="26"/>
    <s v="Male"/>
    <x v="1"/>
    <x v="0"/>
    <n v="40"/>
    <s v="North Carolina"/>
    <x v="2"/>
    <x v="24"/>
    <x v="3"/>
    <x v="6"/>
    <x v="1"/>
    <x v="1"/>
    <n v="11"/>
    <x v="2"/>
    <x v="6"/>
    <m/>
  </r>
  <r>
    <n v="2421"/>
    <n v="41"/>
    <s v="Male"/>
    <x v="14"/>
    <x v="2"/>
    <n v="87"/>
    <s v="North Carolina"/>
    <x v="1"/>
    <x v="14"/>
    <x v="0"/>
    <x v="13"/>
    <x v="1"/>
    <x v="1"/>
    <n v="28"/>
    <x v="3"/>
    <x v="2"/>
    <m/>
  </r>
  <r>
    <n v="2422"/>
    <n v="37"/>
    <s v="Male"/>
    <x v="4"/>
    <x v="1"/>
    <n v="46"/>
    <s v="Minnesota"/>
    <x v="0"/>
    <x v="6"/>
    <x v="1"/>
    <x v="7"/>
    <x v="1"/>
    <x v="1"/>
    <n v="2"/>
    <x v="5"/>
    <x v="6"/>
    <m/>
  </r>
  <r>
    <n v="2423"/>
    <n v="30"/>
    <s v="Male"/>
    <x v="16"/>
    <x v="3"/>
    <n v="82"/>
    <s v="Georgia"/>
    <x v="2"/>
    <x v="15"/>
    <x v="0"/>
    <x v="3"/>
    <x v="1"/>
    <x v="1"/>
    <n v="45"/>
    <x v="2"/>
    <x v="1"/>
    <m/>
  </r>
  <r>
    <n v="2424"/>
    <n v="49"/>
    <s v="Male"/>
    <x v="21"/>
    <x v="3"/>
    <n v="81"/>
    <s v="West Virginia"/>
    <x v="2"/>
    <x v="7"/>
    <x v="2"/>
    <x v="24"/>
    <x v="1"/>
    <x v="1"/>
    <n v="7"/>
    <x v="2"/>
    <x v="6"/>
    <m/>
  </r>
  <r>
    <n v="2425"/>
    <n v="49"/>
    <s v="Male"/>
    <x v="16"/>
    <x v="3"/>
    <n v="57"/>
    <s v="Delaware"/>
    <x v="2"/>
    <x v="15"/>
    <x v="0"/>
    <x v="21"/>
    <x v="1"/>
    <x v="1"/>
    <n v="28"/>
    <x v="4"/>
    <x v="4"/>
    <m/>
  </r>
  <r>
    <n v="2426"/>
    <n v="58"/>
    <s v="Male"/>
    <x v="9"/>
    <x v="1"/>
    <n v="49"/>
    <s v="North Dakota"/>
    <x v="1"/>
    <x v="8"/>
    <x v="2"/>
    <x v="23"/>
    <x v="1"/>
    <x v="1"/>
    <n v="34"/>
    <x v="4"/>
    <x v="3"/>
    <m/>
  </r>
  <r>
    <n v="2427"/>
    <n v="70"/>
    <s v="Male"/>
    <x v="14"/>
    <x v="2"/>
    <n v="42"/>
    <s v="Florida"/>
    <x v="2"/>
    <x v="8"/>
    <x v="3"/>
    <x v="7"/>
    <x v="1"/>
    <x v="1"/>
    <n v="26"/>
    <x v="5"/>
    <x v="6"/>
    <m/>
  </r>
  <r>
    <n v="2428"/>
    <n v="27"/>
    <s v="Male"/>
    <x v="14"/>
    <x v="2"/>
    <n v="26"/>
    <s v="Oregon"/>
    <x v="2"/>
    <x v="7"/>
    <x v="1"/>
    <x v="19"/>
    <x v="1"/>
    <x v="1"/>
    <n v="45"/>
    <x v="1"/>
    <x v="3"/>
    <m/>
  </r>
  <r>
    <n v="2429"/>
    <n v="65"/>
    <s v="Male"/>
    <x v="17"/>
    <x v="0"/>
    <n v="38"/>
    <s v="Idaho"/>
    <x v="2"/>
    <x v="10"/>
    <x v="1"/>
    <x v="9"/>
    <x v="1"/>
    <x v="1"/>
    <n v="34"/>
    <x v="5"/>
    <x v="2"/>
    <m/>
  </r>
  <r>
    <n v="2430"/>
    <n v="57"/>
    <s v="Male"/>
    <x v="4"/>
    <x v="1"/>
    <n v="57"/>
    <s v="Virginia"/>
    <x v="3"/>
    <x v="1"/>
    <x v="2"/>
    <x v="9"/>
    <x v="1"/>
    <x v="1"/>
    <n v="47"/>
    <x v="2"/>
    <x v="0"/>
    <m/>
  </r>
  <r>
    <n v="2431"/>
    <n v="20"/>
    <s v="Male"/>
    <x v="14"/>
    <x v="2"/>
    <n v="100"/>
    <s v="North Dakota"/>
    <x v="3"/>
    <x v="3"/>
    <x v="2"/>
    <x v="12"/>
    <x v="1"/>
    <x v="1"/>
    <n v="42"/>
    <x v="1"/>
    <x v="3"/>
    <m/>
  </r>
  <r>
    <n v="2432"/>
    <n v="34"/>
    <s v="Male"/>
    <x v="15"/>
    <x v="0"/>
    <n v="73"/>
    <s v="Alabama"/>
    <x v="1"/>
    <x v="8"/>
    <x v="3"/>
    <x v="10"/>
    <x v="1"/>
    <x v="1"/>
    <n v="27"/>
    <x v="4"/>
    <x v="6"/>
    <m/>
  </r>
  <r>
    <n v="2433"/>
    <n v="59"/>
    <s v="Male"/>
    <x v="14"/>
    <x v="2"/>
    <n v="66"/>
    <s v="Hawaii"/>
    <x v="2"/>
    <x v="15"/>
    <x v="0"/>
    <x v="24"/>
    <x v="1"/>
    <x v="1"/>
    <n v="43"/>
    <x v="0"/>
    <x v="5"/>
    <m/>
  </r>
  <r>
    <n v="2434"/>
    <n v="54"/>
    <s v="Male"/>
    <x v="17"/>
    <x v="0"/>
    <n v="73"/>
    <s v="Oregon"/>
    <x v="2"/>
    <x v="24"/>
    <x v="1"/>
    <x v="10"/>
    <x v="1"/>
    <x v="1"/>
    <n v="16"/>
    <x v="1"/>
    <x v="4"/>
    <m/>
  </r>
  <r>
    <n v="2435"/>
    <n v="36"/>
    <s v="Male"/>
    <x v="24"/>
    <x v="3"/>
    <n v="45"/>
    <s v="Utah"/>
    <x v="2"/>
    <x v="18"/>
    <x v="1"/>
    <x v="11"/>
    <x v="1"/>
    <x v="1"/>
    <n v="40"/>
    <x v="2"/>
    <x v="5"/>
    <m/>
  </r>
  <r>
    <n v="2436"/>
    <n v="21"/>
    <s v="Male"/>
    <x v="4"/>
    <x v="1"/>
    <n v="27"/>
    <s v="Hawaii"/>
    <x v="1"/>
    <x v="13"/>
    <x v="3"/>
    <x v="21"/>
    <x v="1"/>
    <x v="1"/>
    <n v="29"/>
    <x v="1"/>
    <x v="4"/>
    <m/>
  </r>
  <r>
    <n v="2437"/>
    <n v="52"/>
    <s v="Male"/>
    <x v="17"/>
    <x v="0"/>
    <n v="24"/>
    <s v="Connecticut"/>
    <x v="2"/>
    <x v="22"/>
    <x v="3"/>
    <x v="6"/>
    <x v="1"/>
    <x v="1"/>
    <n v="38"/>
    <x v="2"/>
    <x v="3"/>
    <m/>
  </r>
  <r>
    <n v="2438"/>
    <n v="43"/>
    <s v="Male"/>
    <x v="4"/>
    <x v="1"/>
    <n v="59"/>
    <s v="Wyoming"/>
    <x v="3"/>
    <x v="23"/>
    <x v="0"/>
    <x v="10"/>
    <x v="1"/>
    <x v="1"/>
    <n v="34"/>
    <x v="2"/>
    <x v="1"/>
    <m/>
  </r>
  <r>
    <n v="2439"/>
    <n v="32"/>
    <s v="Male"/>
    <x v="2"/>
    <x v="0"/>
    <n v="20"/>
    <s v="Delaware"/>
    <x v="1"/>
    <x v="17"/>
    <x v="0"/>
    <x v="10"/>
    <x v="1"/>
    <x v="1"/>
    <n v="30"/>
    <x v="0"/>
    <x v="1"/>
    <m/>
  </r>
  <r>
    <n v="2440"/>
    <n v="55"/>
    <s v="Male"/>
    <x v="8"/>
    <x v="3"/>
    <n v="44"/>
    <s v="Arkansas"/>
    <x v="2"/>
    <x v="1"/>
    <x v="2"/>
    <x v="24"/>
    <x v="1"/>
    <x v="1"/>
    <n v="45"/>
    <x v="4"/>
    <x v="2"/>
    <m/>
  </r>
  <r>
    <n v="2441"/>
    <n v="31"/>
    <s v="Male"/>
    <x v="20"/>
    <x v="0"/>
    <n v="90"/>
    <s v="Indiana"/>
    <x v="2"/>
    <x v="16"/>
    <x v="1"/>
    <x v="15"/>
    <x v="1"/>
    <x v="1"/>
    <n v="47"/>
    <x v="4"/>
    <x v="2"/>
    <m/>
  </r>
  <r>
    <n v="2442"/>
    <n v="45"/>
    <s v="Male"/>
    <x v="16"/>
    <x v="3"/>
    <n v="36"/>
    <s v="California"/>
    <x v="2"/>
    <x v="13"/>
    <x v="3"/>
    <x v="15"/>
    <x v="1"/>
    <x v="1"/>
    <n v="5"/>
    <x v="2"/>
    <x v="5"/>
    <m/>
  </r>
  <r>
    <n v="2443"/>
    <n v="53"/>
    <s v="Male"/>
    <x v="0"/>
    <x v="0"/>
    <n v="95"/>
    <s v="Wyoming"/>
    <x v="0"/>
    <x v="10"/>
    <x v="0"/>
    <x v="15"/>
    <x v="1"/>
    <x v="1"/>
    <n v="50"/>
    <x v="5"/>
    <x v="4"/>
    <m/>
  </r>
  <r>
    <n v="2444"/>
    <n v="24"/>
    <s v="Male"/>
    <x v="21"/>
    <x v="3"/>
    <n v="30"/>
    <s v="South Dakota"/>
    <x v="2"/>
    <x v="14"/>
    <x v="1"/>
    <x v="10"/>
    <x v="1"/>
    <x v="1"/>
    <n v="24"/>
    <x v="4"/>
    <x v="4"/>
    <m/>
  </r>
  <r>
    <n v="2445"/>
    <n v="47"/>
    <s v="Male"/>
    <x v="18"/>
    <x v="3"/>
    <n v="65"/>
    <s v="West Virginia"/>
    <x v="1"/>
    <x v="9"/>
    <x v="3"/>
    <x v="5"/>
    <x v="1"/>
    <x v="1"/>
    <n v="15"/>
    <x v="5"/>
    <x v="4"/>
    <m/>
  </r>
  <r>
    <n v="2446"/>
    <n v="63"/>
    <s v="Male"/>
    <x v="18"/>
    <x v="3"/>
    <n v="96"/>
    <s v="Tennessee"/>
    <x v="2"/>
    <x v="18"/>
    <x v="2"/>
    <x v="18"/>
    <x v="1"/>
    <x v="1"/>
    <n v="50"/>
    <x v="1"/>
    <x v="1"/>
    <m/>
  </r>
  <r>
    <n v="2447"/>
    <n v="38"/>
    <s v="Male"/>
    <x v="5"/>
    <x v="0"/>
    <n v="65"/>
    <s v="Alaska"/>
    <x v="0"/>
    <x v="15"/>
    <x v="1"/>
    <x v="25"/>
    <x v="1"/>
    <x v="1"/>
    <n v="7"/>
    <x v="2"/>
    <x v="5"/>
    <m/>
  </r>
  <r>
    <n v="2448"/>
    <n v="59"/>
    <s v="Male"/>
    <x v="13"/>
    <x v="0"/>
    <n v="47"/>
    <s v="South Dakota"/>
    <x v="0"/>
    <x v="15"/>
    <x v="3"/>
    <x v="20"/>
    <x v="1"/>
    <x v="1"/>
    <n v="10"/>
    <x v="0"/>
    <x v="0"/>
    <m/>
  </r>
  <r>
    <n v="2449"/>
    <n v="54"/>
    <s v="Male"/>
    <x v="19"/>
    <x v="3"/>
    <n v="25"/>
    <s v="Tennessee"/>
    <x v="1"/>
    <x v="10"/>
    <x v="3"/>
    <x v="23"/>
    <x v="1"/>
    <x v="1"/>
    <n v="38"/>
    <x v="3"/>
    <x v="4"/>
    <m/>
  </r>
  <r>
    <n v="2450"/>
    <n v="26"/>
    <s v="Male"/>
    <x v="7"/>
    <x v="2"/>
    <n v="56"/>
    <s v="Alabama"/>
    <x v="1"/>
    <x v="10"/>
    <x v="3"/>
    <x v="18"/>
    <x v="1"/>
    <x v="1"/>
    <n v="31"/>
    <x v="0"/>
    <x v="0"/>
    <m/>
  </r>
  <r>
    <n v="2451"/>
    <n v="68"/>
    <s v="Male"/>
    <x v="17"/>
    <x v="0"/>
    <n v="76"/>
    <s v="North Carolina"/>
    <x v="2"/>
    <x v="23"/>
    <x v="3"/>
    <x v="21"/>
    <x v="1"/>
    <x v="1"/>
    <n v="7"/>
    <x v="0"/>
    <x v="3"/>
    <m/>
  </r>
  <r>
    <n v="2452"/>
    <n v="41"/>
    <s v="Male"/>
    <x v="20"/>
    <x v="0"/>
    <n v="60"/>
    <s v="Oklahoma"/>
    <x v="2"/>
    <x v="7"/>
    <x v="3"/>
    <x v="10"/>
    <x v="1"/>
    <x v="1"/>
    <n v="27"/>
    <x v="0"/>
    <x v="5"/>
    <m/>
  </r>
  <r>
    <n v="2453"/>
    <n v="68"/>
    <s v="Male"/>
    <x v="5"/>
    <x v="0"/>
    <n v="67"/>
    <s v="New York"/>
    <x v="0"/>
    <x v="7"/>
    <x v="0"/>
    <x v="18"/>
    <x v="1"/>
    <x v="1"/>
    <n v="45"/>
    <x v="4"/>
    <x v="6"/>
    <m/>
  </r>
  <r>
    <n v="2454"/>
    <n v="21"/>
    <s v="Male"/>
    <x v="1"/>
    <x v="0"/>
    <n v="95"/>
    <s v="Iowa"/>
    <x v="3"/>
    <x v="17"/>
    <x v="1"/>
    <x v="7"/>
    <x v="1"/>
    <x v="1"/>
    <n v="13"/>
    <x v="1"/>
    <x v="2"/>
    <m/>
  </r>
  <r>
    <n v="2455"/>
    <n v="32"/>
    <s v="Male"/>
    <x v="24"/>
    <x v="3"/>
    <n v="72"/>
    <s v="Alaska"/>
    <x v="2"/>
    <x v="23"/>
    <x v="0"/>
    <x v="7"/>
    <x v="1"/>
    <x v="1"/>
    <n v="33"/>
    <x v="0"/>
    <x v="2"/>
    <m/>
  </r>
  <r>
    <n v="2456"/>
    <n v="20"/>
    <s v="Male"/>
    <x v="22"/>
    <x v="3"/>
    <n v="98"/>
    <s v="Alaska"/>
    <x v="0"/>
    <x v="12"/>
    <x v="1"/>
    <x v="10"/>
    <x v="1"/>
    <x v="1"/>
    <n v="25"/>
    <x v="1"/>
    <x v="6"/>
    <m/>
  </r>
  <r>
    <n v="2457"/>
    <n v="59"/>
    <s v="Male"/>
    <x v="2"/>
    <x v="0"/>
    <n v="83"/>
    <s v="Nebraska"/>
    <x v="2"/>
    <x v="14"/>
    <x v="0"/>
    <x v="19"/>
    <x v="1"/>
    <x v="1"/>
    <n v="5"/>
    <x v="3"/>
    <x v="5"/>
    <m/>
  </r>
  <r>
    <n v="2458"/>
    <n v="53"/>
    <s v="Male"/>
    <x v="8"/>
    <x v="3"/>
    <n v="37"/>
    <s v="Delaware"/>
    <x v="2"/>
    <x v="1"/>
    <x v="3"/>
    <x v="2"/>
    <x v="1"/>
    <x v="1"/>
    <n v="23"/>
    <x v="1"/>
    <x v="3"/>
    <m/>
  </r>
  <r>
    <n v="2459"/>
    <n v="66"/>
    <s v="Male"/>
    <x v="17"/>
    <x v="0"/>
    <n v="85"/>
    <s v="Texas"/>
    <x v="0"/>
    <x v="2"/>
    <x v="3"/>
    <x v="7"/>
    <x v="1"/>
    <x v="1"/>
    <n v="17"/>
    <x v="4"/>
    <x v="1"/>
    <m/>
  </r>
  <r>
    <n v="2460"/>
    <n v="47"/>
    <s v="Male"/>
    <x v="20"/>
    <x v="0"/>
    <n v="36"/>
    <s v="Missouri"/>
    <x v="0"/>
    <x v="10"/>
    <x v="3"/>
    <x v="12"/>
    <x v="1"/>
    <x v="1"/>
    <n v="14"/>
    <x v="1"/>
    <x v="1"/>
    <m/>
  </r>
  <r>
    <n v="2461"/>
    <n v="58"/>
    <s v="Male"/>
    <x v="2"/>
    <x v="0"/>
    <n v="36"/>
    <s v="Maine"/>
    <x v="1"/>
    <x v="12"/>
    <x v="0"/>
    <x v="8"/>
    <x v="1"/>
    <x v="1"/>
    <n v="28"/>
    <x v="2"/>
    <x v="2"/>
    <m/>
  </r>
  <r>
    <n v="2462"/>
    <n v="28"/>
    <s v="Male"/>
    <x v="18"/>
    <x v="3"/>
    <n v="86"/>
    <s v="Pennsylvania"/>
    <x v="0"/>
    <x v="16"/>
    <x v="2"/>
    <x v="3"/>
    <x v="1"/>
    <x v="1"/>
    <n v="19"/>
    <x v="2"/>
    <x v="1"/>
    <m/>
  </r>
  <r>
    <n v="2463"/>
    <n v="68"/>
    <s v="Male"/>
    <x v="13"/>
    <x v="0"/>
    <n v="99"/>
    <s v="Missouri"/>
    <x v="3"/>
    <x v="20"/>
    <x v="1"/>
    <x v="12"/>
    <x v="1"/>
    <x v="1"/>
    <n v="31"/>
    <x v="4"/>
    <x v="4"/>
    <m/>
  </r>
  <r>
    <n v="2464"/>
    <n v="60"/>
    <s v="Male"/>
    <x v="0"/>
    <x v="0"/>
    <n v="21"/>
    <s v="Mississippi"/>
    <x v="3"/>
    <x v="21"/>
    <x v="2"/>
    <x v="19"/>
    <x v="1"/>
    <x v="1"/>
    <n v="25"/>
    <x v="1"/>
    <x v="4"/>
    <m/>
  </r>
  <r>
    <n v="2465"/>
    <n v="47"/>
    <s v="Male"/>
    <x v="14"/>
    <x v="2"/>
    <n v="84"/>
    <s v="Hawaii"/>
    <x v="0"/>
    <x v="11"/>
    <x v="0"/>
    <x v="24"/>
    <x v="1"/>
    <x v="1"/>
    <n v="4"/>
    <x v="1"/>
    <x v="4"/>
    <m/>
  </r>
  <r>
    <n v="2466"/>
    <n v="18"/>
    <s v="Male"/>
    <x v="3"/>
    <x v="1"/>
    <n v="63"/>
    <s v="Texas"/>
    <x v="2"/>
    <x v="18"/>
    <x v="1"/>
    <x v="9"/>
    <x v="1"/>
    <x v="1"/>
    <n v="20"/>
    <x v="4"/>
    <x v="1"/>
    <m/>
  </r>
  <r>
    <n v="2467"/>
    <n v="32"/>
    <s v="Male"/>
    <x v="6"/>
    <x v="0"/>
    <n v="84"/>
    <s v="South Dakota"/>
    <x v="1"/>
    <x v="6"/>
    <x v="2"/>
    <x v="5"/>
    <x v="1"/>
    <x v="1"/>
    <n v="37"/>
    <x v="1"/>
    <x v="2"/>
    <m/>
  </r>
  <r>
    <n v="2468"/>
    <n v="27"/>
    <s v="Male"/>
    <x v="6"/>
    <x v="0"/>
    <n v="72"/>
    <s v="New Jersey"/>
    <x v="2"/>
    <x v="12"/>
    <x v="1"/>
    <x v="2"/>
    <x v="1"/>
    <x v="1"/>
    <n v="28"/>
    <x v="2"/>
    <x v="2"/>
    <m/>
  </r>
  <r>
    <n v="2469"/>
    <n v="65"/>
    <s v="Male"/>
    <x v="11"/>
    <x v="0"/>
    <n v="21"/>
    <s v="Connecticut"/>
    <x v="0"/>
    <x v="17"/>
    <x v="0"/>
    <x v="5"/>
    <x v="1"/>
    <x v="1"/>
    <n v="6"/>
    <x v="0"/>
    <x v="1"/>
    <m/>
  </r>
  <r>
    <n v="2470"/>
    <n v="68"/>
    <s v="Male"/>
    <x v="3"/>
    <x v="1"/>
    <n v="92"/>
    <s v="Maryland"/>
    <x v="2"/>
    <x v="22"/>
    <x v="3"/>
    <x v="11"/>
    <x v="1"/>
    <x v="1"/>
    <n v="27"/>
    <x v="3"/>
    <x v="2"/>
    <m/>
  </r>
  <r>
    <n v="2471"/>
    <n v="55"/>
    <s v="Male"/>
    <x v="0"/>
    <x v="0"/>
    <n v="72"/>
    <s v="Arizona"/>
    <x v="3"/>
    <x v="6"/>
    <x v="3"/>
    <x v="6"/>
    <x v="1"/>
    <x v="1"/>
    <n v="29"/>
    <x v="2"/>
    <x v="0"/>
    <m/>
  </r>
  <r>
    <n v="2472"/>
    <n v="30"/>
    <s v="Male"/>
    <x v="3"/>
    <x v="1"/>
    <n v="83"/>
    <s v="Oklahoma"/>
    <x v="2"/>
    <x v="0"/>
    <x v="1"/>
    <x v="12"/>
    <x v="1"/>
    <x v="1"/>
    <n v="1"/>
    <x v="1"/>
    <x v="2"/>
    <m/>
  </r>
  <r>
    <n v="2473"/>
    <n v="24"/>
    <s v="Male"/>
    <x v="5"/>
    <x v="0"/>
    <n v="73"/>
    <s v="Utah"/>
    <x v="2"/>
    <x v="15"/>
    <x v="2"/>
    <x v="18"/>
    <x v="1"/>
    <x v="1"/>
    <n v="31"/>
    <x v="2"/>
    <x v="2"/>
    <m/>
  </r>
  <r>
    <n v="2474"/>
    <n v="57"/>
    <s v="Male"/>
    <x v="20"/>
    <x v="0"/>
    <n v="98"/>
    <s v="Arkansas"/>
    <x v="2"/>
    <x v="16"/>
    <x v="0"/>
    <x v="4"/>
    <x v="1"/>
    <x v="1"/>
    <n v="28"/>
    <x v="1"/>
    <x v="3"/>
    <m/>
  </r>
  <r>
    <n v="2475"/>
    <n v="23"/>
    <s v="Male"/>
    <x v="17"/>
    <x v="0"/>
    <n v="76"/>
    <s v="North Carolina"/>
    <x v="2"/>
    <x v="8"/>
    <x v="3"/>
    <x v="20"/>
    <x v="1"/>
    <x v="1"/>
    <n v="19"/>
    <x v="4"/>
    <x v="3"/>
    <m/>
  </r>
  <r>
    <n v="2476"/>
    <n v="69"/>
    <s v="Male"/>
    <x v="10"/>
    <x v="0"/>
    <n v="43"/>
    <s v="California"/>
    <x v="1"/>
    <x v="12"/>
    <x v="2"/>
    <x v="22"/>
    <x v="1"/>
    <x v="1"/>
    <n v="36"/>
    <x v="0"/>
    <x v="5"/>
    <m/>
  </r>
  <r>
    <n v="2477"/>
    <n v="60"/>
    <s v="Male"/>
    <x v="19"/>
    <x v="3"/>
    <n v="60"/>
    <s v="Colorado"/>
    <x v="2"/>
    <x v="2"/>
    <x v="2"/>
    <x v="5"/>
    <x v="1"/>
    <x v="1"/>
    <n v="28"/>
    <x v="1"/>
    <x v="5"/>
    <m/>
  </r>
  <r>
    <n v="2478"/>
    <n v="25"/>
    <s v="Male"/>
    <x v="24"/>
    <x v="3"/>
    <n v="40"/>
    <s v="California"/>
    <x v="0"/>
    <x v="2"/>
    <x v="1"/>
    <x v="1"/>
    <x v="1"/>
    <x v="1"/>
    <n v="29"/>
    <x v="3"/>
    <x v="1"/>
    <m/>
  </r>
  <r>
    <n v="2479"/>
    <n v="18"/>
    <s v="Male"/>
    <x v="20"/>
    <x v="0"/>
    <n v="93"/>
    <s v="Vermont"/>
    <x v="1"/>
    <x v="1"/>
    <x v="0"/>
    <x v="3"/>
    <x v="1"/>
    <x v="1"/>
    <n v="9"/>
    <x v="4"/>
    <x v="6"/>
    <m/>
  </r>
  <r>
    <n v="2480"/>
    <n v="37"/>
    <s v="Male"/>
    <x v="10"/>
    <x v="0"/>
    <n v="98"/>
    <s v="Kansas"/>
    <x v="1"/>
    <x v="8"/>
    <x v="3"/>
    <x v="13"/>
    <x v="1"/>
    <x v="1"/>
    <n v="26"/>
    <x v="2"/>
    <x v="6"/>
    <m/>
  </r>
  <r>
    <n v="2481"/>
    <n v="61"/>
    <s v="Male"/>
    <x v="20"/>
    <x v="0"/>
    <n v="91"/>
    <s v="Ohio"/>
    <x v="3"/>
    <x v="1"/>
    <x v="2"/>
    <x v="25"/>
    <x v="1"/>
    <x v="1"/>
    <n v="7"/>
    <x v="2"/>
    <x v="0"/>
    <m/>
  </r>
  <r>
    <n v="2482"/>
    <n v="41"/>
    <s v="Male"/>
    <x v="22"/>
    <x v="3"/>
    <n v="92"/>
    <s v="New Jersey"/>
    <x v="3"/>
    <x v="17"/>
    <x v="3"/>
    <x v="25"/>
    <x v="1"/>
    <x v="1"/>
    <n v="35"/>
    <x v="5"/>
    <x v="1"/>
    <m/>
  </r>
  <r>
    <n v="2483"/>
    <n v="69"/>
    <s v="Male"/>
    <x v="8"/>
    <x v="3"/>
    <n v="87"/>
    <s v="Arizona"/>
    <x v="1"/>
    <x v="15"/>
    <x v="0"/>
    <x v="3"/>
    <x v="1"/>
    <x v="1"/>
    <n v="46"/>
    <x v="2"/>
    <x v="6"/>
    <m/>
  </r>
  <r>
    <n v="2484"/>
    <n v="32"/>
    <s v="Male"/>
    <x v="11"/>
    <x v="0"/>
    <n v="96"/>
    <s v="Arizona"/>
    <x v="1"/>
    <x v="11"/>
    <x v="3"/>
    <x v="25"/>
    <x v="1"/>
    <x v="1"/>
    <n v="8"/>
    <x v="5"/>
    <x v="5"/>
    <m/>
  </r>
  <r>
    <n v="2485"/>
    <n v="60"/>
    <s v="Male"/>
    <x v="15"/>
    <x v="0"/>
    <n v="97"/>
    <s v="New Hampshire"/>
    <x v="2"/>
    <x v="14"/>
    <x v="2"/>
    <x v="3"/>
    <x v="1"/>
    <x v="1"/>
    <n v="50"/>
    <x v="1"/>
    <x v="6"/>
    <m/>
  </r>
  <r>
    <n v="2486"/>
    <n v="43"/>
    <s v="Male"/>
    <x v="0"/>
    <x v="0"/>
    <n v="55"/>
    <s v="Louisiana"/>
    <x v="2"/>
    <x v="19"/>
    <x v="1"/>
    <x v="7"/>
    <x v="1"/>
    <x v="1"/>
    <n v="37"/>
    <x v="4"/>
    <x v="2"/>
    <m/>
  </r>
  <r>
    <n v="2487"/>
    <n v="61"/>
    <s v="Male"/>
    <x v="2"/>
    <x v="0"/>
    <n v="58"/>
    <s v="Texas"/>
    <x v="0"/>
    <x v="23"/>
    <x v="1"/>
    <x v="9"/>
    <x v="1"/>
    <x v="1"/>
    <n v="6"/>
    <x v="2"/>
    <x v="0"/>
    <m/>
  </r>
  <r>
    <n v="2488"/>
    <n v="57"/>
    <s v="Male"/>
    <x v="23"/>
    <x v="1"/>
    <n v="21"/>
    <s v="Montana"/>
    <x v="0"/>
    <x v="10"/>
    <x v="1"/>
    <x v="23"/>
    <x v="1"/>
    <x v="1"/>
    <n v="16"/>
    <x v="3"/>
    <x v="4"/>
    <m/>
  </r>
  <r>
    <n v="2489"/>
    <n v="56"/>
    <s v="Male"/>
    <x v="8"/>
    <x v="3"/>
    <n v="82"/>
    <s v="New Hampshire"/>
    <x v="3"/>
    <x v="4"/>
    <x v="2"/>
    <x v="9"/>
    <x v="1"/>
    <x v="1"/>
    <n v="30"/>
    <x v="3"/>
    <x v="5"/>
    <m/>
  </r>
  <r>
    <n v="2490"/>
    <n v="66"/>
    <s v="Male"/>
    <x v="7"/>
    <x v="2"/>
    <n v="34"/>
    <s v="South Dakota"/>
    <x v="2"/>
    <x v="14"/>
    <x v="0"/>
    <x v="14"/>
    <x v="1"/>
    <x v="1"/>
    <n v="50"/>
    <x v="0"/>
    <x v="3"/>
    <m/>
  </r>
  <r>
    <n v="2491"/>
    <n v="52"/>
    <s v="Male"/>
    <x v="0"/>
    <x v="0"/>
    <n v="78"/>
    <s v="Montana"/>
    <x v="2"/>
    <x v="0"/>
    <x v="1"/>
    <x v="8"/>
    <x v="1"/>
    <x v="1"/>
    <n v="5"/>
    <x v="1"/>
    <x v="6"/>
    <m/>
  </r>
  <r>
    <n v="2492"/>
    <n v="63"/>
    <s v="Male"/>
    <x v="8"/>
    <x v="3"/>
    <n v="47"/>
    <s v="North Carolina"/>
    <x v="2"/>
    <x v="23"/>
    <x v="1"/>
    <x v="16"/>
    <x v="1"/>
    <x v="1"/>
    <n v="15"/>
    <x v="4"/>
    <x v="5"/>
    <m/>
  </r>
  <r>
    <n v="2493"/>
    <n v="50"/>
    <s v="Male"/>
    <x v="12"/>
    <x v="3"/>
    <n v="96"/>
    <s v="South Dakota"/>
    <x v="1"/>
    <x v="5"/>
    <x v="2"/>
    <x v="18"/>
    <x v="1"/>
    <x v="1"/>
    <n v="34"/>
    <x v="4"/>
    <x v="4"/>
    <m/>
  </r>
  <r>
    <n v="2494"/>
    <n v="21"/>
    <s v="Male"/>
    <x v="20"/>
    <x v="0"/>
    <n v="23"/>
    <s v="Maine"/>
    <x v="1"/>
    <x v="19"/>
    <x v="3"/>
    <x v="3"/>
    <x v="1"/>
    <x v="1"/>
    <n v="6"/>
    <x v="0"/>
    <x v="6"/>
    <m/>
  </r>
  <r>
    <n v="2495"/>
    <n v="42"/>
    <s v="Male"/>
    <x v="9"/>
    <x v="1"/>
    <n v="27"/>
    <s v="Oklahoma"/>
    <x v="1"/>
    <x v="15"/>
    <x v="0"/>
    <x v="4"/>
    <x v="1"/>
    <x v="1"/>
    <n v="26"/>
    <x v="5"/>
    <x v="2"/>
    <m/>
  </r>
  <r>
    <n v="2496"/>
    <n v="40"/>
    <s v="Male"/>
    <x v="21"/>
    <x v="3"/>
    <n v="37"/>
    <s v="Nebraska"/>
    <x v="3"/>
    <x v="20"/>
    <x v="1"/>
    <x v="0"/>
    <x v="1"/>
    <x v="1"/>
    <n v="34"/>
    <x v="2"/>
    <x v="6"/>
    <m/>
  </r>
  <r>
    <n v="2497"/>
    <n v="67"/>
    <s v="Male"/>
    <x v="18"/>
    <x v="3"/>
    <n v="79"/>
    <s v="Illinois"/>
    <x v="1"/>
    <x v="22"/>
    <x v="2"/>
    <x v="20"/>
    <x v="1"/>
    <x v="1"/>
    <n v="37"/>
    <x v="2"/>
    <x v="1"/>
    <m/>
  </r>
  <r>
    <n v="2498"/>
    <n v="35"/>
    <s v="Male"/>
    <x v="21"/>
    <x v="3"/>
    <n v="40"/>
    <s v="Colorado"/>
    <x v="2"/>
    <x v="10"/>
    <x v="2"/>
    <x v="13"/>
    <x v="1"/>
    <x v="1"/>
    <n v="28"/>
    <x v="4"/>
    <x v="2"/>
    <m/>
  </r>
  <r>
    <n v="2499"/>
    <n v="18"/>
    <s v="Male"/>
    <x v="7"/>
    <x v="2"/>
    <n v="39"/>
    <s v="Massachusetts"/>
    <x v="1"/>
    <x v="14"/>
    <x v="3"/>
    <x v="4"/>
    <x v="1"/>
    <x v="1"/>
    <n v="38"/>
    <x v="1"/>
    <x v="0"/>
    <m/>
  </r>
  <r>
    <n v="2500"/>
    <n v="52"/>
    <s v="Male"/>
    <x v="15"/>
    <x v="0"/>
    <n v="73"/>
    <s v="Louisiana"/>
    <x v="0"/>
    <x v="6"/>
    <x v="2"/>
    <x v="0"/>
    <x v="1"/>
    <x v="1"/>
    <n v="2"/>
    <x v="1"/>
    <x v="3"/>
    <m/>
  </r>
  <r>
    <n v="2501"/>
    <n v="59"/>
    <s v="Male"/>
    <x v="24"/>
    <x v="3"/>
    <n v="84"/>
    <s v="Massachusetts"/>
    <x v="2"/>
    <x v="10"/>
    <x v="3"/>
    <x v="25"/>
    <x v="1"/>
    <x v="1"/>
    <n v="32"/>
    <x v="1"/>
    <x v="4"/>
    <m/>
  </r>
  <r>
    <n v="2502"/>
    <n v="49"/>
    <s v="Male"/>
    <x v="6"/>
    <x v="0"/>
    <n v="94"/>
    <s v="West Virginia"/>
    <x v="2"/>
    <x v="10"/>
    <x v="3"/>
    <x v="7"/>
    <x v="1"/>
    <x v="1"/>
    <n v="30"/>
    <x v="0"/>
    <x v="4"/>
    <m/>
  </r>
  <r>
    <n v="2503"/>
    <n v="46"/>
    <s v="Male"/>
    <x v="11"/>
    <x v="0"/>
    <n v="47"/>
    <s v="Idaho"/>
    <x v="0"/>
    <x v="6"/>
    <x v="1"/>
    <x v="18"/>
    <x v="1"/>
    <x v="1"/>
    <n v="17"/>
    <x v="3"/>
    <x v="6"/>
    <m/>
  </r>
  <r>
    <n v="2504"/>
    <n v="69"/>
    <s v="Male"/>
    <x v="23"/>
    <x v="1"/>
    <n v="77"/>
    <s v="Ohio"/>
    <x v="2"/>
    <x v="10"/>
    <x v="2"/>
    <x v="16"/>
    <x v="1"/>
    <x v="1"/>
    <n v="5"/>
    <x v="5"/>
    <x v="4"/>
    <m/>
  </r>
  <r>
    <n v="2505"/>
    <n v="56"/>
    <s v="Male"/>
    <x v="6"/>
    <x v="0"/>
    <n v="94"/>
    <s v="Rhode Island"/>
    <x v="2"/>
    <x v="2"/>
    <x v="0"/>
    <x v="8"/>
    <x v="1"/>
    <x v="1"/>
    <n v="31"/>
    <x v="1"/>
    <x v="4"/>
    <m/>
  </r>
  <r>
    <n v="2506"/>
    <n v="27"/>
    <s v="Male"/>
    <x v="8"/>
    <x v="3"/>
    <n v="75"/>
    <s v="Illinois"/>
    <x v="2"/>
    <x v="17"/>
    <x v="2"/>
    <x v="22"/>
    <x v="1"/>
    <x v="1"/>
    <n v="43"/>
    <x v="3"/>
    <x v="3"/>
    <m/>
  </r>
  <r>
    <n v="2507"/>
    <n v="57"/>
    <s v="Male"/>
    <x v="10"/>
    <x v="0"/>
    <n v="82"/>
    <s v="New York"/>
    <x v="3"/>
    <x v="20"/>
    <x v="1"/>
    <x v="9"/>
    <x v="1"/>
    <x v="1"/>
    <n v="19"/>
    <x v="0"/>
    <x v="2"/>
    <m/>
  </r>
  <r>
    <n v="2508"/>
    <n v="58"/>
    <s v="Male"/>
    <x v="9"/>
    <x v="1"/>
    <n v="36"/>
    <s v="Louisiana"/>
    <x v="2"/>
    <x v="17"/>
    <x v="3"/>
    <x v="25"/>
    <x v="1"/>
    <x v="1"/>
    <n v="32"/>
    <x v="2"/>
    <x v="6"/>
    <m/>
  </r>
  <r>
    <n v="2509"/>
    <n v="23"/>
    <s v="Male"/>
    <x v="4"/>
    <x v="1"/>
    <n v="90"/>
    <s v="California"/>
    <x v="3"/>
    <x v="21"/>
    <x v="1"/>
    <x v="0"/>
    <x v="1"/>
    <x v="1"/>
    <n v="5"/>
    <x v="5"/>
    <x v="4"/>
    <m/>
  </r>
  <r>
    <n v="2510"/>
    <n v="19"/>
    <s v="Male"/>
    <x v="20"/>
    <x v="0"/>
    <n v="48"/>
    <s v="Washington"/>
    <x v="2"/>
    <x v="13"/>
    <x v="1"/>
    <x v="9"/>
    <x v="1"/>
    <x v="1"/>
    <n v="9"/>
    <x v="4"/>
    <x v="3"/>
    <m/>
  </r>
  <r>
    <n v="2511"/>
    <n v="40"/>
    <s v="Male"/>
    <x v="14"/>
    <x v="2"/>
    <n v="42"/>
    <s v="South Dakota"/>
    <x v="0"/>
    <x v="7"/>
    <x v="0"/>
    <x v="9"/>
    <x v="1"/>
    <x v="1"/>
    <n v="48"/>
    <x v="2"/>
    <x v="1"/>
    <m/>
  </r>
  <r>
    <n v="2512"/>
    <n v="54"/>
    <s v="Male"/>
    <x v="21"/>
    <x v="3"/>
    <n v="33"/>
    <s v="Idaho"/>
    <x v="2"/>
    <x v="17"/>
    <x v="2"/>
    <x v="6"/>
    <x v="1"/>
    <x v="1"/>
    <n v="1"/>
    <x v="3"/>
    <x v="3"/>
    <m/>
  </r>
  <r>
    <n v="2513"/>
    <n v="50"/>
    <s v="Male"/>
    <x v="20"/>
    <x v="0"/>
    <n v="63"/>
    <s v="North Dakota"/>
    <x v="2"/>
    <x v="14"/>
    <x v="2"/>
    <x v="17"/>
    <x v="1"/>
    <x v="1"/>
    <n v="20"/>
    <x v="2"/>
    <x v="5"/>
    <m/>
  </r>
  <r>
    <n v="2514"/>
    <n v="69"/>
    <s v="Male"/>
    <x v="8"/>
    <x v="3"/>
    <n v="53"/>
    <s v="Washington"/>
    <x v="0"/>
    <x v="11"/>
    <x v="0"/>
    <x v="22"/>
    <x v="1"/>
    <x v="1"/>
    <n v="42"/>
    <x v="1"/>
    <x v="2"/>
    <m/>
  </r>
  <r>
    <n v="2515"/>
    <n v="42"/>
    <s v="Male"/>
    <x v="19"/>
    <x v="3"/>
    <n v="37"/>
    <s v="Alaska"/>
    <x v="0"/>
    <x v="11"/>
    <x v="1"/>
    <x v="3"/>
    <x v="1"/>
    <x v="1"/>
    <n v="45"/>
    <x v="3"/>
    <x v="4"/>
    <m/>
  </r>
  <r>
    <n v="2516"/>
    <n v="37"/>
    <s v="Male"/>
    <x v="0"/>
    <x v="0"/>
    <n v="92"/>
    <s v="Kansas"/>
    <x v="2"/>
    <x v="23"/>
    <x v="2"/>
    <x v="13"/>
    <x v="1"/>
    <x v="1"/>
    <n v="41"/>
    <x v="1"/>
    <x v="5"/>
    <m/>
  </r>
  <r>
    <n v="2517"/>
    <n v="46"/>
    <s v="Male"/>
    <x v="6"/>
    <x v="0"/>
    <n v="73"/>
    <s v="Utah"/>
    <x v="3"/>
    <x v="18"/>
    <x v="1"/>
    <x v="7"/>
    <x v="1"/>
    <x v="1"/>
    <n v="36"/>
    <x v="5"/>
    <x v="3"/>
    <m/>
  </r>
  <r>
    <n v="2518"/>
    <n v="64"/>
    <s v="Male"/>
    <x v="5"/>
    <x v="0"/>
    <n v="38"/>
    <s v="Wyoming"/>
    <x v="0"/>
    <x v="20"/>
    <x v="1"/>
    <x v="25"/>
    <x v="1"/>
    <x v="1"/>
    <n v="10"/>
    <x v="0"/>
    <x v="2"/>
    <m/>
  </r>
  <r>
    <n v="2519"/>
    <n v="20"/>
    <s v="Male"/>
    <x v="23"/>
    <x v="1"/>
    <n v="51"/>
    <s v="Maine"/>
    <x v="3"/>
    <x v="24"/>
    <x v="3"/>
    <x v="8"/>
    <x v="1"/>
    <x v="1"/>
    <n v="31"/>
    <x v="0"/>
    <x v="2"/>
    <m/>
  </r>
  <r>
    <n v="2520"/>
    <n v="40"/>
    <s v="Male"/>
    <x v="14"/>
    <x v="2"/>
    <n v="90"/>
    <s v="Michigan"/>
    <x v="0"/>
    <x v="23"/>
    <x v="1"/>
    <x v="17"/>
    <x v="1"/>
    <x v="1"/>
    <n v="21"/>
    <x v="2"/>
    <x v="3"/>
    <m/>
  </r>
  <r>
    <n v="2521"/>
    <n v="64"/>
    <s v="Male"/>
    <x v="14"/>
    <x v="2"/>
    <n v="56"/>
    <s v="Illinois"/>
    <x v="0"/>
    <x v="23"/>
    <x v="2"/>
    <x v="0"/>
    <x v="1"/>
    <x v="1"/>
    <n v="16"/>
    <x v="1"/>
    <x v="6"/>
    <m/>
  </r>
  <r>
    <n v="2522"/>
    <n v="29"/>
    <s v="Male"/>
    <x v="8"/>
    <x v="3"/>
    <n v="33"/>
    <s v="Minnesota"/>
    <x v="2"/>
    <x v="23"/>
    <x v="3"/>
    <x v="9"/>
    <x v="1"/>
    <x v="1"/>
    <n v="18"/>
    <x v="3"/>
    <x v="6"/>
    <m/>
  </r>
  <r>
    <n v="2523"/>
    <n v="20"/>
    <s v="Male"/>
    <x v="22"/>
    <x v="3"/>
    <n v="53"/>
    <s v="Massachusetts"/>
    <x v="1"/>
    <x v="8"/>
    <x v="0"/>
    <x v="16"/>
    <x v="1"/>
    <x v="1"/>
    <n v="20"/>
    <x v="5"/>
    <x v="1"/>
    <m/>
  </r>
  <r>
    <n v="2524"/>
    <n v="43"/>
    <s v="Male"/>
    <x v="8"/>
    <x v="3"/>
    <n v="24"/>
    <s v="New Jersey"/>
    <x v="1"/>
    <x v="17"/>
    <x v="1"/>
    <x v="10"/>
    <x v="1"/>
    <x v="1"/>
    <n v="21"/>
    <x v="4"/>
    <x v="2"/>
    <m/>
  </r>
  <r>
    <n v="2525"/>
    <n v="60"/>
    <s v="Male"/>
    <x v="7"/>
    <x v="2"/>
    <n v="59"/>
    <s v="Kansas"/>
    <x v="2"/>
    <x v="7"/>
    <x v="1"/>
    <x v="5"/>
    <x v="1"/>
    <x v="1"/>
    <n v="23"/>
    <x v="2"/>
    <x v="3"/>
    <m/>
  </r>
  <r>
    <n v="2526"/>
    <n v="39"/>
    <s v="Male"/>
    <x v="1"/>
    <x v="0"/>
    <n v="72"/>
    <s v="Kentucky"/>
    <x v="2"/>
    <x v="7"/>
    <x v="0"/>
    <x v="13"/>
    <x v="1"/>
    <x v="1"/>
    <n v="20"/>
    <x v="3"/>
    <x v="1"/>
    <m/>
  </r>
  <r>
    <n v="2527"/>
    <n v="47"/>
    <s v="Male"/>
    <x v="6"/>
    <x v="0"/>
    <n v="28"/>
    <s v="Rhode Island"/>
    <x v="1"/>
    <x v="15"/>
    <x v="1"/>
    <x v="10"/>
    <x v="1"/>
    <x v="1"/>
    <n v="30"/>
    <x v="3"/>
    <x v="4"/>
    <m/>
  </r>
  <r>
    <n v="2528"/>
    <n v="19"/>
    <s v="Male"/>
    <x v="13"/>
    <x v="0"/>
    <n v="36"/>
    <s v="Illinois"/>
    <x v="2"/>
    <x v="9"/>
    <x v="3"/>
    <x v="2"/>
    <x v="1"/>
    <x v="1"/>
    <n v="33"/>
    <x v="4"/>
    <x v="6"/>
    <m/>
  </r>
  <r>
    <n v="2529"/>
    <n v="52"/>
    <s v="Male"/>
    <x v="16"/>
    <x v="3"/>
    <n v="47"/>
    <s v="Alabama"/>
    <x v="1"/>
    <x v="15"/>
    <x v="3"/>
    <x v="15"/>
    <x v="1"/>
    <x v="1"/>
    <n v="31"/>
    <x v="5"/>
    <x v="5"/>
    <m/>
  </r>
  <r>
    <n v="2530"/>
    <n v="34"/>
    <s v="Male"/>
    <x v="24"/>
    <x v="3"/>
    <n v="62"/>
    <s v="Tennessee"/>
    <x v="2"/>
    <x v="23"/>
    <x v="1"/>
    <x v="15"/>
    <x v="1"/>
    <x v="1"/>
    <n v="48"/>
    <x v="4"/>
    <x v="5"/>
    <m/>
  </r>
  <r>
    <n v="2531"/>
    <n v="25"/>
    <s v="Male"/>
    <x v="11"/>
    <x v="0"/>
    <n v="98"/>
    <s v="Massachusetts"/>
    <x v="1"/>
    <x v="17"/>
    <x v="1"/>
    <x v="2"/>
    <x v="1"/>
    <x v="1"/>
    <n v="28"/>
    <x v="5"/>
    <x v="1"/>
    <m/>
  </r>
  <r>
    <n v="2532"/>
    <n v="43"/>
    <s v="Male"/>
    <x v="3"/>
    <x v="1"/>
    <n v="28"/>
    <s v="Texas"/>
    <x v="2"/>
    <x v="10"/>
    <x v="2"/>
    <x v="7"/>
    <x v="1"/>
    <x v="1"/>
    <n v="7"/>
    <x v="1"/>
    <x v="6"/>
    <m/>
  </r>
  <r>
    <n v="2533"/>
    <n v="55"/>
    <s v="Male"/>
    <x v="20"/>
    <x v="0"/>
    <n v="86"/>
    <s v="Nebraska"/>
    <x v="1"/>
    <x v="4"/>
    <x v="2"/>
    <x v="4"/>
    <x v="1"/>
    <x v="1"/>
    <n v="4"/>
    <x v="5"/>
    <x v="1"/>
    <m/>
  </r>
  <r>
    <n v="2534"/>
    <n v="66"/>
    <s v="Male"/>
    <x v="16"/>
    <x v="3"/>
    <n v="46"/>
    <s v="Pennsylvania"/>
    <x v="1"/>
    <x v="24"/>
    <x v="2"/>
    <x v="0"/>
    <x v="1"/>
    <x v="1"/>
    <n v="49"/>
    <x v="1"/>
    <x v="4"/>
    <m/>
  </r>
  <r>
    <n v="2535"/>
    <n v="41"/>
    <s v="Male"/>
    <x v="12"/>
    <x v="3"/>
    <n v="42"/>
    <s v="Virginia"/>
    <x v="3"/>
    <x v="16"/>
    <x v="3"/>
    <x v="20"/>
    <x v="1"/>
    <x v="1"/>
    <n v="22"/>
    <x v="1"/>
    <x v="1"/>
    <m/>
  </r>
  <r>
    <n v="2536"/>
    <n v="47"/>
    <s v="Male"/>
    <x v="7"/>
    <x v="2"/>
    <n v="80"/>
    <s v="Vermont"/>
    <x v="1"/>
    <x v="7"/>
    <x v="0"/>
    <x v="14"/>
    <x v="1"/>
    <x v="1"/>
    <n v="39"/>
    <x v="4"/>
    <x v="0"/>
    <m/>
  </r>
  <r>
    <n v="2537"/>
    <n v="51"/>
    <s v="Male"/>
    <x v="22"/>
    <x v="3"/>
    <n v="39"/>
    <s v="Oklahoma"/>
    <x v="0"/>
    <x v="0"/>
    <x v="1"/>
    <x v="17"/>
    <x v="1"/>
    <x v="1"/>
    <n v="45"/>
    <x v="3"/>
    <x v="6"/>
    <m/>
  </r>
  <r>
    <n v="2538"/>
    <n v="44"/>
    <s v="Male"/>
    <x v="7"/>
    <x v="2"/>
    <n v="49"/>
    <s v="Maine"/>
    <x v="2"/>
    <x v="7"/>
    <x v="2"/>
    <x v="18"/>
    <x v="1"/>
    <x v="1"/>
    <n v="30"/>
    <x v="3"/>
    <x v="0"/>
    <m/>
  </r>
  <r>
    <n v="2539"/>
    <n v="18"/>
    <s v="Male"/>
    <x v="18"/>
    <x v="3"/>
    <n v="32"/>
    <s v="New Jersey"/>
    <x v="2"/>
    <x v="5"/>
    <x v="2"/>
    <x v="13"/>
    <x v="1"/>
    <x v="1"/>
    <n v="33"/>
    <x v="2"/>
    <x v="4"/>
    <m/>
  </r>
  <r>
    <n v="2540"/>
    <n v="33"/>
    <s v="Male"/>
    <x v="3"/>
    <x v="1"/>
    <n v="73"/>
    <s v="Massachusetts"/>
    <x v="2"/>
    <x v="7"/>
    <x v="3"/>
    <x v="18"/>
    <x v="1"/>
    <x v="1"/>
    <n v="24"/>
    <x v="1"/>
    <x v="4"/>
    <m/>
  </r>
  <r>
    <n v="2541"/>
    <n v="24"/>
    <s v="Male"/>
    <x v="22"/>
    <x v="3"/>
    <n v="42"/>
    <s v="New Jersey"/>
    <x v="2"/>
    <x v="4"/>
    <x v="2"/>
    <x v="14"/>
    <x v="1"/>
    <x v="1"/>
    <n v="11"/>
    <x v="5"/>
    <x v="3"/>
    <m/>
  </r>
  <r>
    <n v="2542"/>
    <n v="33"/>
    <s v="Male"/>
    <x v="18"/>
    <x v="3"/>
    <n v="58"/>
    <s v="Washington"/>
    <x v="2"/>
    <x v="5"/>
    <x v="1"/>
    <x v="6"/>
    <x v="1"/>
    <x v="1"/>
    <n v="13"/>
    <x v="0"/>
    <x v="6"/>
    <m/>
  </r>
  <r>
    <n v="2543"/>
    <n v="61"/>
    <s v="Male"/>
    <x v="16"/>
    <x v="3"/>
    <n v="22"/>
    <s v="Arkansas"/>
    <x v="2"/>
    <x v="3"/>
    <x v="0"/>
    <x v="5"/>
    <x v="1"/>
    <x v="1"/>
    <n v="27"/>
    <x v="3"/>
    <x v="2"/>
    <m/>
  </r>
  <r>
    <n v="2544"/>
    <n v="27"/>
    <s v="Male"/>
    <x v="18"/>
    <x v="3"/>
    <n v="56"/>
    <s v="West Virginia"/>
    <x v="0"/>
    <x v="15"/>
    <x v="1"/>
    <x v="6"/>
    <x v="1"/>
    <x v="1"/>
    <n v="30"/>
    <x v="3"/>
    <x v="4"/>
    <m/>
  </r>
  <r>
    <n v="2545"/>
    <n v="46"/>
    <s v="Male"/>
    <x v="13"/>
    <x v="0"/>
    <n v="70"/>
    <s v="Delaware"/>
    <x v="2"/>
    <x v="16"/>
    <x v="1"/>
    <x v="16"/>
    <x v="1"/>
    <x v="1"/>
    <n v="39"/>
    <x v="0"/>
    <x v="3"/>
    <m/>
  </r>
  <r>
    <n v="2546"/>
    <n v="38"/>
    <s v="Male"/>
    <x v="9"/>
    <x v="1"/>
    <n v="50"/>
    <s v="Texas"/>
    <x v="0"/>
    <x v="8"/>
    <x v="1"/>
    <x v="14"/>
    <x v="1"/>
    <x v="1"/>
    <n v="10"/>
    <x v="5"/>
    <x v="2"/>
    <m/>
  </r>
  <r>
    <n v="2547"/>
    <n v="63"/>
    <s v="Male"/>
    <x v="23"/>
    <x v="1"/>
    <n v="21"/>
    <s v="Texas"/>
    <x v="0"/>
    <x v="0"/>
    <x v="2"/>
    <x v="23"/>
    <x v="1"/>
    <x v="1"/>
    <n v="4"/>
    <x v="2"/>
    <x v="3"/>
    <m/>
  </r>
  <r>
    <n v="2548"/>
    <n v="47"/>
    <s v="Male"/>
    <x v="14"/>
    <x v="2"/>
    <n v="97"/>
    <s v="Mississippi"/>
    <x v="2"/>
    <x v="19"/>
    <x v="2"/>
    <x v="20"/>
    <x v="1"/>
    <x v="1"/>
    <n v="16"/>
    <x v="1"/>
    <x v="1"/>
    <m/>
  </r>
  <r>
    <n v="2549"/>
    <n v="42"/>
    <s v="Male"/>
    <x v="21"/>
    <x v="3"/>
    <n v="63"/>
    <s v="Texas"/>
    <x v="0"/>
    <x v="6"/>
    <x v="0"/>
    <x v="1"/>
    <x v="1"/>
    <x v="1"/>
    <n v="34"/>
    <x v="2"/>
    <x v="5"/>
    <m/>
  </r>
  <r>
    <n v="2550"/>
    <n v="41"/>
    <s v="Male"/>
    <x v="14"/>
    <x v="2"/>
    <n v="60"/>
    <s v="Virginia"/>
    <x v="2"/>
    <x v="16"/>
    <x v="3"/>
    <x v="6"/>
    <x v="1"/>
    <x v="1"/>
    <n v="11"/>
    <x v="5"/>
    <x v="6"/>
    <m/>
  </r>
  <r>
    <n v="2551"/>
    <n v="53"/>
    <s v="Male"/>
    <x v="23"/>
    <x v="1"/>
    <n v="52"/>
    <s v="New Hampshire"/>
    <x v="3"/>
    <x v="15"/>
    <x v="3"/>
    <x v="23"/>
    <x v="1"/>
    <x v="1"/>
    <n v="30"/>
    <x v="5"/>
    <x v="0"/>
    <m/>
  </r>
  <r>
    <n v="2552"/>
    <n v="29"/>
    <s v="Male"/>
    <x v="9"/>
    <x v="1"/>
    <n v="32"/>
    <s v="Minnesota"/>
    <x v="2"/>
    <x v="1"/>
    <x v="0"/>
    <x v="18"/>
    <x v="1"/>
    <x v="1"/>
    <n v="40"/>
    <x v="5"/>
    <x v="2"/>
    <m/>
  </r>
  <r>
    <n v="2553"/>
    <n v="61"/>
    <s v="Male"/>
    <x v="22"/>
    <x v="3"/>
    <n v="48"/>
    <s v="Maryland"/>
    <x v="3"/>
    <x v="7"/>
    <x v="1"/>
    <x v="20"/>
    <x v="1"/>
    <x v="1"/>
    <n v="13"/>
    <x v="2"/>
    <x v="2"/>
    <m/>
  </r>
  <r>
    <n v="2554"/>
    <n v="69"/>
    <s v="Male"/>
    <x v="16"/>
    <x v="3"/>
    <n v="25"/>
    <s v="Vermont"/>
    <x v="2"/>
    <x v="1"/>
    <x v="2"/>
    <x v="21"/>
    <x v="1"/>
    <x v="1"/>
    <n v="28"/>
    <x v="0"/>
    <x v="6"/>
    <m/>
  </r>
  <r>
    <n v="2555"/>
    <n v="51"/>
    <s v="Male"/>
    <x v="16"/>
    <x v="3"/>
    <n v="68"/>
    <s v="Kansas"/>
    <x v="2"/>
    <x v="0"/>
    <x v="2"/>
    <x v="12"/>
    <x v="1"/>
    <x v="1"/>
    <n v="49"/>
    <x v="5"/>
    <x v="4"/>
    <m/>
  </r>
  <r>
    <n v="2556"/>
    <n v="24"/>
    <s v="Male"/>
    <x v="13"/>
    <x v="0"/>
    <n v="74"/>
    <s v="Idaho"/>
    <x v="2"/>
    <x v="0"/>
    <x v="3"/>
    <x v="22"/>
    <x v="1"/>
    <x v="1"/>
    <n v="23"/>
    <x v="2"/>
    <x v="1"/>
    <m/>
  </r>
  <r>
    <n v="2557"/>
    <n v="24"/>
    <s v="Male"/>
    <x v="17"/>
    <x v="0"/>
    <n v="88"/>
    <s v="Montana"/>
    <x v="3"/>
    <x v="23"/>
    <x v="3"/>
    <x v="0"/>
    <x v="1"/>
    <x v="1"/>
    <n v="4"/>
    <x v="4"/>
    <x v="3"/>
    <m/>
  </r>
  <r>
    <n v="2558"/>
    <n v="70"/>
    <s v="Male"/>
    <x v="6"/>
    <x v="0"/>
    <n v="23"/>
    <s v="Oklahoma"/>
    <x v="0"/>
    <x v="17"/>
    <x v="1"/>
    <x v="14"/>
    <x v="1"/>
    <x v="1"/>
    <n v="17"/>
    <x v="3"/>
    <x v="0"/>
    <m/>
  </r>
  <r>
    <n v="2559"/>
    <n v="49"/>
    <s v="Male"/>
    <x v="15"/>
    <x v="0"/>
    <n v="32"/>
    <s v="California"/>
    <x v="2"/>
    <x v="5"/>
    <x v="3"/>
    <x v="6"/>
    <x v="1"/>
    <x v="1"/>
    <n v="24"/>
    <x v="3"/>
    <x v="0"/>
    <m/>
  </r>
  <r>
    <n v="2560"/>
    <n v="48"/>
    <s v="Male"/>
    <x v="22"/>
    <x v="3"/>
    <n v="71"/>
    <s v="Mississippi"/>
    <x v="1"/>
    <x v="14"/>
    <x v="0"/>
    <x v="8"/>
    <x v="1"/>
    <x v="1"/>
    <n v="21"/>
    <x v="5"/>
    <x v="6"/>
    <m/>
  </r>
  <r>
    <n v="2561"/>
    <n v="58"/>
    <s v="Male"/>
    <x v="23"/>
    <x v="1"/>
    <n v="62"/>
    <s v="California"/>
    <x v="2"/>
    <x v="10"/>
    <x v="1"/>
    <x v="6"/>
    <x v="1"/>
    <x v="1"/>
    <n v="17"/>
    <x v="5"/>
    <x v="4"/>
    <m/>
  </r>
  <r>
    <n v="2562"/>
    <n v="32"/>
    <s v="Male"/>
    <x v="15"/>
    <x v="0"/>
    <n v="20"/>
    <s v="New York"/>
    <x v="0"/>
    <x v="23"/>
    <x v="1"/>
    <x v="6"/>
    <x v="1"/>
    <x v="1"/>
    <n v="22"/>
    <x v="5"/>
    <x v="3"/>
    <m/>
  </r>
  <r>
    <n v="2563"/>
    <n v="57"/>
    <s v="Male"/>
    <x v="6"/>
    <x v="0"/>
    <n v="62"/>
    <s v="Arizona"/>
    <x v="3"/>
    <x v="22"/>
    <x v="1"/>
    <x v="15"/>
    <x v="1"/>
    <x v="1"/>
    <n v="27"/>
    <x v="1"/>
    <x v="0"/>
    <m/>
  </r>
  <r>
    <n v="2564"/>
    <n v="69"/>
    <s v="Male"/>
    <x v="21"/>
    <x v="3"/>
    <n v="81"/>
    <s v="Massachusetts"/>
    <x v="3"/>
    <x v="0"/>
    <x v="0"/>
    <x v="21"/>
    <x v="1"/>
    <x v="1"/>
    <n v="1"/>
    <x v="0"/>
    <x v="6"/>
    <m/>
  </r>
  <r>
    <n v="2565"/>
    <n v="42"/>
    <s v="Male"/>
    <x v="18"/>
    <x v="3"/>
    <n v="90"/>
    <s v="Kentucky"/>
    <x v="0"/>
    <x v="21"/>
    <x v="0"/>
    <x v="23"/>
    <x v="1"/>
    <x v="1"/>
    <n v="27"/>
    <x v="4"/>
    <x v="1"/>
    <m/>
  </r>
  <r>
    <n v="2566"/>
    <n v="30"/>
    <s v="Male"/>
    <x v="20"/>
    <x v="0"/>
    <n v="43"/>
    <s v="Vermont"/>
    <x v="1"/>
    <x v="21"/>
    <x v="3"/>
    <x v="2"/>
    <x v="1"/>
    <x v="1"/>
    <n v="8"/>
    <x v="0"/>
    <x v="3"/>
    <m/>
  </r>
  <r>
    <n v="2567"/>
    <n v="35"/>
    <s v="Male"/>
    <x v="8"/>
    <x v="3"/>
    <n v="38"/>
    <s v="Missouri"/>
    <x v="1"/>
    <x v="22"/>
    <x v="3"/>
    <x v="19"/>
    <x v="1"/>
    <x v="1"/>
    <n v="43"/>
    <x v="3"/>
    <x v="3"/>
    <m/>
  </r>
  <r>
    <n v="2568"/>
    <n v="19"/>
    <s v="Male"/>
    <x v="12"/>
    <x v="3"/>
    <n v="25"/>
    <s v="Michigan"/>
    <x v="3"/>
    <x v="9"/>
    <x v="1"/>
    <x v="12"/>
    <x v="1"/>
    <x v="1"/>
    <n v="24"/>
    <x v="1"/>
    <x v="0"/>
    <m/>
  </r>
  <r>
    <n v="2569"/>
    <n v="52"/>
    <s v="Male"/>
    <x v="17"/>
    <x v="0"/>
    <n v="98"/>
    <s v="Texas"/>
    <x v="3"/>
    <x v="14"/>
    <x v="0"/>
    <x v="12"/>
    <x v="1"/>
    <x v="1"/>
    <n v="29"/>
    <x v="3"/>
    <x v="0"/>
    <m/>
  </r>
  <r>
    <n v="2570"/>
    <n v="42"/>
    <s v="Male"/>
    <x v="10"/>
    <x v="0"/>
    <n v="75"/>
    <s v="New York"/>
    <x v="2"/>
    <x v="4"/>
    <x v="1"/>
    <x v="3"/>
    <x v="1"/>
    <x v="1"/>
    <n v="10"/>
    <x v="4"/>
    <x v="4"/>
    <m/>
  </r>
  <r>
    <n v="2571"/>
    <n v="36"/>
    <s v="Male"/>
    <x v="4"/>
    <x v="1"/>
    <n v="27"/>
    <s v="New Mexico"/>
    <x v="3"/>
    <x v="8"/>
    <x v="1"/>
    <x v="8"/>
    <x v="1"/>
    <x v="1"/>
    <n v="12"/>
    <x v="3"/>
    <x v="0"/>
    <m/>
  </r>
  <r>
    <n v="2572"/>
    <n v="45"/>
    <s v="Male"/>
    <x v="12"/>
    <x v="3"/>
    <n v="27"/>
    <s v="Mississippi"/>
    <x v="0"/>
    <x v="13"/>
    <x v="0"/>
    <x v="22"/>
    <x v="1"/>
    <x v="1"/>
    <n v="48"/>
    <x v="1"/>
    <x v="0"/>
    <m/>
  </r>
  <r>
    <n v="2573"/>
    <n v="54"/>
    <s v="Male"/>
    <x v="0"/>
    <x v="0"/>
    <n v="42"/>
    <s v="Washington"/>
    <x v="2"/>
    <x v="5"/>
    <x v="3"/>
    <x v="14"/>
    <x v="1"/>
    <x v="1"/>
    <n v="40"/>
    <x v="4"/>
    <x v="3"/>
    <m/>
  </r>
  <r>
    <n v="2574"/>
    <n v="54"/>
    <s v="Male"/>
    <x v="17"/>
    <x v="0"/>
    <n v="90"/>
    <s v="New Mexico"/>
    <x v="2"/>
    <x v="16"/>
    <x v="2"/>
    <x v="9"/>
    <x v="1"/>
    <x v="1"/>
    <n v="1"/>
    <x v="4"/>
    <x v="2"/>
    <m/>
  </r>
  <r>
    <n v="2575"/>
    <n v="27"/>
    <s v="Male"/>
    <x v="19"/>
    <x v="3"/>
    <n v="63"/>
    <s v="Florida"/>
    <x v="2"/>
    <x v="18"/>
    <x v="2"/>
    <x v="7"/>
    <x v="1"/>
    <x v="1"/>
    <n v="26"/>
    <x v="2"/>
    <x v="0"/>
    <m/>
  </r>
  <r>
    <n v="2576"/>
    <n v="53"/>
    <s v="Male"/>
    <x v="6"/>
    <x v="0"/>
    <n v="96"/>
    <s v="Minnesota"/>
    <x v="2"/>
    <x v="5"/>
    <x v="3"/>
    <x v="8"/>
    <x v="1"/>
    <x v="1"/>
    <n v="9"/>
    <x v="3"/>
    <x v="2"/>
    <m/>
  </r>
  <r>
    <n v="2577"/>
    <n v="20"/>
    <s v="Male"/>
    <x v="15"/>
    <x v="0"/>
    <n v="40"/>
    <s v="New Hampshire"/>
    <x v="2"/>
    <x v="5"/>
    <x v="0"/>
    <x v="13"/>
    <x v="1"/>
    <x v="1"/>
    <n v="19"/>
    <x v="5"/>
    <x v="3"/>
    <m/>
  </r>
  <r>
    <n v="2578"/>
    <n v="52"/>
    <s v="Male"/>
    <x v="20"/>
    <x v="0"/>
    <n v="39"/>
    <s v="Minnesota"/>
    <x v="0"/>
    <x v="13"/>
    <x v="3"/>
    <x v="21"/>
    <x v="1"/>
    <x v="1"/>
    <n v="37"/>
    <x v="4"/>
    <x v="5"/>
    <m/>
  </r>
  <r>
    <n v="2579"/>
    <n v="54"/>
    <s v="Male"/>
    <x v="12"/>
    <x v="3"/>
    <n v="48"/>
    <s v="Vermont"/>
    <x v="2"/>
    <x v="7"/>
    <x v="3"/>
    <x v="14"/>
    <x v="1"/>
    <x v="1"/>
    <n v="3"/>
    <x v="1"/>
    <x v="3"/>
    <m/>
  </r>
  <r>
    <n v="2580"/>
    <n v="65"/>
    <s v="Male"/>
    <x v="0"/>
    <x v="0"/>
    <n v="20"/>
    <s v="Minnesota"/>
    <x v="2"/>
    <x v="7"/>
    <x v="2"/>
    <x v="5"/>
    <x v="1"/>
    <x v="1"/>
    <n v="40"/>
    <x v="0"/>
    <x v="1"/>
    <m/>
  </r>
  <r>
    <n v="2581"/>
    <n v="43"/>
    <s v="Male"/>
    <x v="2"/>
    <x v="0"/>
    <n v="29"/>
    <s v="Massachusetts"/>
    <x v="1"/>
    <x v="2"/>
    <x v="2"/>
    <x v="2"/>
    <x v="1"/>
    <x v="1"/>
    <n v="13"/>
    <x v="4"/>
    <x v="3"/>
    <m/>
  </r>
  <r>
    <n v="2582"/>
    <n v="57"/>
    <s v="Male"/>
    <x v="10"/>
    <x v="0"/>
    <n v="81"/>
    <s v="Wyoming"/>
    <x v="2"/>
    <x v="9"/>
    <x v="0"/>
    <x v="15"/>
    <x v="1"/>
    <x v="1"/>
    <n v="48"/>
    <x v="2"/>
    <x v="5"/>
    <m/>
  </r>
  <r>
    <n v="2583"/>
    <n v="19"/>
    <s v="Male"/>
    <x v="10"/>
    <x v="0"/>
    <n v="98"/>
    <s v="South Dakota"/>
    <x v="1"/>
    <x v="21"/>
    <x v="3"/>
    <x v="2"/>
    <x v="1"/>
    <x v="1"/>
    <n v="4"/>
    <x v="0"/>
    <x v="6"/>
    <m/>
  </r>
  <r>
    <n v="2584"/>
    <n v="69"/>
    <s v="Male"/>
    <x v="2"/>
    <x v="0"/>
    <n v="93"/>
    <s v="Oklahoma"/>
    <x v="2"/>
    <x v="12"/>
    <x v="3"/>
    <x v="16"/>
    <x v="1"/>
    <x v="1"/>
    <n v="9"/>
    <x v="1"/>
    <x v="1"/>
    <m/>
  </r>
  <r>
    <n v="2585"/>
    <n v="26"/>
    <s v="Male"/>
    <x v="20"/>
    <x v="0"/>
    <n v="30"/>
    <s v="Florida"/>
    <x v="0"/>
    <x v="24"/>
    <x v="2"/>
    <x v="25"/>
    <x v="1"/>
    <x v="1"/>
    <n v="26"/>
    <x v="4"/>
    <x v="4"/>
    <m/>
  </r>
  <r>
    <n v="2586"/>
    <n v="57"/>
    <s v="Male"/>
    <x v="12"/>
    <x v="3"/>
    <n v="37"/>
    <s v="Wisconsin"/>
    <x v="0"/>
    <x v="1"/>
    <x v="3"/>
    <x v="9"/>
    <x v="1"/>
    <x v="1"/>
    <n v="19"/>
    <x v="5"/>
    <x v="1"/>
    <m/>
  </r>
  <r>
    <n v="2587"/>
    <n v="20"/>
    <s v="Male"/>
    <x v="7"/>
    <x v="2"/>
    <n v="28"/>
    <s v="Maine"/>
    <x v="0"/>
    <x v="22"/>
    <x v="0"/>
    <x v="7"/>
    <x v="1"/>
    <x v="1"/>
    <n v="1"/>
    <x v="2"/>
    <x v="6"/>
    <m/>
  </r>
  <r>
    <n v="2588"/>
    <n v="55"/>
    <s v="Male"/>
    <x v="18"/>
    <x v="3"/>
    <n v="29"/>
    <s v="Connecticut"/>
    <x v="2"/>
    <x v="7"/>
    <x v="0"/>
    <x v="5"/>
    <x v="1"/>
    <x v="1"/>
    <n v="29"/>
    <x v="3"/>
    <x v="6"/>
    <m/>
  </r>
  <r>
    <n v="2589"/>
    <n v="44"/>
    <s v="Male"/>
    <x v="21"/>
    <x v="3"/>
    <n v="49"/>
    <s v="Delaware"/>
    <x v="2"/>
    <x v="15"/>
    <x v="2"/>
    <x v="20"/>
    <x v="1"/>
    <x v="1"/>
    <n v="38"/>
    <x v="0"/>
    <x v="4"/>
    <m/>
  </r>
  <r>
    <n v="2590"/>
    <n v="52"/>
    <s v="Male"/>
    <x v="13"/>
    <x v="0"/>
    <n v="53"/>
    <s v="North Dakota"/>
    <x v="2"/>
    <x v="5"/>
    <x v="0"/>
    <x v="17"/>
    <x v="1"/>
    <x v="1"/>
    <n v="31"/>
    <x v="3"/>
    <x v="2"/>
    <m/>
  </r>
  <r>
    <n v="2591"/>
    <n v="57"/>
    <s v="Male"/>
    <x v="24"/>
    <x v="3"/>
    <n v="66"/>
    <s v="California"/>
    <x v="2"/>
    <x v="2"/>
    <x v="2"/>
    <x v="11"/>
    <x v="1"/>
    <x v="1"/>
    <n v="35"/>
    <x v="0"/>
    <x v="2"/>
    <m/>
  </r>
  <r>
    <n v="2592"/>
    <n v="40"/>
    <s v="Male"/>
    <x v="14"/>
    <x v="2"/>
    <n v="61"/>
    <s v="New Mexico"/>
    <x v="1"/>
    <x v="8"/>
    <x v="1"/>
    <x v="19"/>
    <x v="1"/>
    <x v="1"/>
    <n v="40"/>
    <x v="1"/>
    <x v="3"/>
    <m/>
  </r>
  <r>
    <n v="2593"/>
    <n v="23"/>
    <s v="Male"/>
    <x v="6"/>
    <x v="0"/>
    <n v="23"/>
    <s v="Iowa"/>
    <x v="3"/>
    <x v="15"/>
    <x v="2"/>
    <x v="9"/>
    <x v="1"/>
    <x v="1"/>
    <n v="13"/>
    <x v="0"/>
    <x v="3"/>
    <m/>
  </r>
  <r>
    <n v="2594"/>
    <n v="36"/>
    <s v="Male"/>
    <x v="13"/>
    <x v="0"/>
    <n v="36"/>
    <s v="Colorado"/>
    <x v="1"/>
    <x v="21"/>
    <x v="3"/>
    <x v="15"/>
    <x v="1"/>
    <x v="1"/>
    <n v="9"/>
    <x v="4"/>
    <x v="6"/>
    <m/>
  </r>
  <r>
    <n v="2595"/>
    <n v="59"/>
    <s v="Male"/>
    <x v="11"/>
    <x v="0"/>
    <n v="81"/>
    <s v="Montana"/>
    <x v="0"/>
    <x v="21"/>
    <x v="3"/>
    <x v="2"/>
    <x v="1"/>
    <x v="1"/>
    <n v="25"/>
    <x v="1"/>
    <x v="6"/>
    <m/>
  </r>
  <r>
    <n v="2596"/>
    <n v="29"/>
    <s v="Male"/>
    <x v="0"/>
    <x v="0"/>
    <n v="56"/>
    <s v="Iowa"/>
    <x v="3"/>
    <x v="1"/>
    <x v="2"/>
    <x v="20"/>
    <x v="1"/>
    <x v="1"/>
    <n v="3"/>
    <x v="4"/>
    <x v="4"/>
    <m/>
  </r>
  <r>
    <n v="2597"/>
    <n v="63"/>
    <s v="Male"/>
    <x v="5"/>
    <x v="0"/>
    <n v="78"/>
    <s v="Louisiana"/>
    <x v="0"/>
    <x v="13"/>
    <x v="1"/>
    <x v="23"/>
    <x v="1"/>
    <x v="1"/>
    <n v="35"/>
    <x v="2"/>
    <x v="5"/>
    <m/>
  </r>
  <r>
    <n v="2598"/>
    <n v="60"/>
    <s v="Male"/>
    <x v="16"/>
    <x v="3"/>
    <n v="25"/>
    <s v="Alabama"/>
    <x v="3"/>
    <x v="11"/>
    <x v="2"/>
    <x v="9"/>
    <x v="1"/>
    <x v="1"/>
    <n v="13"/>
    <x v="0"/>
    <x v="4"/>
    <m/>
  </r>
  <r>
    <n v="2599"/>
    <n v="64"/>
    <s v="Male"/>
    <x v="21"/>
    <x v="3"/>
    <n v="86"/>
    <s v="Nevada"/>
    <x v="3"/>
    <x v="8"/>
    <x v="3"/>
    <x v="19"/>
    <x v="1"/>
    <x v="1"/>
    <n v="31"/>
    <x v="5"/>
    <x v="2"/>
    <m/>
  </r>
  <r>
    <n v="2600"/>
    <n v="63"/>
    <s v="Male"/>
    <x v="16"/>
    <x v="3"/>
    <n v="99"/>
    <s v="Vermont"/>
    <x v="2"/>
    <x v="9"/>
    <x v="0"/>
    <x v="10"/>
    <x v="1"/>
    <x v="1"/>
    <n v="48"/>
    <x v="2"/>
    <x v="5"/>
    <m/>
  </r>
  <r>
    <n v="2601"/>
    <n v="21"/>
    <s v="Male"/>
    <x v="22"/>
    <x v="3"/>
    <n v="83"/>
    <s v="New York"/>
    <x v="2"/>
    <x v="0"/>
    <x v="3"/>
    <x v="14"/>
    <x v="1"/>
    <x v="1"/>
    <n v="6"/>
    <x v="4"/>
    <x v="4"/>
    <m/>
  </r>
  <r>
    <n v="2602"/>
    <n v="61"/>
    <s v="Male"/>
    <x v="10"/>
    <x v="0"/>
    <n v="33"/>
    <s v="Mississippi"/>
    <x v="0"/>
    <x v="20"/>
    <x v="0"/>
    <x v="25"/>
    <x v="1"/>
    <x v="1"/>
    <n v="43"/>
    <x v="1"/>
    <x v="5"/>
    <m/>
  </r>
  <r>
    <n v="2603"/>
    <n v="65"/>
    <s v="Male"/>
    <x v="7"/>
    <x v="2"/>
    <n v="44"/>
    <s v="South Carolina"/>
    <x v="2"/>
    <x v="13"/>
    <x v="3"/>
    <x v="25"/>
    <x v="1"/>
    <x v="1"/>
    <n v="1"/>
    <x v="0"/>
    <x v="3"/>
    <m/>
  </r>
  <r>
    <n v="2604"/>
    <n v="69"/>
    <s v="Male"/>
    <x v="10"/>
    <x v="0"/>
    <n v="58"/>
    <s v="Washington"/>
    <x v="2"/>
    <x v="11"/>
    <x v="1"/>
    <x v="6"/>
    <x v="1"/>
    <x v="1"/>
    <n v="8"/>
    <x v="1"/>
    <x v="2"/>
    <m/>
  </r>
  <r>
    <n v="2605"/>
    <n v="47"/>
    <s v="Male"/>
    <x v="1"/>
    <x v="0"/>
    <n v="54"/>
    <s v="Colorado"/>
    <x v="2"/>
    <x v="19"/>
    <x v="1"/>
    <x v="10"/>
    <x v="1"/>
    <x v="1"/>
    <n v="6"/>
    <x v="5"/>
    <x v="1"/>
    <m/>
  </r>
  <r>
    <n v="2606"/>
    <n v="41"/>
    <s v="Male"/>
    <x v="15"/>
    <x v="0"/>
    <n v="93"/>
    <s v="Nevada"/>
    <x v="2"/>
    <x v="3"/>
    <x v="1"/>
    <x v="5"/>
    <x v="1"/>
    <x v="1"/>
    <n v="32"/>
    <x v="0"/>
    <x v="0"/>
    <m/>
  </r>
  <r>
    <n v="2607"/>
    <n v="68"/>
    <s v="Male"/>
    <x v="9"/>
    <x v="1"/>
    <n v="98"/>
    <s v="Nevada"/>
    <x v="0"/>
    <x v="2"/>
    <x v="1"/>
    <x v="15"/>
    <x v="1"/>
    <x v="1"/>
    <n v="46"/>
    <x v="4"/>
    <x v="4"/>
    <m/>
  </r>
  <r>
    <n v="2608"/>
    <n v="41"/>
    <s v="Male"/>
    <x v="9"/>
    <x v="1"/>
    <n v="36"/>
    <s v="Oklahoma"/>
    <x v="3"/>
    <x v="11"/>
    <x v="1"/>
    <x v="0"/>
    <x v="1"/>
    <x v="1"/>
    <n v="38"/>
    <x v="3"/>
    <x v="6"/>
    <m/>
  </r>
  <r>
    <n v="2609"/>
    <n v="42"/>
    <s v="Male"/>
    <x v="14"/>
    <x v="2"/>
    <n v="68"/>
    <s v="Mississippi"/>
    <x v="0"/>
    <x v="20"/>
    <x v="3"/>
    <x v="13"/>
    <x v="1"/>
    <x v="1"/>
    <n v="48"/>
    <x v="2"/>
    <x v="0"/>
    <m/>
  </r>
  <r>
    <n v="2610"/>
    <n v="66"/>
    <s v="Male"/>
    <x v="21"/>
    <x v="3"/>
    <n v="95"/>
    <s v="Arkansas"/>
    <x v="2"/>
    <x v="13"/>
    <x v="2"/>
    <x v="23"/>
    <x v="1"/>
    <x v="1"/>
    <n v="18"/>
    <x v="5"/>
    <x v="4"/>
    <m/>
  </r>
  <r>
    <n v="2611"/>
    <n v="66"/>
    <s v="Male"/>
    <x v="2"/>
    <x v="0"/>
    <n v="93"/>
    <s v="West Virginia"/>
    <x v="2"/>
    <x v="10"/>
    <x v="1"/>
    <x v="0"/>
    <x v="1"/>
    <x v="1"/>
    <n v="25"/>
    <x v="1"/>
    <x v="3"/>
    <m/>
  </r>
  <r>
    <n v="2612"/>
    <n v="33"/>
    <s v="Male"/>
    <x v="14"/>
    <x v="2"/>
    <n v="99"/>
    <s v="Michigan"/>
    <x v="0"/>
    <x v="1"/>
    <x v="3"/>
    <x v="13"/>
    <x v="1"/>
    <x v="1"/>
    <n v="4"/>
    <x v="1"/>
    <x v="0"/>
    <m/>
  </r>
  <r>
    <n v="2613"/>
    <n v="55"/>
    <s v="Male"/>
    <x v="12"/>
    <x v="3"/>
    <n v="22"/>
    <s v="Louisiana"/>
    <x v="2"/>
    <x v="2"/>
    <x v="0"/>
    <x v="1"/>
    <x v="1"/>
    <x v="1"/>
    <n v="27"/>
    <x v="0"/>
    <x v="3"/>
    <m/>
  </r>
  <r>
    <n v="2614"/>
    <n v="58"/>
    <s v="Male"/>
    <x v="24"/>
    <x v="3"/>
    <n v="88"/>
    <s v="South Dakota"/>
    <x v="2"/>
    <x v="9"/>
    <x v="3"/>
    <x v="25"/>
    <x v="1"/>
    <x v="1"/>
    <n v="14"/>
    <x v="4"/>
    <x v="5"/>
    <m/>
  </r>
  <r>
    <n v="2615"/>
    <n v="18"/>
    <s v="Male"/>
    <x v="14"/>
    <x v="2"/>
    <n v="65"/>
    <s v="North Dakota"/>
    <x v="2"/>
    <x v="2"/>
    <x v="1"/>
    <x v="13"/>
    <x v="1"/>
    <x v="1"/>
    <n v="36"/>
    <x v="4"/>
    <x v="0"/>
    <m/>
  </r>
  <r>
    <n v="2616"/>
    <n v="49"/>
    <s v="Male"/>
    <x v="17"/>
    <x v="0"/>
    <n v="62"/>
    <s v="Arizona"/>
    <x v="2"/>
    <x v="1"/>
    <x v="3"/>
    <x v="0"/>
    <x v="1"/>
    <x v="1"/>
    <n v="6"/>
    <x v="5"/>
    <x v="3"/>
    <m/>
  </r>
  <r>
    <n v="2617"/>
    <n v="61"/>
    <s v="Male"/>
    <x v="3"/>
    <x v="1"/>
    <n v="55"/>
    <s v="Georgia"/>
    <x v="3"/>
    <x v="7"/>
    <x v="1"/>
    <x v="2"/>
    <x v="1"/>
    <x v="1"/>
    <n v="46"/>
    <x v="1"/>
    <x v="2"/>
    <m/>
  </r>
  <r>
    <n v="2618"/>
    <n v="31"/>
    <s v="Male"/>
    <x v="6"/>
    <x v="0"/>
    <n v="97"/>
    <s v="Idaho"/>
    <x v="1"/>
    <x v="1"/>
    <x v="1"/>
    <x v="3"/>
    <x v="1"/>
    <x v="1"/>
    <n v="29"/>
    <x v="4"/>
    <x v="2"/>
    <m/>
  </r>
  <r>
    <n v="2619"/>
    <n v="70"/>
    <s v="Male"/>
    <x v="8"/>
    <x v="3"/>
    <n v="77"/>
    <s v="Louisiana"/>
    <x v="0"/>
    <x v="18"/>
    <x v="3"/>
    <x v="18"/>
    <x v="1"/>
    <x v="1"/>
    <n v="12"/>
    <x v="0"/>
    <x v="5"/>
    <m/>
  </r>
  <r>
    <n v="2620"/>
    <n v="68"/>
    <s v="Male"/>
    <x v="13"/>
    <x v="0"/>
    <n v="40"/>
    <s v="Connecticut"/>
    <x v="0"/>
    <x v="21"/>
    <x v="0"/>
    <x v="14"/>
    <x v="1"/>
    <x v="1"/>
    <n v="47"/>
    <x v="2"/>
    <x v="1"/>
    <m/>
  </r>
  <r>
    <n v="2621"/>
    <n v="27"/>
    <s v="Male"/>
    <x v="0"/>
    <x v="0"/>
    <n v="23"/>
    <s v="Ohio"/>
    <x v="1"/>
    <x v="12"/>
    <x v="0"/>
    <x v="23"/>
    <x v="1"/>
    <x v="1"/>
    <n v="28"/>
    <x v="5"/>
    <x v="2"/>
    <m/>
  </r>
  <r>
    <n v="2622"/>
    <n v="48"/>
    <s v="Male"/>
    <x v="9"/>
    <x v="1"/>
    <n v="46"/>
    <s v="Maine"/>
    <x v="2"/>
    <x v="19"/>
    <x v="0"/>
    <x v="23"/>
    <x v="1"/>
    <x v="1"/>
    <n v="21"/>
    <x v="4"/>
    <x v="2"/>
    <m/>
  </r>
  <r>
    <n v="2623"/>
    <n v="63"/>
    <s v="Male"/>
    <x v="21"/>
    <x v="3"/>
    <n v="75"/>
    <s v="New Hampshire"/>
    <x v="2"/>
    <x v="22"/>
    <x v="1"/>
    <x v="17"/>
    <x v="1"/>
    <x v="1"/>
    <n v="15"/>
    <x v="2"/>
    <x v="2"/>
    <m/>
  </r>
  <r>
    <n v="2624"/>
    <n v="49"/>
    <s v="Male"/>
    <x v="9"/>
    <x v="1"/>
    <n v="76"/>
    <s v="Massachusetts"/>
    <x v="2"/>
    <x v="9"/>
    <x v="3"/>
    <x v="3"/>
    <x v="1"/>
    <x v="1"/>
    <n v="38"/>
    <x v="1"/>
    <x v="2"/>
    <m/>
  </r>
  <r>
    <n v="2625"/>
    <n v="19"/>
    <s v="Male"/>
    <x v="10"/>
    <x v="0"/>
    <n v="59"/>
    <s v="South Dakota"/>
    <x v="2"/>
    <x v="21"/>
    <x v="2"/>
    <x v="19"/>
    <x v="1"/>
    <x v="1"/>
    <n v="19"/>
    <x v="2"/>
    <x v="2"/>
    <m/>
  </r>
  <r>
    <n v="2626"/>
    <n v="30"/>
    <s v="Male"/>
    <x v="11"/>
    <x v="0"/>
    <n v="51"/>
    <s v="Colorado"/>
    <x v="0"/>
    <x v="17"/>
    <x v="2"/>
    <x v="6"/>
    <x v="1"/>
    <x v="1"/>
    <n v="31"/>
    <x v="2"/>
    <x v="1"/>
    <m/>
  </r>
  <r>
    <n v="2627"/>
    <n v="50"/>
    <s v="Male"/>
    <x v="14"/>
    <x v="2"/>
    <n v="46"/>
    <s v="Rhode Island"/>
    <x v="3"/>
    <x v="5"/>
    <x v="3"/>
    <x v="13"/>
    <x v="1"/>
    <x v="1"/>
    <n v="30"/>
    <x v="2"/>
    <x v="6"/>
    <m/>
  </r>
  <r>
    <n v="2628"/>
    <n v="66"/>
    <s v="Male"/>
    <x v="5"/>
    <x v="0"/>
    <n v="26"/>
    <s v="Missouri"/>
    <x v="0"/>
    <x v="5"/>
    <x v="3"/>
    <x v="2"/>
    <x v="1"/>
    <x v="1"/>
    <n v="40"/>
    <x v="4"/>
    <x v="3"/>
    <m/>
  </r>
  <r>
    <n v="2629"/>
    <n v="25"/>
    <s v="Male"/>
    <x v="15"/>
    <x v="0"/>
    <n v="51"/>
    <s v="Wyoming"/>
    <x v="2"/>
    <x v="5"/>
    <x v="2"/>
    <x v="1"/>
    <x v="1"/>
    <x v="1"/>
    <n v="42"/>
    <x v="2"/>
    <x v="4"/>
    <m/>
  </r>
  <r>
    <n v="2630"/>
    <n v="61"/>
    <s v="Male"/>
    <x v="18"/>
    <x v="3"/>
    <n v="44"/>
    <s v="New Hampshire"/>
    <x v="2"/>
    <x v="15"/>
    <x v="0"/>
    <x v="1"/>
    <x v="1"/>
    <x v="1"/>
    <n v="25"/>
    <x v="0"/>
    <x v="2"/>
    <m/>
  </r>
  <r>
    <n v="2631"/>
    <n v="29"/>
    <s v="Male"/>
    <x v="11"/>
    <x v="0"/>
    <n v="82"/>
    <s v="Maine"/>
    <x v="1"/>
    <x v="6"/>
    <x v="1"/>
    <x v="13"/>
    <x v="1"/>
    <x v="1"/>
    <n v="20"/>
    <x v="1"/>
    <x v="3"/>
    <m/>
  </r>
  <r>
    <n v="2632"/>
    <n v="53"/>
    <s v="Male"/>
    <x v="11"/>
    <x v="0"/>
    <n v="44"/>
    <s v="Connecticut"/>
    <x v="1"/>
    <x v="10"/>
    <x v="2"/>
    <x v="6"/>
    <x v="1"/>
    <x v="1"/>
    <n v="3"/>
    <x v="1"/>
    <x v="1"/>
    <m/>
  </r>
  <r>
    <n v="2633"/>
    <n v="24"/>
    <s v="Male"/>
    <x v="18"/>
    <x v="3"/>
    <n v="27"/>
    <s v="Alaska"/>
    <x v="2"/>
    <x v="13"/>
    <x v="3"/>
    <x v="11"/>
    <x v="1"/>
    <x v="1"/>
    <n v="14"/>
    <x v="1"/>
    <x v="2"/>
    <m/>
  </r>
  <r>
    <n v="2634"/>
    <n v="51"/>
    <s v="Male"/>
    <x v="12"/>
    <x v="3"/>
    <n v="90"/>
    <s v="Alaska"/>
    <x v="2"/>
    <x v="7"/>
    <x v="3"/>
    <x v="15"/>
    <x v="1"/>
    <x v="1"/>
    <n v="32"/>
    <x v="2"/>
    <x v="0"/>
    <m/>
  </r>
  <r>
    <n v="2635"/>
    <n v="26"/>
    <s v="Male"/>
    <x v="3"/>
    <x v="1"/>
    <n v="58"/>
    <s v="North Carolina"/>
    <x v="1"/>
    <x v="13"/>
    <x v="2"/>
    <x v="20"/>
    <x v="1"/>
    <x v="1"/>
    <n v="20"/>
    <x v="3"/>
    <x v="6"/>
    <m/>
  </r>
  <r>
    <n v="2636"/>
    <n v="59"/>
    <s v="Male"/>
    <x v="15"/>
    <x v="0"/>
    <n v="80"/>
    <s v="Colorado"/>
    <x v="3"/>
    <x v="15"/>
    <x v="1"/>
    <x v="25"/>
    <x v="1"/>
    <x v="1"/>
    <n v="34"/>
    <x v="3"/>
    <x v="0"/>
    <m/>
  </r>
  <r>
    <n v="2637"/>
    <n v="41"/>
    <s v="Male"/>
    <x v="14"/>
    <x v="2"/>
    <n v="40"/>
    <s v="Utah"/>
    <x v="1"/>
    <x v="23"/>
    <x v="0"/>
    <x v="13"/>
    <x v="1"/>
    <x v="1"/>
    <n v="6"/>
    <x v="0"/>
    <x v="2"/>
    <m/>
  </r>
  <r>
    <n v="2638"/>
    <n v="20"/>
    <s v="Male"/>
    <x v="13"/>
    <x v="0"/>
    <n v="23"/>
    <s v="Alabama"/>
    <x v="2"/>
    <x v="23"/>
    <x v="1"/>
    <x v="5"/>
    <x v="1"/>
    <x v="1"/>
    <n v="2"/>
    <x v="3"/>
    <x v="2"/>
    <m/>
  </r>
  <r>
    <n v="2639"/>
    <n v="22"/>
    <s v="Male"/>
    <x v="5"/>
    <x v="0"/>
    <n v="34"/>
    <s v="Hawaii"/>
    <x v="1"/>
    <x v="13"/>
    <x v="1"/>
    <x v="13"/>
    <x v="1"/>
    <x v="1"/>
    <n v="35"/>
    <x v="2"/>
    <x v="2"/>
    <m/>
  </r>
  <r>
    <n v="2640"/>
    <n v="18"/>
    <s v="Male"/>
    <x v="0"/>
    <x v="0"/>
    <n v="35"/>
    <s v="New Hampshire"/>
    <x v="3"/>
    <x v="6"/>
    <x v="0"/>
    <x v="4"/>
    <x v="1"/>
    <x v="1"/>
    <n v="33"/>
    <x v="5"/>
    <x v="3"/>
    <m/>
  </r>
  <r>
    <n v="2641"/>
    <n v="30"/>
    <s v="Male"/>
    <x v="11"/>
    <x v="0"/>
    <n v="75"/>
    <s v="Indiana"/>
    <x v="0"/>
    <x v="8"/>
    <x v="2"/>
    <x v="8"/>
    <x v="1"/>
    <x v="1"/>
    <n v="45"/>
    <x v="0"/>
    <x v="4"/>
    <m/>
  </r>
  <r>
    <n v="2642"/>
    <n v="25"/>
    <s v="Male"/>
    <x v="12"/>
    <x v="3"/>
    <n v="60"/>
    <s v="Vermont"/>
    <x v="3"/>
    <x v="8"/>
    <x v="0"/>
    <x v="6"/>
    <x v="1"/>
    <x v="1"/>
    <n v="20"/>
    <x v="4"/>
    <x v="6"/>
    <m/>
  </r>
  <r>
    <n v="2643"/>
    <n v="39"/>
    <s v="Male"/>
    <x v="22"/>
    <x v="3"/>
    <n v="87"/>
    <s v="Iowa"/>
    <x v="0"/>
    <x v="15"/>
    <x v="2"/>
    <x v="8"/>
    <x v="1"/>
    <x v="1"/>
    <n v="48"/>
    <x v="4"/>
    <x v="2"/>
    <m/>
  </r>
  <r>
    <n v="2644"/>
    <n v="49"/>
    <s v="Male"/>
    <x v="24"/>
    <x v="3"/>
    <n v="41"/>
    <s v="Maryland"/>
    <x v="1"/>
    <x v="5"/>
    <x v="1"/>
    <x v="25"/>
    <x v="1"/>
    <x v="1"/>
    <n v="37"/>
    <x v="1"/>
    <x v="5"/>
    <m/>
  </r>
  <r>
    <n v="2645"/>
    <n v="25"/>
    <s v="Male"/>
    <x v="13"/>
    <x v="0"/>
    <n v="83"/>
    <s v="New Mexico"/>
    <x v="2"/>
    <x v="2"/>
    <x v="1"/>
    <x v="19"/>
    <x v="1"/>
    <x v="1"/>
    <n v="4"/>
    <x v="4"/>
    <x v="6"/>
    <m/>
  </r>
  <r>
    <n v="2646"/>
    <n v="23"/>
    <s v="Male"/>
    <x v="18"/>
    <x v="3"/>
    <n v="81"/>
    <s v="Louisiana"/>
    <x v="0"/>
    <x v="8"/>
    <x v="1"/>
    <x v="8"/>
    <x v="1"/>
    <x v="1"/>
    <n v="24"/>
    <x v="4"/>
    <x v="4"/>
    <m/>
  </r>
  <r>
    <n v="2647"/>
    <n v="33"/>
    <s v="Male"/>
    <x v="17"/>
    <x v="0"/>
    <n v="56"/>
    <s v="New Mexico"/>
    <x v="1"/>
    <x v="12"/>
    <x v="2"/>
    <x v="14"/>
    <x v="1"/>
    <x v="1"/>
    <n v="4"/>
    <x v="5"/>
    <x v="6"/>
    <m/>
  </r>
  <r>
    <n v="2648"/>
    <n v="60"/>
    <s v="Male"/>
    <x v="9"/>
    <x v="1"/>
    <n v="58"/>
    <s v="South Carolina"/>
    <x v="2"/>
    <x v="16"/>
    <x v="2"/>
    <x v="19"/>
    <x v="1"/>
    <x v="1"/>
    <n v="25"/>
    <x v="5"/>
    <x v="2"/>
    <m/>
  </r>
  <r>
    <n v="2649"/>
    <n v="51"/>
    <s v="Male"/>
    <x v="13"/>
    <x v="0"/>
    <n v="84"/>
    <s v="Illinois"/>
    <x v="2"/>
    <x v="0"/>
    <x v="1"/>
    <x v="14"/>
    <x v="1"/>
    <x v="1"/>
    <n v="14"/>
    <x v="3"/>
    <x v="4"/>
    <m/>
  </r>
  <r>
    <n v="2650"/>
    <n v="23"/>
    <s v="Male"/>
    <x v="24"/>
    <x v="3"/>
    <n v="21"/>
    <s v="Minnesota"/>
    <x v="2"/>
    <x v="23"/>
    <x v="3"/>
    <x v="14"/>
    <x v="1"/>
    <x v="1"/>
    <n v="14"/>
    <x v="4"/>
    <x v="0"/>
    <m/>
  </r>
  <r>
    <n v="2651"/>
    <n v="20"/>
    <s v="Male"/>
    <x v="20"/>
    <x v="0"/>
    <n v="35"/>
    <s v="Oregon"/>
    <x v="0"/>
    <x v="1"/>
    <x v="2"/>
    <x v="13"/>
    <x v="1"/>
    <x v="1"/>
    <n v="46"/>
    <x v="2"/>
    <x v="6"/>
    <m/>
  </r>
  <r>
    <n v="2652"/>
    <n v="51"/>
    <s v="Male"/>
    <x v="4"/>
    <x v="1"/>
    <n v="43"/>
    <s v="Tennessee"/>
    <x v="2"/>
    <x v="17"/>
    <x v="2"/>
    <x v="7"/>
    <x v="1"/>
    <x v="1"/>
    <n v="27"/>
    <x v="3"/>
    <x v="3"/>
    <m/>
  </r>
  <r>
    <n v="2653"/>
    <n v="23"/>
    <s v="Female"/>
    <x v="6"/>
    <x v="0"/>
    <n v="20"/>
    <s v="Maryland"/>
    <x v="0"/>
    <x v="17"/>
    <x v="2"/>
    <x v="19"/>
    <x v="1"/>
    <x v="1"/>
    <n v="46"/>
    <x v="2"/>
    <x v="5"/>
    <m/>
  </r>
  <r>
    <n v="2654"/>
    <n v="67"/>
    <s v="Female"/>
    <x v="0"/>
    <x v="0"/>
    <n v="36"/>
    <s v="Wisconsin"/>
    <x v="0"/>
    <x v="12"/>
    <x v="3"/>
    <x v="3"/>
    <x v="1"/>
    <x v="1"/>
    <n v="24"/>
    <x v="0"/>
    <x v="6"/>
    <m/>
  </r>
  <r>
    <n v="2655"/>
    <n v="23"/>
    <s v="Female"/>
    <x v="7"/>
    <x v="2"/>
    <n v="70"/>
    <s v="Idaho"/>
    <x v="1"/>
    <x v="6"/>
    <x v="3"/>
    <x v="18"/>
    <x v="1"/>
    <x v="1"/>
    <n v="4"/>
    <x v="3"/>
    <x v="2"/>
    <m/>
  </r>
  <r>
    <n v="2656"/>
    <n v="26"/>
    <s v="Female"/>
    <x v="12"/>
    <x v="3"/>
    <n v="83"/>
    <s v="Wyoming"/>
    <x v="2"/>
    <x v="0"/>
    <x v="2"/>
    <x v="10"/>
    <x v="1"/>
    <x v="1"/>
    <n v="2"/>
    <x v="2"/>
    <x v="0"/>
    <m/>
  </r>
  <r>
    <n v="2657"/>
    <n v="52"/>
    <s v="Female"/>
    <x v="6"/>
    <x v="0"/>
    <n v="76"/>
    <s v="Indiana"/>
    <x v="0"/>
    <x v="22"/>
    <x v="0"/>
    <x v="2"/>
    <x v="1"/>
    <x v="1"/>
    <n v="29"/>
    <x v="4"/>
    <x v="0"/>
    <m/>
  </r>
  <r>
    <n v="2658"/>
    <n v="52"/>
    <s v="Female"/>
    <x v="10"/>
    <x v="0"/>
    <n v="81"/>
    <s v="Texas"/>
    <x v="2"/>
    <x v="6"/>
    <x v="2"/>
    <x v="6"/>
    <x v="1"/>
    <x v="1"/>
    <n v="7"/>
    <x v="2"/>
    <x v="0"/>
    <m/>
  </r>
  <r>
    <n v="2659"/>
    <n v="52"/>
    <s v="Female"/>
    <x v="8"/>
    <x v="3"/>
    <n v="47"/>
    <s v="Ohio"/>
    <x v="3"/>
    <x v="21"/>
    <x v="2"/>
    <x v="20"/>
    <x v="1"/>
    <x v="1"/>
    <n v="39"/>
    <x v="3"/>
    <x v="5"/>
    <m/>
  </r>
  <r>
    <n v="2660"/>
    <n v="35"/>
    <s v="Female"/>
    <x v="23"/>
    <x v="1"/>
    <n v="35"/>
    <s v="Kansas"/>
    <x v="0"/>
    <x v="0"/>
    <x v="2"/>
    <x v="9"/>
    <x v="1"/>
    <x v="1"/>
    <n v="46"/>
    <x v="2"/>
    <x v="0"/>
    <m/>
  </r>
  <r>
    <n v="2661"/>
    <n v="24"/>
    <s v="Female"/>
    <x v="13"/>
    <x v="0"/>
    <n v="85"/>
    <s v="South Carolina"/>
    <x v="0"/>
    <x v="22"/>
    <x v="1"/>
    <x v="17"/>
    <x v="1"/>
    <x v="1"/>
    <n v="44"/>
    <x v="0"/>
    <x v="2"/>
    <m/>
  </r>
  <r>
    <n v="2662"/>
    <n v="43"/>
    <s v="Female"/>
    <x v="23"/>
    <x v="1"/>
    <n v="96"/>
    <s v="Michigan"/>
    <x v="3"/>
    <x v="8"/>
    <x v="3"/>
    <x v="3"/>
    <x v="1"/>
    <x v="1"/>
    <n v="20"/>
    <x v="4"/>
    <x v="2"/>
    <m/>
  </r>
  <r>
    <n v="2663"/>
    <n v="25"/>
    <s v="Female"/>
    <x v="11"/>
    <x v="0"/>
    <n v="98"/>
    <s v="Nebraska"/>
    <x v="2"/>
    <x v="17"/>
    <x v="2"/>
    <x v="24"/>
    <x v="1"/>
    <x v="1"/>
    <n v="44"/>
    <x v="3"/>
    <x v="0"/>
    <m/>
  </r>
  <r>
    <n v="2664"/>
    <n v="46"/>
    <s v="Female"/>
    <x v="4"/>
    <x v="1"/>
    <n v="52"/>
    <s v="Wisconsin"/>
    <x v="0"/>
    <x v="5"/>
    <x v="3"/>
    <x v="25"/>
    <x v="1"/>
    <x v="1"/>
    <n v="23"/>
    <x v="4"/>
    <x v="2"/>
    <m/>
  </r>
  <r>
    <n v="2665"/>
    <n v="22"/>
    <s v="Female"/>
    <x v="16"/>
    <x v="3"/>
    <n v="84"/>
    <s v="Illinois"/>
    <x v="0"/>
    <x v="5"/>
    <x v="0"/>
    <x v="20"/>
    <x v="1"/>
    <x v="1"/>
    <n v="37"/>
    <x v="3"/>
    <x v="1"/>
    <m/>
  </r>
  <r>
    <n v="2666"/>
    <n v="70"/>
    <s v="Female"/>
    <x v="17"/>
    <x v="0"/>
    <n v="71"/>
    <s v="Louisiana"/>
    <x v="0"/>
    <x v="16"/>
    <x v="0"/>
    <x v="22"/>
    <x v="1"/>
    <x v="1"/>
    <n v="4"/>
    <x v="0"/>
    <x v="1"/>
    <m/>
  </r>
  <r>
    <n v="2667"/>
    <n v="49"/>
    <s v="Female"/>
    <x v="3"/>
    <x v="1"/>
    <n v="95"/>
    <s v="Ohio"/>
    <x v="1"/>
    <x v="18"/>
    <x v="0"/>
    <x v="18"/>
    <x v="1"/>
    <x v="1"/>
    <n v="14"/>
    <x v="0"/>
    <x v="0"/>
    <m/>
  </r>
  <r>
    <n v="2668"/>
    <n v="48"/>
    <s v="Female"/>
    <x v="23"/>
    <x v="1"/>
    <n v="47"/>
    <s v="Maryland"/>
    <x v="2"/>
    <x v="20"/>
    <x v="2"/>
    <x v="18"/>
    <x v="1"/>
    <x v="1"/>
    <n v="31"/>
    <x v="1"/>
    <x v="0"/>
    <m/>
  </r>
  <r>
    <n v="2669"/>
    <n v="59"/>
    <s v="Female"/>
    <x v="7"/>
    <x v="2"/>
    <n v="75"/>
    <s v="Texas"/>
    <x v="2"/>
    <x v="13"/>
    <x v="2"/>
    <x v="3"/>
    <x v="1"/>
    <x v="1"/>
    <n v="9"/>
    <x v="3"/>
    <x v="3"/>
    <m/>
  </r>
  <r>
    <n v="2670"/>
    <n v="39"/>
    <s v="Female"/>
    <x v="22"/>
    <x v="3"/>
    <n v="28"/>
    <s v="Illinois"/>
    <x v="0"/>
    <x v="11"/>
    <x v="1"/>
    <x v="24"/>
    <x v="1"/>
    <x v="1"/>
    <n v="31"/>
    <x v="2"/>
    <x v="1"/>
    <m/>
  </r>
  <r>
    <n v="2671"/>
    <n v="30"/>
    <s v="Female"/>
    <x v="12"/>
    <x v="3"/>
    <n v="44"/>
    <s v="Pennsylvania"/>
    <x v="2"/>
    <x v="22"/>
    <x v="3"/>
    <x v="15"/>
    <x v="1"/>
    <x v="1"/>
    <n v="26"/>
    <x v="4"/>
    <x v="4"/>
    <m/>
  </r>
  <r>
    <n v="2672"/>
    <n v="37"/>
    <s v="Female"/>
    <x v="3"/>
    <x v="1"/>
    <n v="64"/>
    <s v="Alabama"/>
    <x v="3"/>
    <x v="0"/>
    <x v="0"/>
    <x v="3"/>
    <x v="1"/>
    <x v="1"/>
    <n v="41"/>
    <x v="3"/>
    <x v="6"/>
    <m/>
  </r>
  <r>
    <n v="2673"/>
    <n v="56"/>
    <s v="Female"/>
    <x v="23"/>
    <x v="1"/>
    <n v="28"/>
    <s v="West Virginia"/>
    <x v="2"/>
    <x v="1"/>
    <x v="1"/>
    <x v="25"/>
    <x v="1"/>
    <x v="1"/>
    <n v="13"/>
    <x v="1"/>
    <x v="2"/>
    <m/>
  </r>
  <r>
    <n v="2674"/>
    <n v="67"/>
    <s v="Female"/>
    <x v="15"/>
    <x v="0"/>
    <n v="21"/>
    <s v="Nevada"/>
    <x v="2"/>
    <x v="8"/>
    <x v="2"/>
    <x v="4"/>
    <x v="1"/>
    <x v="1"/>
    <n v="4"/>
    <x v="1"/>
    <x v="5"/>
    <m/>
  </r>
  <r>
    <n v="2675"/>
    <n v="40"/>
    <s v="Female"/>
    <x v="19"/>
    <x v="3"/>
    <n v="41"/>
    <s v="Florida"/>
    <x v="1"/>
    <x v="4"/>
    <x v="3"/>
    <x v="19"/>
    <x v="1"/>
    <x v="1"/>
    <n v="15"/>
    <x v="1"/>
    <x v="6"/>
    <m/>
  </r>
  <r>
    <n v="2676"/>
    <n v="24"/>
    <s v="Female"/>
    <x v="6"/>
    <x v="0"/>
    <n v="38"/>
    <s v="Virginia"/>
    <x v="2"/>
    <x v="15"/>
    <x v="0"/>
    <x v="10"/>
    <x v="1"/>
    <x v="1"/>
    <n v="38"/>
    <x v="1"/>
    <x v="4"/>
    <m/>
  </r>
  <r>
    <n v="2677"/>
    <n v="43"/>
    <s v="Female"/>
    <x v="21"/>
    <x v="3"/>
    <n v="77"/>
    <s v="Kentucky"/>
    <x v="2"/>
    <x v="1"/>
    <x v="1"/>
    <x v="2"/>
    <x v="1"/>
    <x v="1"/>
    <n v="3"/>
    <x v="1"/>
    <x v="0"/>
    <m/>
  </r>
  <r>
    <n v="2678"/>
    <n v="45"/>
    <s v="Female"/>
    <x v="6"/>
    <x v="0"/>
    <n v="43"/>
    <s v="Connecticut"/>
    <x v="0"/>
    <x v="8"/>
    <x v="1"/>
    <x v="1"/>
    <x v="1"/>
    <x v="1"/>
    <n v="6"/>
    <x v="3"/>
    <x v="6"/>
    <m/>
  </r>
  <r>
    <n v="2679"/>
    <n v="33"/>
    <s v="Female"/>
    <x v="22"/>
    <x v="3"/>
    <n v="91"/>
    <s v="Montana"/>
    <x v="2"/>
    <x v="23"/>
    <x v="1"/>
    <x v="10"/>
    <x v="1"/>
    <x v="1"/>
    <n v="34"/>
    <x v="2"/>
    <x v="4"/>
    <m/>
  </r>
  <r>
    <n v="2680"/>
    <n v="53"/>
    <s v="Female"/>
    <x v="6"/>
    <x v="0"/>
    <n v="68"/>
    <s v="Montana"/>
    <x v="1"/>
    <x v="22"/>
    <x v="1"/>
    <x v="1"/>
    <x v="1"/>
    <x v="1"/>
    <n v="7"/>
    <x v="5"/>
    <x v="3"/>
    <m/>
  </r>
  <r>
    <n v="2681"/>
    <n v="44"/>
    <s v="Female"/>
    <x v="20"/>
    <x v="0"/>
    <n v="37"/>
    <s v="Nebraska"/>
    <x v="0"/>
    <x v="21"/>
    <x v="3"/>
    <x v="19"/>
    <x v="1"/>
    <x v="1"/>
    <n v="21"/>
    <x v="0"/>
    <x v="2"/>
    <m/>
  </r>
  <r>
    <n v="2682"/>
    <n v="23"/>
    <s v="Female"/>
    <x v="9"/>
    <x v="1"/>
    <n v="23"/>
    <s v="Massachusetts"/>
    <x v="0"/>
    <x v="8"/>
    <x v="2"/>
    <x v="3"/>
    <x v="1"/>
    <x v="1"/>
    <n v="17"/>
    <x v="5"/>
    <x v="5"/>
    <m/>
  </r>
  <r>
    <n v="2683"/>
    <n v="59"/>
    <s v="Female"/>
    <x v="4"/>
    <x v="1"/>
    <n v="65"/>
    <s v="North Carolina"/>
    <x v="0"/>
    <x v="1"/>
    <x v="0"/>
    <x v="14"/>
    <x v="1"/>
    <x v="1"/>
    <n v="5"/>
    <x v="0"/>
    <x v="6"/>
    <m/>
  </r>
  <r>
    <n v="2684"/>
    <n v="68"/>
    <s v="Female"/>
    <x v="21"/>
    <x v="3"/>
    <n v="30"/>
    <s v="Montana"/>
    <x v="2"/>
    <x v="21"/>
    <x v="2"/>
    <x v="13"/>
    <x v="1"/>
    <x v="1"/>
    <n v="21"/>
    <x v="1"/>
    <x v="0"/>
    <m/>
  </r>
  <r>
    <n v="2685"/>
    <n v="46"/>
    <s v="Female"/>
    <x v="10"/>
    <x v="0"/>
    <n v="45"/>
    <s v="Washington"/>
    <x v="2"/>
    <x v="0"/>
    <x v="2"/>
    <x v="15"/>
    <x v="1"/>
    <x v="1"/>
    <n v="42"/>
    <x v="2"/>
    <x v="4"/>
    <m/>
  </r>
  <r>
    <n v="2686"/>
    <n v="56"/>
    <s v="Female"/>
    <x v="23"/>
    <x v="1"/>
    <n v="25"/>
    <s v="Virginia"/>
    <x v="2"/>
    <x v="0"/>
    <x v="0"/>
    <x v="6"/>
    <x v="1"/>
    <x v="1"/>
    <n v="49"/>
    <x v="2"/>
    <x v="3"/>
    <m/>
  </r>
  <r>
    <n v="2687"/>
    <n v="40"/>
    <s v="Female"/>
    <x v="20"/>
    <x v="0"/>
    <n v="72"/>
    <s v="Georgia"/>
    <x v="2"/>
    <x v="13"/>
    <x v="0"/>
    <x v="1"/>
    <x v="1"/>
    <x v="1"/>
    <n v="33"/>
    <x v="1"/>
    <x v="0"/>
    <m/>
  </r>
  <r>
    <n v="2688"/>
    <n v="61"/>
    <s v="Female"/>
    <x v="10"/>
    <x v="0"/>
    <n v="75"/>
    <s v="Delaware"/>
    <x v="2"/>
    <x v="3"/>
    <x v="3"/>
    <x v="2"/>
    <x v="1"/>
    <x v="1"/>
    <n v="12"/>
    <x v="5"/>
    <x v="4"/>
    <m/>
  </r>
  <r>
    <n v="2689"/>
    <n v="53"/>
    <s v="Female"/>
    <x v="8"/>
    <x v="3"/>
    <n v="63"/>
    <s v="West Virginia"/>
    <x v="3"/>
    <x v="2"/>
    <x v="1"/>
    <x v="25"/>
    <x v="1"/>
    <x v="1"/>
    <n v="18"/>
    <x v="2"/>
    <x v="6"/>
    <m/>
  </r>
  <r>
    <n v="2690"/>
    <n v="29"/>
    <s v="Female"/>
    <x v="0"/>
    <x v="0"/>
    <n v="35"/>
    <s v="Wyoming"/>
    <x v="2"/>
    <x v="20"/>
    <x v="3"/>
    <x v="14"/>
    <x v="1"/>
    <x v="1"/>
    <n v="47"/>
    <x v="3"/>
    <x v="3"/>
    <m/>
  </r>
  <r>
    <n v="2691"/>
    <n v="44"/>
    <s v="Female"/>
    <x v="22"/>
    <x v="3"/>
    <n v="32"/>
    <s v="New Mexico"/>
    <x v="0"/>
    <x v="22"/>
    <x v="2"/>
    <x v="15"/>
    <x v="1"/>
    <x v="1"/>
    <n v="18"/>
    <x v="4"/>
    <x v="1"/>
    <m/>
  </r>
  <r>
    <n v="2692"/>
    <n v="43"/>
    <s v="Female"/>
    <x v="13"/>
    <x v="0"/>
    <n v="25"/>
    <s v="Nebraska"/>
    <x v="0"/>
    <x v="24"/>
    <x v="0"/>
    <x v="19"/>
    <x v="1"/>
    <x v="1"/>
    <n v="48"/>
    <x v="1"/>
    <x v="5"/>
    <m/>
  </r>
  <r>
    <n v="2693"/>
    <n v="40"/>
    <s v="Female"/>
    <x v="4"/>
    <x v="1"/>
    <n v="90"/>
    <s v="Washington"/>
    <x v="3"/>
    <x v="10"/>
    <x v="1"/>
    <x v="13"/>
    <x v="1"/>
    <x v="1"/>
    <n v="18"/>
    <x v="5"/>
    <x v="6"/>
    <m/>
  </r>
  <r>
    <n v="2694"/>
    <n v="55"/>
    <s v="Female"/>
    <x v="23"/>
    <x v="1"/>
    <n v="70"/>
    <s v="Hawaii"/>
    <x v="0"/>
    <x v="12"/>
    <x v="2"/>
    <x v="4"/>
    <x v="1"/>
    <x v="1"/>
    <n v="46"/>
    <x v="1"/>
    <x v="3"/>
    <m/>
  </r>
  <r>
    <n v="2695"/>
    <n v="66"/>
    <s v="Female"/>
    <x v="12"/>
    <x v="3"/>
    <n v="27"/>
    <s v="Louisiana"/>
    <x v="2"/>
    <x v="8"/>
    <x v="1"/>
    <x v="17"/>
    <x v="1"/>
    <x v="1"/>
    <n v="34"/>
    <x v="2"/>
    <x v="6"/>
    <m/>
  </r>
  <r>
    <n v="2696"/>
    <n v="50"/>
    <s v="Female"/>
    <x v="19"/>
    <x v="3"/>
    <n v="92"/>
    <s v="Tennessee"/>
    <x v="2"/>
    <x v="20"/>
    <x v="3"/>
    <x v="2"/>
    <x v="1"/>
    <x v="1"/>
    <n v="10"/>
    <x v="3"/>
    <x v="4"/>
    <m/>
  </r>
  <r>
    <n v="2697"/>
    <n v="57"/>
    <s v="Female"/>
    <x v="7"/>
    <x v="2"/>
    <n v="20"/>
    <s v="South Dakota"/>
    <x v="2"/>
    <x v="3"/>
    <x v="1"/>
    <x v="15"/>
    <x v="1"/>
    <x v="1"/>
    <n v="12"/>
    <x v="5"/>
    <x v="5"/>
    <m/>
  </r>
  <r>
    <n v="2698"/>
    <n v="42"/>
    <s v="Female"/>
    <x v="14"/>
    <x v="2"/>
    <n v="52"/>
    <s v="Delaware"/>
    <x v="0"/>
    <x v="16"/>
    <x v="0"/>
    <x v="20"/>
    <x v="1"/>
    <x v="1"/>
    <n v="36"/>
    <x v="4"/>
    <x v="3"/>
    <m/>
  </r>
  <r>
    <n v="2699"/>
    <n v="55"/>
    <s v="Female"/>
    <x v="15"/>
    <x v="0"/>
    <n v="57"/>
    <s v="Virginia"/>
    <x v="2"/>
    <x v="23"/>
    <x v="2"/>
    <x v="2"/>
    <x v="1"/>
    <x v="1"/>
    <n v="34"/>
    <x v="0"/>
    <x v="3"/>
    <m/>
  </r>
  <r>
    <n v="2700"/>
    <n v="25"/>
    <s v="Female"/>
    <x v="23"/>
    <x v="1"/>
    <n v="96"/>
    <s v="Utah"/>
    <x v="2"/>
    <x v="10"/>
    <x v="3"/>
    <x v="2"/>
    <x v="1"/>
    <x v="1"/>
    <n v="49"/>
    <x v="5"/>
    <x v="2"/>
    <m/>
  </r>
  <r>
    <n v="2701"/>
    <n v="22"/>
    <s v="Female"/>
    <x v="17"/>
    <x v="0"/>
    <n v="68"/>
    <s v="California"/>
    <x v="3"/>
    <x v="8"/>
    <x v="0"/>
    <x v="20"/>
    <x v="1"/>
    <x v="1"/>
    <n v="36"/>
    <x v="1"/>
    <x v="1"/>
    <m/>
  </r>
  <r>
    <n v="2702"/>
    <n v="49"/>
    <s v="Female"/>
    <x v="1"/>
    <x v="0"/>
    <n v="30"/>
    <s v="Idaho"/>
    <x v="0"/>
    <x v="5"/>
    <x v="2"/>
    <x v="24"/>
    <x v="1"/>
    <x v="1"/>
    <n v="18"/>
    <x v="4"/>
    <x v="0"/>
    <m/>
  </r>
  <r>
    <n v="2703"/>
    <n v="70"/>
    <s v="Female"/>
    <x v="9"/>
    <x v="1"/>
    <n v="37"/>
    <s v="Texas"/>
    <x v="0"/>
    <x v="0"/>
    <x v="3"/>
    <x v="8"/>
    <x v="1"/>
    <x v="1"/>
    <n v="39"/>
    <x v="5"/>
    <x v="0"/>
    <m/>
  </r>
  <r>
    <n v="2704"/>
    <n v="56"/>
    <s v="Female"/>
    <x v="18"/>
    <x v="3"/>
    <n v="42"/>
    <s v="Tennessee"/>
    <x v="3"/>
    <x v="8"/>
    <x v="0"/>
    <x v="9"/>
    <x v="1"/>
    <x v="1"/>
    <n v="34"/>
    <x v="3"/>
    <x v="1"/>
    <m/>
  </r>
  <r>
    <n v="2705"/>
    <n v="52"/>
    <s v="Female"/>
    <x v="10"/>
    <x v="0"/>
    <n v="54"/>
    <s v="Tennessee"/>
    <x v="0"/>
    <x v="19"/>
    <x v="1"/>
    <x v="10"/>
    <x v="1"/>
    <x v="1"/>
    <n v="35"/>
    <x v="5"/>
    <x v="1"/>
    <m/>
  </r>
  <r>
    <n v="2706"/>
    <n v="65"/>
    <s v="Female"/>
    <x v="14"/>
    <x v="2"/>
    <n v="81"/>
    <s v="Washington"/>
    <x v="1"/>
    <x v="2"/>
    <x v="1"/>
    <x v="11"/>
    <x v="1"/>
    <x v="1"/>
    <n v="1"/>
    <x v="2"/>
    <x v="4"/>
    <m/>
  </r>
  <r>
    <n v="2707"/>
    <n v="24"/>
    <s v="Female"/>
    <x v="9"/>
    <x v="1"/>
    <n v="40"/>
    <s v="Alabama"/>
    <x v="1"/>
    <x v="24"/>
    <x v="1"/>
    <x v="0"/>
    <x v="1"/>
    <x v="1"/>
    <n v="48"/>
    <x v="5"/>
    <x v="3"/>
    <m/>
  </r>
  <r>
    <n v="2708"/>
    <n v="32"/>
    <s v="Female"/>
    <x v="21"/>
    <x v="3"/>
    <n v="88"/>
    <s v="Nebraska"/>
    <x v="2"/>
    <x v="6"/>
    <x v="3"/>
    <x v="13"/>
    <x v="1"/>
    <x v="1"/>
    <n v="19"/>
    <x v="1"/>
    <x v="1"/>
    <m/>
  </r>
  <r>
    <n v="2709"/>
    <n v="57"/>
    <s v="Female"/>
    <x v="10"/>
    <x v="0"/>
    <n v="94"/>
    <s v="Alabama"/>
    <x v="2"/>
    <x v="11"/>
    <x v="2"/>
    <x v="19"/>
    <x v="1"/>
    <x v="1"/>
    <n v="44"/>
    <x v="5"/>
    <x v="1"/>
    <m/>
  </r>
  <r>
    <n v="2710"/>
    <n v="35"/>
    <s v="Female"/>
    <x v="5"/>
    <x v="0"/>
    <n v="54"/>
    <s v="Illinois"/>
    <x v="1"/>
    <x v="17"/>
    <x v="0"/>
    <x v="25"/>
    <x v="1"/>
    <x v="1"/>
    <n v="9"/>
    <x v="2"/>
    <x v="4"/>
    <m/>
  </r>
  <r>
    <n v="2711"/>
    <n v="69"/>
    <s v="Female"/>
    <x v="14"/>
    <x v="2"/>
    <n v="51"/>
    <s v="Wisconsin"/>
    <x v="0"/>
    <x v="7"/>
    <x v="2"/>
    <x v="15"/>
    <x v="1"/>
    <x v="1"/>
    <n v="3"/>
    <x v="4"/>
    <x v="0"/>
    <m/>
  </r>
  <r>
    <n v="2712"/>
    <n v="30"/>
    <s v="Female"/>
    <x v="12"/>
    <x v="3"/>
    <n v="22"/>
    <s v="Nebraska"/>
    <x v="0"/>
    <x v="16"/>
    <x v="1"/>
    <x v="8"/>
    <x v="1"/>
    <x v="1"/>
    <n v="50"/>
    <x v="0"/>
    <x v="5"/>
    <m/>
  </r>
  <r>
    <n v="2713"/>
    <n v="37"/>
    <s v="Female"/>
    <x v="14"/>
    <x v="2"/>
    <n v="95"/>
    <s v="North Dakota"/>
    <x v="0"/>
    <x v="18"/>
    <x v="3"/>
    <x v="7"/>
    <x v="1"/>
    <x v="1"/>
    <n v="7"/>
    <x v="5"/>
    <x v="3"/>
    <m/>
  </r>
  <r>
    <n v="2714"/>
    <n v="19"/>
    <s v="Female"/>
    <x v="7"/>
    <x v="2"/>
    <n v="57"/>
    <s v="Mississippi"/>
    <x v="2"/>
    <x v="23"/>
    <x v="3"/>
    <x v="1"/>
    <x v="1"/>
    <x v="1"/>
    <n v="20"/>
    <x v="5"/>
    <x v="2"/>
    <m/>
  </r>
  <r>
    <n v="2715"/>
    <n v="53"/>
    <s v="Female"/>
    <x v="1"/>
    <x v="0"/>
    <n v="45"/>
    <s v="Iowa"/>
    <x v="1"/>
    <x v="8"/>
    <x v="0"/>
    <x v="2"/>
    <x v="1"/>
    <x v="1"/>
    <n v="16"/>
    <x v="2"/>
    <x v="4"/>
    <m/>
  </r>
  <r>
    <n v="2716"/>
    <n v="25"/>
    <s v="Female"/>
    <x v="4"/>
    <x v="1"/>
    <n v="92"/>
    <s v="Mississippi"/>
    <x v="3"/>
    <x v="6"/>
    <x v="0"/>
    <x v="18"/>
    <x v="1"/>
    <x v="1"/>
    <n v="29"/>
    <x v="3"/>
    <x v="0"/>
    <m/>
  </r>
  <r>
    <n v="2717"/>
    <n v="47"/>
    <s v="Female"/>
    <x v="9"/>
    <x v="1"/>
    <n v="40"/>
    <s v="Colorado"/>
    <x v="0"/>
    <x v="13"/>
    <x v="1"/>
    <x v="6"/>
    <x v="1"/>
    <x v="1"/>
    <n v="21"/>
    <x v="5"/>
    <x v="1"/>
    <m/>
  </r>
  <r>
    <n v="2718"/>
    <n v="18"/>
    <s v="Female"/>
    <x v="12"/>
    <x v="3"/>
    <n v="62"/>
    <s v="Nebraska"/>
    <x v="3"/>
    <x v="19"/>
    <x v="0"/>
    <x v="12"/>
    <x v="1"/>
    <x v="1"/>
    <n v="19"/>
    <x v="2"/>
    <x v="6"/>
    <m/>
  </r>
  <r>
    <n v="2719"/>
    <n v="22"/>
    <s v="Female"/>
    <x v="6"/>
    <x v="0"/>
    <n v="90"/>
    <s v="Virginia"/>
    <x v="2"/>
    <x v="15"/>
    <x v="0"/>
    <x v="17"/>
    <x v="1"/>
    <x v="1"/>
    <n v="10"/>
    <x v="0"/>
    <x v="4"/>
    <m/>
  </r>
  <r>
    <n v="2720"/>
    <n v="69"/>
    <s v="Female"/>
    <x v="15"/>
    <x v="0"/>
    <n v="82"/>
    <s v="Louisiana"/>
    <x v="1"/>
    <x v="15"/>
    <x v="3"/>
    <x v="13"/>
    <x v="1"/>
    <x v="1"/>
    <n v="4"/>
    <x v="4"/>
    <x v="5"/>
    <m/>
  </r>
  <r>
    <n v="2721"/>
    <n v="55"/>
    <s v="Female"/>
    <x v="18"/>
    <x v="3"/>
    <n v="52"/>
    <s v="Maryland"/>
    <x v="2"/>
    <x v="15"/>
    <x v="1"/>
    <x v="24"/>
    <x v="1"/>
    <x v="1"/>
    <n v="45"/>
    <x v="4"/>
    <x v="3"/>
    <m/>
  </r>
  <r>
    <n v="2722"/>
    <n v="19"/>
    <s v="Female"/>
    <x v="3"/>
    <x v="1"/>
    <n v="70"/>
    <s v="Minnesota"/>
    <x v="1"/>
    <x v="11"/>
    <x v="1"/>
    <x v="17"/>
    <x v="1"/>
    <x v="1"/>
    <n v="17"/>
    <x v="3"/>
    <x v="0"/>
    <m/>
  </r>
  <r>
    <n v="2723"/>
    <n v="23"/>
    <s v="Female"/>
    <x v="19"/>
    <x v="3"/>
    <n v="83"/>
    <s v="Maine"/>
    <x v="2"/>
    <x v="14"/>
    <x v="1"/>
    <x v="24"/>
    <x v="1"/>
    <x v="1"/>
    <n v="22"/>
    <x v="3"/>
    <x v="0"/>
    <m/>
  </r>
  <r>
    <n v="2724"/>
    <n v="54"/>
    <s v="Female"/>
    <x v="9"/>
    <x v="1"/>
    <n v="49"/>
    <s v="Texas"/>
    <x v="3"/>
    <x v="18"/>
    <x v="2"/>
    <x v="25"/>
    <x v="1"/>
    <x v="1"/>
    <n v="3"/>
    <x v="3"/>
    <x v="6"/>
    <m/>
  </r>
  <r>
    <n v="2725"/>
    <n v="52"/>
    <s v="Female"/>
    <x v="4"/>
    <x v="1"/>
    <n v="91"/>
    <s v="Missouri"/>
    <x v="2"/>
    <x v="18"/>
    <x v="1"/>
    <x v="16"/>
    <x v="1"/>
    <x v="1"/>
    <n v="11"/>
    <x v="5"/>
    <x v="0"/>
    <m/>
  </r>
  <r>
    <n v="2726"/>
    <n v="64"/>
    <s v="Female"/>
    <x v="21"/>
    <x v="3"/>
    <n v="99"/>
    <s v="Mississippi"/>
    <x v="1"/>
    <x v="10"/>
    <x v="2"/>
    <x v="6"/>
    <x v="1"/>
    <x v="1"/>
    <n v="4"/>
    <x v="5"/>
    <x v="2"/>
    <m/>
  </r>
  <r>
    <n v="2727"/>
    <n v="33"/>
    <s v="Female"/>
    <x v="22"/>
    <x v="3"/>
    <n v="92"/>
    <s v="Michigan"/>
    <x v="0"/>
    <x v="24"/>
    <x v="0"/>
    <x v="19"/>
    <x v="1"/>
    <x v="1"/>
    <n v="11"/>
    <x v="3"/>
    <x v="4"/>
    <m/>
  </r>
  <r>
    <n v="2728"/>
    <n v="40"/>
    <s v="Female"/>
    <x v="5"/>
    <x v="0"/>
    <n v="87"/>
    <s v="Colorado"/>
    <x v="0"/>
    <x v="4"/>
    <x v="0"/>
    <x v="5"/>
    <x v="1"/>
    <x v="1"/>
    <n v="47"/>
    <x v="2"/>
    <x v="0"/>
    <m/>
  </r>
  <r>
    <n v="2729"/>
    <n v="26"/>
    <s v="Female"/>
    <x v="11"/>
    <x v="0"/>
    <n v="28"/>
    <s v="Florida"/>
    <x v="2"/>
    <x v="6"/>
    <x v="0"/>
    <x v="8"/>
    <x v="1"/>
    <x v="1"/>
    <n v="17"/>
    <x v="5"/>
    <x v="1"/>
    <m/>
  </r>
  <r>
    <n v="2730"/>
    <n v="31"/>
    <s v="Female"/>
    <x v="24"/>
    <x v="3"/>
    <n v="71"/>
    <s v="Montana"/>
    <x v="1"/>
    <x v="10"/>
    <x v="2"/>
    <x v="18"/>
    <x v="1"/>
    <x v="1"/>
    <n v="32"/>
    <x v="2"/>
    <x v="5"/>
    <m/>
  </r>
  <r>
    <n v="2731"/>
    <n v="23"/>
    <s v="Female"/>
    <x v="24"/>
    <x v="3"/>
    <n v="32"/>
    <s v="Wisconsin"/>
    <x v="2"/>
    <x v="11"/>
    <x v="0"/>
    <x v="18"/>
    <x v="1"/>
    <x v="1"/>
    <n v="37"/>
    <x v="4"/>
    <x v="2"/>
    <m/>
  </r>
  <r>
    <n v="2732"/>
    <n v="52"/>
    <s v="Female"/>
    <x v="8"/>
    <x v="3"/>
    <n v="33"/>
    <s v="Wisconsin"/>
    <x v="2"/>
    <x v="16"/>
    <x v="2"/>
    <x v="16"/>
    <x v="1"/>
    <x v="1"/>
    <n v="44"/>
    <x v="4"/>
    <x v="3"/>
    <m/>
  </r>
  <r>
    <n v="2733"/>
    <n v="21"/>
    <s v="Female"/>
    <x v="20"/>
    <x v="0"/>
    <n v="75"/>
    <s v="Delaware"/>
    <x v="0"/>
    <x v="20"/>
    <x v="0"/>
    <x v="13"/>
    <x v="1"/>
    <x v="1"/>
    <n v="27"/>
    <x v="5"/>
    <x v="6"/>
    <m/>
  </r>
  <r>
    <n v="2734"/>
    <n v="31"/>
    <s v="Female"/>
    <x v="21"/>
    <x v="3"/>
    <n v="83"/>
    <s v="North Carolina"/>
    <x v="2"/>
    <x v="23"/>
    <x v="2"/>
    <x v="15"/>
    <x v="1"/>
    <x v="1"/>
    <n v="46"/>
    <x v="3"/>
    <x v="2"/>
    <m/>
  </r>
  <r>
    <n v="2735"/>
    <n v="63"/>
    <s v="Female"/>
    <x v="2"/>
    <x v="0"/>
    <n v="93"/>
    <s v="New York"/>
    <x v="3"/>
    <x v="22"/>
    <x v="2"/>
    <x v="6"/>
    <x v="1"/>
    <x v="1"/>
    <n v="13"/>
    <x v="1"/>
    <x v="4"/>
    <m/>
  </r>
  <r>
    <n v="2736"/>
    <n v="46"/>
    <s v="Female"/>
    <x v="11"/>
    <x v="0"/>
    <n v="29"/>
    <s v="California"/>
    <x v="2"/>
    <x v="22"/>
    <x v="1"/>
    <x v="23"/>
    <x v="1"/>
    <x v="1"/>
    <n v="2"/>
    <x v="3"/>
    <x v="4"/>
    <m/>
  </r>
  <r>
    <n v="2737"/>
    <n v="44"/>
    <s v="Female"/>
    <x v="15"/>
    <x v="0"/>
    <n v="25"/>
    <s v="Montana"/>
    <x v="2"/>
    <x v="6"/>
    <x v="1"/>
    <x v="3"/>
    <x v="1"/>
    <x v="1"/>
    <n v="45"/>
    <x v="2"/>
    <x v="2"/>
    <m/>
  </r>
  <r>
    <n v="2738"/>
    <n v="57"/>
    <s v="Female"/>
    <x v="16"/>
    <x v="3"/>
    <n v="76"/>
    <s v="North Carolina"/>
    <x v="1"/>
    <x v="21"/>
    <x v="1"/>
    <x v="9"/>
    <x v="1"/>
    <x v="1"/>
    <n v="35"/>
    <x v="1"/>
    <x v="6"/>
    <m/>
  </r>
  <r>
    <n v="2739"/>
    <n v="50"/>
    <s v="Female"/>
    <x v="4"/>
    <x v="1"/>
    <n v="81"/>
    <s v="Ohio"/>
    <x v="2"/>
    <x v="4"/>
    <x v="2"/>
    <x v="12"/>
    <x v="1"/>
    <x v="1"/>
    <n v="39"/>
    <x v="0"/>
    <x v="6"/>
    <m/>
  </r>
  <r>
    <n v="2740"/>
    <n v="33"/>
    <s v="Female"/>
    <x v="5"/>
    <x v="0"/>
    <n v="80"/>
    <s v="Alaska"/>
    <x v="3"/>
    <x v="24"/>
    <x v="0"/>
    <x v="16"/>
    <x v="1"/>
    <x v="1"/>
    <n v="39"/>
    <x v="2"/>
    <x v="6"/>
    <m/>
  </r>
  <r>
    <n v="2741"/>
    <n v="19"/>
    <s v="Female"/>
    <x v="12"/>
    <x v="3"/>
    <n v="70"/>
    <s v="Pennsylvania"/>
    <x v="2"/>
    <x v="12"/>
    <x v="2"/>
    <x v="17"/>
    <x v="1"/>
    <x v="1"/>
    <n v="34"/>
    <x v="4"/>
    <x v="0"/>
    <m/>
  </r>
  <r>
    <n v="2742"/>
    <n v="68"/>
    <s v="Female"/>
    <x v="10"/>
    <x v="0"/>
    <n v="81"/>
    <s v="Maine"/>
    <x v="0"/>
    <x v="22"/>
    <x v="3"/>
    <x v="17"/>
    <x v="1"/>
    <x v="1"/>
    <n v="41"/>
    <x v="0"/>
    <x v="5"/>
    <m/>
  </r>
  <r>
    <n v="2743"/>
    <n v="27"/>
    <s v="Female"/>
    <x v="9"/>
    <x v="1"/>
    <n v="86"/>
    <s v="Texas"/>
    <x v="2"/>
    <x v="13"/>
    <x v="1"/>
    <x v="14"/>
    <x v="1"/>
    <x v="1"/>
    <n v="47"/>
    <x v="5"/>
    <x v="2"/>
    <m/>
  </r>
  <r>
    <n v="2744"/>
    <n v="61"/>
    <s v="Female"/>
    <x v="22"/>
    <x v="3"/>
    <n v="94"/>
    <s v="New Jersey"/>
    <x v="1"/>
    <x v="19"/>
    <x v="3"/>
    <x v="18"/>
    <x v="1"/>
    <x v="1"/>
    <n v="17"/>
    <x v="0"/>
    <x v="3"/>
    <m/>
  </r>
  <r>
    <n v="2745"/>
    <n v="38"/>
    <s v="Female"/>
    <x v="5"/>
    <x v="0"/>
    <n v="66"/>
    <s v="Wyoming"/>
    <x v="2"/>
    <x v="5"/>
    <x v="0"/>
    <x v="19"/>
    <x v="1"/>
    <x v="1"/>
    <n v="40"/>
    <x v="2"/>
    <x v="5"/>
    <m/>
  </r>
  <r>
    <n v="2746"/>
    <n v="28"/>
    <s v="Female"/>
    <x v="23"/>
    <x v="1"/>
    <n v="98"/>
    <s v="Michigan"/>
    <x v="2"/>
    <x v="23"/>
    <x v="2"/>
    <x v="18"/>
    <x v="1"/>
    <x v="1"/>
    <n v="44"/>
    <x v="3"/>
    <x v="4"/>
    <m/>
  </r>
  <r>
    <n v="2747"/>
    <n v="39"/>
    <s v="Female"/>
    <x v="15"/>
    <x v="0"/>
    <n v="25"/>
    <s v="Ohio"/>
    <x v="2"/>
    <x v="20"/>
    <x v="3"/>
    <x v="5"/>
    <x v="1"/>
    <x v="1"/>
    <n v="21"/>
    <x v="3"/>
    <x v="6"/>
    <m/>
  </r>
  <r>
    <n v="2748"/>
    <n v="18"/>
    <s v="Female"/>
    <x v="2"/>
    <x v="0"/>
    <n v="62"/>
    <s v="West Virginia"/>
    <x v="2"/>
    <x v="11"/>
    <x v="0"/>
    <x v="0"/>
    <x v="1"/>
    <x v="1"/>
    <n v="21"/>
    <x v="2"/>
    <x v="6"/>
    <m/>
  </r>
  <r>
    <n v="2749"/>
    <n v="24"/>
    <s v="Female"/>
    <x v="14"/>
    <x v="2"/>
    <n v="98"/>
    <s v="Virginia"/>
    <x v="0"/>
    <x v="2"/>
    <x v="1"/>
    <x v="23"/>
    <x v="1"/>
    <x v="1"/>
    <n v="16"/>
    <x v="0"/>
    <x v="2"/>
    <m/>
  </r>
  <r>
    <n v="2750"/>
    <n v="64"/>
    <s v="Female"/>
    <x v="14"/>
    <x v="2"/>
    <n v="53"/>
    <s v="Vermont"/>
    <x v="2"/>
    <x v="17"/>
    <x v="1"/>
    <x v="10"/>
    <x v="1"/>
    <x v="1"/>
    <n v="15"/>
    <x v="4"/>
    <x v="2"/>
    <m/>
  </r>
  <r>
    <n v="2751"/>
    <n v="51"/>
    <s v="Female"/>
    <x v="3"/>
    <x v="1"/>
    <n v="66"/>
    <s v="Alaska"/>
    <x v="0"/>
    <x v="6"/>
    <x v="1"/>
    <x v="6"/>
    <x v="1"/>
    <x v="1"/>
    <n v="26"/>
    <x v="3"/>
    <x v="6"/>
    <m/>
  </r>
  <r>
    <n v="2752"/>
    <n v="27"/>
    <s v="Female"/>
    <x v="10"/>
    <x v="0"/>
    <n v="52"/>
    <s v="Minnesota"/>
    <x v="1"/>
    <x v="21"/>
    <x v="3"/>
    <x v="0"/>
    <x v="1"/>
    <x v="1"/>
    <n v="50"/>
    <x v="0"/>
    <x v="5"/>
    <m/>
  </r>
  <r>
    <n v="2753"/>
    <n v="48"/>
    <s v="Female"/>
    <x v="1"/>
    <x v="0"/>
    <n v="64"/>
    <s v="Colorado"/>
    <x v="1"/>
    <x v="15"/>
    <x v="0"/>
    <x v="8"/>
    <x v="1"/>
    <x v="1"/>
    <n v="30"/>
    <x v="0"/>
    <x v="4"/>
    <m/>
  </r>
  <r>
    <n v="2754"/>
    <n v="69"/>
    <s v="Female"/>
    <x v="24"/>
    <x v="3"/>
    <n v="59"/>
    <s v="Rhode Island"/>
    <x v="2"/>
    <x v="19"/>
    <x v="1"/>
    <x v="2"/>
    <x v="1"/>
    <x v="1"/>
    <n v="48"/>
    <x v="3"/>
    <x v="3"/>
    <m/>
  </r>
  <r>
    <n v="2755"/>
    <n v="59"/>
    <s v="Female"/>
    <x v="12"/>
    <x v="3"/>
    <n v="61"/>
    <s v="New Jersey"/>
    <x v="0"/>
    <x v="9"/>
    <x v="2"/>
    <x v="2"/>
    <x v="1"/>
    <x v="1"/>
    <n v="21"/>
    <x v="0"/>
    <x v="4"/>
    <m/>
  </r>
  <r>
    <n v="2756"/>
    <n v="59"/>
    <s v="Female"/>
    <x v="22"/>
    <x v="3"/>
    <n v="97"/>
    <s v="Nevada"/>
    <x v="2"/>
    <x v="21"/>
    <x v="0"/>
    <x v="19"/>
    <x v="1"/>
    <x v="1"/>
    <n v="18"/>
    <x v="2"/>
    <x v="2"/>
    <m/>
  </r>
  <r>
    <n v="2757"/>
    <n v="42"/>
    <s v="Female"/>
    <x v="19"/>
    <x v="3"/>
    <n v="23"/>
    <s v="Minnesota"/>
    <x v="0"/>
    <x v="10"/>
    <x v="0"/>
    <x v="18"/>
    <x v="1"/>
    <x v="1"/>
    <n v="41"/>
    <x v="3"/>
    <x v="5"/>
    <m/>
  </r>
  <r>
    <n v="2758"/>
    <n v="39"/>
    <s v="Female"/>
    <x v="19"/>
    <x v="3"/>
    <n v="98"/>
    <s v="Delaware"/>
    <x v="3"/>
    <x v="18"/>
    <x v="3"/>
    <x v="12"/>
    <x v="1"/>
    <x v="1"/>
    <n v="11"/>
    <x v="0"/>
    <x v="5"/>
    <m/>
  </r>
  <r>
    <n v="2759"/>
    <n v="32"/>
    <s v="Female"/>
    <x v="0"/>
    <x v="0"/>
    <n v="98"/>
    <s v="Illinois"/>
    <x v="2"/>
    <x v="7"/>
    <x v="2"/>
    <x v="20"/>
    <x v="1"/>
    <x v="1"/>
    <n v="8"/>
    <x v="4"/>
    <x v="4"/>
    <m/>
  </r>
  <r>
    <n v="2760"/>
    <n v="68"/>
    <s v="Female"/>
    <x v="9"/>
    <x v="1"/>
    <n v="59"/>
    <s v="Washington"/>
    <x v="2"/>
    <x v="2"/>
    <x v="2"/>
    <x v="14"/>
    <x v="1"/>
    <x v="1"/>
    <n v="42"/>
    <x v="1"/>
    <x v="6"/>
    <m/>
  </r>
  <r>
    <n v="2761"/>
    <n v="41"/>
    <s v="Female"/>
    <x v="11"/>
    <x v="0"/>
    <n v="82"/>
    <s v="Alaska"/>
    <x v="1"/>
    <x v="10"/>
    <x v="3"/>
    <x v="11"/>
    <x v="1"/>
    <x v="1"/>
    <n v="41"/>
    <x v="2"/>
    <x v="4"/>
    <m/>
  </r>
  <r>
    <n v="2762"/>
    <n v="31"/>
    <s v="Female"/>
    <x v="4"/>
    <x v="1"/>
    <n v="82"/>
    <s v="Michigan"/>
    <x v="2"/>
    <x v="7"/>
    <x v="3"/>
    <x v="10"/>
    <x v="1"/>
    <x v="1"/>
    <n v="3"/>
    <x v="2"/>
    <x v="6"/>
    <m/>
  </r>
  <r>
    <n v="2763"/>
    <n v="58"/>
    <s v="Female"/>
    <x v="17"/>
    <x v="0"/>
    <n v="41"/>
    <s v="Georgia"/>
    <x v="2"/>
    <x v="4"/>
    <x v="3"/>
    <x v="1"/>
    <x v="1"/>
    <x v="1"/>
    <n v="10"/>
    <x v="5"/>
    <x v="6"/>
    <m/>
  </r>
  <r>
    <n v="2764"/>
    <n v="28"/>
    <s v="Female"/>
    <x v="8"/>
    <x v="3"/>
    <n v="52"/>
    <s v="West Virginia"/>
    <x v="2"/>
    <x v="14"/>
    <x v="3"/>
    <x v="25"/>
    <x v="1"/>
    <x v="1"/>
    <n v="35"/>
    <x v="0"/>
    <x v="3"/>
    <m/>
  </r>
  <r>
    <n v="2765"/>
    <n v="63"/>
    <s v="Female"/>
    <x v="1"/>
    <x v="0"/>
    <n v="41"/>
    <s v="Arizona"/>
    <x v="3"/>
    <x v="3"/>
    <x v="1"/>
    <x v="4"/>
    <x v="1"/>
    <x v="1"/>
    <n v="2"/>
    <x v="5"/>
    <x v="1"/>
    <m/>
  </r>
  <r>
    <n v="2766"/>
    <n v="64"/>
    <s v="Female"/>
    <x v="24"/>
    <x v="3"/>
    <n v="70"/>
    <s v="Colorado"/>
    <x v="2"/>
    <x v="7"/>
    <x v="2"/>
    <x v="12"/>
    <x v="1"/>
    <x v="1"/>
    <n v="24"/>
    <x v="2"/>
    <x v="3"/>
    <m/>
  </r>
  <r>
    <n v="2767"/>
    <n v="66"/>
    <s v="Female"/>
    <x v="10"/>
    <x v="0"/>
    <n v="91"/>
    <s v="Tennessee"/>
    <x v="2"/>
    <x v="17"/>
    <x v="0"/>
    <x v="24"/>
    <x v="1"/>
    <x v="1"/>
    <n v="47"/>
    <x v="2"/>
    <x v="5"/>
    <m/>
  </r>
  <r>
    <n v="2768"/>
    <n v="31"/>
    <s v="Female"/>
    <x v="10"/>
    <x v="0"/>
    <n v="95"/>
    <s v="Iowa"/>
    <x v="2"/>
    <x v="14"/>
    <x v="1"/>
    <x v="21"/>
    <x v="1"/>
    <x v="1"/>
    <n v="31"/>
    <x v="1"/>
    <x v="5"/>
    <m/>
  </r>
  <r>
    <n v="2769"/>
    <n v="55"/>
    <s v="Female"/>
    <x v="0"/>
    <x v="0"/>
    <n v="25"/>
    <s v="Kansas"/>
    <x v="2"/>
    <x v="19"/>
    <x v="1"/>
    <x v="1"/>
    <x v="1"/>
    <x v="1"/>
    <n v="28"/>
    <x v="3"/>
    <x v="4"/>
    <m/>
  </r>
  <r>
    <n v="2770"/>
    <n v="32"/>
    <s v="Female"/>
    <x v="5"/>
    <x v="0"/>
    <n v="89"/>
    <s v="Oklahoma"/>
    <x v="0"/>
    <x v="12"/>
    <x v="3"/>
    <x v="23"/>
    <x v="1"/>
    <x v="1"/>
    <n v="13"/>
    <x v="1"/>
    <x v="1"/>
    <m/>
  </r>
  <r>
    <n v="2771"/>
    <n v="50"/>
    <s v="Female"/>
    <x v="23"/>
    <x v="1"/>
    <n v="44"/>
    <s v="Nebraska"/>
    <x v="1"/>
    <x v="24"/>
    <x v="3"/>
    <x v="19"/>
    <x v="1"/>
    <x v="1"/>
    <n v="22"/>
    <x v="4"/>
    <x v="3"/>
    <m/>
  </r>
  <r>
    <n v="2772"/>
    <n v="58"/>
    <s v="Female"/>
    <x v="14"/>
    <x v="2"/>
    <n v="52"/>
    <s v="Maryland"/>
    <x v="1"/>
    <x v="19"/>
    <x v="2"/>
    <x v="0"/>
    <x v="1"/>
    <x v="1"/>
    <n v="12"/>
    <x v="4"/>
    <x v="0"/>
    <m/>
  </r>
  <r>
    <n v="2773"/>
    <n v="18"/>
    <s v="Female"/>
    <x v="21"/>
    <x v="3"/>
    <n v="94"/>
    <s v="Pennsylvania"/>
    <x v="0"/>
    <x v="24"/>
    <x v="1"/>
    <x v="22"/>
    <x v="1"/>
    <x v="1"/>
    <n v="10"/>
    <x v="4"/>
    <x v="6"/>
    <m/>
  </r>
  <r>
    <n v="2774"/>
    <n v="39"/>
    <s v="Female"/>
    <x v="13"/>
    <x v="0"/>
    <n v="98"/>
    <s v="Arizona"/>
    <x v="1"/>
    <x v="1"/>
    <x v="1"/>
    <x v="7"/>
    <x v="1"/>
    <x v="1"/>
    <n v="45"/>
    <x v="4"/>
    <x v="3"/>
    <m/>
  </r>
  <r>
    <n v="2775"/>
    <n v="56"/>
    <s v="Female"/>
    <x v="23"/>
    <x v="1"/>
    <n v="40"/>
    <s v="Oklahoma"/>
    <x v="0"/>
    <x v="22"/>
    <x v="3"/>
    <x v="18"/>
    <x v="1"/>
    <x v="1"/>
    <n v="42"/>
    <x v="2"/>
    <x v="3"/>
    <m/>
  </r>
  <r>
    <n v="2776"/>
    <n v="37"/>
    <s v="Female"/>
    <x v="20"/>
    <x v="0"/>
    <n v="25"/>
    <s v="Montana"/>
    <x v="0"/>
    <x v="16"/>
    <x v="3"/>
    <x v="2"/>
    <x v="1"/>
    <x v="1"/>
    <n v="16"/>
    <x v="5"/>
    <x v="1"/>
    <m/>
  </r>
  <r>
    <n v="2777"/>
    <n v="46"/>
    <s v="Female"/>
    <x v="18"/>
    <x v="3"/>
    <n v="62"/>
    <s v="Wyoming"/>
    <x v="0"/>
    <x v="14"/>
    <x v="3"/>
    <x v="25"/>
    <x v="1"/>
    <x v="1"/>
    <n v="6"/>
    <x v="4"/>
    <x v="2"/>
    <m/>
  </r>
  <r>
    <n v="2778"/>
    <n v="52"/>
    <s v="Female"/>
    <x v="0"/>
    <x v="0"/>
    <n v="24"/>
    <s v="Idaho"/>
    <x v="2"/>
    <x v="23"/>
    <x v="3"/>
    <x v="3"/>
    <x v="1"/>
    <x v="1"/>
    <n v="28"/>
    <x v="2"/>
    <x v="6"/>
    <m/>
  </r>
  <r>
    <n v="2779"/>
    <n v="70"/>
    <s v="Female"/>
    <x v="22"/>
    <x v="3"/>
    <n v="57"/>
    <s v="Pennsylvania"/>
    <x v="0"/>
    <x v="22"/>
    <x v="1"/>
    <x v="20"/>
    <x v="1"/>
    <x v="1"/>
    <n v="24"/>
    <x v="2"/>
    <x v="4"/>
    <m/>
  </r>
  <r>
    <n v="2780"/>
    <n v="61"/>
    <s v="Female"/>
    <x v="12"/>
    <x v="3"/>
    <n v="66"/>
    <s v="Montana"/>
    <x v="0"/>
    <x v="24"/>
    <x v="0"/>
    <x v="12"/>
    <x v="1"/>
    <x v="1"/>
    <n v="14"/>
    <x v="2"/>
    <x v="0"/>
    <m/>
  </r>
  <r>
    <n v="2781"/>
    <n v="33"/>
    <s v="Female"/>
    <x v="23"/>
    <x v="1"/>
    <n v="70"/>
    <s v="Ohio"/>
    <x v="2"/>
    <x v="4"/>
    <x v="0"/>
    <x v="18"/>
    <x v="1"/>
    <x v="1"/>
    <n v="29"/>
    <x v="3"/>
    <x v="0"/>
    <m/>
  </r>
  <r>
    <n v="2782"/>
    <n v="65"/>
    <s v="Female"/>
    <x v="3"/>
    <x v="1"/>
    <n v="39"/>
    <s v="Mississippi"/>
    <x v="2"/>
    <x v="24"/>
    <x v="1"/>
    <x v="7"/>
    <x v="1"/>
    <x v="1"/>
    <n v="33"/>
    <x v="3"/>
    <x v="1"/>
    <m/>
  </r>
  <r>
    <n v="2783"/>
    <n v="41"/>
    <s v="Female"/>
    <x v="24"/>
    <x v="3"/>
    <n v="34"/>
    <s v="Idaho"/>
    <x v="1"/>
    <x v="17"/>
    <x v="1"/>
    <x v="1"/>
    <x v="1"/>
    <x v="1"/>
    <n v="30"/>
    <x v="3"/>
    <x v="2"/>
    <m/>
  </r>
  <r>
    <n v="2784"/>
    <n v="19"/>
    <s v="Female"/>
    <x v="11"/>
    <x v="0"/>
    <n v="38"/>
    <s v="Virginia"/>
    <x v="2"/>
    <x v="5"/>
    <x v="1"/>
    <x v="21"/>
    <x v="1"/>
    <x v="1"/>
    <n v="26"/>
    <x v="2"/>
    <x v="3"/>
    <m/>
  </r>
  <r>
    <n v="2785"/>
    <n v="33"/>
    <s v="Female"/>
    <x v="11"/>
    <x v="0"/>
    <n v="70"/>
    <s v="Idaho"/>
    <x v="2"/>
    <x v="13"/>
    <x v="0"/>
    <x v="0"/>
    <x v="1"/>
    <x v="1"/>
    <n v="12"/>
    <x v="3"/>
    <x v="6"/>
    <m/>
  </r>
  <r>
    <n v="2786"/>
    <n v="53"/>
    <s v="Female"/>
    <x v="0"/>
    <x v="0"/>
    <n v="80"/>
    <s v="Louisiana"/>
    <x v="1"/>
    <x v="14"/>
    <x v="2"/>
    <x v="25"/>
    <x v="1"/>
    <x v="1"/>
    <n v="13"/>
    <x v="4"/>
    <x v="5"/>
    <m/>
  </r>
  <r>
    <n v="2787"/>
    <n v="54"/>
    <s v="Female"/>
    <x v="8"/>
    <x v="3"/>
    <n v="51"/>
    <s v="Colorado"/>
    <x v="2"/>
    <x v="10"/>
    <x v="1"/>
    <x v="1"/>
    <x v="1"/>
    <x v="1"/>
    <n v="41"/>
    <x v="5"/>
    <x v="6"/>
    <m/>
  </r>
  <r>
    <n v="2788"/>
    <n v="36"/>
    <s v="Female"/>
    <x v="23"/>
    <x v="1"/>
    <n v="79"/>
    <s v="West Virginia"/>
    <x v="3"/>
    <x v="6"/>
    <x v="1"/>
    <x v="18"/>
    <x v="1"/>
    <x v="1"/>
    <n v="4"/>
    <x v="0"/>
    <x v="0"/>
    <m/>
  </r>
  <r>
    <n v="2789"/>
    <n v="56"/>
    <s v="Female"/>
    <x v="23"/>
    <x v="1"/>
    <n v="92"/>
    <s v="Rhode Island"/>
    <x v="2"/>
    <x v="8"/>
    <x v="2"/>
    <x v="0"/>
    <x v="1"/>
    <x v="1"/>
    <n v="2"/>
    <x v="2"/>
    <x v="2"/>
    <m/>
  </r>
  <r>
    <n v="2790"/>
    <n v="28"/>
    <s v="Female"/>
    <x v="1"/>
    <x v="0"/>
    <n v="85"/>
    <s v="North Carolina"/>
    <x v="0"/>
    <x v="20"/>
    <x v="3"/>
    <x v="11"/>
    <x v="1"/>
    <x v="1"/>
    <n v="28"/>
    <x v="2"/>
    <x v="4"/>
    <m/>
  </r>
  <r>
    <n v="2791"/>
    <n v="34"/>
    <s v="Female"/>
    <x v="20"/>
    <x v="0"/>
    <n v="63"/>
    <s v="Maine"/>
    <x v="2"/>
    <x v="13"/>
    <x v="1"/>
    <x v="21"/>
    <x v="1"/>
    <x v="1"/>
    <n v="24"/>
    <x v="5"/>
    <x v="2"/>
    <m/>
  </r>
  <r>
    <n v="2792"/>
    <n v="43"/>
    <s v="Female"/>
    <x v="24"/>
    <x v="3"/>
    <n v="60"/>
    <s v="Iowa"/>
    <x v="2"/>
    <x v="22"/>
    <x v="3"/>
    <x v="24"/>
    <x v="1"/>
    <x v="1"/>
    <n v="14"/>
    <x v="0"/>
    <x v="0"/>
    <m/>
  </r>
  <r>
    <n v="2793"/>
    <n v="54"/>
    <s v="Female"/>
    <x v="6"/>
    <x v="0"/>
    <n v="44"/>
    <s v="Kentucky"/>
    <x v="0"/>
    <x v="10"/>
    <x v="0"/>
    <x v="20"/>
    <x v="1"/>
    <x v="1"/>
    <n v="11"/>
    <x v="2"/>
    <x v="1"/>
    <m/>
  </r>
  <r>
    <n v="2794"/>
    <n v="37"/>
    <s v="Female"/>
    <x v="23"/>
    <x v="1"/>
    <n v="57"/>
    <s v="Massachusetts"/>
    <x v="2"/>
    <x v="5"/>
    <x v="1"/>
    <x v="0"/>
    <x v="1"/>
    <x v="1"/>
    <n v="27"/>
    <x v="5"/>
    <x v="4"/>
    <m/>
  </r>
  <r>
    <n v="2795"/>
    <n v="33"/>
    <s v="Female"/>
    <x v="14"/>
    <x v="2"/>
    <n v="24"/>
    <s v="New York"/>
    <x v="2"/>
    <x v="9"/>
    <x v="3"/>
    <x v="19"/>
    <x v="1"/>
    <x v="1"/>
    <n v="7"/>
    <x v="1"/>
    <x v="0"/>
    <m/>
  </r>
  <r>
    <n v="2796"/>
    <n v="33"/>
    <s v="Female"/>
    <x v="18"/>
    <x v="3"/>
    <n v="35"/>
    <s v="Nebraska"/>
    <x v="2"/>
    <x v="23"/>
    <x v="0"/>
    <x v="10"/>
    <x v="1"/>
    <x v="1"/>
    <n v="49"/>
    <x v="3"/>
    <x v="2"/>
    <m/>
  </r>
  <r>
    <n v="2797"/>
    <n v="55"/>
    <s v="Female"/>
    <x v="14"/>
    <x v="2"/>
    <n v="73"/>
    <s v="Oklahoma"/>
    <x v="2"/>
    <x v="16"/>
    <x v="0"/>
    <x v="1"/>
    <x v="1"/>
    <x v="1"/>
    <n v="21"/>
    <x v="1"/>
    <x v="2"/>
    <m/>
  </r>
  <r>
    <n v="2798"/>
    <n v="63"/>
    <s v="Female"/>
    <x v="16"/>
    <x v="3"/>
    <n v="42"/>
    <s v="Oklahoma"/>
    <x v="2"/>
    <x v="14"/>
    <x v="0"/>
    <x v="22"/>
    <x v="1"/>
    <x v="1"/>
    <n v="10"/>
    <x v="0"/>
    <x v="6"/>
    <m/>
  </r>
  <r>
    <n v="2799"/>
    <n v="52"/>
    <s v="Female"/>
    <x v="15"/>
    <x v="0"/>
    <n v="20"/>
    <s v="Rhode Island"/>
    <x v="3"/>
    <x v="16"/>
    <x v="0"/>
    <x v="3"/>
    <x v="1"/>
    <x v="1"/>
    <n v="37"/>
    <x v="3"/>
    <x v="1"/>
    <m/>
  </r>
  <r>
    <n v="2800"/>
    <n v="23"/>
    <s v="Female"/>
    <x v="17"/>
    <x v="0"/>
    <n v="89"/>
    <s v="Maine"/>
    <x v="0"/>
    <x v="6"/>
    <x v="1"/>
    <x v="14"/>
    <x v="1"/>
    <x v="1"/>
    <n v="9"/>
    <x v="4"/>
    <x v="6"/>
    <m/>
  </r>
  <r>
    <n v="2801"/>
    <n v="70"/>
    <s v="Female"/>
    <x v="5"/>
    <x v="0"/>
    <n v="76"/>
    <s v="Arkansas"/>
    <x v="0"/>
    <x v="10"/>
    <x v="3"/>
    <x v="10"/>
    <x v="1"/>
    <x v="1"/>
    <n v="14"/>
    <x v="1"/>
    <x v="4"/>
    <m/>
  </r>
  <r>
    <n v="2802"/>
    <n v="64"/>
    <s v="Female"/>
    <x v="5"/>
    <x v="0"/>
    <n v="56"/>
    <s v="New Mexico"/>
    <x v="2"/>
    <x v="21"/>
    <x v="0"/>
    <x v="4"/>
    <x v="1"/>
    <x v="1"/>
    <n v="30"/>
    <x v="3"/>
    <x v="2"/>
    <m/>
  </r>
  <r>
    <n v="2803"/>
    <n v="22"/>
    <s v="Female"/>
    <x v="7"/>
    <x v="2"/>
    <n v="100"/>
    <s v="Hawaii"/>
    <x v="0"/>
    <x v="16"/>
    <x v="3"/>
    <x v="0"/>
    <x v="1"/>
    <x v="1"/>
    <n v="42"/>
    <x v="2"/>
    <x v="0"/>
    <m/>
  </r>
  <r>
    <n v="2804"/>
    <n v="46"/>
    <s v="Female"/>
    <x v="17"/>
    <x v="0"/>
    <n v="44"/>
    <s v="Idaho"/>
    <x v="2"/>
    <x v="10"/>
    <x v="0"/>
    <x v="19"/>
    <x v="1"/>
    <x v="1"/>
    <n v="31"/>
    <x v="4"/>
    <x v="5"/>
    <m/>
  </r>
  <r>
    <n v="2805"/>
    <n v="65"/>
    <s v="Female"/>
    <x v="15"/>
    <x v="0"/>
    <n v="76"/>
    <s v="South Carolina"/>
    <x v="2"/>
    <x v="17"/>
    <x v="1"/>
    <x v="24"/>
    <x v="1"/>
    <x v="1"/>
    <n v="48"/>
    <x v="4"/>
    <x v="6"/>
    <m/>
  </r>
  <r>
    <n v="2806"/>
    <n v="18"/>
    <s v="Female"/>
    <x v="12"/>
    <x v="3"/>
    <n v="97"/>
    <s v="Nevada"/>
    <x v="1"/>
    <x v="13"/>
    <x v="3"/>
    <x v="12"/>
    <x v="1"/>
    <x v="1"/>
    <n v="48"/>
    <x v="1"/>
    <x v="3"/>
    <m/>
  </r>
  <r>
    <n v="2807"/>
    <n v="45"/>
    <s v="Female"/>
    <x v="0"/>
    <x v="0"/>
    <n v="39"/>
    <s v="South Carolina"/>
    <x v="0"/>
    <x v="7"/>
    <x v="1"/>
    <x v="6"/>
    <x v="1"/>
    <x v="1"/>
    <n v="50"/>
    <x v="2"/>
    <x v="2"/>
    <m/>
  </r>
  <r>
    <n v="2808"/>
    <n v="56"/>
    <s v="Female"/>
    <x v="15"/>
    <x v="0"/>
    <n v="100"/>
    <s v="Maryland"/>
    <x v="2"/>
    <x v="4"/>
    <x v="1"/>
    <x v="9"/>
    <x v="1"/>
    <x v="1"/>
    <n v="10"/>
    <x v="5"/>
    <x v="0"/>
    <m/>
  </r>
  <r>
    <n v="2809"/>
    <n v="49"/>
    <s v="Female"/>
    <x v="11"/>
    <x v="0"/>
    <n v="62"/>
    <s v="Tennessee"/>
    <x v="2"/>
    <x v="19"/>
    <x v="1"/>
    <x v="14"/>
    <x v="1"/>
    <x v="1"/>
    <n v="45"/>
    <x v="3"/>
    <x v="6"/>
    <m/>
  </r>
  <r>
    <n v="2810"/>
    <n v="66"/>
    <s v="Female"/>
    <x v="6"/>
    <x v="0"/>
    <n v="98"/>
    <s v="Arkansas"/>
    <x v="3"/>
    <x v="11"/>
    <x v="2"/>
    <x v="23"/>
    <x v="1"/>
    <x v="1"/>
    <n v="27"/>
    <x v="5"/>
    <x v="3"/>
    <m/>
  </r>
  <r>
    <n v="2811"/>
    <n v="27"/>
    <s v="Female"/>
    <x v="2"/>
    <x v="0"/>
    <n v="31"/>
    <s v="Arizona"/>
    <x v="2"/>
    <x v="7"/>
    <x v="2"/>
    <x v="8"/>
    <x v="1"/>
    <x v="1"/>
    <n v="10"/>
    <x v="5"/>
    <x v="0"/>
    <m/>
  </r>
  <r>
    <n v="2812"/>
    <n v="69"/>
    <s v="Female"/>
    <x v="14"/>
    <x v="2"/>
    <n v="89"/>
    <s v="Ohio"/>
    <x v="2"/>
    <x v="24"/>
    <x v="3"/>
    <x v="5"/>
    <x v="1"/>
    <x v="1"/>
    <n v="19"/>
    <x v="2"/>
    <x v="3"/>
    <m/>
  </r>
  <r>
    <n v="2813"/>
    <n v="66"/>
    <s v="Female"/>
    <x v="15"/>
    <x v="0"/>
    <n v="91"/>
    <s v="North Dakota"/>
    <x v="3"/>
    <x v="23"/>
    <x v="3"/>
    <x v="1"/>
    <x v="1"/>
    <x v="1"/>
    <n v="1"/>
    <x v="2"/>
    <x v="6"/>
    <m/>
  </r>
  <r>
    <n v="2814"/>
    <n v="45"/>
    <s v="Female"/>
    <x v="5"/>
    <x v="0"/>
    <n v="50"/>
    <s v="Vermont"/>
    <x v="1"/>
    <x v="1"/>
    <x v="2"/>
    <x v="19"/>
    <x v="1"/>
    <x v="1"/>
    <n v="39"/>
    <x v="5"/>
    <x v="3"/>
    <m/>
  </r>
  <r>
    <n v="2815"/>
    <n v="31"/>
    <s v="Female"/>
    <x v="17"/>
    <x v="0"/>
    <n v="32"/>
    <s v="Minnesota"/>
    <x v="0"/>
    <x v="9"/>
    <x v="0"/>
    <x v="2"/>
    <x v="1"/>
    <x v="1"/>
    <n v="14"/>
    <x v="4"/>
    <x v="5"/>
    <m/>
  </r>
  <r>
    <n v="2816"/>
    <n v="33"/>
    <s v="Female"/>
    <x v="0"/>
    <x v="0"/>
    <n v="67"/>
    <s v="Idaho"/>
    <x v="0"/>
    <x v="13"/>
    <x v="3"/>
    <x v="14"/>
    <x v="1"/>
    <x v="1"/>
    <n v="40"/>
    <x v="0"/>
    <x v="6"/>
    <m/>
  </r>
  <r>
    <n v="2817"/>
    <n v="43"/>
    <s v="Female"/>
    <x v="11"/>
    <x v="0"/>
    <n v="28"/>
    <s v="Maryland"/>
    <x v="2"/>
    <x v="13"/>
    <x v="1"/>
    <x v="22"/>
    <x v="1"/>
    <x v="1"/>
    <n v="45"/>
    <x v="0"/>
    <x v="1"/>
    <m/>
  </r>
  <r>
    <n v="2818"/>
    <n v="25"/>
    <s v="Female"/>
    <x v="21"/>
    <x v="3"/>
    <n v="65"/>
    <s v="South Carolina"/>
    <x v="3"/>
    <x v="22"/>
    <x v="0"/>
    <x v="10"/>
    <x v="1"/>
    <x v="1"/>
    <n v="6"/>
    <x v="0"/>
    <x v="1"/>
    <m/>
  </r>
  <r>
    <n v="2819"/>
    <n v="46"/>
    <s v="Female"/>
    <x v="6"/>
    <x v="0"/>
    <n v="73"/>
    <s v="California"/>
    <x v="2"/>
    <x v="2"/>
    <x v="3"/>
    <x v="15"/>
    <x v="1"/>
    <x v="1"/>
    <n v="12"/>
    <x v="5"/>
    <x v="2"/>
    <m/>
  </r>
  <r>
    <n v="2820"/>
    <n v="67"/>
    <s v="Female"/>
    <x v="5"/>
    <x v="0"/>
    <n v="27"/>
    <s v="Georgia"/>
    <x v="0"/>
    <x v="12"/>
    <x v="1"/>
    <x v="23"/>
    <x v="1"/>
    <x v="1"/>
    <n v="19"/>
    <x v="1"/>
    <x v="5"/>
    <m/>
  </r>
  <r>
    <n v="2821"/>
    <n v="26"/>
    <s v="Female"/>
    <x v="21"/>
    <x v="3"/>
    <n v="89"/>
    <s v="Vermont"/>
    <x v="0"/>
    <x v="22"/>
    <x v="2"/>
    <x v="14"/>
    <x v="1"/>
    <x v="1"/>
    <n v="5"/>
    <x v="1"/>
    <x v="4"/>
    <m/>
  </r>
  <r>
    <n v="2822"/>
    <n v="35"/>
    <s v="Female"/>
    <x v="9"/>
    <x v="1"/>
    <n v="72"/>
    <s v="Georgia"/>
    <x v="0"/>
    <x v="8"/>
    <x v="2"/>
    <x v="21"/>
    <x v="1"/>
    <x v="1"/>
    <n v="37"/>
    <x v="0"/>
    <x v="5"/>
    <m/>
  </r>
  <r>
    <n v="2823"/>
    <n v="61"/>
    <s v="Female"/>
    <x v="11"/>
    <x v="0"/>
    <n v="37"/>
    <s v="New Jersey"/>
    <x v="1"/>
    <x v="18"/>
    <x v="3"/>
    <x v="18"/>
    <x v="1"/>
    <x v="1"/>
    <n v="33"/>
    <x v="3"/>
    <x v="3"/>
    <m/>
  </r>
  <r>
    <n v="2824"/>
    <n v="26"/>
    <s v="Female"/>
    <x v="10"/>
    <x v="0"/>
    <n v="63"/>
    <s v="Utah"/>
    <x v="2"/>
    <x v="8"/>
    <x v="2"/>
    <x v="21"/>
    <x v="1"/>
    <x v="1"/>
    <n v="47"/>
    <x v="5"/>
    <x v="4"/>
    <m/>
  </r>
  <r>
    <n v="2825"/>
    <n v="39"/>
    <s v="Female"/>
    <x v="19"/>
    <x v="3"/>
    <n v="90"/>
    <s v="Utah"/>
    <x v="2"/>
    <x v="7"/>
    <x v="3"/>
    <x v="8"/>
    <x v="1"/>
    <x v="1"/>
    <n v="49"/>
    <x v="5"/>
    <x v="3"/>
    <m/>
  </r>
  <r>
    <n v="2826"/>
    <n v="69"/>
    <s v="Female"/>
    <x v="8"/>
    <x v="3"/>
    <n v="62"/>
    <s v="North Carolina"/>
    <x v="2"/>
    <x v="22"/>
    <x v="0"/>
    <x v="12"/>
    <x v="1"/>
    <x v="1"/>
    <n v="28"/>
    <x v="4"/>
    <x v="2"/>
    <m/>
  </r>
  <r>
    <n v="2827"/>
    <n v="32"/>
    <s v="Female"/>
    <x v="8"/>
    <x v="3"/>
    <n v="43"/>
    <s v="Florida"/>
    <x v="0"/>
    <x v="18"/>
    <x v="3"/>
    <x v="2"/>
    <x v="1"/>
    <x v="1"/>
    <n v="23"/>
    <x v="0"/>
    <x v="2"/>
    <m/>
  </r>
  <r>
    <n v="2828"/>
    <n v="20"/>
    <s v="Female"/>
    <x v="0"/>
    <x v="0"/>
    <n v="96"/>
    <s v="Wisconsin"/>
    <x v="2"/>
    <x v="23"/>
    <x v="3"/>
    <x v="0"/>
    <x v="1"/>
    <x v="1"/>
    <n v="11"/>
    <x v="4"/>
    <x v="4"/>
    <m/>
  </r>
  <r>
    <n v="2829"/>
    <n v="25"/>
    <s v="Female"/>
    <x v="18"/>
    <x v="3"/>
    <n v="83"/>
    <s v="Tennessee"/>
    <x v="0"/>
    <x v="12"/>
    <x v="3"/>
    <x v="4"/>
    <x v="1"/>
    <x v="1"/>
    <n v="33"/>
    <x v="3"/>
    <x v="3"/>
    <m/>
  </r>
  <r>
    <n v="2830"/>
    <n v="56"/>
    <s v="Female"/>
    <x v="16"/>
    <x v="3"/>
    <n v="67"/>
    <s v="Arizona"/>
    <x v="3"/>
    <x v="11"/>
    <x v="3"/>
    <x v="10"/>
    <x v="1"/>
    <x v="1"/>
    <n v="47"/>
    <x v="1"/>
    <x v="1"/>
    <m/>
  </r>
  <r>
    <n v="2831"/>
    <n v="63"/>
    <s v="Female"/>
    <x v="11"/>
    <x v="0"/>
    <n v="90"/>
    <s v="Oregon"/>
    <x v="0"/>
    <x v="17"/>
    <x v="1"/>
    <x v="25"/>
    <x v="1"/>
    <x v="1"/>
    <n v="13"/>
    <x v="0"/>
    <x v="6"/>
    <m/>
  </r>
  <r>
    <n v="2832"/>
    <n v="34"/>
    <s v="Female"/>
    <x v="15"/>
    <x v="0"/>
    <n v="53"/>
    <s v="Virginia"/>
    <x v="0"/>
    <x v="6"/>
    <x v="0"/>
    <x v="11"/>
    <x v="1"/>
    <x v="1"/>
    <n v="4"/>
    <x v="2"/>
    <x v="1"/>
    <m/>
  </r>
  <r>
    <n v="2833"/>
    <n v="29"/>
    <s v="Female"/>
    <x v="18"/>
    <x v="3"/>
    <n v="37"/>
    <s v="Maryland"/>
    <x v="2"/>
    <x v="23"/>
    <x v="2"/>
    <x v="7"/>
    <x v="1"/>
    <x v="1"/>
    <n v="40"/>
    <x v="3"/>
    <x v="3"/>
    <m/>
  </r>
  <r>
    <n v="2834"/>
    <n v="43"/>
    <s v="Female"/>
    <x v="2"/>
    <x v="0"/>
    <n v="56"/>
    <s v="Arkansas"/>
    <x v="2"/>
    <x v="11"/>
    <x v="3"/>
    <x v="19"/>
    <x v="1"/>
    <x v="1"/>
    <n v="19"/>
    <x v="1"/>
    <x v="5"/>
    <m/>
  </r>
  <r>
    <n v="2835"/>
    <n v="39"/>
    <s v="Female"/>
    <x v="14"/>
    <x v="2"/>
    <n v="43"/>
    <s v="Texas"/>
    <x v="2"/>
    <x v="21"/>
    <x v="3"/>
    <x v="25"/>
    <x v="1"/>
    <x v="1"/>
    <n v="17"/>
    <x v="2"/>
    <x v="1"/>
    <m/>
  </r>
  <r>
    <n v="2836"/>
    <n v="33"/>
    <s v="Female"/>
    <x v="17"/>
    <x v="0"/>
    <n v="84"/>
    <s v="Vermont"/>
    <x v="1"/>
    <x v="6"/>
    <x v="0"/>
    <x v="17"/>
    <x v="1"/>
    <x v="1"/>
    <n v="7"/>
    <x v="0"/>
    <x v="2"/>
    <m/>
  </r>
  <r>
    <n v="2837"/>
    <n v="51"/>
    <s v="Female"/>
    <x v="13"/>
    <x v="0"/>
    <n v="50"/>
    <s v="Wyoming"/>
    <x v="2"/>
    <x v="4"/>
    <x v="0"/>
    <x v="11"/>
    <x v="1"/>
    <x v="1"/>
    <n v="21"/>
    <x v="1"/>
    <x v="4"/>
    <m/>
  </r>
  <r>
    <n v="2838"/>
    <n v="65"/>
    <s v="Female"/>
    <x v="9"/>
    <x v="1"/>
    <n v="88"/>
    <s v="Alabama"/>
    <x v="2"/>
    <x v="18"/>
    <x v="2"/>
    <x v="21"/>
    <x v="1"/>
    <x v="1"/>
    <n v="44"/>
    <x v="3"/>
    <x v="1"/>
    <m/>
  </r>
  <r>
    <n v="2839"/>
    <n v="51"/>
    <s v="Female"/>
    <x v="14"/>
    <x v="2"/>
    <n v="50"/>
    <s v="Maine"/>
    <x v="2"/>
    <x v="24"/>
    <x v="3"/>
    <x v="5"/>
    <x v="1"/>
    <x v="1"/>
    <n v="2"/>
    <x v="4"/>
    <x v="1"/>
    <m/>
  </r>
  <r>
    <n v="2840"/>
    <n v="70"/>
    <s v="Female"/>
    <x v="18"/>
    <x v="3"/>
    <n v="80"/>
    <s v="South Dakota"/>
    <x v="0"/>
    <x v="11"/>
    <x v="2"/>
    <x v="24"/>
    <x v="1"/>
    <x v="1"/>
    <n v="30"/>
    <x v="4"/>
    <x v="5"/>
    <m/>
  </r>
  <r>
    <n v="2841"/>
    <n v="40"/>
    <s v="Female"/>
    <x v="17"/>
    <x v="0"/>
    <n v="47"/>
    <s v="West Virginia"/>
    <x v="0"/>
    <x v="6"/>
    <x v="1"/>
    <x v="22"/>
    <x v="1"/>
    <x v="1"/>
    <n v="41"/>
    <x v="1"/>
    <x v="2"/>
    <m/>
  </r>
  <r>
    <n v="2842"/>
    <n v="19"/>
    <s v="Female"/>
    <x v="10"/>
    <x v="0"/>
    <n v="33"/>
    <s v="Ohio"/>
    <x v="3"/>
    <x v="23"/>
    <x v="0"/>
    <x v="23"/>
    <x v="1"/>
    <x v="1"/>
    <n v="31"/>
    <x v="1"/>
    <x v="1"/>
    <m/>
  </r>
  <r>
    <n v="2843"/>
    <n v="28"/>
    <s v="Female"/>
    <x v="7"/>
    <x v="2"/>
    <n v="100"/>
    <s v="Arizona"/>
    <x v="0"/>
    <x v="14"/>
    <x v="3"/>
    <x v="12"/>
    <x v="1"/>
    <x v="1"/>
    <n v="48"/>
    <x v="5"/>
    <x v="3"/>
    <m/>
  </r>
  <r>
    <n v="2844"/>
    <n v="51"/>
    <s v="Female"/>
    <x v="1"/>
    <x v="0"/>
    <n v="26"/>
    <s v="Ohio"/>
    <x v="2"/>
    <x v="3"/>
    <x v="2"/>
    <x v="2"/>
    <x v="1"/>
    <x v="1"/>
    <n v="41"/>
    <x v="0"/>
    <x v="1"/>
    <m/>
  </r>
  <r>
    <n v="2845"/>
    <n v="32"/>
    <s v="Female"/>
    <x v="19"/>
    <x v="3"/>
    <n v="79"/>
    <s v="New Mexico"/>
    <x v="2"/>
    <x v="21"/>
    <x v="2"/>
    <x v="9"/>
    <x v="1"/>
    <x v="1"/>
    <n v="42"/>
    <x v="0"/>
    <x v="2"/>
    <m/>
  </r>
  <r>
    <n v="2846"/>
    <n v="26"/>
    <s v="Female"/>
    <x v="21"/>
    <x v="3"/>
    <n v="77"/>
    <s v="South Dakota"/>
    <x v="0"/>
    <x v="12"/>
    <x v="2"/>
    <x v="18"/>
    <x v="1"/>
    <x v="1"/>
    <n v="39"/>
    <x v="5"/>
    <x v="6"/>
    <m/>
  </r>
  <r>
    <n v="2847"/>
    <n v="50"/>
    <s v="Female"/>
    <x v="20"/>
    <x v="0"/>
    <n v="36"/>
    <s v="Oklahoma"/>
    <x v="3"/>
    <x v="13"/>
    <x v="3"/>
    <x v="24"/>
    <x v="1"/>
    <x v="1"/>
    <n v="15"/>
    <x v="3"/>
    <x v="4"/>
    <m/>
  </r>
  <r>
    <n v="2848"/>
    <n v="68"/>
    <s v="Female"/>
    <x v="16"/>
    <x v="3"/>
    <n v="21"/>
    <s v="Connecticut"/>
    <x v="0"/>
    <x v="4"/>
    <x v="0"/>
    <x v="24"/>
    <x v="1"/>
    <x v="1"/>
    <n v="3"/>
    <x v="3"/>
    <x v="6"/>
    <m/>
  </r>
  <r>
    <n v="2849"/>
    <n v="33"/>
    <s v="Female"/>
    <x v="23"/>
    <x v="1"/>
    <n v="72"/>
    <s v="Wisconsin"/>
    <x v="0"/>
    <x v="0"/>
    <x v="3"/>
    <x v="17"/>
    <x v="1"/>
    <x v="1"/>
    <n v="28"/>
    <x v="4"/>
    <x v="3"/>
    <m/>
  </r>
  <r>
    <n v="2850"/>
    <n v="56"/>
    <s v="Female"/>
    <x v="7"/>
    <x v="2"/>
    <n v="25"/>
    <s v="New Hampshire"/>
    <x v="2"/>
    <x v="9"/>
    <x v="1"/>
    <x v="18"/>
    <x v="1"/>
    <x v="1"/>
    <n v="27"/>
    <x v="3"/>
    <x v="4"/>
    <m/>
  </r>
  <r>
    <n v="2851"/>
    <n v="57"/>
    <s v="Female"/>
    <x v="1"/>
    <x v="0"/>
    <n v="79"/>
    <s v="Nebraska"/>
    <x v="2"/>
    <x v="5"/>
    <x v="1"/>
    <x v="23"/>
    <x v="1"/>
    <x v="1"/>
    <n v="36"/>
    <x v="5"/>
    <x v="2"/>
    <m/>
  </r>
  <r>
    <n v="2852"/>
    <n v="58"/>
    <s v="Female"/>
    <x v="0"/>
    <x v="0"/>
    <n v="73"/>
    <s v="Nevada"/>
    <x v="0"/>
    <x v="11"/>
    <x v="2"/>
    <x v="23"/>
    <x v="1"/>
    <x v="1"/>
    <n v="42"/>
    <x v="5"/>
    <x v="5"/>
    <m/>
  </r>
  <r>
    <n v="2853"/>
    <n v="40"/>
    <s v="Female"/>
    <x v="22"/>
    <x v="3"/>
    <n v="71"/>
    <s v="New York"/>
    <x v="2"/>
    <x v="23"/>
    <x v="1"/>
    <x v="23"/>
    <x v="1"/>
    <x v="1"/>
    <n v="30"/>
    <x v="0"/>
    <x v="1"/>
    <m/>
  </r>
  <r>
    <n v="2854"/>
    <n v="37"/>
    <s v="Female"/>
    <x v="19"/>
    <x v="3"/>
    <n v="48"/>
    <s v="Pennsylvania"/>
    <x v="2"/>
    <x v="23"/>
    <x v="0"/>
    <x v="20"/>
    <x v="1"/>
    <x v="1"/>
    <n v="9"/>
    <x v="3"/>
    <x v="1"/>
    <m/>
  </r>
  <r>
    <n v="2855"/>
    <n v="36"/>
    <s v="Female"/>
    <x v="3"/>
    <x v="1"/>
    <n v="28"/>
    <s v="Delaware"/>
    <x v="2"/>
    <x v="19"/>
    <x v="3"/>
    <x v="6"/>
    <x v="1"/>
    <x v="1"/>
    <n v="25"/>
    <x v="0"/>
    <x v="5"/>
    <m/>
  </r>
  <r>
    <n v="2856"/>
    <n v="29"/>
    <s v="Female"/>
    <x v="23"/>
    <x v="1"/>
    <n v="95"/>
    <s v="Mississippi"/>
    <x v="1"/>
    <x v="1"/>
    <x v="0"/>
    <x v="1"/>
    <x v="1"/>
    <x v="1"/>
    <n v="33"/>
    <x v="3"/>
    <x v="3"/>
    <m/>
  </r>
  <r>
    <n v="2857"/>
    <n v="65"/>
    <s v="Female"/>
    <x v="14"/>
    <x v="2"/>
    <n v="48"/>
    <s v="Iowa"/>
    <x v="2"/>
    <x v="21"/>
    <x v="0"/>
    <x v="22"/>
    <x v="1"/>
    <x v="1"/>
    <n v="31"/>
    <x v="2"/>
    <x v="5"/>
    <m/>
  </r>
  <r>
    <n v="2858"/>
    <n v="44"/>
    <s v="Female"/>
    <x v="10"/>
    <x v="0"/>
    <n v="93"/>
    <s v="Utah"/>
    <x v="1"/>
    <x v="1"/>
    <x v="1"/>
    <x v="1"/>
    <x v="1"/>
    <x v="1"/>
    <n v="35"/>
    <x v="5"/>
    <x v="5"/>
    <m/>
  </r>
  <r>
    <n v="2859"/>
    <n v="34"/>
    <s v="Female"/>
    <x v="2"/>
    <x v="0"/>
    <n v="87"/>
    <s v="Maryland"/>
    <x v="0"/>
    <x v="11"/>
    <x v="2"/>
    <x v="1"/>
    <x v="1"/>
    <x v="1"/>
    <n v="46"/>
    <x v="4"/>
    <x v="5"/>
    <m/>
  </r>
  <r>
    <n v="2860"/>
    <n v="31"/>
    <s v="Female"/>
    <x v="6"/>
    <x v="0"/>
    <n v="32"/>
    <s v="Utah"/>
    <x v="0"/>
    <x v="22"/>
    <x v="3"/>
    <x v="10"/>
    <x v="1"/>
    <x v="1"/>
    <n v="29"/>
    <x v="4"/>
    <x v="2"/>
    <m/>
  </r>
  <r>
    <n v="2861"/>
    <n v="28"/>
    <s v="Female"/>
    <x v="5"/>
    <x v="0"/>
    <n v="38"/>
    <s v="Rhode Island"/>
    <x v="2"/>
    <x v="9"/>
    <x v="1"/>
    <x v="25"/>
    <x v="1"/>
    <x v="1"/>
    <n v="49"/>
    <x v="4"/>
    <x v="1"/>
    <m/>
  </r>
  <r>
    <n v="2862"/>
    <n v="66"/>
    <s v="Female"/>
    <x v="7"/>
    <x v="2"/>
    <n v="54"/>
    <s v="Maryland"/>
    <x v="2"/>
    <x v="11"/>
    <x v="3"/>
    <x v="10"/>
    <x v="1"/>
    <x v="1"/>
    <n v="27"/>
    <x v="2"/>
    <x v="5"/>
    <m/>
  </r>
  <r>
    <n v="2863"/>
    <n v="68"/>
    <s v="Female"/>
    <x v="7"/>
    <x v="2"/>
    <n v="75"/>
    <s v="Hawaii"/>
    <x v="1"/>
    <x v="10"/>
    <x v="2"/>
    <x v="15"/>
    <x v="1"/>
    <x v="1"/>
    <n v="5"/>
    <x v="4"/>
    <x v="6"/>
    <m/>
  </r>
  <r>
    <n v="2864"/>
    <n v="37"/>
    <s v="Female"/>
    <x v="17"/>
    <x v="0"/>
    <n v="56"/>
    <s v="Connecticut"/>
    <x v="2"/>
    <x v="22"/>
    <x v="3"/>
    <x v="14"/>
    <x v="1"/>
    <x v="1"/>
    <n v="18"/>
    <x v="0"/>
    <x v="5"/>
    <m/>
  </r>
  <r>
    <n v="2865"/>
    <n v="58"/>
    <s v="Female"/>
    <x v="1"/>
    <x v="0"/>
    <n v="43"/>
    <s v="Illinois"/>
    <x v="1"/>
    <x v="1"/>
    <x v="3"/>
    <x v="2"/>
    <x v="1"/>
    <x v="1"/>
    <n v="31"/>
    <x v="0"/>
    <x v="1"/>
    <m/>
  </r>
  <r>
    <n v="2866"/>
    <n v="28"/>
    <s v="Female"/>
    <x v="11"/>
    <x v="0"/>
    <n v="97"/>
    <s v="California"/>
    <x v="2"/>
    <x v="5"/>
    <x v="3"/>
    <x v="5"/>
    <x v="1"/>
    <x v="1"/>
    <n v="27"/>
    <x v="1"/>
    <x v="0"/>
    <m/>
  </r>
  <r>
    <n v="2867"/>
    <n v="54"/>
    <s v="Female"/>
    <x v="0"/>
    <x v="0"/>
    <n v="75"/>
    <s v="Connecticut"/>
    <x v="1"/>
    <x v="10"/>
    <x v="2"/>
    <x v="0"/>
    <x v="1"/>
    <x v="1"/>
    <n v="19"/>
    <x v="1"/>
    <x v="2"/>
    <m/>
  </r>
  <r>
    <n v="2868"/>
    <n v="21"/>
    <s v="Female"/>
    <x v="4"/>
    <x v="1"/>
    <n v="55"/>
    <s v="Colorado"/>
    <x v="0"/>
    <x v="3"/>
    <x v="2"/>
    <x v="17"/>
    <x v="1"/>
    <x v="1"/>
    <n v="33"/>
    <x v="1"/>
    <x v="0"/>
    <m/>
  </r>
  <r>
    <n v="2869"/>
    <n v="45"/>
    <s v="Female"/>
    <x v="21"/>
    <x v="3"/>
    <n v="49"/>
    <s v="Colorado"/>
    <x v="2"/>
    <x v="13"/>
    <x v="0"/>
    <x v="4"/>
    <x v="1"/>
    <x v="1"/>
    <n v="42"/>
    <x v="3"/>
    <x v="6"/>
    <m/>
  </r>
  <r>
    <n v="2870"/>
    <n v="57"/>
    <s v="Female"/>
    <x v="20"/>
    <x v="0"/>
    <n v="58"/>
    <s v="Georgia"/>
    <x v="2"/>
    <x v="3"/>
    <x v="2"/>
    <x v="13"/>
    <x v="1"/>
    <x v="1"/>
    <n v="16"/>
    <x v="4"/>
    <x v="1"/>
    <m/>
  </r>
  <r>
    <n v="2871"/>
    <n v="47"/>
    <s v="Female"/>
    <x v="16"/>
    <x v="3"/>
    <n v="34"/>
    <s v="North Dakota"/>
    <x v="2"/>
    <x v="24"/>
    <x v="0"/>
    <x v="3"/>
    <x v="1"/>
    <x v="1"/>
    <n v="49"/>
    <x v="5"/>
    <x v="6"/>
    <m/>
  </r>
  <r>
    <n v="2872"/>
    <n v="46"/>
    <s v="Female"/>
    <x v="6"/>
    <x v="0"/>
    <n v="43"/>
    <s v="Idaho"/>
    <x v="1"/>
    <x v="13"/>
    <x v="2"/>
    <x v="6"/>
    <x v="1"/>
    <x v="1"/>
    <n v="40"/>
    <x v="0"/>
    <x v="4"/>
    <m/>
  </r>
  <r>
    <n v="2873"/>
    <n v="63"/>
    <s v="Female"/>
    <x v="16"/>
    <x v="3"/>
    <n v="48"/>
    <s v="Connecticut"/>
    <x v="0"/>
    <x v="8"/>
    <x v="3"/>
    <x v="4"/>
    <x v="1"/>
    <x v="1"/>
    <n v="5"/>
    <x v="1"/>
    <x v="2"/>
    <m/>
  </r>
  <r>
    <n v="2874"/>
    <n v="44"/>
    <s v="Female"/>
    <x v="1"/>
    <x v="0"/>
    <n v="40"/>
    <s v="Montana"/>
    <x v="2"/>
    <x v="11"/>
    <x v="1"/>
    <x v="4"/>
    <x v="1"/>
    <x v="1"/>
    <n v="8"/>
    <x v="4"/>
    <x v="5"/>
    <m/>
  </r>
  <r>
    <n v="2875"/>
    <n v="36"/>
    <s v="Female"/>
    <x v="5"/>
    <x v="0"/>
    <n v="29"/>
    <s v="Colorado"/>
    <x v="0"/>
    <x v="5"/>
    <x v="2"/>
    <x v="0"/>
    <x v="1"/>
    <x v="1"/>
    <n v="2"/>
    <x v="5"/>
    <x v="2"/>
    <m/>
  </r>
  <r>
    <n v="2876"/>
    <n v="24"/>
    <s v="Female"/>
    <x v="13"/>
    <x v="0"/>
    <n v="81"/>
    <s v="Kentucky"/>
    <x v="2"/>
    <x v="6"/>
    <x v="3"/>
    <x v="4"/>
    <x v="1"/>
    <x v="1"/>
    <n v="14"/>
    <x v="5"/>
    <x v="1"/>
    <m/>
  </r>
  <r>
    <n v="2877"/>
    <n v="65"/>
    <s v="Female"/>
    <x v="15"/>
    <x v="0"/>
    <n v="84"/>
    <s v="New Mexico"/>
    <x v="2"/>
    <x v="4"/>
    <x v="1"/>
    <x v="10"/>
    <x v="1"/>
    <x v="1"/>
    <n v="5"/>
    <x v="4"/>
    <x v="0"/>
    <m/>
  </r>
  <r>
    <n v="2878"/>
    <n v="32"/>
    <s v="Female"/>
    <x v="20"/>
    <x v="0"/>
    <n v="46"/>
    <s v="New Jersey"/>
    <x v="2"/>
    <x v="5"/>
    <x v="2"/>
    <x v="2"/>
    <x v="1"/>
    <x v="1"/>
    <n v="34"/>
    <x v="0"/>
    <x v="5"/>
    <m/>
  </r>
  <r>
    <n v="2879"/>
    <n v="63"/>
    <s v="Female"/>
    <x v="10"/>
    <x v="0"/>
    <n v="86"/>
    <s v="California"/>
    <x v="0"/>
    <x v="2"/>
    <x v="2"/>
    <x v="12"/>
    <x v="1"/>
    <x v="1"/>
    <n v="13"/>
    <x v="4"/>
    <x v="2"/>
    <m/>
  </r>
  <r>
    <n v="2880"/>
    <n v="62"/>
    <s v="Female"/>
    <x v="0"/>
    <x v="0"/>
    <n v="57"/>
    <s v="North Dakota"/>
    <x v="3"/>
    <x v="2"/>
    <x v="0"/>
    <x v="17"/>
    <x v="1"/>
    <x v="1"/>
    <n v="31"/>
    <x v="0"/>
    <x v="2"/>
    <m/>
  </r>
  <r>
    <n v="2881"/>
    <n v="19"/>
    <s v="Female"/>
    <x v="11"/>
    <x v="0"/>
    <n v="61"/>
    <s v="Florida"/>
    <x v="0"/>
    <x v="19"/>
    <x v="0"/>
    <x v="3"/>
    <x v="1"/>
    <x v="1"/>
    <n v="43"/>
    <x v="3"/>
    <x v="3"/>
    <m/>
  </r>
  <r>
    <n v="2882"/>
    <n v="38"/>
    <s v="Female"/>
    <x v="21"/>
    <x v="3"/>
    <n v="90"/>
    <s v="Texas"/>
    <x v="2"/>
    <x v="17"/>
    <x v="0"/>
    <x v="13"/>
    <x v="1"/>
    <x v="1"/>
    <n v="6"/>
    <x v="4"/>
    <x v="2"/>
    <m/>
  </r>
  <r>
    <n v="2883"/>
    <n v="59"/>
    <s v="Female"/>
    <x v="0"/>
    <x v="0"/>
    <n v="51"/>
    <s v="Oklahoma"/>
    <x v="0"/>
    <x v="9"/>
    <x v="0"/>
    <x v="4"/>
    <x v="1"/>
    <x v="1"/>
    <n v="23"/>
    <x v="2"/>
    <x v="4"/>
    <m/>
  </r>
  <r>
    <n v="2884"/>
    <n v="22"/>
    <s v="Female"/>
    <x v="20"/>
    <x v="0"/>
    <n v="48"/>
    <s v="Rhode Island"/>
    <x v="3"/>
    <x v="5"/>
    <x v="1"/>
    <x v="20"/>
    <x v="1"/>
    <x v="1"/>
    <n v="10"/>
    <x v="3"/>
    <x v="1"/>
    <m/>
  </r>
  <r>
    <n v="2885"/>
    <n v="55"/>
    <s v="Female"/>
    <x v="23"/>
    <x v="1"/>
    <n v="50"/>
    <s v="Arkansas"/>
    <x v="2"/>
    <x v="7"/>
    <x v="2"/>
    <x v="10"/>
    <x v="1"/>
    <x v="1"/>
    <n v="47"/>
    <x v="2"/>
    <x v="6"/>
    <m/>
  </r>
  <r>
    <n v="2886"/>
    <n v="29"/>
    <s v="Female"/>
    <x v="21"/>
    <x v="3"/>
    <n v="82"/>
    <s v="Nevada"/>
    <x v="2"/>
    <x v="22"/>
    <x v="2"/>
    <x v="22"/>
    <x v="1"/>
    <x v="1"/>
    <n v="14"/>
    <x v="2"/>
    <x v="4"/>
    <m/>
  </r>
  <r>
    <n v="2887"/>
    <n v="42"/>
    <s v="Female"/>
    <x v="19"/>
    <x v="3"/>
    <n v="33"/>
    <s v="Utah"/>
    <x v="0"/>
    <x v="24"/>
    <x v="1"/>
    <x v="13"/>
    <x v="1"/>
    <x v="1"/>
    <n v="29"/>
    <x v="3"/>
    <x v="1"/>
    <m/>
  </r>
  <r>
    <n v="2888"/>
    <n v="23"/>
    <s v="Female"/>
    <x v="3"/>
    <x v="1"/>
    <n v="28"/>
    <s v="Kentucky"/>
    <x v="0"/>
    <x v="24"/>
    <x v="0"/>
    <x v="24"/>
    <x v="1"/>
    <x v="1"/>
    <n v="12"/>
    <x v="1"/>
    <x v="4"/>
    <m/>
  </r>
  <r>
    <n v="2889"/>
    <n v="70"/>
    <s v="Female"/>
    <x v="15"/>
    <x v="0"/>
    <n v="42"/>
    <s v="Wisconsin"/>
    <x v="0"/>
    <x v="14"/>
    <x v="1"/>
    <x v="11"/>
    <x v="1"/>
    <x v="1"/>
    <n v="25"/>
    <x v="5"/>
    <x v="3"/>
    <m/>
  </r>
  <r>
    <n v="2890"/>
    <n v="64"/>
    <s v="Female"/>
    <x v="12"/>
    <x v="3"/>
    <n v="43"/>
    <s v="Minnesota"/>
    <x v="2"/>
    <x v="4"/>
    <x v="3"/>
    <x v="19"/>
    <x v="1"/>
    <x v="1"/>
    <n v="21"/>
    <x v="0"/>
    <x v="2"/>
    <m/>
  </r>
  <r>
    <n v="2891"/>
    <n v="39"/>
    <s v="Female"/>
    <x v="2"/>
    <x v="0"/>
    <n v="55"/>
    <s v="North Dakota"/>
    <x v="2"/>
    <x v="10"/>
    <x v="0"/>
    <x v="5"/>
    <x v="1"/>
    <x v="1"/>
    <n v="23"/>
    <x v="2"/>
    <x v="5"/>
    <m/>
  </r>
  <r>
    <n v="2892"/>
    <n v="47"/>
    <s v="Female"/>
    <x v="17"/>
    <x v="0"/>
    <n v="73"/>
    <s v="Ohio"/>
    <x v="3"/>
    <x v="13"/>
    <x v="0"/>
    <x v="16"/>
    <x v="1"/>
    <x v="1"/>
    <n v="10"/>
    <x v="3"/>
    <x v="5"/>
    <m/>
  </r>
  <r>
    <n v="2893"/>
    <n v="22"/>
    <s v="Female"/>
    <x v="10"/>
    <x v="0"/>
    <n v="39"/>
    <s v="Nevada"/>
    <x v="2"/>
    <x v="11"/>
    <x v="1"/>
    <x v="20"/>
    <x v="1"/>
    <x v="1"/>
    <n v="47"/>
    <x v="2"/>
    <x v="5"/>
    <m/>
  </r>
  <r>
    <n v="2894"/>
    <n v="69"/>
    <s v="Female"/>
    <x v="22"/>
    <x v="3"/>
    <n v="20"/>
    <s v="Kentucky"/>
    <x v="1"/>
    <x v="20"/>
    <x v="1"/>
    <x v="0"/>
    <x v="1"/>
    <x v="1"/>
    <n v="44"/>
    <x v="5"/>
    <x v="6"/>
    <m/>
  </r>
  <r>
    <n v="2895"/>
    <n v="35"/>
    <s v="Female"/>
    <x v="16"/>
    <x v="3"/>
    <n v="32"/>
    <s v="Kentucky"/>
    <x v="1"/>
    <x v="18"/>
    <x v="1"/>
    <x v="22"/>
    <x v="1"/>
    <x v="1"/>
    <n v="41"/>
    <x v="0"/>
    <x v="2"/>
    <m/>
  </r>
  <r>
    <n v="2896"/>
    <n v="56"/>
    <s v="Female"/>
    <x v="15"/>
    <x v="0"/>
    <n v="86"/>
    <s v="Montana"/>
    <x v="0"/>
    <x v="14"/>
    <x v="2"/>
    <x v="7"/>
    <x v="1"/>
    <x v="1"/>
    <n v="29"/>
    <x v="4"/>
    <x v="5"/>
    <m/>
  </r>
  <r>
    <n v="2897"/>
    <n v="30"/>
    <s v="Female"/>
    <x v="0"/>
    <x v="0"/>
    <n v="91"/>
    <s v="Delaware"/>
    <x v="2"/>
    <x v="5"/>
    <x v="2"/>
    <x v="19"/>
    <x v="1"/>
    <x v="1"/>
    <n v="2"/>
    <x v="0"/>
    <x v="6"/>
    <m/>
  </r>
  <r>
    <n v="2898"/>
    <n v="43"/>
    <s v="Female"/>
    <x v="14"/>
    <x v="2"/>
    <n v="59"/>
    <s v="Montana"/>
    <x v="0"/>
    <x v="10"/>
    <x v="3"/>
    <x v="16"/>
    <x v="1"/>
    <x v="1"/>
    <n v="2"/>
    <x v="1"/>
    <x v="0"/>
    <m/>
  </r>
  <r>
    <n v="2899"/>
    <n v="23"/>
    <s v="Female"/>
    <x v="4"/>
    <x v="1"/>
    <n v="33"/>
    <s v="New Jersey"/>
    <x v="3"/>
    <x v="15"/>
    <x v="2"/>
    <x v="7"/>
    <x v="1"/>
    <x v="1"/>
    <n v="29"/>
    <x v="2"/>
    <x v="2"/>
    <m/>
  </r>
  <r>
    <n v="2900"/>
    <n v="50"/>
    <s v="Female"/>
    <x v="23"/>
    <x v="1"/>
    <n v="64"/>
    <s v="Nebraska"/>
    <x v="2"/>
    <x v="9"/>
    <x v="1"/>
    <x v="13"/>
    <x v="1"/>
    <x v="1"/>
    <n v="22"/>
    <x v="4"/>
    <x v="0"/>
    <m/>
  </r>
  <r>
    <n v="2901"/>
    <n v="41"/>
    <s v="Female"/>
    <x v="0"/>
    <x v="0"/>
    <n v="67"/>
    <s v="Maryland"/>
    <x v="3"/>
    <x v="10"/>
    <x v="0"/>
    <x v="8"/>
    <x v="1"/>
    <x v="1"/>
    <n v="23"/>
    <x v="1"/>
    <x v="4"/>
    <m/>
  </r>
  <r>
    <n v="2902"/>
    <n v="41"/>
    <s v="Female"/>
    <x v="0"/>
    <x v="0"/>
    <n v="43"/>
    <s v="Alabama"/>
    <x v="0"/>
    <x v="8"/>
    <x v="0"/>
    <x v="4"/>
    <x v="1"/>
    <x v="1"/>
    <n v="46"/>
    <x v="2"/>
    <x v="3"/>
    <m/>
  </r>
  <r>
    <n v="2903"/>
    <n v="27"/>
    <s v="Female"/>
    <x v="23"/>
    <x v="1"/>
    <n v="32"/>
    <s v="North Carolina"/>
    <x v="1"/>
    <x v="20"/>
    <x v="1"/>
    <x v="7"/>
    <x v="1"/>
    <x v="1"/>
    <n v="19"/>
    <x v="3"/>
    <x v="4"/>
    <m/>
  </r>
  <r>
    <n v="2904"/>
    <n v="38"/>
    <s v="Female"/>
    <x v="18"/>
    <x v="3"/>
    <n v="39"/>
    <s v="Delaware"/>
    <x v="1"/>
    <x v="11"/>
    <x v="1"/>
    <x v="22"/>
    <x v="1"/>
    <x v="1"/>
    <n v="24"/>
    <x v="2"/>
    <x v="6"/>
    <m/>
  </r>
  <r>
    <n v="2905"/>
    <n v="41"/>
    <s v="Female"/>
    <x v="3"/>
    <x v="1"/>
    <n v="41"/>
    <s v="Iowa"/>
    <x v="2"/>
    <x v="0"/>
    <x v="1"/>
    <x v="8"/>
    <x v="1"/>
    <x v="1"/>
    <n v="43"/>
    <x v="0"/>
    <x v="5"/>
    <m/>
  </r>
  <r>
    <n v="2906"/>
    <n v="58"/>
    <s v="Female"/>
    <x v="12"/>
    <x v="3"/>
    <n v="53"/>
    <s v="New York"/>
    <x v="0"/>
    <x v="13"/>
    <x v="0"/>
    <x v="3"/>
    <x v="1"/>
    <x v="1"/>
    <n v="14"/>
    <x v="5"/>
    <x v="0"/>
    <m/>
  </r>
  <r>
    <n v="2907"/>
    <n v="58"/>
    <s v="Female"/>
    <x v="7"/>
    <x v="2"/>
    <n v="27"/>
    <s v="Virginia"/>
    <x v="2"/>
    <x v="21"/>
    <x v="1"/>
    <x v="14"/>
    <x v="1"/>
    <x v="1"/>
    <n v="7"/>
    <x v="0"/>
    <x v="2"/>
    <m/>
  </r>
  <r>
    <n v="2908"/>
    <n v="19"/>
    <s v="Female"/>
    <x v="12"/>
    <x v="3"/>
    <n v="82"/>
    <s v="Maryland"/>
    <x v="3"/>
    <x v="12"/>
    <x v="2"/>
    <x v="5"/>
    <x v="1"/>
    <x v="1"/>
    <n v="50"/>
    <x v="3"/>
    <x v="4"/>
    <m/>
  </r>
  <r>
    <n v="2909"/>
    <n v="43"/>
    <s v="Female"/>
    <x v="0"/>
    <x v="0"/>
    <n v="87"/>
    <s v="Texas"/>
    <x v="2"/>
    <x v="19"/>
    <x v="0"/>
    <x v="0"/>
    <x v="1"/>
    <x v="1"/>
    <n v="15"/>
    <x v="5"/>
    <x v="6"/>
    <m/>
  </r>
  <r>
    <n v="2910"/>
    <n v="27"/>
    <s v="Female"/>
    <x v="21"/>
    <x v="3"/>
    <n v="78"/>
    <s v="Louisiana"/>
    <x v="2"/>
    <x v="21"/>
    <x v="0"/>
    <x v="23"/>
    <x v="1"/>
    <x v="1"/>
    <n v="40"/>
    <x v="2"/>
    <x v="6"/>
    <m/>
  </r>
  <r>
    <n v="2911"/>
    <n v="32"/>
    <s v="Female"/>
    <x v="22"/>
    <x v="3"/>
    <n v="32"/>
    <s v="Mississippi"/>
    <x v="2"/>
    <x v="24"/>
    <x v="2"/>
    <x v="25"/>
    <x v="1"/>
    <x v="1"/>
    <n v="41"/>
    <x v="2"/>
    <x v="5"/>
    <m/>
  </r>
  <r>
    <n v="2912"/>
    <n v="28"/>
    <s v="Female"/>
    <x v="20"/>
    <x v="0"/>
    <n v="38"/>
    <s v="Ohio"/>
    <x v="3"/>
    <x v="20"/>
    <x v="3"/>
    <x v="25"/>
    <x v="1"/>
    <x v="1"/>
    <n v="34"/>
    <x v="0"/>
    <x v="3"/>
    <m/>
  </r>
  <r>
    <n v="2913"/>
    <n v="48"/>
    <s v="Female"/>
    <x v="9"/>
    <x v="1"/>
    <n v="37"/>
    <s v="Oregon"/>
    <x v="2"/>
    <x v="22"/>
    <x v="0"/>
    <x v="8"/>
    <x v="1"/>
    <x v="1"/>
    <n v="27"/>
    <x v="1"/>
    <x v="4"/>
    <m/>
  </r>
  <r>
    <n v="2914"/>
    <n v="43"/>
    <s v="Female"/>
    <x v="7"/>
    <x v="2"/>
    <n v="83"/>
    <s v="Wyoming"/>
    <x v="0"/>
    <x v="17"/>
    <x v="0"/>
    <x v="22"/>
    <x v="1"/>
    <x v="1"/>
    <n v="12"/>
    <x v="1"/>
    <x v="6"/>
    <m/>
  </r>
  <r>
    <n v="2915"/>
    <n v="45"/>
    <s v="Female"/>
    <x v="1"/>
    <x v="0"/>
    <n v="72"/>
    <s v="Pennsylvania"/>
    <x v="2"/>
    <x v="22"/>
    <x v="3"/>
    <x v="1"/>
    <x v="1"/>
    <x v="1"/>
    <n v="1"/>
    <x v="5"/>
    <x v="4"/>
    <m/>
  </r>
  <r>
    <n v="2916"/>
    <n v="26"/>
    <s v="Female"/>
    <x v="5"/>
    <x v="0"/>
    <n v="30"/>
    <s v="Oregon"/>
    <x v="2"/>
    <x v="17"/>
    <x v="3"/>
    <x v="21"/>
    <x v="1"/>
    <x v="1"/>
    <n v="39"/>
    <x v="5"/>
    <x v="4"/>
    <m/>
  </r>
  <r>
    <n v="2917"/>
    <n v="62"/>
    <s v="Female"/>
    <x v="6"/>
    <x v="0"/>
    <n v="66"/>
    <s v="Oklahoma"/>
    <x v="2"/>
    <x v="14"/>
    <x v="0"/>
    <x v="6"/>
    <x v="1"/>
    <x v="1"/>
    <n v="13"/>
    <x v="2"/>
    <x v="4"/>
    <m/>
  </r>
  <r>
    <n v="2918"/>
    <n v="58"/>
    <s v="Female"/>
    <x v="5"/>
    <x v="0"/>
    <n v="45"/>
    <s v="Colorado"/>
    <x v="3"/>
    <x v="3"/>
    <x v="0"/>
    <x v="25"/>
    <x v="1"/>
    <x v="1"/>
    <n v="50"/>
    <x v="0"/>
    <x v="2"/>
    <m/>
  </r>
  <r>
    <n v="2919"/>
    <n v="19"/>
    <s v="Female"/>
    <x v="12"/>
    <x v="3"/>
    <n v="73"/>
    <s v="New York"/>
    <x v="1"/>
    <x v="13"/>
    <x v="3"/>
    <x v="17"/>
    <x v="1"/>
    <x v="1"/>
    <n v="36"/>
    <x v="1"/>
    <x v="1"/>
    <m/>
  </r>
  <r>
    <n v="2920"/>
    <n v="64"/>
    <s v="Female"/>
    <x v="9"/>
    <x v="1"/>
    <n v="67"/>
    <s v="Minnesota"/>
    <x v="0"/>
    <x v="4"/>
    <x v="0"/>
    <x v="1"/>
    <x v="1"/>
    <x v="1"/>
    <n v="31"/>
    <x v="5"/>
    <x v="5"/>
    <m/>
  </r>
  <r>
    <n v="2921"/>
    <n v="33"/>
    <s v="Female"/>
    <x v="12"/>
    <x v="3"/>
    <n v="72"/>
    <s v="Texas"/>
    <x v="3"/>
    <x v="18"/>
    <x v="1"/>
    <x v="17"/>
    <x v="1"/>
    <x v="1"/>
    <n v="3"/>
    <x v="5"/>
    <x v="4"/>
    <m/>
  </r>
  <r>
    <n v="2922"/>
    <n v="20"/>
    <s v="Female"/>
    <x v="8"/>
    <x v="3"/>
    <n v="24"/>
    <s v="Wisconsin"/>
    <x v="2"/>
    <x v="17"/>
    <x v="3"/>
    <x v="7"/>
    <x v="1"/>
    <x v="1"/>
    <n v="11"/>
    <x v="1"/>
    <x v="0"/>
    <m/>
  </r>
  <r>
    <n v="2923"/>
    <n v="45"/>
    <s v="Female"/>
    <x v="12"/>
    <x v="3"/>
    <n v="68"/>
    <s v="Kentucky"/>
    <x v="0"/>
    <x v="19"/>
    <x v="0"/>
    <x v="22"/>
    <x v="1"/>
    <x v="1"/>
    <n v="16"/>
    <x v="3"/>
    <x v="3"/>
    <m/>
  </r>
  <r>
    <n v="2924"/>
    <n v="28"/>
    <s v="Female"/>
    <x v="5"/>
    <x v="0"/>
    <n v="70"/>
    <s v="Pennsylvania"/>
    <x v="2"/>
    <x v="23"/>
    <x v="1"/>
    <x v="13"/>
    <x v="1"/>
    <x v="1"/>
    <n v="12"/>
    <x v="1"/>
    <x v="3"/>
    <m/>
  </r>
  <r>
    <n v="2925"/>
    <n v="47"/>
    <s v="Female"/>
    <x v="5"/>
    <x v="0"/>
    <n v="64"/>
    <s v="Rhode Island"/>
    <x v="0"/>
    <x v="21"/>
    <x v="0"/>
    <x v="5"/>
    <x v="1"/>
    <x v="1"/>
    <n v="37"/>
    <x v="5"/>
    <x v="6"/>
    <m/>
  </r>
  <r>
    <n v="2926"/>
    <n v="54"/>
    <s v="Female"/>
    <x v="1"/>
    <x v="0"/>
    <n v="91"/>
    <s v="Illinois"/>
    <x v="2"/>
    <x v="1"/>
    <x v="1"/>
    <x v="24"/>
    <x v="1"/>
    <x v="1"/>
    <n v="43"/>
    <x v="2"/>
    <x v="6"/>
    <m/>
  </r>
  <r>
    <n v="2927"/>
    <n v="64"/>
    <s v="Female"/>
    <x v="8"/>
    <x v="3"/>
    <n v="82"/>
    <s v="Maryland"/>
    <x v="2"/>
    <x v="0"/>
    <x v="0"/>
    <x v="3"/>
    <x v="1"/>
    <x v="1"/>
    <n v="9"/>
    <x v="1"/>
    <x v="1"/>
    <m/>
  </r>
  <r>
    <n v="2928"/>
    <n v="45"/>
    <s v="Female"/>
    <x v="5"/>
    <x v="0"/>
    <n v="24"/>
    <s v="Missouri"/>
    <x v="2"/>
    <x v="13"/>
    <x v="2"/>
    <x v="6"/>
    <x v="1"/>
    <x v="1"/>
    <n v="15"/>
    <x v="0"/>
    <x v="4"/>
    <m/>
  </r>
  <r>
    <n v="2929"/>
    <n v="40"/>
    <s v="Female"/>
    <x v="16"/>
    <x v="3"/>
    <n v="80"/>
    <s v="Alabama"/>
    <x v="0"/>
    <x v="22"/>
    <x v="1"/>
    <x v="2"/>
    <x v="1"/>
    <x v="1"/>
    <n v="17"/>
    <x v="2"/>
    <x v="1"/>
    <m/>
  </r>
  <r>
    <n v="2930"/>
    <n v="31"/>
    <s v="Female"/>
    <x v="20"/>
    <x v="0"/>
    <n v="53"/>
    <s v="Maine"/>
    <x v="3"/>
    <x v="3"/>
    <x v="0"/>
    <x v="21"/>
    <x v="1"/>
    <x v="1"/>
    <n v="42"/>
    <x v="0"/>
    <x v="0"/>
    <m/>
  </r>
  <r>
    <n v="2931"/>
    <n v="38"/>
    <s v="Female"/>
    <x v="17"/>
    <x v="0"/>
    <n v="50"/>
    <s v="Mississippi"/>
    <x v="2"/>
    <x v="20"/>
    <x v="1"/>
    <x v="8"/>
    <x v="1"/>
    <x v="1"/>
    <n v="14"/>
    <x v="0"/>
    <x v="5"/>
    <m/>
  </r>
  <r>
    <n v="2932"/>
    <n v="36"/>
    <s v="Female"/>
    <x v="16"/>
    <x v="3"/>
    <n v="31"/>
    <s v="Alabama"/>
    <x v="2"/>
    <x v="23"/>
    <x v="3"/>
    <x v="21"/>
    <x v="1"/>
    <x v="1"/>
    <n v="49"/>
    <x v="2"/>
    <x v="4"/>
    <m/>
  </r>
  <r>
    <n v="2933"/>
    <n v="65"/>
    <s v="Female"/>
    <x v="21"/>
    <x v="3"/>
    <n v="88"/>
    <s v="Alaska"/>
    <x v="0"/>
    <x v="13"/>
    <x v="1"/>
    <x v="14"/>
    <x v="1"/>
    <x v="1"/>
    <n v="3"/>
    <x v="3"/>
    <x v="3"/>
    <m/>
  </r>
  <r>
    <n v="2934"/>
    <n v="27"/>
    <s v="Female"/>
    <x v="19"/>
    <x v="3"/>
    <n v="52"/>
    <s v="Illinois"/>
    <x v="2"/>
    <x v="18"/>
    <x v="2"/>
    <x v="1"/>
    <x v="1"/>
    <x v="1"/>
    <n v="28"/>
    <x v="0"/>
    <x v="5"/>
    <m/>
  </r>
  <r>
    <n v="2935"/>
    <n v="38"/>
    <s v="Female"/>
    <x v="24"/>
    <x v="3"/>
    <n v="22"/>
    <s v="Idaho"/>
    <x v="2"/>
    <x v="20"/>
    <x v="3"/>
    <x v="15"/>
    <x v="1"/>
    <x v="1"/>
    <n v="41"/>
    <x v="4"/>
    <x v="3"/>
    <m/>
  </r>
  <r>
    <n v="2936"/>
    <n v="58"/>
    <s v="Female"/>
    <x v="4"/>
    <x v="1"/>
    <n v="27"/>
    <s v="North Carolina"/>
    <x v="3"/>
    <x v="0"/>
    <x v="1"/>
    <x v="7"/>
    <x v="1"/>
    <x v="1"/>
    <n v="11"/>
    <x v="0"/>
    <x v="1"/>
    <m/>
  </r>
  <r>
    <n v="2937"/>
    <n v="31"/>
    <s v="Female"/>
    <x v="11"/>
    <x v="0"/>
    <n v="34"/>
    <s v="Washington"/>
    <x v="2"/>
    <x v="3"/>
    <x v="1"/>
    <x v="2"/>
    <x v="1"/>
    <x v="1"/>
    <n v="46"/>
    <x v="3"/>
    <x v="1"/>
    <m/>
  </r>
  <r>
    <n v="2938"/>
    <n v="28"/>
    <s v="Female"/>
    <x v="8"/>
    <x v="3"/>
    <n v="39"/>
    <s v="West Virginia"/>
    <x v="2"/>
    <x v="3"/>
    <x v="1"/>
    <x v="12"/>
    <x v="1"/>
    <x v="1"/>
    <n v="15"/>
    <x v="2"/>
    <x v="1"/>
    <m/>
  </r>
  <r>
    <n v="2939"/>
    <n v="28"/>
    <s v="Female"/>
    <x v="12"/>
    <x v="3"/>
    <n v="53"/>
    <s v="Maine"/>
    <x v="2"/>
    <x v="10"/>
    <x v="3"/>
    <x v="23"/>
    <x v="1"/>
    <x v="1"/>
    <n v="15"/>
    <x v="1"/>
    <x v="5"/>
    <m/>
  </r>
  <r>
    <n v="2940"/>
    <n v="32"/>
    <s v="Female"/>
    <x v="1"/>
    <x v="0"/>
    <n v="46"/>
    <s v="Kentucky"/>
    <x v="2"/>
    <x v="19"/>
    <x v="0"/>
    <x v="12"/>
    <x v="1"/>
    <x v="1"/>
    <n v="34"/>
    <x v="0"/>
    <x v="1"/>
    <m/>
  </r>
  <r>
    <n v="2941"/>
    <n v="61"/>
    <s v="Female"/>
    <x v="8"/>
    <x v="3"/>
    <n v="85"/>
    <s v="Massachusetts"/>
    <x v="0"/>
    <x v="19"/>
    <x v="2"/>
    <x v="3"/>
    <x v="1"/>
    <x v="1"/>
    <n v="13"/>
    <x v="1"/>
    <x v="5"/>
    <m/>
  </r>
  <r>
    <n v="2942"/>
    <n v="38"/>
    <s v="Female"/>
    <x v="11"/>
    <x v="0"/>
    <n v="86"/>
    <s v="Pennsylvania"/>
    <x v="0"/>
    <x v="7"/>
    <x v="1"/>
    <x v="5"/>
    <x v="1"/>
    <x v="1"/>
    <n v="27"/>
    <x v="3"/>
    <x v="5"/>
    <m/>
  </r>
  <r>
    <n v="2943"/>
    <n v="54"/>
    <s v="Female"/>
    <x v="20"/>
    <x v="0"/>
    <n v="63"/>
    <s v="Hawaii"/>
    <x v="2"/>
    <x v="18"/>
    <x v="2"/>
    <x v="4"/>
    <x v="1"/>
    <x v="1"/>
    <n v="37"/>
    <x v="4"/>
    <x v="1"/>
    <m/>
  </r>
  <r>
    <n v="2944"/>
    <n v="29"/>
    <s v="Female"/>
    <x v="5"/>
    <x v="0"/>
    <n v="44"/>
    <s v="Virginia"/>
    <x v="2"/>
    <x v="20"/>
    <x v="1"/>
    <x v="10"/>
    <x v="1"/>
    <x v="1"/>
    <n v="37"/>
    <x v="2"/>
    <x v="5"/>
    <m/>
  </r>
  <r>
    <n v="2945"/>
    <n v="50"/>
    <s v="Female"/>
    <x v="4"/>
    <x v="1"/>
    <n v="95"/>
    <s v="New York"/>
    <x v="3"/>
    <x v="17"/>
    <x v="2"/>
    <x v="14"/>
    <x v="1"/>
    <x v="1"/>
    <n v="4"/>
    <x v="0"/>
    <x v="6"/>
    <m/>
  </r>
  <r>
    <n v="2946"/>
    <n v="32"/>
    <s v="Female"/>
    <x v="22"/>
    <x v="3"/>
    <n v="49"/>
    <s v="Delaware"/>
    <x v="2"/>
    <x v="4"/>
    <x v="2"/>
    <x v="3"/>
    <x v="1"/>
    <x v="1"/>
    <n v="1"/>
    <x v="2"/>
    <x v="6"/>
    <m/>
  </r>
  <r>
    <n v="2947"/>
    <n v="38"/>
    <s v="Female"/>
    <x v="13"/>
    <x v="0"/>
    <n v="77"/>
    <s v="Hawaii"/>
    <x v="0"/>
    <x v="7"/>
    <x v="1"/>
    <x v="24"/>
    <x v="1"/>
    <x v="1"/>
    <n v="29"/>
    <x v="4"/>
    <x v="3"/>
    <m/>
  </r>
  <r>
    <n v="2948"/>
    <n v="52"/>
    <s v="Female"/>
    <x v="16"/>
    <x v="3"/>
    <n v="63"/>
    <s v="Nebraska"/>
    <x v="0"/>
    <x v="15"/>
    <x v="1"/>
    <x v="9"/>
    <x v="1"/>
    <x v="1"/>
    <n v="50"/>
    <x v="0"/>
    <x v="2"/>
    <m/>
  </r>
  <r>
    <n v="2949"/>
    <n v="61"/>
    <s v="Female"/>
    <x v="13"/>
    <x v="0"/>
    <n v="83"/>
    <s v="Vermont"/>
    <x v="2"/>
    <x v="10"/>
    <x v="0"/>
    <x v="0"/>
    <x v="1"/>
    <x v="1"/>
    <n v="38"/>
    <x v="5"/>
    <x v="4"/>
    <m/>
  </r>
  <r>
    <n v="2950"/>
    <n v="25"/>
    <s v="Female"/>
    <x v="16"/>
    <x v="3"/>
    <n v="93"/>
    <s v="Iowa"/>
    <x v="2"/>
    <x v="15"/>
    <x v="1"/>
    <x v="1"/>
    <x v="1"/>
    <x v="1"/>
    <n v="15"/>
    <x v="3"/>
    <x v="2"/>
    <m/>
  </r>
  <r>
    <n v="2951"/>
    <n v="22"/>
    <s v="Female"/>
    <x v="2"/>
    <x v="0"/>
    <n v="91"/>
    <s v="Iowa"/>
    <x v="1"/>
    <x v="1"/>
    <x v="0"/>
    <x v="18"/>
    <x v="1"/>
    <x v="1"/>
    <n v="44"/>
    <x v="5"/>
    <x v="6"/>
    <m/>
  </r>
  <r>
    <n v="2952"/>
    <n v="47"/>
    <s v="Female"/>
    <x v="18"/>
    <x v="3"/>
    <n v="99"/>
    <s v="Arkansas"/>
    <x v="0"/>
    <x v="1"/>
    <x v="3"/>
    <x v="7"/>
    <x v="1"/>
    <x v="1"/>
    <n v="14"/>
    <x v="1"/>
    <x v="1"/>
    <m/>
  </r>
  <r>
    <n v="2953"/>
    <n v="50"/>
    <s v="Female"/>
    <x v="22"/>
    <x v="3"/>
    <n v="24"/>
    <s v="Alabama"/>
    <x v="2"/>
    <x v="15"/>
    <x v="1"/>
    <x v="17"/>
    <x v="1"/>
    <x v="1"/>
    <n v="5"/>
    <x v="5"/>
    <x v="5"/>
    <m/>
  </r>
  <r>
    <n v="2954"/>
    <n v="45"/>
    <s v="Female"/>
    <x v="10"/>
    <x v="0"/>
    <n v="82"/>
    <s v="Maryland"/>
    <x v="2"/>
    <x v="5"/>
    <x v="2"/>
    <x v="3"/>
    <x v="1"/>
    <x v="1"/>
    <n v="11"/>
    <x v="2"/>
    <x v="2"/>
    <m/>
  </r>
  <r>
    <n v="2955"/>
    <n v="33"/>
    <s v="Female"/>
    <x v="17"/>
    <x v="0"/>
    <n v="28"/>
    <s v="South Dakota"/>
    <x v="2"/>
    <x v="21"/>
    <x v="0"/>
    <x v="14"/>
    <x v="1"/>
    <x v="1"/>
    <n v="15"/>
    <x v="2"/>
    <x v="2"/>
    <m/>
  </r>
  <r>
    <n v="2956"/>
    <n v="42"/>
    <s v="Female"/>
    <x v="23"/>
    <x v="1"/>
    <n v="67"/>
    <s v="Vermont"/>
    <x v="2"/>
    <x v="5"/>
    <x v="0"/>
    <x v="4"/>
    <x v="1"/>
    <x v="1"/>
    <n v="46"/>
    <x v="2"/>
    <x v="2"/>
    <m/>
  </r>
  <r>
    <n v="2957"/>
    <n v="52"/>
    <s v="Female"/>
    <x v="10"/>
    <x v="0"/>
    <n v="88"/>
    <s v="Montana"/>
    <x v="2"/>
    <x v="8"/>
    <x v="3"/>
    <x v="5"/>
    <x v="1"/>
    <x v="1"/>
    <n v="30"/>
    <x v="0"/>
    <x v="5"/>
    <m/>
  </r>
  <r>
    <n v="2958"/>
    <n v="69"/>
    <s v="Female"/>
    <x v="16"/>
    <x v="3"/>
    <n v="70"/>
    <s v="South Dakota"/>
    <x v="1"/>
    <x v="0"/>
    <x v="3"/>
    <x v="15"/>
    <x v="1"/>
    <x v="1"/>
    <n v="2"/>
    <x v="1"/>
    <x v="2"/>
    <m/>
  </r>
  <r>
    <n v="2959"/>
    <n v="55"/>
    <s v="Female"/>
    <x v="11"/>
    <x v="0"/>
    <n v="100"/>
    <s v="Ohio"/>
    <x v="2"/>
    <x v="13"/>
    <x v="2"/>
    <x v="21"/>
    <x v="1"/>
    <x v="1"/>
    <n v="28"/>
    <x v="3"/>
    <x v="5"/>
    <m/>
  </r>
  <r>
    <n v="2960"/>
    <n v="38"/>
    <s v="Female"/>
    <x v="8"/>
    <x v="3"/>
    <n v="28"/>
    <s v="Texas"/>
    <x v="0"/>
    <x v="1"/>
    <x v="2"/>
    <x v="15"/>
    <x v="1"/>
    <x v="1"/>
    <n v="9"/>
    <x v="3"/>
    <x v="3"/>
    <m/>
  </r>
  <r>
    <n v="2961"/>
    <n v="57"/>
    <s v="Female"/>
    <x v="7"/>
    <x v="2"/>
    <n v="48"/>
    <s v="Indiana"/>
    <x v="1"/>
    <x v="8"/>
    <x v="1"/>
    <x v="2"/>
    <x v="1"/>
    <x v="1"/>
    <n v="47"/>
    <x v="2"/>
    <x v="1"/>
    <m/>
  </r>
  <r>
    <n v="2962"/>
    <n v="33"/>
    <s v="Female"/>
    <x v="15"/>
    <x v="0"/>
    <n v="43"/>
    <s v="New Hampshire"/>
    <x v="1"/>
    <x v="9"/>
    <x v="3"/>
    <x v="24"/>
    <x v="1"/>
    <x v="1"/>
    <n v="21"/>
    <x v="5"/>
    <x v="4"/>
    <m/>
  </r>
  <r>
    <n v="2963"/>
    <n v="57"/>
    <s v="Female"/>
    <x v="13"/>
    <x v="0"/>
    <n v="40"/>
    <s v="California"/>
    <x v="0"/>
    <x v="6"/>
    <x v="3"/>
    <x v="8"/>
    <x v="1"/>
    <x v="1"/>
    <n v="42"/>
    <x v="2"/>
    <x v="6"/>
    <m/>
  </r>
  <r>
    <n v="2964"/>
    <n v="52"/>
    <s v="Female"/>
    <x v="23"/>
    <x v="1"/>
    <n v="97"/>
    <s v="Maine"/>
    <x v="2"/>
    <x v="18"/>
    <x v="1"/>
    <x v="2"/>
    <x v="1"/>
    <x v="1"/>
    <n v="28"/>
    <x v="2"/>
    <x v="1"/>
    <m/>
  </r>
  <r>
    <n v="2965"/>
    <n v="44"/>
    <s v="Female"/>
    <x v="7"/>
    <x v="2"/>
    <n v="25"/>
    <s v="Ohio"/>
    <x v="1"/>
    <x v="3"/>
    <x v="3"/>
    <x v="1"/>
    <x v="1"/>
    <x v="1"/>
    <n v="13"/>
    <x v="0"/>
    <x v="0"/>
    <m/>
  </r>
  <r>
    <n v="2966"/>
    <n v="48"/>
    <s v="Female"/>
    <x v="18"/>
    <x v="3"/>
    <n v="45"/>
    <s v="Delaware"/>
    <x v="2"/>
    <x v="24"/>
    <x v="2"/>
    <x v="9"/>
    <x v="1"/>
    <x v="1"/>
    <n v="25"/>
    <x v="3"/>
    <x v="0"/>
    <m/>
  </r>
  <r>
    <n v="2967"/>
    <n v="52"/>
    <s v="Female"/>
    <x v="23"/>
    <x v="1"/>
    <n v="49"/>
    <s v="Oklahoma"/>
    <x v="0"/>
    <x v="20"/>
    <x v="3"/>
    <x v="24"/>
    <x v="1"/>
    <x v="1"/>
    <n v="38"/>
    <x v="5"/>
    <x v="6"/>
    <m/>
  </r>
  <r>
    <n v="2968"/>
    <n v="34"/>
    <s v="Female"/>
    <x v="4"/>
    <x v="1"/>
    <n v="36"/>
    <s v="Indiana"/>
    <x v="0"/>
    <x v="5"/>
    <x v="2"/>
    <x v="10"/>
    <x v="1"/>
    <x v="1"/>
    <n v="40"/>
    <x v="0"/>
    <x v="2"/>
    <m/>
  </r>
  <r>
    <n v="2969"/>
    <n v="26"/>
    <s v="Female"/>
    <x v="1"/>
    <x v="0"/>
    <n v="48"/>
    <s v="South Carolina"/>
    <x v="1"/>
    <x v="0"/>
    <x v="3"/>
    <x v="17"/>
    <x v="1"/>
    <x v="1"/>
    <n v="25"/>
    <x v="1"/>
    <x v="6"/>
    <m/>
  </r>
  <r>
    <n v="2970"/>
    <n v="36"/>
    <s v="Female"/>
    <x v="22"/>
    <x v="3"/>
    <n v="62"/>
    <s v="Vermont"/>
    <x v="1"/>
    <x v="24"/>
    <x v="3"/>
    <x v="12"/>
    <x v="1"/>
    <x v="1"/>
    <n v="20"/>
    <x v="1"/>
    <x v="6"/>
    <m/>
  </r>
  <r>
    <n v="2971"/>
    <n v="24"/>
    <s v="Female"/>
    <x v="16"/>
    <x v="3"/>
    <n v="74"/>
    <s v="Kansas"/>
    <x v="2"/>
    <x v="3"/>
    <x v="0"/>
    <x v="10"/>
    <x v="1"/>
    <x v="1"/>
    <n v="44"/>
    <x v="2"/>
    <x v="4"/>
    <m/>
  </r>
  <r>
    <n v="2972"/>
    <n v="30"/>
    <s v="Female"/>
    <x v="8"/>
    <x v="3"/>
    <n v="100"/>
    <s v="Utah"/>
    <x v="0"/>
    <x v="22"/>
    <x v="3"/>
    <x v="14"/>
    <x v="1"/>
    <x v="1"/>
    <n v="9"/>
    <x v="3"/>
    <x v="6"/>
    <m/>
  </r>
  <r>
    <n v="2973"/>
    <n v="31"/>
    <s v="Female"/>
    <x v="14"/>
    <x v="2"/>
    <n v="39"/>
    <s v="New York"/>
    <x v="1"/>
    <x v="21"/>
    <x v="3"/>
    <x v="13"/>
    <x v="1"/>
    <x v="1"/>
    <n v="11"/>
    <x v="0"/>
    <x v="6"/>
    <m/>
  </r>
  <r>
    <n v="2974"/>
    <n v="25"/>
    <s v="Female"/>
    <x v="23"/>
    <x v="1"/>
    <n v="65"/>
    <s v="Indiana"/>
    <x v="2"/>
    <x v="24"/>
    <x v="2"/>
    <x v="6"/>
    <x v="1"/>
    <x v="1"/>
    <n v="3"/>
    <x v="4"/>
    <x v="0"/>
    <m/>
  </r>
  <r>
    <n v="2975"/>
    <n v="57"/>
    <s v="Female"/>
    <x v="4"/>
    <x v="1"/>
    <n v="99"/>
    <s v="Tennessee"/>
    <x v="3"/>
    <x v="15"/>
    <x v="2"/>
    <x v="18"/>
    <x v="1"/>
    <x v="1"/>
    <n v="34"/>
    <x v="2"/>
    <x v="1"/>
    <m/>
  </r>
  <r>
    <n v="2976"/>
    <n v="61"/>
    <s v="Female"/>
    <x v="18"/>
    <x v="3"/>
    <n v="68"/>
    <s v="Georgia"/>
    <x v="3"/>
    <x v="12"/>
    <x v="0"/>
    <x v="21"/>
    <x v="1"/>
    <x v="1"/>
    <n v="48"/>
    <x v="1"/>
    <x v="6"/>
    <m/>
  </r>
  <r>
    <n v="2977"/>
    <n v="30"/>
    <s v="Female"/>
    <x v="7"/>
    <x v="2"/>
    <n v="97"/>
    <s v="Nebraska"/>
    <x v="2"/>
    <x v="5"/>
    <x v="2"/>
    <x v="24"/>
    <x v="1"/>
    <x v="1"/>
    <n v="28"/>
    <x v="1"/>
    <x v="0"/>
    <m/>
  </r>
  <r>
    <n v="2978"/>
    <n v="38"/>
    <s v="Female"/>
    <x v="6"/>
    <x v="0"/>
    <n v="47"/>
    <s v="Washington"/>
    <x v="0"/>
    <x v="9"/>
    <x v="0"/>
    <x v="10"/>
    <x v="1"/>
    <x v="1"/>
    <n v="20"/>
    <x v="0"/>
    <x v="2"/>
    <m/>
  </r>
  <r>
    <n v="2979"/>
    <n v="53"/>
    <s v="Female"/>
    <x v="6"/>
    <x v="0"/>
    <n v="56"/>
    <s v="Idaho"/>
    <x v="1"/>
    <x v="17"/>
    <x v="1"/>
    <x v="14"/>
    <x v="1"/>
    <x v="1"/>
    <n v="49"/>
    <x v="4"/>
    <x v="0"/>
    <m/>
  </r>
  <r>
    <n v="2980"/>
    <n v="31"/>
    <s v="Female"/>
    <x v="2"/>
    <x v="0"/>
    <n v="91"/>
    <s v="Louisiana"/>
    <x v="0"/>
    <x v="8"/>
    <x v="3"/>
    <x v="4"/>
    <x v="1"/>
    <x v="1"/>
    <n v="14"/>
    <x v="3"/>
    <x v="1"/>
    <m/>
  </r>
  <r>
    <n v="2981"/>
    <n v="70"/>
    <s v="Female"/>
    <x v="24"/>
    <x v="3"/>
    <n v="93"/>
    <s v="New Jersey"/>
    <x v="0"/>
    <x v="11"/>
    <x v="3"/>
    <x v="9"/>
    <x v="1"/>
    <x v="1"/>
    <n v="9"/>
    <x v="4"/>
    <x v="5"/>
    <m/>
  </r>
  <r>
    <n v="2982"/>
    <n v="21"/>
    <s v="Female"/>
    <x v="13"/>
    <x v="0"/>
    <n v="36"/>
    <s v="Delaware"/>
    <x v="0"/>
    <x v="6"/>
    <x v="0"/>
    <x v="17"/>
    <x v="1"/>
    <x v="1"/>
    <n v="37"/>
    <x v="0"/>
    <x v="2"/>
    <m/>
  </r>
  <r>
    <n v="2983"/>
    <n v="33"/>
    <s v="Female"/>
    <x v="10"/>
    <x v="0"/>
    <n v="45"/>
    <s v="Wisconsin"/>
    <x v="2"/>
    <x v="20"/>
    <x v="2"/>
    <x v="2"/>
    <x v="1"/>
    <x v="1"/>
    <n v="4"/>
    <x v="2"/>
    <x v="1"/>
    <m/>
  </r>
  <r>
    <n v="2984"/>
    <n v="60"/>
    <s v="Female"/>
    <x v="13"/>
    <x v="0"/>
    <n v="44"/>
    <s v="West Virginia"/>
    <x v="2"/>
    <x v="4"/>
    <x v="0"/>
    <x v="24"/>
    <x v="1"/>
    <x v="1"/>
    <n v="1"/>
    <x v="2"/>
    <x v="3"/>
    <m/>
  </r>
  <r>
    <n v="2985"/>
    <n v="45"/>
    <s v="Female"/>
    <x v="24"/>
    <x v="3"/>
    <n v="32"/>
    <s v="Texas"/>
    <x v="0"/>
    <x v="16"/>
    <x v="1"/>
    <x v="12"/>
    <x v="1"/>
    <x v="1"/>
    <n v="36"/>
    <x v="5"/>
    <x v="4"/>
    <m/>
  </r>
  <r>
    <n v="2986"/>
    <n v="46"/>
    <s v="Female"/>
    <x v="22"/>
    <x v="3"/>
    <n v="36"/>
    <s v="Hawaii"/>
    <x v="1"/>
    <x v="11"/>
    <x v="2"/>
    <x v="23"/>
    <x v="1"/>
    <x v="1"/>
    <n v="21"/>
    <x v="1"/>
    <x v="4"/>
    <m/>
  </r>
  <r>
    <n v="2987"/>
    <n v="62"/>
    <s v="Female"/>
    <x v="22"/>
    <x v="3"/>
    <n v="85"/>
    <s v="Arizona"/>
    <x v="1"/>
    <x v="5"/>
    <x v="2"/>
    <x v="19"/>
    <x v="1"/>
    <x v="1"/>
    <n v="16"/>
    <x v="2"/>
    <x v="5"/>
    <m/>
  </r>
  <r>
    <n v="2988"/>
    <n v="63"/>
    <s v="Female"/>
    <x v="11"/>
    <x v="0"/>
    <n v="36"/>
    <s v="Louisiana"/>
    <x v="0"/>
    <x v="13"/>
    <x v="0"/>
    <x v="16"/>
    <x v="1"/>
    <x v="1"/>
    <n v="42"/>
    <x v="1"/>
    <x v="5"/>
    <m/>
  </r>
  <r>
    <n v="2989"/>
    <n v="69"/>
    <s v="Female"/>
    <x v="20"/>
    <x v="0"/>
    <n v="55"/>
    <s v="Nevada"/>
    <x v="1"/>
    <x v="6"/>
    <x v="1"/>
    <x v="11"/>
    <x v="1"/>
    <x v="1"/>
    <n v="31"/>
    <x v="5"/>
    <x v="5"/>
    <m/>
  </r>
  <r>
    <n v="2990"/>
    <n v="46"/>
    <s v="Female"/>
    <x v="22"/>
    <x v="3"/>
    <n v="20"/>
    <s v="Rhode Island"/>
    <x v="3"/>
    <x v="11"/>
    <x v="2"/>
    <x v="12"/>
    <x v="1"/>
    <x v="1"/>
    <n v="6"/>
    <x v="2"/>
    <x v="1"/>
    <m/>
  </r>
  <r>
    <n v="2991"/>
    <n v="69"/>
    <s v="Female"/>
    <x v="5"/>
    <x v="0"/>
    <n v="91"/>
    <s v="Illinois"/>
    <x v="2"/>
    <x v="11"/>
    <x v="3"/>
    <x v="13"/>
    <x v="1"/>
    <x v="1"/>
    <n v="24"/>
    <x v="0"/>
    <x v="5"/>
    <m/>
  </r>
  <r>
    <n v="2992"/>
    <n v="66"/>
    <s v="Female"/>
    <x v="10"/>
    <x v="0"/>
    <n v="71"/>
    <s v="Utah"/>
    <x v="0"/>
    <x v="14"/>
    <x v="2"/>
    <x v="14"/>
    <x v="1"/>
    <x v="1"/>
    <n v="7"/>
    <x v="3"/>
    <x v="4"/>
    <m/>
  </r>
  <r>
    <n v="2993"/>
    <n v="41"/>
    <s v="Female"/>
    <x v="20"/>
    <x v="0"/>
    <n v="64"/>
    <s v="North Dakota"/>
    <x v="2"/>
    <x v="4"/>
    <x v="1"/>
    <x v="14"/>
    <x v="1"/>
    <x v="1"/>
    <n v="25"/>
    <x v="0"/>
    <x v="1"/>
    <m/>
  </r>
  <r>
    <n v="2994"/>
    <n v="32"/>
    <s v="Female"/>
    <x v="14"/>
    <x v="2"/>
    <n v="21"/>
    <s v="Kansas"/>
    <x v="0"/>
    <x v="21"/>
    <x v="1"/>
    <x v="13"/>
    <x v="1"/>
    <x v="1"/>
    <n v="18"/>
    <x v="1"/>
    <x v="4"/>
    <m/>
  </r>
  <r>
    <n v="2995"/>
    <n v="69"/>
    <s v="Female"/>
    <x v="1"/>
    <x v="0"/>
    <n v="100"/>
    <s v="Nevada"/>
    <x v="1"/>
    <x v="3"/>
    <x v="0"/>
    <x v="22"/>
    <x v="1"/>
    <x v="1"/>
    <n v="14"/>
    <x v="4"/>
    <x v="3"/>
    <m/>
  </r>
  <r>
    <n v="2996"/>
    <n v="29"/>
    <s v="Female"/>
    <x v="2"/>
    <x v="0"/>
    <n v="96"/>
    <s v="Virginia"/>
    <x v="2"/>
    <x v="20"/>
    <x v="2"/>
    <x v="16"/>
    <x v="1"/>
    <x v="1"/>
    <n v="42"/>
    <x v="5"/>
    <x v="4"/>
    <m/>
  </r>
  <r>
    <n v="2997"/>
    <n v="70"/>
    <s v="Female"/>
    <x v="16"/>
    <x v="3"/>
    <n v="91"/>
    <s v="Utah"/>
    <x v="2"/>
    <x v="3"/>
    <x v="1"/>
    <x v="25"/>
    <x v="1"/>
    <x v="1"/>
    <n v="6"/>
    <x v="0"/>
    <x v="6"/>
    <m/>
  </r>
  <r>
    <n v="2998"/>
    <n v="41"/>
    <s v="Female"/>
    <x v="1"/>
    <x v="0"/>
    <n v="40"/>
    <s v="Idaho"/>
    <x v="1"/>
    <x v="22"/>
    <x v="1"/>
    <x v="6"/>
    <x v="1"/>
    <x v="1"/>
    <n v="14"/>
    <x v="0"/>
    <x v="6"/>
    <m/>
  </r>
  <r>
    <n v="2999"/>
    <n v="31"/>
    <s v="Female"/>
    <x v="15"/>
    <x v="0"/>
    <n v="53"/>
    <s v="Alaska"/>
    <x v="2"/>
    <x v="16"/>
    <x v="2"/>
    <x v="15"/>
    <x v="1"/>
    <x v="1"/>
    <n v="30"/>
    <x v="5"/>
    <x v="3"/>
    <m/>
  </r>
  <r>
    <n v="3000"/>
    <n v="31"/>
    <s v="Female"/>
    <x v="12"/>
    <x v="3"/>
    <n v="48"/>
    <s v="New Hampshire"/>
    <x v="1"/>
    <x v="4"/>
    <x v="0"/>
    <x v="1"/>
    <x v="1"/>
    <x v="1"/>
    <n v="10"/>
    <x v="1"/>
    <x v="5"/>
    <m/>
  </r>
  <r>
    <n v="3001"/>
    <n v="57"/>
    <s v="Female"/>
    <x v="3"/>
    <x v="1"/>
    <n v="70"/>
    <s v="Ohio"/>
    <x v="2"/>
    <x v="12"/>
    <x v="0"/>
    <x v="5"/>
    <x v="1"/>
    <x v="1"/>
    <n v="7"/>
    <x v="3"/>
    <x v="1"/>
    <m/>
  </r>
  <r>
    <n v="3002"/>
    <n v="29"/>
    <s v="Female"/>
    <x v="7"/>
    <x v="2"/>
    <n v="29"/>
    <s v="Montana"/>
    <x v="0"/>
    <x v="4"/>
    <x v="2"/>
    <x v="15"/>
    <x v="1"/>
    <x v="1"/>
    <n v="28"/>
    <x v="2"/>
    <x v="3"/>
    <m/>
  </r>
  <r>
    <n v="3003"/>
    <n v="70"/>
    <s v="Female"/>
    <x v="22"/>
    <x v="3"/>
    <n v="29"/>
    <s v="Louisiana"/>
    <x v="2"/>
    <x v="1"/>
    <x v="3"/>
    <x v="2"/>
    <x v="1"/>
    <x v="1"/>
    <n v="19"/>
    <x v="4"/>
    <x v="3"/>
    <m/>
  </r>
  <r>
    <n v="3004"/>
    <n v="51"/>
    <s v="Female"/>
    <x v="0"/>
    <x v="0"/>
    <n v="53"/>
    <s v="Oregon"/>
    <x v="2"/>
    <x v="18"/>
    <x v="3"/>
    <x v="24"/>
    <x v="1"/>
    <x v="1"/>
    <n v="13"/>
    <x v="2"/>
    <x v="6"/>
    <m/>
  </r>
  <r>
    <n v="3005"/>
    <n v="45"/>
    <s v="Female"/>
    <x v="11"/>
    <x v="0"/>
    <n v="79"/>
    <s v="Arizona"/>
    <x v="2"/>
    <x v="12"/>
    <x v="0"/>
    <x v="5"/>
    <x v="1"/>
    <x v="1"/>
    <n v="23"/>
    <x v="0"/>
    <x v="0"/>
    <m/>
  </r>
  <r>
    <n v="3006"/>
    <n v="18"/>
    <s v="Female"/>
    <x v="6"/>
    <x v="0"/>
    <n v="65"/>
    <s v="Alaska"/>
    <x v="3"/>
    <x v="18"/>
    <x v="1"/>
    <x v="22"/>
    <x v="1"/>
    <x v="1"/>
    <n v="5"/>
    <x v="0"/>
    <x v="1"/>
    <m/>
  </r>
  <r>
    <n v="3007"/>
    <n v="37"/>
    <s v="Female"/>
    <x v="10"/>
    <x v="0"/>
    <n v="99"/>
    <s v="Utah"/>
    <x v="2"/>
    <x v="8"/>
    <x v="2"/>
    <x v="5"/>
    <x v="1"/>
    <x v="1"/>
    <n v="17"/>
    <x v="0"/>
    <x v="4"/>
    <m/>
  </r>
  <r>
    <n v="3008"/>
    <n v="23"/>
    <s v="Female"/>
    <x v="12"/>
    <x v="3"/>
    <n v="60"/>
    <s v="New York"/>
    <x v="0"/>
    <x v="12"/>
    <x v="0"/>
    <x v="23"/>
    <x v="1"/>
    <x v="1"/>
    <n v="31"/>
    <x v="0"/>
    <x v="1"/>
    <m/>
  </r>
  <r>
    <n v="3009"/>
    <n v="39"/>
    <s v="Female"/>
    <x v="9"/>
    <x v="1"/>
    <n v="86"/>
    <s v="New Mexico"/>
    <x v="2"/>
    <x v="9"/>
    <x v="0"/>
    <x v="17"/>
    <x v="1"/>
    <x v="1"/>
    <n v="19"/>
    <x v="3"/>
    <x v="1"/>
    <m/>
  </r>
  <r>
    <n v="3010"/>
    <n v="62"/>
    <s v="Female"/>
    <x v="22"/>
    <x v="3"/>
    <n v="73"/>
    <s v="Louisiana"/>
    <x v="2"/>
    <x v="5"/>
    <x v="0"/>
    <x v="7"/>
    <x v="1"/>
    <x v="1"/>
    <n v="8"/>
    <x v="0"/>
    <x v="0"/>
    <m/>
  </r>
  <r>
    <n v="3011"/>
    <n v="70"/>
    <s v="Female"/>
    <x v="22"/>
    <x v="3"/>
    <n v="45"/>
    <s v="Ohio"/>
    <x v="2"/>
    <x v="10"/>
    <x v="0"/>
    <x v="19"/>
    <x v="1"/>
    <x v="1"/>
    <n v="15"/>
    <x v="2"/>
    <x v="2"/>
    <m/>
  </r>
  <r>
    <n v="3012"/>
    <n v="20"/>
    <s v="Female"/>
    <x v="22"/>
    <x v="3"/>
    <n v="70"/>
    <s v="Nevada"/>
    <x v="1"/>
    <x v="18"/>
    <x v="2"/>
    <x v="23"/>
    <x v="1"/>
    <x v="1"/>
    <n v="18"/>
    <x v="2"/>
    <x v="6"/>
    <m/>
  </r>
  <r>
    <n v="3013"/>
    <n v="42"/>
    <s v="Female"/>
    <x v="22"/>
    <x v="3"/>
    <n v="65"/>
    <s v="Idaho"/>
    <x v="2"/>
    <x v="11"/>
    <x v="3"/>
    <x v="22"/>
    <x v="1"/>
    <x v="1"/>
    <n v="16"/>
    <x v="3"/>
    <x v="2"/>
    <m/>
  </r>
  <r>
    <n v="3014"/>
    <n v="41"/>
    <s v="Female"/>
    <x v="11"/>
    <x v="0"/>
    <n v="55"/>
    <s v="Arizona"/>
    <x v="0"/>
    <x v="15"/>
    <x v="2"/>
    <x v="13"/>
    <x v="1"/>
    <x v="1"/>
    <n v="13"/>
    <x v="1"/>
    <x v="5"/>
    <m/>
  </r>
  <r>
    <n v="3015"/>
    <n v="24"/>
    <s v="Female"/>
    <x v="17"/>
    <x v="0"/>
    <n v="65"/>
    <s v="Utah"/>
    <x v="2"/>
    <x v="1"/>
    <x v="1"/>
    <x v="21"/>
    <x v="1"/>
    <x v="1"/>
    <n v="38"/>
    <x v="3"/>
    <x v="6"/>
    <m/>
  </r>
  <r>
    <n v="3016"/>
    <n v="37"/>
    <s v="Female"/>
    <x v="18"/>
    <x v="3"/>
    <n v="21"/>
    <s v="Wyoming"/>
    <x v="3"/>
    <x v="12"/>
    <x v="1"/>
    <x v="24"/>
    <x v="1"/>
    <x v="1"/>
    <n v="27"/>
    <x v="4"/>
    <x v="4"/>
    <m/>
  </r>
  <r>
    <n v="3017"/>
    <n v="30"/>
    <s v="Female"/>
    <x v="0"/>
    <x v="0"/>
    <n v="26"/>
    <s v="Indiana"/>
    <x v="0"/>
    <x v="12"/>
    <x v="2"/>
    <x v="17"/>
    <x v="1"/>
    <x v="1"/>
    <n v="31"/>
    <x v="4"/>
    <x v="3"/>
    <m/>
  </r>
  <r>
    <n v="3018"/>
    <n v="58"/>
    <s v="Female"/>
    <x v="12"/>
    <x v="3"/>
    <n v="71"/>
    <s v="Wisconsin"/>
    <x v="1"/>
    <x v="7"/>
    <x v="2"/>
    <x v="19"/>
    <x v="1"/>
    <x v="1"/>
    <n v="24"/>
    <x v="1"/>
    <x v="4"/>
    <m/>
  </r>
  <r>
    <n v="3019"/>
    <n v="43"/>
    <s v="Female"/>
    <x v="23"/>
    <x v="1"/>
    <n v="41"/>
    <s v="Texas"/>
    <x v="2"/>
    <x v="14"/>
    <x v="2"/>
    <x v="23"/>
    <x v="1"/>
    <x v="1"/>
    <n v="21"/>
    <x v="5"/>
    <x v="4"/>
    <m/>
  </r>
  <r>
    <n v="3020"/>
    <n v="19"/>
    <s v="Female"/>
    <x v="14"/>
    <x v="2"/>
    <n v="44"/>
    <s v="Utah"/>
    <x v="2"/>
    <x v="22"/>
    <x v="0"/>
    <x v="14"/>
    <x v="1"/>
    <x v="1"/>
    <n v="15"/>
    <x v="3"/>
    <x v="2"/>
    <m/>
  </r>
  <r>
    <n v="3021"/>
    <n v="23"/>
    <s v="Female"/>
    <x v="2"/>
    <x v="0"/>
    <n v="81"/>
    <s v="Arkansas"/>
    <x v="1"/>
    <x v="4"/>
    <x v="3"/>
    <x v="24"/>
    <x v="1"/>
    <x v="1"/>
    <n v="48"/>
    <x v="0"/>
    <x v="6"/>
    <m/>
  </r>
  <r>
    <n v="3022"/>
    <n v="65"/>
    <s v="Female"/>
    <x v="12"/>
    <x v="3"/>
    <n v="77"/>
    <s v="Pennsylvania"/>
    <x v="1"/>
    <x v="24"/>
    <x v="2"/>
    <x v="21"/>
    <x v="1"/>
    <x v="1"/>
    <n v="47"/>
    <x v="1"/>
    <x v="3"/>
    <m/>
  </r>
  <r>
    <n v="3023"/>
    <n v="58"/>
    <s v="Female"/>
    <x v="3"/>
    <x v="1"/>
    <n v="26"/>
    <s v="Georgia"/>
    <x v="2"/>
    <x v="12"/>
    <x v="3"/>
    <x v="8"/>
    <x v="1"/>
    <x v="1"/>
    <n v="23"/>
    <x v="3"/>
    <x v="1"/>
    <m/>
  </r>
  <r>
    <n v="3024"/>
    <n v="50"/>
    <s v="Female"/>
    <x v="21"/>
    <x v="3"/>
    <n v="31"/>
    <s v="Indiana"/>
    <x v="2"/>
    <x v="18"/>
    <x v="2"/>
    <x v="25"/>
    <x v="1"/>
    <x v="1"/>
    <n v="4"/>
    <x v="3"/>
    <x v="3"/>
    <m/>
  </r>
  <r>
    <n v="3025"/>
    <n v="67"/>
    <s v="Female"/>
    <x v="0"/>
    <x v="0"/>
    <n v="82"/>
    <s v="Idaho"/>
    <x v="1"/>
    <x v="3"/>
    <x v="1"/>
    <x v="8"/>
    <x v="1"/>
    <x v="1"/>
    <n v="47"/>
    <x v="2"/>
    <x v="6"/>
    <m/>
  </r>
  <r>
    <n v="3026"/>
    <n v="40"/>
    <s v="Female"/>
    <x v="9"/>
    <x v="1"/>
    <n v="60"/>
    <s v="Montana"/>
    <x v="3"/>
    <x v="14"/>
    <x v="2"/>
    <x v="10"/>
    <x v="1"/>
    <x v="1"/>
    <n v="7"/>
    <x v="3"/>
    <x v="5"/>
    <m/>
  </r>
  <r>
    <n v="3027"/>
    <n v="55"/>
    <s v="Female"/>
    <x v="5"/>
    <x v="0"/>
    <n v="70"/>
    <s v="Tennessee"/>
    <x v="0"/>
    <x v="23"/>
    <x v="3"/>
    <x v="16"/>
    <x v="1"/>
    <x v="1"/>
    <n v="6"/>
    <x v="2"/>
    <x v="2"/>
    <m/>
  </r>
  <r>
    <n v="3028"/>
    <n v="52"/>
    <s v="Female"/>
    <x v="15"/>
    <x v="0"/>
    <n v="26"/>
    <s v="West Virginia"/>
    <x v="3"/>
    <x v="15"/>
    <x v="0"/>
    <x v="24"/>
    <x v="1"/>
    <x v="1"/>
    <n v="47"/>
    <x v="2"/>
    <x v="3"/>
    <m/>
  </r>
  <r>
    <n v="3029"/>
    <n v="62"/>
    <s v="Female"/>
    <x v="10"/>
    <x v="0"/>
    <n v="100"/>
    <s v="California"/>
    <x v="0"/>
    <x v="4"/>
    <x v="2"/>
    <x v="23"/>
    <x v="1"/>
    <x v="1"/>
    <n v="7"/>
    <x v="3"/>
    <x v="6"/>
    <m/>
  </r>
  <r>
    <n v="3030"/>
    <n v="64"/>
    <s v="Female"/>
    <x v="10"/>
    <x v="0"/>
    <n v="82"/>
    <s v="Georgia"/>
    <x v="2"/>
    <x v="9"/>
    <x v="2"/>
    <x v="0"/>
    <x v="1"/>
    <x v="1"/>
    <n v="1"/>
    <x v="5"/>
    <x v="3"/>
    <m/>
  </r>
  <r>
    <n v="3031"/>
    <n v="43"/>
    <s v="Female"/>
    <x v="4"/>
    <x v="1"/>
    <n v="24"/>
    <s v="Maryland"/>
    <x v="3"/>
    <x v="7"/>
    <x v="1"/>
    <x v="4"/>
    <x v="1"/>
    <x v="1"/>
    <n v="23"/>
    <x v="2"/>
    <x v="1"/>
    <m/>
  </r>
  <r>
    <n v="3032"/>
    <n v="61"/>
    <s v="Female"/>
    <x v="0"/>
    <x v="0"/>
    <n v="74"/>
    <s v="Idaho"/>
    <x v="0"/>
    <x v="11"/>
    <x v="2"/>
    <x v="17"/>
    <x v="1"/>
    <x v="1"/>
    <n v="30"/>
    <x v="2"/>
    <x v="5"/>
    <m/>
  </r>
  <r>
    <n v="3033"/>
    <n v="26"/>
    <s v="Female"/>
    <x v="21"/>
    <x v="3"/>
    <n v="58"/>
    <s v="California"/>
    <x v="3"/>
    <x v="14"/>
    <x v="2"/>
    <x v="22"/>
    <x v="1"/>
    <x v="1"/>
    <n v="24"/>
    <x v="2"/>
    <x v="3"/>
    <m/>
  </r>
  <r>
    <n v="3034"/>
    <n v="22"/>
    <s v="Female"/>
    <x v="1"/>
    <x v="0"/>
    <n v="56"/>
    <s v="Alabama"/>
    <x v="0"/>
    <x v="20"/>
    <x v="1"/>
    <x v="4"/>
    <x v="1"/>
    <x v="1"/>
    <n v="9"/>
    <x v="3"/>
    <x v="1"/>
    <m/>
  </r>
  <r>
    <n v="3035"/>
    <n v="51"/>
    <s v="Female"/>
    <x v="23"/>
    <x v="1"/>
    <n v="37"/>
    <s v="Utah"/>
    <x v="0"/>
    <x v="15"/>
    <x v="1"/>
    <x v="22"/>
    <x v="1"/>
    <x v="1"/>
    <n v="25"/>
    <x v="2"/>
    <x v="3"/>
    <m/>
  </r>
  <r>
    <n v="3036"/>
    <n v="69"/>
    <s v="Female"/>
    <x v="8"/>
    <x v="3"/>
    <n v="64"/>
    <s v="Kentucky"/>
    <x v="2"/>
    <x v="9"/>
    <x v="1"/>
    <x v="21"/>
    <x v="1"/>
    <x v="1"/>
    <n v="18"/>
    <x v="1"/>
    <x v="4"/>
    <m/>
  </r>
  <r>
    <n v="3037"/>
    <n v="50"/>
    <s v="Female"/>
    <x v="15"/>
    <x v="0"/>
    <n v="58"/>
    <s v="Vermont"/>
    <x v="1"/>
    <x v="10"/>
    <x v="1"/>
    <x v="12"/>
    <x v="1"/>
    <x v="1"/>
    <n v="7"/>
    <x v="0"/>
    <x v="0"/>
    <m/>
  </r>
  <r>
    <n v="3038"/>
    <n v="51"/>
    <s v="Female"/>
    <x v="22"/>
    <x v="3"/>
    <n v="44"/>
    <s v="Iowa"/>
    <x v="0"/>
    <x v="4"/>
    <x v="2"/>
    <x v="3"/>
    <x v="1"/>
    <x v="1"/>
    <n v="2"/>
    <x v="1"/>
    <x v="2"/>
    <m/>
  </r>
  <r>
    <n v="3039"/>
    <n v="56"/>
    <s v="Female"/>
    <x v="16"/>
    <x v="3"/>
    <n v="39"/>
    <s v="Georgia"/>
    <x v="2"/>
    <x v="18"/>
    <x v="2"/>
    <x v="13"/>
    <x v="1"/>
    <x v="1"/>
    <n v="36"/>
    <x v="5"/>
    <x v="2"/>
    <m/>
  </r>
  <r>
    <n v="3040"/>
    <n v="59"/>
    <s v="Female"/>
    <x v="0"/>
    <x v="0"/>
    <n v="48"/>
    <s v="Alabama"/>
    <x v="0"/>
    <x v="24"/>
    <x v="1"/>
    <x v="20"/>
    <x v="1"/>
    <x v="1"/>
    <n v="31"/>
    <x v="3"/>
    <x v="4"/>
    <m/>
  </r>
  <r>
    <n v="3041"/>
    <n v="18"/>
    <s v="Female"/>
    <x v="8"/>
    <x v="3"/>
    <n v="32"/>
    <s v="Nebraska"/>
    <x v="2"/>
    <x v="9"/>
    <x v="3"/>
    <x v="18"/>
    <x v="1"/>
    <x v="1"/>
    <n v="10"/>
    <x v="1"/>
    <x v="0"/>
    <m/>
  </r>
  <r>
    <n v="3042"/>
    <n v="48"/>
    <s v="Female"/>
    <x v="8"/>
    <x v="3"/>
    <n v="79"/>
    <s v="Rhode Island"/>
    <x v="2"/>
    <x v="20"/>
    <x v="0"/>
    <x v="8"/>
    <x v="1"/>
    <x v="1"/>
    <n v="27"/>
    <x v="3"/>
    <x v="5"/>
    <m/>
  </r>
  <r>
    <n v="3043"/>
    <n v="53"/>
    <s v="Female"/>
    <x v="7"/>
    <x v="2"/>
    <n v="27"/>
    <s v="South Dakota"/>
    <x v="0"/>
    <x v="2"/>
    <x v="0"/>
    <x v="25"/>
    <x v="1"/>
    <x v="1"/>
    <n v="14"/>
    <x v="3"/>
    <x v="6"/>
    <m/>
  </r>
  <r>
    <n v="3044"/>
    <n v="45"/>
    <s v="Female"/>
    <x v="22"/>
    <x v="3"/>
    <n v="98"/>
    <s v="Illinois"/>
    <x v="1"/>
    <x v="15"/>
    <x v="3"/>
    <x v="4"/>
    <x v="1"/>
    <x v="1"/>
    <n v="17"/>
    <x v="2"/>
    <x v="5"/>
    <m/>
  </r>
  <r>
    <n v="3045"/>
    <n v="21"/>
    <s v="Female"/>
    <x v="23"/>
    <x v="1"/>
    <n v="67"/>
    <s v="North Carolina"/>
    <x v="2"/>
    <x v="23"/>
    <x v="0"/>
    <x v="6"/>
    <x v="1"/>
    <x v="1"/>
    <n v="10"/>
    <x v="4"/>
    <x v="3"/>
    <m/>
  </r>
  <r>
    <n v="3046"/>
    <n v="42"/>
    <s v="Female"/>
    <x v="20"/>
    <x v="0"/>
    <n v="37"/>
    <s v="Florida"/>
    <x v="0"/>
    <x v="13"/>
    <x v="0"/>
    <x v="7"/>
    <x v="1"/>
    <x v="1"/>
    <n v="4"/>
    <x v="3"/>
    <x v="4"/>
    <m/>
  </r>
  <r>
    <n v="3047"/>
    <n v="60"/>
    <s v="Female"/>
    <x v="9"/>
    <x v="1"/>
    <n v="49"/>
    <s v="Pennsylvania"/>
    <x v="2"/>
    <x v="3"/>
    <x v="1"/>
    <x v="20"/>
    <x v="1"/>
    <x v="1"/>
    <n v="25"/>
    <x v="1"/>
    <x v="6"/>
    <m/>
  </r>
  <r>
    <n v="3048"/>
    <n v="21"/>
    <s v="Female"/>
    <x v="4"/>
    <x v="1"/>
    <n v="74"/>
    <s v="Vermont"/>
    <x v="2"/>
    <x v="10"/>
    <x v="3"/>
    <x v="18"/>
    <x v="1"/>
    <x v="1"/>
    <n v="3"/>
    <x v="3"/>
    <x v="4"/>
    <m/>
  </r>
  <r>
    <n v="3049"/>
    <n v="69"/>
    <s v="Female"/>
    <x v="16"/>
    <x v="3"/>
    <n v="93"/>
    <s v="Colorado"/>
    <x v="2"/>
    <x v="8"/>
    <x v="2"/>
    <x v="14"/>
    <x v="1"/>
    <x v="1"/>
    <n v="47"/>
    <x v="0"/>
    <x v="0"/>
    <m/>
  </r>
  <r>
    <n v="3050"/>
    <n v="40"/>
    <s v="Female"/>
    <x v="8"/>
    <x v="3"/>
    <n v="60"/>
    <s v="Utah"/>
    <x v="0"/>
    <x v="16"/>
    <x v="2"/>
    <x v="23"/>
    <x v="1"/>
    <x v="1"/>
    <n v="41"/>
    <x v="4"/>
    <x v="4"/>
    <m/>
  </r>
  <r>
    <n v="3051"/>
    <n v="31"/>
    <s v="Female"/>
    <x v="7"/>
    <x v="2"/>
    <n v="76"/>
    <s v="Kentucky"/>
    <x v="1"/>
    <x v="14"/>
    <x v="1"/>
    <x v="2"/>
    <x v="1"/>
    <x v="1"/>
    <n v="28"/>
    <x v="0"/>
    <x v="6"/>
    <m/>
  </r>
  <r>
    <n v="3052"/>
    <n v="44"/>
    <s v="Female"/>
    <x v="12"/>
    <x v="3"/>
    <n v="64"/>
    <s v="Wyoming"/>
    <x v="0"/>
    <x v="9"/>
    <x v="2"/>
    <x v="7"/>
    <x v="1"/>
    <x v="1"/>
    <n v="49"/>
    <x v="5"/>
    <x v="6"/>
    <m/>
  </r>
  <r>
    <n v="3053"/>
    <n v="48"/>
    <s v="Female"/>
    <x v="9"/>
    <x v="1"/>
    <n v="38"/>
    <s v="Maine"/>
    <x v="3"/>
    <x v="8"/>
    <x v="1"/>
    <x v="21"/>
    <x v="1"/>
    <x v="1"/>
    <n v="7"/>
    <x v="4"/>
    <x v="0"/>
    <m/>
  </r>
  <r>
    <n v="3054"/>
    <n v="32"/>
    <s v="Female"/>
    <x v="9"/>
    <x v="1"/>
    <n v="91"/>
    <s v="Maine"/>
    <x v="0"/>
    <x v="18"/>
    <x v="0"/>
    <x v="20"/>
    <x v="1"/>
    <x v="1"/>
    <n v="22"/>
    <x v="4"/>
    <x v="5"/>
    <m/>
  </r>
  <r>
    <n v="3055"/>
    <n v="42"/>
    <s v="Female"/>
    <x v="23"/>
    <x v="1"/>
    <n v="70"/>
    <s v="New Hampshire"/>
    <x v="1"/>
    <x v="23"/>
    <x v="2"/>
    <x v="17"/>
    <x v="1"/>
    <x v="1"/>
    <n v="34"/>
    <x v="0"/>
    <x v="5"/>
    <m/>
  </r>
  <r>
    <n v="3056"/>
    <n v="27"/>
    <s v="Female"/>
    <x v="3"/>
    <x v="1"/>
    <n v="22"/>
    <s v="Kansas"/>
    <x v="2"/>
    <x v="10"/>
    <x v="3"/>
    <x v="11"/>
    <x v="1"/>
    <x v="1"/>
    <n v="5"/>
    <x v="5"/>
    <x v="4"/>
    <m/>
  </r>
  <r>
    <n v="3057"/>
    <n v="69"/>
    <s v="Female"/>
    <x v="24"/>
    <x v="3"/>
    <n v="59"/>
    <s v="New Jersey"/>
    <x v="2"/>
    <x v="19"/>
    <x v="1"/>
    <x v="1"/>
    <x v="1"/>
    <x v="1"/>
    <n v="15"/>
    <x v="1"/>
    <x v="4"/>
    <m/>
  </r>
  <r>
    <n v="3058"/>
    <n v="67"/>
    <s v="Female"/>
    <x v="21"/>
    <x v="3"/>
    <n v="22"/>
    <s v="North Carolina"/>
    <x v="2"/>
    <x v="24"/>
    <x v="1"/>
    <x v="10"/>
    <x v="1"/>
    <x v="1"/>
    <n v="26"/>
    <x v="4"/>
    <x v="1"/>
    <m/>
  </r>
  <r>
    <n v="3059"/>
    <n v="41"/>
    <s v="Female"/>
    <x v="8"/>
    <x v="3"/>
    <n v="74"/>
    <s v="West Virginia"/>
    <x v="1"/>
    <x v="20"/>
    <x v="0"/>
    <x v="1"/>
    <x v="1"/>
    <x v="1"/>
    <n v="3"/>
    <x v="4"/>
    <x v="0"/>
    <m/>
  </r>
  <r>
    <n v="3060"/>
    <n v="46"/>
    <s v="Female"/>
    <x v="1"/>
    <x v="0"/>
    <n v="71"/>
    <s v="Kentucky"/>
    <x v="0"/>
    <x v="1"/>
    <x v="1"/>
    <x v="20"/>
    <x v="1"/>
    <x v="1"/>
    <n v="42"/>
    <x v="2"/>
    <x v="3"/>
    <m/>
  </r>
  <r>
    <n v="3061"/>
    <n v="47"/>
    <s v="Female"/>
    <x v="7"/>
    <x v="2"/>
    <n v="80"/>
    <s v="California"/>
    <x v="1"/>
    <x v="4"/>
    <x v="2"/>
    <x v="15"/>
    <x v="1"/>
    <x v="1"/>
    <n v="1"/>
    <x v="0"/>
    <x v="5"/>
    <m/>
  </r>
  <r>
    <n v="3062"/>
    <n v="33"/>
    <s v="Female"/>
    <x v="17"/>
    <x v="0"/>
    <n v="59"/>
    <s v="South Dakota"/>
    <x v="0"/>
    <x v="8"/>
    <x v="3"/>
    <x v="21"/>
    <x v="1"/>
    <x v="1"/>
    <n v="20"/>
    <x v="3"/>
    <x v="6"/>
    <m/>
  </r>
  <r>
    <n v="3063"/>
    <n v="51"/>
    <s v="Female"/>
    <x v="21"/>
    <x v="3"/>
    <n v="96"/>
    <s v="California"/>
    <x v="0"/>
    <x v="14"/>
    <x v="3"/>
    <x v="19"/>
    <x v="1"/>
    <x v="1"/>
    <n v="39"/>
    <x v="3"/>
    <x v="5"/>
    <m/>
  </r>
  <r>
    <n v="3064"/>
    <n v="26"/>
    <s v="Female"/>
    <x v="12"/>
    <x v="3"/>
    <n v="43"/>
    <s v="Connecticut"/>
    <x v="0"/>
    <x v="18"/>
    <x v="0"/>
    <x v="14"/>
    <x v="1"/>
    <x v="1"/>
    <n v="24"/>
    <x v="2"/>
    <x v="0"/>
    <m/>
  </r>
  <r>
    <n v="3065"/>
    <n v="22"/>
    <s v="Female"/>
    <x v="22"/>
    <x v="3"/>
    <n v="76"/>
    <s v="Idaho"/>
    <x v="1"/>
    <x v="17"/>
    <x v="0"/>
    <x v="2"/>
    <x v="1"/>
    <x v="1"/>
    <n v="49"/>
    <x v="4"/>
    <x v="3"/>
    <m/>
  </r>
  <r>
    <n v="3066"/>
    <n v="49"/>
    <s v="Female"/>
    <x v="14"/>
    <x v="2"/>
    <n v="59"/>
    <s v="North Dakota"/>
    <x v="2"/>
    <x v="19"/>
    <x v="3"/>
    <x v="24"/>
    <x v="1"/>
    <x v="1"/>
    <n v="7"/>
    <x v="0"/>
    <x v="4"/>
    <m/>
  </r>
  <r>
    <n v="3067"/>
    <n v="58"/>
    <s v="Female"/>
    <x v="11"/>
    <x v="0"/>
    <n v="48"/>
    <s v="Michigan"/>
    <x v="0"/>
    <x v="11"/>
    <x v="2"/>
    <x v="12"/>
    <x v="1"/>
    <x v="1"/>
    <n v="13"/>
    <x v="0"/>
    <x v="6"/>
    <m/>
  </r>
  <r>
    <n v="3068"/>
    <n v="70"/>
    <s v="Female"/>
    <x v="22"/>
    <x v="3"/>
    <n v="22"/>
    <s v="Missouri"/>
    <x v="1"/>
    <x v="0"/>
    <x v="1"/>
    <x v="22"/>
    <x v="1"/>
    <x v="1"/>
    <n v="2"/>
    <x v="1"/>
    <x v="1"/>
    <m/>
  </r>
  <r>
    <n v="3069"/>
    <n v="32"/>
    <s v="Female"/>
    <x v="23"/>
    <x v="1"/>
    <n v="40"/>
    <s v="California"/>
    <x v="2"/>
    <x v="21"/>
    <x v="0"/>
    <x v="13"/>
    <x v="1"/>
    <x v="1"/>
    <n v="4"/>
    <x v="5"/>
    <x v="1"/>
    <m/>
  </r>
  <r>
    <n v="3070"/>
    <n v="62"/>
    <s v="Female"/>
    <x v="2"/>
    <x v="0"/>
    <n v="73"/>
    <s v="Delaware"/>
    <x v="0"/>
    <x v="23"/>
    <x v="1"/>
    <x v="7"/>
    <x v="1"/>
    <x v="1"/>
    <n v="17"/>
    <x v="5"/>
    <x v="3"/>
    <m/>
  </r>
  <r>
    <n v="3071"/>
    <n v="52"/>
    <s v="Female"/>
    <x v="9"/>
    <x v="1"/>
    <n v="26"/>
    <s v="Alabama"/>
    <x v="3"/>
    <x v="16"/>
    <x v="3"/>
    <x v="4"/>
    <x v="1"/>
    <x v="1"/>
    <n v="43"/>
    <x v="3"/>
    <x v="4"/>
    <m/>
  </r>
  <r>
    <n v="3072"/>
    <n v="23"/>
    <s v="Female"/>
    <x v="1"/>
    <x v="0"/>
    <n v="41"/>
    <s v="New Hampshire"/>
    <x v="0"/>
    <x v="2"/>
    <x v="1"/>
    <x v="10"/>
    <x v="1"/>
    <x v="1"/>
    <n v="6"/>
    <x v="3"/>
    <x v="5"/>
    <m/>
  </r>
  <r>
    <n v="3073"/>
    <n v="26"/>
    <s v="Female"/>
    <x v="16"/>
    <x v="3"/>
    <n v="98"/>
    <s v="New York"/>
    <x v="0"/>
    <x v="15"/>
    <x v="1"/>
    <x v="0"/>
    <x v="1"/>
    <x v="1"/>
    <n v="46"/>
    <x v="3"/>
    <x v="3"/>
    <m/>
  </r>
  <r>
    <n v="3074"/>
    <n v="58"/>
    <s v="Female"/>
    <x v="5"/>
    <x v="0"/>
    <n v="63"/>
    <s v="Oregon"/>
    <x v="0"/>
    <x v="3"/>
    <x v="0"/>
    <x v="2"/>
    <x v="1"/>
    <x v="1"/>
    <n v="7"/>
    <x v="5"/>
    <x v="4"/>
    <m/>
  </r>
  <r>
    <n v="3075"/>
    <n v="26"/>
    <s v="Female"/>
    <x v="23"/>
    <x v="1"/>
    <n v="55"/>
    <s v="Massachusetts"/>
    <x v="0"/>
    <x v="1"/>
    <x v="0"/>
    <x v="13"/>
    <x v="1"/>
    <x v="1"/>
    <n v="34"/>
    <x v="5"/>
    <x v="0"/>
    <m/>
  </r>
  <r>
    <n v="3076"/>
    <n v="54"/>
    <s v="Female"/>
    <x v="6"/>
    <x v="0"/>
    <n v="90"/>
    <s v="Utah"/>
    <x v="3"/>
    <x v="19"/>
    <x v="0"/>
    <x v="2"/>
    <x v="1"/>
    <x v="1"/>
    <n v="21"/>
    <x v="3"/>
    <x v="6"/>
    <m/>
  </r>
  <r>
    <n v="3077"/>
    <n v="66"/>
    <s v="Female"/>
    <x v="8"/>
    <x v="3"/>
    <n v="46"/>
    <s v="New Hampshire"/>
    <x v="2"/>
    <x v="24"/>
    <x v="2"/>
    <x v="2"/>
    <x v="1"/>
    <x v="1"/>
    <n v="13"/>
    <x v="0"/>
    <x v="4"/>
    <m/>
  </r>
  <r>
    <n v="3078"/>
    <n v="60"/>
    <s v="Female"/>
    <x v="1"/>
    <x v="0"/>
    <n v="88"/>
    <s v="Illinois"/>
    <x v="1"/>
    <x v="16"/>
    <x v="1"/>
    <x v="23"/>
    <x v="1"/>
    <x v="1"/>
    <n v="33"/>
    <x v="5"/>
    <x v="4"/>
    <m/>
  </r>
  <r>
    <n v="3079"/>
    <n v="32"/>
    <s v="Female"/>
    <x v="22"/>
    <x v="3"/>
    <n v="95"/>
    <s v="Alaska"/>
    <x v="2"/>
    <x v="24"/>
    <x v="1"/>
    <x v="16"/>
    <x v="1"/>
    <x v="1"/>
    <n v="24"/>
    <x v="4"/>
    <x v="4"/>
    <m/>
  </r>
  <r>
    <n v="3080"/>
    <n v="48"/>
    <s v="Female"/>
    <x v="22"/>
    <x v="3"/>
    <n v="31"/>
    <s v="Wyoming"/>
    <x v="2"/>
    <x v="1"/>
    <x v="3"/>
    <x v="8"/>
    <x v="1"/>
    <x v="1"/>
    <n v="4"/>
    <x v="4"/>
    <x v="2"/>
    <m/>
  </r>
  <r>
    <n v="3081"/>
    <n v="69"/>
    <s v="Female"/>
    <x v="15"/>
    <x v="0"/>
    <n v="42"/>
    <s v="Colorado"/>
    <x v="0"/>
    <x v="22"/>
    <x v="1"/>
    <x v="18"/>
    <x v="1"/>
    <x v="1"/>
    <n v="5"/>
    <x v="1"/>
    <x v="4"/>
    <m/>
  </r>
  <r>
    <n v="3082"/>
    <n v="64"/>
    <s v="Female"/>
    <x v="4"/>
    <x v="1"/>
    <n v="44"/>
    <s v="Vermont"/>
    <x v="0"/>
    <x v="6"/>
    <x v="0"/>
    <x v="17"/>
    <x v="1"/>
    <x v="1"/>
    <n v="11"/>
    <x v="2"/>
    <x v="1"/>
    <m/>
  </r>
  <r>
    <n v="3083"/>
    <n v="56"/>
    <s v="Female"/>
    <x v="17"/>
    <x v="0"/>
    <n v="99"/>
    <s v="Utah"/>
    <x v="2"/>
    <x v="1"/>
    <x v="1"/>
    <x v="8"/>
    <x v="1"/>
    <x v="1"/>
    <n v="20"/>
    <x v="4"/>
    <x v="2"/>
    <m/>
  </r>
  <r>
    <n v="3084"/>
    <n v="22"/>
    <s v="Female"/>
    <x v="13"/>
    <x v="0"/>
    <n v="20"/>
    <s v="Illinois"/>
    <x v="1"/>
    <x v="7"/>
    <x v="2"/>
    <x v="22"/>
    <x v="1"/>
    <x v="1"/>
    <n v="28"/>
    <x v="3"/>
    <x v="3"/>
    <m/>
  </r>
  <r>
    <n v="3085"/>
    <n v="46"/>
    <s v="Female"/>
    <x v="18"/>
    <x v="3"/>
    <n v="37"/>
    <s v="Idaho"/>
    <x v="1"/>
    <x v="21"/>
    <x v="1"/>
    <x v="20"/>
    <x v="1"/>
    <x v="1"/>
    <n v="43"/>
    <x v="3"/>
    <x v="5"/>
    <m/>
  </r>
  <r>
    <n v="3086"/>
    <n v="24"/>
    <s v="Female"/>
    <x v="1"/>
    <x v="0"/>
    <n v="50"/>
    <s v="Nevada"/>
    <x v="0"/>
    <x v="0"/>
    <x v="0"/>
    <x v="24"/>
    <x v="1"/>
    <x v="1"/>
    <n v="10"/>
    <x v="0"/>
    <x v="6"/>
    <m/>
  </r>
  <r>
    <n v="3087"/>
    <n v="47"/>
    <s v="Female"/>
    <x v="8"/>
    <x v="3"/>
    <n v="73"/>
    <s v="Utah"/>
    <x v="2"/>
    <x v="12"/>
    <x v="2"/>
    <x v="22"/>
    <x v="1"/>
    <x v="1"/>
    <n v="26"/>
    <x v="0"/>
    <x v="6"/>
    <m/>
  </r>
  <r>
    <n v="3088"/>
    <n v="62"/>
    <s v="Female"/>
    <x v="5"/>
    <x v="0"/>
    <n v="84"/>
    <s v="North Carolina"/>
    <x v="2"/>
    <x v="4"/>
    <x v="1"/>
    <x v="0"/>
    <x v="1"/>
    <x v="1"/>
    <n v="29"/>
    <x v="4"/>
    <x v="5"/>
    <m/>
  </r>
  <r>
    <n v="3089"/>
    <n v="34"/>
    <s v="Female"/>
    <x v="10"/>
    <x v="0"/>
    <n v="64"/>
    <s v="Arkansas"/>
    <x v="2"/>
    <x v="11"/>
    <x v="1"/>
    <x v="19"/>
    <x v="1"/>
    <x v="1"/>
    <n v="35"/>
    <x v="4"/>
    <x v="3"/>
    <m/>
  </r>
  <r>
    <n v="3090"/>
    <n v="50"/>
    <s v="Female"/>
    <x v="3"/>
    <x v="1"/>
    <n v="21"/>
    <s v="North Carolina"/>
    <x v="0"/>
    <x v="24"/>
    <x v="3"/>
    <x v="7"/>
    <x v="1"/>
    <x v="1"/>
    <n v="23"/>
    <x v="1"/>
    <x v="4"/>
    <m/>
  </r>
  <r>
    <n v="3091"/>
    <n v="29"/>
    <s v="Female"/>
    <x v="5"/>
    <x v="0"/>
    <n v="36"/>
    <s v="Texas"/>
    <x v="2"/>
    <x v="15"/>
    <x v="2"/>
    <x v="17"/>
    <x v="1"/>
    <x v="1"/>
    <n v="15"/>
    <x v="4"/>
    <x v="3"/>
    <m/>
  </r>
  <r>
    <n v="3092"/>
    <n v="68"/>
    <s v="Female"/>
    <x v="10"/>
    <x v="0"/>
    <n v="81"/>
    <s v="Nevada"/>
    <x v="0"/>
    <x v="20"/>
    <x v="0"/>
    <x v="10"/>
    <x v="1"/>
    <x v="1"/>
    <n v="46"/>
    <x v="2"/>
    <x v="2"/>
    <m/>
  </r>
  <r>
    <n v="3093"/>
    <n v="52"/>
    <s v="Female"/>
    <x v="12"/>
    <x v="3"/>
    <n v="54"/>
    <s v="Utah"/>
    <x v="0"/>
    <x v="5"/>
    <x v="3"/>
    <x v="22"/>
    <x v="1"/>
    <x v="1"/>
    <n v="14"/>
    <x v="4"/>
    <x v="4"/>
    <m/>
  </r>
  <r>
    <n v="3094"/>
    <n v="29"/>
    <s v="Female"/>
    <x v="20"/>
    <x v="0"/>
    <n v="63"/>
    <s v="Pennsylvania"/>
    <x v="0"/>
    <x v="16"/>
    <x v="2"/>
    <x v="3"/>
    <x v="1"/>
    <x v="1"/>
    <n v="17"/>
    <x v="1"/>
    <x v="6"/>
    <m/>
  </r>
  <r>
    <n v="3095"/>
    <n v="22"/>
    <s v="Female"/>
    <x v="3"/>
    <x v="1"/>
    <n v="59"/>
    <s v="Georgia"/>
    <x v="2"/>
    <x v="0"/>
    <x v="2"/>
    <x v="6"/>
    <x v="1"/>
    <x v="1"/>
    <n v="9"/>
    <x v="1"/>
    <x v="1"/>
    <m/>
  </r>
  <r>
    <n v="3096"/>
    <n v="62"/>
    <s v="Female"/>
    <x v="19"/>
    <x v="3"/>
    <n v="53"/>
    <s v="Minnesota"/>
    <x v="1"/>
    <x v="19"/>
    <x v="3"/>
    <x v="10"/>
    <x v="1"/>
    <x v="1"/>
    <n v="13"/>
    <x v="0"/>
    <x v="0"/>
    <m/>
  </r>
  <r>
    <n v="3097"/>
    <n v="69"/>
    <s v="Female"/>
    <x v="5"/>
    <x v="0"/>
    <n v="63"/>
    <s v="Kansas"/>
    <x v="0"/>
    <x v="3"/>
    <x v="0"/>
    <x v="22"/>
    <x v="1"/>
    <x v="1"/>
    <n v="20"/>
    <x v="4"/>
    <x v="5"/>
    <m/>
  </r>
  <r>
    <n v="3098"/>
    <n v="48"/>
    <s v="Female"/>
    <x v="9"/>
    <x v="1"/>
    <n v="33"/>
    <s v="Delaware"/>
    <x v="2"/>
    <x v="5"/>
    <x v="3"/>
    <x v="5"/>
    <x v="1"/>
    <x v="1"/>
    <n v="39"/>
    <x v="4"/>
    <x v="3"/>
    <m/>
  </r>
  <r>
    <n v="3099"/>
    <n v="66"/>
    <s v="Female"/>
    <x v="13"/>
    <x v="0"/>
    <n v="64"/>
    <s v="New Mexico"/>
    <x v="0"/>
    <x v="17"/>
    <x v="2"/>
    <x v="19"/>
    <x v="1"/>
    <x v="1"/>
    <n v="50"/>
    <x v="4"/>
    <x v="3"/>
    <m/>
  </r>
  <r>
    <n v="3100"/>
    <n v="42"/>
    <s v="Female"/>
    <x v="5"/>
    <x v="0"/>
    <n v="98"/>
    <s v="Michigan"/>
    <x v="1"/>
    <x v="1"/>
    <x v="3"/>
    <x v="25"/>
    <x v="1"/>
    <x v="1"/>
    <n v="21"/>
    <x v="4"/>
    <x v="4"/>
    <m/>
  </r>
  <r>
    <n v="3101"/>
    <n v="50"/>
    <s v="Female"/>
    <x v="19"/>
    <x v="3"/>
    <n v="85"/>
    <s v="Vermont"/>
    <x v="0"/>
    <x v="7"/>
    <x v="0"/>
    <x v="14"/>
    <x v="1"/>
    <x v="1"/>
    <n v="3"/>
    <x v="4"/>
    <x v="1"/>
    <m/>
  </r>
  <r>
    <n v="3102"/>
    <n v="32"/>
    <s v="Female"/>
    <x v="16"/>
    <x v="3"/>
    <n v="82"/>
    <s v="Idaho"/>
    <x v="1"/>
    <x v="18"/>
    <x v="2"/>
    <x v="6"/>
    <x v="1"/>
    <x v="1"/>
    <n v="9"/>
    <x v="3"/>
    <x v="0"/>
    <m/>
  </r>
  <r>
    <n v="3103"/>
    <n v="51"/>
    <s v="Female"/>
    <x v="14"/>
    <x v="2"/>
    <n v="85"/>
    <s v="South Dakota"/>
    <x v="2"/>
    <x v="14"/>
    <x v="2"/>
    <x v="12"/>
    <x v="1"/>
    <x v="1"/>
    <n v="29"/>
    <x v="1"/>
    <x v="4"/>
    <m/>
  </r>
  <r>
    <n v="3104"/>
    <n v="27"/>
    <s v="Female"/>
    <x v="5"/>
    <x v="0"/>
    <n v="37"/>
    <s v="Illinois"/>
    <x v="1"/>
    <x v="15"/>
    <x v="0"/>
    <x v="23"/>
    <x v="1"/>
    <x v="1"/>
    <n v="42"/>
    <x v="4"/>
    <x v="1"/>
    <m/>
  </r>
  <r>
    <n v="3105"/>
    <n v="43"/>
    <s v="Female"/>
    <x v="13"/>
    <x v="0"/>
    <n v="56"/>
    <s v="Georgia"/>
    <x v="1"/>
    <x v="2"/>
    <x v="2"/>
    <x v="11"/>
    <x v="1"/>
    <x v="1"/>
    <n v="41"/>
    <x v="5"/>
    <x v="0"/>
    <m/>
  </r>
  <r>
    <n v="3106"/>
    <n v="48"/>
    <s v="Female"/>
    <x v="11"/>
    <x v="0"/>
    <n v="33"/>
    <s v="Oregon"/>
    <x v="2"/>
    <x v="8"/>
    <x v="3"/>
    <x v="6"/>
    <x v="1"/>
    <x v="1"/>
    <n v="17"/>
    <x v="5"/>
    <x v="5"/>
    <m/>
  </r>
  <r>
    <n v="3107"/>
    <n v="62"/>
    <s v="Female"/>
    <x v="3"/>
    <x v="1"/>
    <n v="57"/>
    <s v="Alabama"/>
    <x v="2"/>
    <x v="22"/>
    <x v="0"/>
    <x v="15"/>
    <x v="1"/>
    <x v="1"/>
    <n v="20"/>
    <x v="3"/>
    <x v="2"/>
    <m/>
  </r>
  <r>
    <n v="3108"/>
    <n v="65"/>
    <s v="Female"/>
    <x v="0"/>
    <x v="0"/>
    <n v="31"/>
    <s v="Hawaii"/>
    <x v="0"/>
    <x v="0"/>
    <x v="0"/>
    <x v="7"/>
    <x v="1"/>
    <x v="1"/>
    <n v="18"/>
    <x v="2"/>
    <x v="4"/>
    <m/>
  </r>
  <r>
    <n v="3109"/>
    <n v="50"/>
    <s v="Female"/>
    <x v="20"/>
    <x v="0"/>
    <n v="69"/>
    <s v="Oregon"/>
    <x v="2"/>
    <x v="7"/>
    <x v="3"/>
    <x v="20"/>
    <x v="1"/>
    <x v="1"/>
    <n v="7"/>
    <x v="3"/>
    <x v="5"/>
    <m/>
  </r>
  <r>
    <n v="3110"/>
    <n v="60"/>
    <s v="Female"/>
    <x v="14"/>
    <x v="2"/>
    <n v="92"/>
    <s v="Illinois"/>
    <x v="2"/>
    <x v="0"/>
    <x v="0"/>
    <x v="12"/>
    <x v="1"/>
    <x v="1"/>
    <n v="47"/>
    <x v="4"/>
    <x v="0"/>
    <m/>
  </r>
  <r>
    <n v="3111"/>
    <n v="19"/>
    <s v="Female"/>
    <x v="8"/>
    <x v="3"/>
    <n v="46"/>
    <s v="Texas"/>
    <x v="0"/>
    <x v="12"/>
    <x v="3"/>
    <x v="7"/>
    <x v="1"/>
    <x v="1"/>
    <n v="2"/>
    <x v="4"/>
    <x v="4"/>
    <m/>
  </r>
  <r>
    <n v="3112"/>
    <n v="21"/>
    <s v="Female"/>
    <x v="22"/>
    <x v="3"/>
    <n v="81"/>
    <s v="Kansas"/>
    <x v="3"/>
    <x v="21"/>
    <x v="1"/>
    <x v="17"/>
    <x v="1"/>
    <x v="1"/>
    <n v="25"/>
    <x v="5"/>
    <x v="3"/>
    <m/>
  </r>
  <r>
    <n v="3113"/>
    <n v="19"/>
    <s v="Female"/>
    <x v="0"/>
    <x v="0"/>
    <n v="97"/>
    <s v="Texas"/>
    <x v="1"/>
    <x v="14"/>
    <x v="3"/>
    <x v="1"/>
    <x v="1"/>
    <x v="1"/>
    <n v="26"/>
    <x v="0"/>
    <x v="2"/>
    <m/>
  </r>
  <r>
    <n v="3114"/>
    <n v="46"/>
    <s v="Female"/>
    <x v="5"/>
    <x v="0"/>
    <n v="93"/>
    <s v="Nebraska"/>
    <x v="0"/>
    <x v="14"/>
    <x v="2"/>
    <x v="4"/>
    <x v="1"/>
    <x v="1"/>
    <n v="2"/>
    <x v="5"/>
    <x v="1"/>
    <m/>
  </r>
  <r>
    <n v="3115"/>
    <n v="21"/>
    <s v="Female"/>
    <x v="8"/>
    <x v="3"/>
    <n v="56"/>
    <s v="Arkansas"/>
    <x v="2"/>
    <x v="8"/>
    <x v="1"/>
    <x v="15"/>
    <x v="1"/>
    <x v="1"/>
    <n v="45"/>
    <x v="0"/>
    <x v="4"/>
    <m/>
  </r>
  <r>
    <n v="3116"/>
    <n v="26"/>
    <s v="Female"/>
    <x v="18"/>
    <x v="3"/>
    <n v="53"/>
    <s v="South Dakota"/>
    <x v="2"/>
    <x v="4"/>
    <x v="3"/>
    <x v="18"/>
    <x v="1"/>
    <x v="1"/>
    <n v="9"/>
    <x v="4"/>
    <x v="4"/>
    <m/>
  </r>
  <r>
    <n v="3117"/>
    <n v="50"/>
    <s v="Female"/>
    <x v="7"/>
    <x v="2"/>
    <n v="66"/>
    <s v="Montana"/>
    <x v="0"/>
    <x v="0"/>
    <x v="1"/>
    <x v="5"/>
    <x v="1"/>
    <x v="1"/>
    <n v="1"/>
    <x v="0"/>
    <x v="1"/>
    <m/>
  </r>
  <r>
    <n v="3118"/>
    <n v="43"/>
    <s v="Female"/>
    <x v="15"/>
    <x v="0"/>
    <n v="50"/>
    <s v="Florida"/>
    <x v="2"/>
    <x v="8"/>
    <x v="3"/>
    <x v="23"/>
    <x v="1"/>
    <x v="1"/>
    <n v="4"/>
    <x v="3"/>
    <x v="4"/>
    <m/>
  </r>
  <r>
    <n v="3119"/>
    <n v="61"/>
    <s v="Female"/>
    <x v="6"/>
    <x v="0"/>
    <n v="97"/>
    <s v="Virginia"/>
    <x v="0"/>
    <x v="24"/>
    <x v="2"/>
    <x v="15"/>
    <x v="1"/>
    <x v="1"/>
    <n v="31"/>
    <x v="5"/>
    <x v="3"/>
    <m/>
  </r>
  <r>
    <n v="3120"/>
    <n v="63"/>
    <s v="Female"/>
    <x v="3"/>
    <x v="1"/>
    <n v="79"/>
    <s v="Louisiana"/>
    <x v="3"/>
    <x v="5"/>
    <x v="0"/>
    <x v="15"/>
    <x v="1"/>
    <x v="1"/>
    <n v="21"/>
    <x v="2"/>
    <x v="6"/>
    <m/>
  </r>
  <r>
    <n v="3121"/>
    <n v="46"/>
    <s v="Female"/>
    <x v="5"/>
    <x v="0"/>
    <n v="76"/>
    <s v="Louisiana"/>
    <x v="2"/>
    <x v="23"/>
    <x v="3"/>
    <x v="8"/>
    <x v="1"/>
    <x v="1"/>
    <n v="32"/>
    <x v="5"/>
    <x v="0"/>
    <m/>
  </r>
  <r>
    <n v="3122"/>
    <n v="63"/>
    <s v="Female"/>
    <x v="15"/>
    <x v="0"/>
    <n v="38"/>
    <s v="Louisiana"/>
    <x v="0"/>
    <x v="13"/>
    <x v="3"/>
    <x v="4"/>
    <x v="1"/>
    <x v="1"/>
    <n v="16"/>
    <x v="0"/>
    <x v="1"/>
    <m/>
  </r>
  <r>
    <n v="3123"/>
    <n v="23"/>
    <s v="Female"/>
    <x v="20"/>
    <x v="0"/>
    <n v="45"/>
    <s v="Georgia"/>
    <x v="2"/>
    <x v="6"/>
    <x v="3"/>
    <x v="23"/>
    <x v="1"/>
    <x v="1"/>
    <n v="34"/>
    <x v="2"/>
    <x v="0"/>
    <m/>
  </r>
  <r>
    <n v="3124"/>
    <n v="57"/>
    <s v="Female"/>
    <x v="8"/>
    <x v="3"/>
    <n v="77"/>
    <s v="Iowa"/>
    <x v="3"/>
    <x v="16"/>
    <x v="3"/>
    <x v="19"/>
    <x v="1"/>
    <x v="1"/>
    <n v="40"/>
    <x v="0"/>
    <x v="4"/>
    <m/>
  </r>
  <r>
    <n v="3125"/>
    <n v="57"/>
    <s v="Female"/>
    <x v="16"/>
    <x v="3"/>
    <n v="51"/>
    <s v="California"/>
    <x v="2"/>
    <x v="15"/>
    <x v="2"/>
    <x v="10"/>
    <x v="1"/>
    <x v="1"/>
    <n v="4"/>
    <x v="1"/>
    <x v="6"/>
    <m/>
  </r>
  <r>
    <n v="3126"/>
    <n v="33"/>
    <s v="Female"/>
    <x v="7"/>
    <x v="2"/>
    <n v="26"/>
    <s v="Oregon"/>
    <x v="0"/>
    <x v="12"/>
    <x v="1"/>
    <x v="8"/>
    <x v="1"/>
    <x v="1"/>
    <n v="3"/>
    <x v="1"/>
    <x v="3"/>
    <m/>
  </r>
  <r>
    <n v="3127"/>
    <n v="57"/>
    <s v="Female"/>
    <x v="12"/>
    <x v="3"/>
    <n v="76"/>
    <s v="Maine"/>
    <x v="0"/>
    <x v="12"/>
    <x v="0"/>
    <x v="4"/>
    <x v="1"/>
    <x v="1"/>
    <n v="28"/>
    <x v="4"/>
    <x v="4"/>
    <m/>
  </r>
  <r>
    <n v="3128"/>
    <n v="55"/>
    <s v="Female"/>
    <x v="24"/>
    <x v="3"/>
    <n v="94"/>
    <s v="Louisiana"/>
    <x v="2"/>
    <x v="19"/>
    <x v="0"/>
    <x v="10"/>
    <x v="1"/>
    <x v="1"/>
    <n v="43"/>
    <x v="2"/>
    <x v="6"/>
    <m/>
  </r>
  <r>
    <n v="3129"/>
    <n v="65"/>
    <s v="Female"/>
    <x v="14"/>
    <x v="2"/>
    <n v="32"/>
    <s v="Arkansas"/>
    <x v="1"/>
    <x v="21"/>
    <x v="3"/>
    <x v="9"/>
    <x v="1"/>
    <x v="1"/>
    <n v="20"/>
    <x v="1"/>
    <x v="2"/>
    <m/>
  </r>
  <r>
    <n v="3130"/>
    <n v="60"/>
    <s v="Female"/>
    <x v="3"/>
    <x v="1"/>
    <n v="20"/>
    <s v="Maryland"/>
    <x v="1"/>
    <x v="17"/>
    <x v="2"/>
    <x v="15"/>
    <x v="1"/>
    <x v="1"/>
    <n v="40"/>
    <x v="0"/>
    <x v="6"/>
    <m/>
  </r>
  <r>
    <n v="3131"/>
    <n v="52"/>
    <s v="Female"/>
    <x v="13"/>
    <x v="0"/>
    <n v="20"/>
    <s v="Vermont"/>
    <x v="2"/>
    <x v="22"/>
    <x v="2"/>
    <x v="21"/>
    <x v="1"/>
    <x v="1"/>
    <n v="34"/>
    <x v="0"/>
    <x v="6"/>
    <m/>
  </r>
  <r>
    <n v="3132"/>
    <n v="34"/>
    <s v="Female"/>
    <x v="14"/>
    <x v="2"/>
    <n v="59"/>
    <s v="North Dakota"/>
    <x v="2"/>
    <x v="15"/>
    <x v="3"/>
    <x v="25"/>
    <x v="1"/>
    <x v="1"/>
    <n v="11"/>
    <x v="4"/>
    <x v="6"/>
    <m/>
  </r>
  <r>
    <n v="3133"/>
    <n v="33"/>
    <s v="Female"/>
    <x v="1"/>
    <x v="0"/>
    <n v="97"/>
    <s v="Michigan"/>
    <x v="2"/>
    <x v="22"/>
    <x v="2"/>
    <x v="13"/>
    <x v="1"/>
    <x v="1"/>
    <n v="26"/>
    <x v="1"/>
    <x v="3"/>
    <m/>
  </r>
  <r>
    <n v="3134"/>
    <n v="58"/>
    <s v="Female"/>
    <x v="17"/>
    <x v="0"/>
    <n v="68"/>
    <s v="Arkansas"/>
    <x v="2"/>
    <x v="20"/>
    <x v="1"/>
    <x v="18"/>
    <x v="1"/>
    <x v="1"/>
    <n v="29"/>
    <x v="1"/>
    <x v="4"/>
    <m/>
  </r>
  <r>
    <n v="3135"/>
    <n v="35"/>
    <s v="Female"/>
    <x v="23"/>
    <x v="1"/>
    <n v="66"/>
    <s v="Kentucky"/>
    <x v="0"/>
    <x v="0"/>
    <x v="1"/>
    <x v="9"/>
    <x v="1"/>
    <x v="1"/>
    <n v="47"/>
    <x v="4"/>
    <x v="1"/>
    <m/>
  </r>
  <r>
    <n v="3136"/>
    <n v="68"/>
    <s v="Female"/>
    <x v="9"/>
    <x v="1"/>
    <n v="85"/>
    <s v="Indiana"/>
    <x v="0"/>
    <x v="22"/>
    <x v="1"/>
    <x v="15"/>
    <x v="1"/>
    <x v="1"/>
    <n v="48"/>
    <x v="0"/>
    <x v="0"/>
    <m/>
  </r>
  <r>
    <n v="3137"/>
    <n v="58"/>
    <s v="Female"/>
    <x v="11"/>
    <x v="0"/>
    <n v="32"/>
    <s v="Minnesota"/>
    <x v="2"/>
    <x v="0"/>
    <x v="3"/>
    <x v="0"/>
    <x v="1"/>
    <x v="1"/>
    <n v="29"/>
    <x v="1"/>
    <x v="4"/>
    <m/>
  </r>
  <r>
    <n v="3138"/>
    <n v="34"/>
    <s v="Female"/>
    <x v="7"/>
    <x v="2"/>
    <n v="44"/>
    <s v="Louisiana"/>
    <x v="2"/>
    <x v="2"/>
    <x v="1"/>
    <x v="6"/>
    <x v="1"/>
    <x v="1"/>
    <n v="14"/>
    <x v="4"/>
    <x v="5"/>
    <m/>
  </r>
  <r>
    <n v="3139"/>
    <n v="47"/>
    <s v="Female"/>
    <x v="0"/>
    <x v="0"/>
    <n v="95"/>
    <s v="Kentucky"/>
    <x v="0"/>
    <x v="0"/>
    <x v="3"/>
    <x v="7"/>
    <x v="1"/>
    <x v="1"/>
    <n v="40"/>
    <x v="1"/>
    <x v="6"/>
    <m/>
  </r>
  <r>
    <n v="3140"/>
    <n v="35"/>
    <s v="Female"/>
    <x v="12"/>
    <x v="3"/>
    <n v="85"/>
    <s v="Georgia"/>
    <x v="2"/>
    <x v="8"/>
    <x v="0"/>
    <x v="9"/>
    <x v="1"/>
    <x v="1"/>
    <n v="4"/>
    <x v="0"/>
    <x v="1"/>
    <m/>
  </r>
  <r>
    <n v="3141"/>
    <n v="34"/>
    <s v="Female"/>
    <x v="24"/>
    <x v="3"/>
    <n v="44"/>
    <s v="Alaska"/>
    <x v="3"/>
    <x v="15"/>
    <x v="2"/>
    <x v="7"/>
    <x v="1"/>
    <x v="1"/>
    <n v="37"/>
    <x v="4"/>
    <x v="1"/>
    <m/>
  </r>
  <r>
    <n v="3142"/>
    <n v="36"/>
    <s v="Female"/>
    <x v="12"/>
    <x v="3"/>
    <n v="30"/>
    <s v="Mississippi"/>
    <x v="1"/>
    <x v="15"/>
    <x v="0"/>
    <x v="17"/>
    <x v="1"/>
    <x v="1"/>
    <n v="47"/>
    <x v="2"/>
    <x v="4"/>
    <m/>
  </r>
  <r>
    <n v="3143"/>
    <n v="23"/>
    <s v="Female"/>
    <x v="4"/>
    <x v="1"/>
    <n v="21"/>
    <s v="Kansas"/>
    <x v="0"/>
    <x v="23"/>
    <x v="0"/>
    <x v="8"/>
    <x v="1"/>
    <x v="1"/>
    <n v="1"/>
    <x v="0"/>
    <x v="3"/>
    <m/>
  </r>
  <r>
    <n v="3144"/>
    <n v="68"/>
    <s v="Female"/>
    <x v="15"/>
    <x v="0"/>
    <n v="22"/>
    <s v="Arizona"/>
    <x v="2"/>
    <x v="7"/>
    <x v="2"/>
    <x v="25"/>
    <x v="1"/>
    <x v="1"/>
    <n v="26"/>
    <x v="1"/>
    <x v="3"/>
    <m/>
  </r>
  <r>
    <n v="3145"/>
    <n v="23"/>
    <s v="Female"/>
    <x v="23"/>
    <x v="1"/>
    <n v="70"/>
    <s v="Maine"/>
    <x v="0"/>
    <x v="19"/>
    <x v="1"/>
    <x v="4"/>
    <x v="1"/>
    <x v="1"/>
    <n v="12"/>
    <x v="5"/>
    <x v="3"/>
    <m/>
  </r>
  <r>
    <n v="3146"/>
    <n v="57"/>
    <s v="Female"/>
    <x v="8"/>
    <x v="3"/>
    <n v="29"/>
    <s v="Texas"/>
    <x v="3"/>
    <x v="7"/>
    <x v="1"/>
    <x v="7"/>
    <x v="1"/>
    <x v="1"/>
    <n v="16"/>
    <x v="3"/>
    <x v="0"/>
    <m/>
  </r>
  <r>
    <n v="3147"/>
    <n v="21"/>
    <s v="Female"/>
    <x v="5"/>
    <x v="0"/>
    <n v="83"/>
    <s v="Virginia"/>
    <x v="1"/>
    <x v="22"/>
    <x v="0"/>
    <x v="17"/>
    <x v="1"/>
    <x v="1"/>
    <n v="19"/>
    <x v="3"/>
    <x v="2"/>
    <m/>
  </r>
  <r>
    <n v="3148"/>
    <n v="45"/>
    <s v="Female"/>
    <x v="1"/>
    <x v="0"/>
    <n v="99"/>
    <s v="North Dakota"/>
    <x v="2"/>
    <x v="6"/>
    <x v="0"/>
    <x v="12"/>
    <x v="1"/>
    <x v="1"/>
    <n v="21"/>
    <x v="2"/>
    <x v="1"/>
    <m/>
  </r>
  <r>
    <n v="3149"/>
    <n v="37"/>
    <s v="Female"/>
    <x v="6"/>
    <x v="0"/>
    <n v="35"/>
    <s v="West Virginia"/>
    <x v="0"/>
    <x v="7"/>
    <x v="3"/>
    <x v="12"/>
    <x v="1"/>
    <x v="1"/>
    <n v="15"/>
    <x v="0"/>
    <x v="1"/>
    <m/>
  </r>
  <r>
    <n v="3150"/>
    <n v="18"/>
    <s v="Female"/>
    <x v="22"/>
    <x v="3"/>
    <n v="40"/>
    <s v="North Carolina"/>
    <x v="2"/>
    <x v="12"/>
    <x v="0"/>
    <x v="7"/>
    <x v="1"/>
    <x v="1"/>
    <n v="9"/>
    <x v="0"/>
    <x v="2"/>
    <m/>
  </r>
  <r>
    <n v="3151"/>
    <n v="55"/>
    <s v="Female"/>
    <x v="0"/>
    <x v="0"/>
    <n v="25"/>
    <s v="Georgia"/>
    <x v="2"/>
    <x v="15"/>
    <x v="1"/>
    <x v="4"/>
    <x v="1"/>
    <x v="1"/>
    <n v="7"/>
    <x v="4"/>
    <x v="4"/>
    <m/>
  </r>
  <r>
    <n v="3152"/>
    <n v="52"/>
    <s v="Female"/>
    <x v="17"/>
    <x v="0"/>
    <n v="64"/>
    <s v="New Mexico"/>
    <x v="0"/>
    <x v="20"/>
    <x v="3"/>
    <x v="0"/>
    <x v="1"/>
    <x v="1"/>
    <n v="47"/>
    <x v="4"/>
    <x v="3"/>
    <m/>
  </r>
  <r>
    <n v="3153"/>
    <n v="49"/>
    <s v="Female"/>
    <x v="22"/>
    <x v="3"/>
    <n v="90"/>
    <s v="North Carolina"/>
    <x v="2"/>
    <x v="16"/>
    <x v="3"/>
    <x v="0"/>
    <x v="1"/>
    <x v="1"/>
    <n v="17"/>
    <x v="3"/>
    <x v="5"/>
    <m/>
  </r>
  <r>
    <n v="3154"/>
    <n v="56"/>
    <s v="Female"/>
    <x v="20"/>
    <x v="0"/>
    <n v="88"/>
    <s v="Alabama"/>
    <x v="0"/>
    <x v="16"/>
    <x v="3"/>
    <x v="0"/>
    <x v="1"/>
    <x v="1"/>
    <n v="46"/>
    <x v="0"/>
    <x v="0"/>
    <m/>
  </r>
  <r>
    <n v="3155"/>
    <n v="27"/>
    <s v="Female"/>
    <x v="22"/>
    <x v="3"/>
    <n v="55"/>
    <s v="Connecticut"/>
    <x v="2"/>
    <x v="9"/>
    <x v="0"/>
    <x v="9"/>
    <x v="1"/>
    <x v="1"/>
    <n v="32"/>
    <x v="1"/>
    <x v="3"/>
    <m/>
  </r>
  <r>
    <n v="3156"/>
    <n v="22"/>
    <s v="Female"/>
    <x v="8"/>
    <x v="3"/>
    <n v="90"/>
    <s v="Montana"/>
    <x v="2"/>
    <x v="18"/>
    <x v="3"/>
    <x v="12"/>
    <x v="1"/>
    <x v="1"/>
    <n v="34"/>
    <x v="1"/>
    <x v="2"/>
    <m/>
  </r>
  <r>
    <n v="3157"/>
    <n v="18"/>
    <s v="Female"/>
    <x v="5"/>
    <x v="0"/>
    <n v="50"/>
    <s v="Montana"/>
    <x v="2"/>
    <x v="13"/>
    <x v="0"/>
    <x v="0"/>
    <x v="1"/>
    <x v="1"/>
    <n v="18"/>
    <x v="1"/>
    <x v="5"/>
    <m/>
  </r>
  <r>
    <n v="3158"/>
    <n v="21"/>
    <s v="Female"/>
    <x v="22"/>
    <x v="3"/>
    <n v="34"/>
    <s v="Maine"/>
    <x v="0"/>
    <x v="16"/>
    <x v="3"/>
    <x v="0"/>
    <x v="1"/>
    <x v="1"/>
    <n v="5"/>
    <x v="5"/>
    <x v="0"/>
    <m/>
  </r>
  <r>
    <n v="3159"/>
    <n v="30"/>
    <s v="Female"/>
    <x v="16"/>
    <x v="3"/>
    <n v="77"/>
    <s v="Mississippi"/>
    <x v="2"/>
    <x v="0"/>
    <x v="0"/>
    <x v="17"/>
    <x v="1"/>
    <x v="1"/>
    <n v="44"/>
    <x v="2"/>
    <x v="5"/>
    <m/>
  </r>
  <r>
    <n v="3160"/>
    <n v="62"/>
    <s v="Female"/>
    <x v="19"/>
    <x v="3"/>
    <n v="89"/>
    <s v="Louisiana"/>
    <x v="0"/>
    <x v="6"/>
    <x v="0"/>
    <x v="25"/>
    <x v="1"/>
    <x v="1"/>
    <n v="4"/>
    <x v="4"/>
    <x v="3"/>
    <m/>
  </r>
  <r>
    <n v="3161"/>
    <n v="28"/>
    <s v="Female"/>
    <x v="21"/>
    <x v="3"/>
    <n v="87"/>
    <s v="Nebraska"/>
    <x v="3"/>
    <x v="2"/>
    <x v="3"/>
    <x v="1"/>
    <x v="1"/>
    <x v="1"/>
    <n v="37"/>
    <x v="1"/>
    <x v="0"/>
    <m/>
  </r>
  <r>
    <n v="3162"/>
    <n v="66"/>
    <s v="Female"/>
    <x v="10"/>
    <x v="0"/>
    <n v="77"/>
    <s v="Massachusetts"/>
    <x v="1"/>
    <x v="4"/>
    <x v="0"/>
    <x v="13"/>
    <x v="1"/>
    <x v="1"/>
    <n v="43"/>
    <x v="1"/>
    <x v="5"/>
    <m/>
  </r>
  <r>
    <n v="3163"/>
    <n v="66"/>
    <s v="Female"/>
    <x v="9"/>
    <x v="1"/>
    <n v="85"/>
    <s v="Wisconsin"/>
    <x v="0"/>
    <x v="24"/>
    <x v="0"/>
    <x v="14"/>
    <x v="1"/>
    <x v="1"/>
    <n v="28"/>
    <x v="4"/>
    <x v="3"/>
    <m/>
  </r>
  <r>
    <n v="3164"/>
    <n v="49"/>
    <s v="Female"/>
    <x v="13"/>
    <x v="0"/>
    <n v="66"/>
    <s v="Nebraska"/>
    <x v="3"/>
    <x v="2"/>
    <x v="2"/>
    <x v="24"/>
    <x v="1"/>
    <x v="1"/>
    <n v="36"/>
    <x v="1"/>
    <x v="5"/>
    <m/>
  </r>
  <r>
    <n v="3165"/>
    <n v="40"/>
    <s v="Female"/>
    <x v="10"/>
    <x v="0"/>
    <n v="32"/>
    <s v="Arizona"/>
    <x v="0"/>
    <x v="5"/>
    <x v="0"/>
    <x v="4"/>
    <x v="1"/>
    <x v="1"/>
    <n v="16"/>
    <x v="2"/>
    <x v="2"/>
    <m/>
  </r>
  <r>
    <n v="3166"/>
    <n v="49"/>
    <s v="Female"/>
    <x v="14"/>
    <x v="2"/>
    <n v="92"/>
    <s v="Hawaii"/>
    <x v="2"/>
    <x v="12"/>
    <x v="1"/>
    <x v="23"/>
    <x v="1"/>
    <x v="1"/>
    <n v="38"/>
    <x v="4"/>
    <x v="6"/>
    <m/>
  </r>
  <r>
    <n v="3167"/>
    <n v="19"/>
    <s v="Female"/>
    <x v="5"/>
    <x v="0"/>
    <n v="80"/>
    <s v="Georgia"/>
    <x v="2"/>
    <x v="9"/>
    <x v="0"/>
    <x v="6"/>
    <x v="1"/>
    <x v="1"/>
    <n v="37"/>
    <x v="4"/>
    <x v="0"/>
    <m/>
  </r>
  <r>
    <n v="3168"/>
    <n v="24"/>
    <s v="Female"/>
    <x v="10"/>
    <x v="0"/>
    <n v="78"/>
    <s v="Oregon"/>
    <x v="2"/>
    <x v="24"/>
    <x v="3"/>
    <x v="24"/>
    <x v="1"/>
    <x v="1"/>
    <n v="9"/>
    <x v="1"/>
    <x v="4"/>
    <m/>
  </r>
  <r>
    <n v="3169"/>
    <n v="31"/>
    <s v="Female"/>
    <x v="2"/>
    <x v="0"/>
    <n v="24"/>
    <s v="Montana"/>
    <x v="2"/>
    <x v="20"/>
    <x v="1"/>
    <x v="25"/>
    <x v="1"/>
    <x v="1"/>
    <n v="14"/>
    <x v="3"/>
    <x v="0"/>
    <m/>
  </r>
  <r>
    <n v="3170"/>
    <n v="35"/>
    <s v="Female"/>
    <x v="17"/>
    <x v="0"/>
    <n v="59"/>
    <s v="Georgia"/>
    <x v="2"/>
    <x v="3"/>
    <x v="3"/>
    <x v="1"/>
    <x v="1"/>
    <x v="1"/>
    <n v="3"/>
    <x v="0"/>
    <x v="1"/>
    <m/>
  </r>
  <r>
    <n v="3171"/>
    <n v="65"/>
    <s v="Female"/>
    <x v="12"/>
    <x v="3"/>
    <n v="41"/>
    <s v="Rhode Island"/>
    <x v="3"/>
    <x v="4"/>
    <x v="1"/>
    <x v="9"/>
    <x v="1"/>
    <x v="1"/>
    <n v="10"/>
    <x v="2"/>
    <x v="0"/>
    <m/>
  </r>
  <r>
    <n v="3172"/>
    <n v="68"/>
    <s v="Female"/>
    <x v="16"/>
    <x v="3"/>
    <n v="26"/>
    <s v="Tennessee"/>
    <x v="2"/>
    <x v="1"/>
    <x v="1"/>
    <x v="0"/>
    <x v="1"/>
    <x v="1"/>
    <n v="26"/>
    <x v="4"/>
    <x v="4"/>
    <m/>
  </r>
  <r>
    <n v="3173"/>
    <n v="57"/>
    <s v="Female"/>
    <x v="20"/>
    <x v="0"/>
    <n v="52"/>
    <s v="Missouri"/>
    <x v="2"/>
    <x v="8"/>
    <x v="3"/>
    <x v="5"/>
    <x v="1"/>
    <x v="1"/>
    <n v="30"/>
    <x v="5"/>
    <x v="4"/>
    <m/>
  </r>
  <r>
    <n v="3174"/>
    <n v="69"/>
    <s v="Female"/>
    <x v="11"/>
    <x v="0"/>
    <n v="46"/>
    <s v="Washington"/>
    <x v="0"/>
    <x v="11"/>
    <x v="2"/>
    <x v="17"/>
    <x v="1"/>
    <x v="1"/>
    <n v="32"/>
    <x v="3"/>
    <x v="0"/>
    <m/>
  </r>
  <r>
    <n v="3175"/>
    <n v="45"/>
    <s v="Female"/>
    <x v="13"/>
    <x v="0"/>
    <n v="52"/>
    <s v="Oklahoma"/>
    <x v="0"/>
    <x v="20"/>
    <x v="0"/>
    <x v="1"/>
    <x v="1"/>
    <x v="1"/>
    <n v="35"/>
    <x v="3"/>
    <x v="5"/>
    <m/>
  </r>
  <r>
    <n v="3176"/>
    <n v="35"/>
    <s v="Female"/>
    <x v="20"/>
    <x v="0"/>
    <n v="42"/>
    <s v="Connecticut"/>
    <x v="2"/>
    <x v="1"/>
    <x v="3"/>
    <x v="10"/>
    <x v="1"/>
    <x v="1"/>
    <n v="26"/>
    <x v="5"/>
    <x v="6"/>
    <m/>
  </r>
  <r>
    <n v="3177"/>
    <n v="36"/>
    <s v="Female"/>
    <x v="3"/>
    <x v="1"/>
    <n v="37"/>
    <s v="Arkansas"/>
    <x v="3"/>
    <x v="2"/>
    <x v="1"/>
    <x v="7"/>
    <x v="1"/>
    <x v="1"/>
    <n v="39"/>
    <x v="2"/>
    <x v="5"/>
    <m/>
  </r>
  <r>
    <n v="3178"/>
    <n v="55"/>
    <s v="Female"/>
    <x v="22"/>
    <x v="3"/>
    <n v="52"/>
    <s v="Missouri"/>
    <x v="0"/>
    <x v="19"/>
    <x v="3"/>
    <x v="20"/>
    <x v="1"/>
    <x v="1"/>
    <n v="31"/>
    <x v="2"/>
    <x v="5"/>
    <m/>
  </r>
  <r>
    <n v="3179"/>
    <n v="66"/>
    <s v="Female"/>
    <x v="3"/>
    <x v="1"/>
    <n v="34"/>
    <s v="Washington"/>
    <x v="0"/>
    <x v="19"/>
    <x v="1"/>
    <x v="6"/>
    <x v="1"/>
    <x v="1"/>
    <n v="28"/>
    <x v="2"/>
    <x v="2"/>
    <m/>
  </r>
  <r>
    <n v="3180"/>
    <n v="57"/>
    <s v="Female"/>
    <x v="6"/>
    <x v="0"/>
    <n v="88"/>
    <s v="Idaho"/>
    <x v="2"/>
    <x v="8"/>
    <x v="1"/>
    <x v="12"/>
    <x v="1"/>
    <x v="1"/>
    <n v="12"/>
    <x v="5"/>
    <x v="4"/>
    <m/>
  </r>
  <r>
    <n v="3181"/>
    <n v="18"/>
    <s v="Female"/>
    <x v="8"/>
    <x v="3"/>
    <n v="88"/>
    <s v="Montana"/>
    <x v="0"/>
    <x v="2"/>
    <x v="3"/>
    <x v="1"/>
    <x v="1"/>
    <x v="1"/>
    <n v="46"/>
    <x v="3"/>
    <x v="1"/>
    <m/>
  </r>
  <r>
    <n v="3182"/>
    <n v="31"/>
    <s v="Female"/>
    <x v="14"/>
    <x v="2"/>
    <n v="51"/>
    <s v="Montana"/>
    <x v="2"/>
    <x v="4"/>
    <x v="2"/>
    <x v="9"/>
    <x v="1"/>
    <x v="1"/>
    <n v="27"/>
    <x v="3"/>
    <x v="6"/>
    <m/>
  </r>
  <r>
    <n v="3183"/>
    <n v="50"/>
    <s v="Female"/>
    <x v="12"/>
    <x v="3"/>
    <n v="97"/>
    <s v="Georgia"/>
    <x v="0"/>
    <x v="14"/>
    <x v="3"/>
    <x v="2"/>
    <x v="1"/>
    <x v="1"/>
    <n v="4"/>
    <x v="2"/>
    <x v="2"/>
    <m/>
  </r>
  <r>
    <n v="3184"/>
    <n v="50"/>
    <s v="Female"/>
    <x v="4"/>
    <x v="1"/>
    <n v="56"/>
    <s v="Mississippi"/>
    <x v="2"/>
    <x v="14"/>
    <x v="0"/>
    <x v="22"/>
    <x v="1"/>
    <x v="1"/>
    <n v="14"/>
    <x v="1"/>
    <x v="6"/>
    <m/>
  </r>
  <r>
    <n v="3185"/>
    <n v="61"/>
    <s v="Female"/>
    <x v="1"/>
    <x v="0"/>
    <n v="53"/>
    <s v="Hawaii"/>
    <x v="0"/>
    <x v="14"/>
    <x v="1"/>
    <x v="13"/>
    <x v="1"/>
    <x v="1"/>
    <n v="30"/>
    <x v="0"/>
    <x v="3"/>
    <m/>
  </r>
  <r>
    <n v="3186"/>
    <n v="52"/>
    <s v="Female"/>
    <x v="11"/>
    <x v="0"/>
    <n v="71"/>
    <s v="Ohio"/>
    <x v="0"/>
    <x v="9"/>
    <x v="3"/>
    <x v="15"/>
    <x v="1"/>
    <x v="1"/>
    <n v="6"/>
    <x v="3"/>
    <x v="2"/>
    <m/>
  </r>
  <r>
    <n v="3187"/>
    <n v="38"/>
    <s v="Female"/>
    <x v="16"/>
    <x v="3"/>
    <n v="93"/>
    <s v="Virginia"/>
    <x v="1"/>
    <x v="17"/>
    <x v="0"/>
    <x v="3"/>
    <x v="1"/>
    <x v="1"/>
    <n v="43"/>
    <x v="0"/>
    <x v="2"/>
    <m/>
  </r>
  <r>
    <n v="3188"/>
    <n v="67"/>
    <s v="Female"/>
    <x v="0"/>
    <x v="0"/>
    <n v="72"/>
    <s v="Texas"/>
    <x v="0"/>
    <x v="21"/>
    <x v="0"/>
    <x v="20"/>
    <x v="1"/>
    <x v="1"/>
    <n v="28"/>
    <x v="5"/>
    <x v="1"/>
    <m/>
  </r>
  <r>
    <n v="3189"/>
    <n v="42"/>
    <s v="Female"/>
    <x v="0"/>
    <x v="0"/>
    <n v="59"/>
    <s v="Vermont"/>
    <x v="2"/>
    <x v="12"/>
    <x v="0"/>
    <x v="22"/>
    <x v="1"/>
    <x v="1"/>
    <n v="39"/>
    <x v="4"/>
    <x v="5"/>
    <m/>
  </r>
  <r>
    <n v="3190"/>
    <n v="25"/>
    <s v="Female"/>
    <x v="23"/>
    <x v="1"/>
    <n v="87"/>
    <s v="Kansas"/>
    <x v="2"/>
    <x v="19"/>
    <x v="2"/>
    <x v="13"/>
    <x v="1"/>
    <x v="1"/>
    <n v="30"/>
    <x v="3"/>
    <x v="4"/>
    <m/>
  </r>
  <r>
    <n v="3191"/>
    <n v="41"/>
    <s v="Female"/>
    <x v="2"/>
    <x v="0"/>
    <n v="78"/>
    <s v="California"/>
    <x v="1"/>
    <x v="7"/>
    <x v="3"/>
    <x v="10"/>
    <x v="1"/>
    <x v="1"/>
    <n v="5"/>
    <x v="2"/>
    <x v="0"/>
    <m/>
  </r>
  <r>
    <n v="3192"/>
    <n v="62"/>
    <s v="Female"/>
    <x v="15"/>
    <x v="0"/>
    <n v="68"/>
    <s v="Mississippi"/>
    <x v="3"/>
    <x v="1"/>
    <x v="0"/>
    <x v="15"/>
    <x v="1"/>
    <x v="1"/>
    <n v="42"/>
    <x v="2"/>
    <x v="6"/>
    <m/>
  </r>
  <r>
    <n v="3193"/>
    <n v="19"/>
    <s v="Female"/>
    <x v="1"/>
    <x v="0"/>
    <n v="76"/>
    <s v="Iowa"/>
    <x v="1"/>
    <x v="1"/>
    <x v="3"/>
    <x v="23"/>
    <x v="1"/>
    <x v="1"/>
    <n v="20"/>
    <x v="1"/>
    <x v="0"/>
    <m/>
  </r>
  <r>
    <n v="3194"/>
    <n v="63"/>
    <s v="Female"/>
    <x v="24"/>
    <x v="3"/>
    <n v="99"/>
    <s v="Virginia"/>
    <x v="0"/>
    <x v="11"/>
    <x v="0"/>
    <x v="8"/>
    <x v="1"/>
    <x v="1"/>
    <n v="35"/>
    <x v="2"/>
    <x v="0"/>
    <m/>
  </r>
  <r>
    <n v="3195"/>
    <n v="43"/>
    <s v="Female"/>
    <x v="4"/>
    <x v="1"/>
    <n v="52"/>
    <s v="Maryland"/>
    <x v="0"/>
    <x v="9"/>
    <x v="2"/>
    <x v="7"/>
    <x v="1"/>
    <x v="1"/>
    <n v="10"/>
    <x v="2"/>
    <x v="4"/>
    <m/>
  </r>
  <r>
    <n v="3196"/>
    <n v="68"/>
    <s v="Female"/>
    <x v="12"/>
    <x v="3"/>
    <n v="58"/>
    <s v="Missouri"/>
    <x v="1"/>
    <x v="16"/>
    <x v="1"/>
    <x v="17"/>
    <x v="1"/>
    <x v="1"/>
    <n v="36"/>
    <x v="2"/>
    <x v="3"/>
    <m/>
  </r>
  <r>
    <n v="3197"/>
    <n v="24"/>
    <s v="Female"/>
    <x v="22"/>
    <x v="3"/>
    <n v="59"/>
    <s v="Wisconsin"/>
    <x v="0"/>
    <x v="1"/>
    <x v="0"/>
    <x v="24"/>
    <x v="1"/>
    <x v="1"/>
    <n v="21"/>
    <x v="5"/>
    <x v="0"/>
    <m/>
  </r>
  <r>
    <n v="3198"/>
    <n v="27"/>
    <s v="Female"/>
    <x v="1"/>
    <x v="0"/>
    <n v="71"/>
    <s v="Maine"/>
    <x v="2"/>
    <x v="11"/>
    <x v="1"/>
    <x v="20"/>
    <x v="1"/>
    <x v="1"/>
    <n v="29"/>
    <x v="2"/>
    <x v="6"/>
    <m/>
  </r>
  <r>
    <n v="3199"/>
    <n v="61"/>
    <s v="Female"/>
    <x v="24"/>
    <x v="3"/>
    <n v="94"/>
    <s v="Pennsylvania"/>
    <x v="0"/>
    <x v="15"/>
    <x v="0"/>
    <x v="24"/>
    <x v="1"/>
    <x v="1"/>
    <n v="39"/>
    <x v="5"/>
    <x v="1"/>
    <m/>
  </r>
  <r>
    <n v="3200"/>
    <n v="59"/>
    <s v="Female"/>
    <x v="8"/>
    <x v="3"/>
    <n v="40"/>
    <s v="Maine"/>
    <x v="3"/>
    <x v="6"/>
    <x v="0"/>
    <x v="13"/>
    <x v="1"/>
    <x v="1"/>
    <n v="16"/>
    <x v="3"/>
    <x v="5"/>
    <m/>
  </r>
  <r>
    <n v="3201"/>
    <n v="67"/>
    <s v="Female"/>
    <x v="20"/>
    <x v="0"/>
    <n v="24"/>
    <s v="Missouri"/>
    <x v="0"/>
    <x v="13"/>
    <x v="1"/>
    <x v="3"/>
    <x v="1"/>
    <x v="1"/>
    <n v="32"/>
    <x v="2"/>
    <x v="5"/>
    <m/>
  </r>
  <r>
    <n v="3202"/>
    <n v="46"/>
    <s v="Female"/>
    <x v="13"/>
    <x v="0"/>
    <n v="38"/>
    <s v="Vermont"/>
    <x v="1"/>
    <x v="21"/>
    <x v="3"/>
    <x v="24"/>
    <x v="1"/>
    <x v="1"/>
    <n v="34"/>
    <x v="1"/>
    <x v="5"/>
    <m/>
  </r>
  <r>
    <n v="3203"/>
    <n v="65"/>
    <s v="Female"/>
    <x v="18"/>
    <x v="3"/>
    <n v="37"/>
    <s v="Wisconsin"/>
    <x v="0"/>
    <x v="14"/>
    <x v="3"/>
    <x v="21"/>
    <x v="1"/>
    <x v="1"/>
    <n v="38"/>
    <x v="0"/>
    <x v="2"/>
    <m/>
  </r>
  <r>
    <n v="3204"/>
    <n v="63"/>
    <s v="Female"/>
    <x v="7"/>
    <x v="2"/>
    <n v="29"/>
    <s v="New Jersey"/>
    <x v="0"/>
    <x v="11"/>
    <x v="1"/>
    <x v="18"/>
    <x v="1"/>
    <x v="1"/>
    <n v="14"/>
    <x v="0"/>
    <x v="2"/>
    <m/>
  </r>
  <r>
    <n v="3205"/>
    <n v="57"/>
    <s v="Female"/>
    <x v="14"/>
    <x v="2"/>
    <n v="92"/>
    <s v="New Mexico"/>
    <x v="3"/>
    <x v="12"/>
    <x v="3"/>
    <x v="12"/>
    <x v="1"/>
    <x v="1"/>
    <n v="23"/>
    <x v="5"/>
    <x v="4"/>
    <m/>
  </r>
  <r>
    <n v="3206"/>
    <n v="40"/>
    <s v="Female"/>
    <x v="15"/>
    <x v="0"/>
    <n v="24"/>
    <s v="Colorado"/>
    <x v="3"/>
    <x v="23"/>
    <x v="3"/>
    <x v="9"/>
    <x v="1"/>
    <x v="1"/>
    <n v="50"/>
    <x v="4"/>
    <x v="6"/>
    <m/>
  </r>
  <r>
    <n v="3207"/>
    <n v="36"/>
    <s v="Female"/>
    <x v="23"/>
    <x v="1"/>
    <n v="52"/>
    <s v="California"/>
    <x v="2"/>
    <x v="18"/>
    <x v="0"/>
    <x v="23"/>
    <x v="1"/>
    <x v="1"/>
    <n v="49"/>
    <x v="3"/>
    <x v="5"/>
    <m/>
  </r>
  <r>
    <n v="3208"/>
    <n v="67"/>
    <s v="Female"/>
    <x v="20"/>
    <x v="0"/>
    <n v="29"/>
    <s v="Arizona"/>
    <x v="3"/>
    <x v="19"/>
    <x v="2"/>
    <x v="6"/>
    <x v="1"/>
    <x v="1"/>
    <n v="14"/>
    <x v="3"/>
    <x v="2"/>
    <m/>
  </r>
  <r>
    <n v="3209"/>
    <n v="61"/>
    <s v="Female"/>
    <x v="16"/>
    <x v="3"/>
    <n v="30"/>
    <s v="Indiana"/>
    <x v="0"/>
    <x v="21"/>
    <x v="0"/>
    <x v="19"/>
    <x v="1"/>
    <x v="1"/>
    <n v="42"/>
    <x v="3"/>
    <x v="1"/>
    <m/>
  </r>
  <r>
    <n v="3210"/>
    <n v="64"/>
    <s v="Female"/>
    <x v="9"/>
    <x v="1"/>
    <n v="31"/>
    <s v="Arkansas"/>
    <x v="0"/>
    <x v="15"/>
    <x v="3"/>
    <x v="12"/>
    <x v="1"/>
    <x v="1"/>
    <n v="39"/>
    <x v="5"/>
    <x v="2"/>
    <m/>
  </r>
  <r>
    <n v="3211"/>
    <n v="30"/>
    <s v="Female"/>
    <x v="20"/>
    <x v="0"/>
    <n v="67"/>
    <s v="Nevada"/>
    <x v="2"/>
    <x v="23"/>
    <x v="2"/>
    <x v="25"/>
    <x v="1"/>
    <x v="1"/>
    <n v="43"/>
    <x v="0"/>
    <x v="4"/>
    <m/>
  </r>
  <r>
    <n v="3212"/>
    <n v="53"/>
    <s v="Female"/>
    <x v="13"/>
    <x v="0"/>
    <n v="65"/>
    <s v="Rhode Island"/>
    <x v="0"/>
    <x v="2"/>
    <x v="0"/>
    <x v="17"/>
    <x v="1"/>
    <x v="1"/>
    <n v="12"/>
    <x v="1"/>
    <x v="5"/>
    <m/>
  </r>
  <r>
    <n v="3213"/>
    <n v="27"/>
    <s v="Female"/>
    <x v="4"/>
    <x v="1"/>
    <n v="22"/>
    <s v="Wyoming"/>
    <x v="2"/>
    <x v="21"/>
    <x v="0"/>
    <x v="2"/>
    <x v="1"/>
    <x v="1"/>
    <n v="21"/>
    <x v="5"/>
    <x v="1"/>
    <m/>
  </r>
  <r>
    <n v="3214"/>
    <n v="27"/>
    <s v="Female"/>
    <x v="12"/>
    <x v="3"/>
    <n v="56"/>
    <s v="Texas"/>
    <x v="2"/>
    <x v="18"/>
    <x v="0"/>
    <x v="19"/>
    <x v="1"/>
    <x v="1"/>
    <n v="33"/>
    <x v="2"/>
    <x v="5"/>
    <m/>
  </r>
  <r>
    <n v="3215"/>
    <n v="53"/>
    <s v="Female"/>
    <x v="11"/>
    <x v="0"/>
    <n v="78"/>
    <s v="Washington"/>
    <x v="2"/>
    <x v="22"/>
    <x v="1"/>
    <x v="0"/>
    <x v="1"/>
    <x v="1"/>
    <n v="6"/>
    <x v="5"/>
    <x v="2"/>
    <m/>
  </r>
  <r>
    <n v="3216"/>
    <n v="34"/>
    <s v="Female"/>
    <x v="7"/>
    <x v="2"/>
    <n v="90"/>
    <s v="Rhode Island"/>
    <x v="2"/>
    <x v="23"/>
    <x v="2"/>
    <x v="6"/>
    <x v="1"/>
    <x v="1"/>
    <n v="10"/>
    <x v="3"/>
    <x v="6"/>
    <m/>
  </r>
  <r>
    <n v="3217"/>
    <n v="39"/>
    <s v="Female"/>
    <x v="15"/>
    <x v="0"/>
    <n v="85"/>
    <s v="Illinois"/>
    <x v="1"/>
    <x v="8"/>
    <x v="0"/>
    <x v="10"/>
    <x v="1"/>
    <x v="1"/>
    <n v="18"/>
    <x v="1"/>
    <x v="1"/>
    <m/>
  </r>
  <r>
    <n v="3218"/>
    <n v="44"/>
    <s v="Female"/>
    <x v="12"/>
    <x v="3"/>
    <n v="58"/>
    <s v="Oregon"/>
    <x v="2"/>
    <x v="5"/>
    <x v="3"/>
    <x v="10"/>
    <x v="1"/>
    <x v="1"/>
    <n v="46"/>
    <x v="0"/>
    <x v="1"/>
    <m/>
  </r>
  <r>
    <n v="3219"/>
    <n v="37"/>
    <s v="Female"/>
    <x v="11"/>
    <x v="0"/>
    <n v="34"/>
    <s v="Florida"/>
    <x v="2"/>
    <x v="11"/>
    <x v="3"/>
    <x v="14"/>
    <x v="1"/>
    <x v="1"/>
    <n v="49"/>
    <x v="3"/>
    <x v="5"/>
    <m/>
  </r>
  <r>
    <n v="3220"/>
    <n v="57"/>
    <s v="Female"/>
    <x v="7"/>
    <x v="2"/>
    <n v="40"/>
    <s v="Kansas"/>
    <x v="0"/>
    <x v="3"/>
    <x v="2"/>
    <x v="22"/>
    <x v="1"/>
    <x v="1"/>
    <n v="39"/>
    <x v="2"/>
    <x v="1"/>
    <m/>
  </r>
  <r>
    <n v="3221"/>
    <n v="38"/>
    <s v="Female"/>
    <x v="8"/>
    <x v="3"/>
    <n v="29"/>
    <s v="North Dakota"/>
    <x v="2"/>
    <x v="24"/>
    <x v="3"/>
    <x v="18"/>
    <x v="1"/>
    <x v="1"/>
    <n v="16"/>
    <x v="1"/>
    <x v="5"/>
    <m/>
  </r>
  <r>
    <n v="3222"/>
    <n v="21"/>
    <s v="Female"/>
    <x v="17"/>
    <x v="0"/>
    <n v="76"/>
    <s v="New Hampshire"/>
    <x v="2"/>
    <x v="22"/>
    <x v="0"/>
    <x v="20"/>
    <x v="1"/>
    <x v="1"/>
    <n v="28"/>
    <x v="1"/>
    <x v="2"/>
    <m/>
  </r>
  <r>
    <n v="3223"/>
    <n v="45"/>
    <s v="Female"/>
    <x v="12"/>
    <x v="3"/>
    <n v="84"/>
    <s v="Texas"/>
    <x v="1"/>
    <x v="1"/>
    <x v="3"/>
    <x v="7"/>
    <x v="1"/>
    <x v="1"/>
    <n v="22"/>
    <x v="3"/>
    <x v="3"/>
    <m/>
  </r>
  <r>
    <n v="3224"/>
    <n v="68"/>
    <s v="Female"/>
    <x v="5"/>
    <x v="0"/>
    <n v="65"/>
    <s v="Montana"/>
    <x v="1"/>
    <x v="0"/>
    <x v="1"/>
    <x v="14"/>
    <x v="1"/>
    <x v="1"/>
    <n v="36"/>
    <x v="0"/>
    <x v="4"/>
    <m/>
  </r>
  <r>
    <n v="3225"/>
    <n v="37"/>
    <s v="Female"/>
    <x v="15"/>
    <x v="0"/>
    <n v="80"/>
    <s v="Delaware"/>
    <x v="0"/>
    <x v="21"/>
    <x v="0"/>
    <x v="6"/>
    <x v="1"/>
    <x v="1"/>
    <n v="18"/>
    <x v="3"/>
    <x v="5"/>
    <m/>
  </r>
  <r>
    <n v="3226"/>
    <n v="53"/>
    <s v="Female"/>
    <x v="0"/>
    <x v="0"/>
    <n v="98"/>
    <s v="New Hampshire"/>
    <x v="2"/>
    <x v="6"/>
    <x v="3"/>
    <x v="23"/>
    <x v="1"/>
    <x v="1"/>
    <n v="31"/>
    <x v="2"/>
    <x v="1"/>
    <m/>
  </r>
  <r>
    <n v="3227"/>
    <n v="57"/>
    <s v="Female"/>
    <x v="4"/>
    <x v="1"/>
    <n v="71"/>
    <s v="Minnesota"/>
    <x v="3"/>
    <x v="19"/>
    <x v="1"/>
    <x v="19"/>
    <x v="1"/>
    <x v="1"/>
    <n v="38"/>
    <x v="4"/>
    <x v="0"/>
    <m/>
  </r>
  <r>
    <n v="3228"/>
    <n v="28"/>
    <s v="Female"/>
    <x v="18"/>
    <x v="3"/>
    <n v="69"/>
    <s v="Alaska"/>
    <x v="3"/>
    <x v="3"/>
    <x v="3"/>
    <x v="6"/>
    <x v="1"/>
    <x v="1"/>
    <n v="42"/>
    <x v="5"/>
    <x v="3"/>
    <m/>
  </r>
  <r>
    <n v="3229"/>
    <n v="37"/>
    <s v="Female"/>
    <x v="16"/>
    <x v="3"/>
    <n v="95"/>
    <s v="Connecticut"/>
    <x v="2"/>
    <x v="22"/>
    <x v="1"/>
    <x v="7"/>
    <x v="1"/>
    <x v="1"/>
    <n v="27"/>
    <x v="3"/>
    <x v="2"/>
    <m/>
  </r>
  <r>
    <n v="3230"/>
    <n v="54"/>
    <s v="Female"/>
    <x v="13"/>
    <x v="0"/>
    <n v="67"/>
    <s v="Connecticut"/>
    <x v="2"/>
    <x v="11"/>
    <x v="3"/>
    <x v="6"/>
    <x v="1"/>
    <x v="1"/>
    <n v="24"/>
    <x v="1"/>
    <x v="5"/>
    <m/>
  </r>
  <r>
    <n v="3231"/>
    <n v="49"/>
    <s v="Female"/>
    <x v="4"/>
    <x v="1"/>
    <n v="49"/>
    <s v="Kansas"/>
    <x v="2"/>
    <x v="8"/>
    <x v="2"/>
    <x v="16"/>
    <x v="1"/>
    <x v="1"/>
    <n v="38"/>
    <x v="5"/>
    <x v="2"/>
    <m/>
  </r>
  <r>
    <n v="3232"/>
    <n v="62"/>
    <s v="Female"/>
    <x v="9"/>
    <x v="1"/>
    <n v="97"/>
    <s v="Nevada"/>
    <x v="2"/>
    <x v="1"/>
    <x v="0"/>
    <x v="9"/>
    <x v="1"/>
    <x v="1"/>
    <n v="9"/>
    <x v="2"/>
    <x v="2"/>
    <m/>
  </r>
  <r>
    <n v="3233"/>
    <n v="45"/>
    <s v="Female"/>
    <x v="17"/>
    <x v="0"/>
    <n v="34"/>
    <s v="Massachusetts"/>
    <x v="2"/>
    <x v="3"/>
    <x v="1"/>
    <x v="8"/>
    <x v="1"/>
    <x v="1"/>
    <n v="19"/>
    <x v="4"/>
    <x v="5"/>
    <m/>
  </r>
  <r>
    <n v="3234"/>
    <n v="45"/>
    <s v="Female"/>
    <x v="22"/>
    <x v="3"/>
    <n v="74"/>
    <s v="Indiana"/>
    <x v="2"/>
    <x v="12"/>
    <x v="3"/>
    <x v="1"/>
    <x v="1"/>
    <x v="1"/>
    <n v="11"/>
    <x v="5"/>
    <x v="4"/>
    <m/>
  </r>
  <r>
    <n v="3235"/>
    <n v="49"/>
    <s v="Female"/>
    <x v="16"/>
    <x v="3"/>
    <n v="96"/>
    <s v="Washington"/>
    <x v="2"/>
    <x v="13"/>
    <x v="0"/>
    <x v="16"/>
    <x v="1"/>
    <x v="1"/>
    <n v="16"/>
    <x v="5"/>
    <x v="3"/>
    <m/>
  </r>
  <r>
    <n v="3236"/>
    <n v="27"/>
    <s v="Female"/>
    <x v="22"/>
    <x v="3"/>
    <n v="68"/>
    <s v="Kansas"/>
    <x v="2"/>
    <x v="14"/>
    <x v="2"/>
    <x v="8"/>
    <x v="1"/>
    <x v="1"/>
    <n v="18"/>
    <x v="0"/>
    <x v="5"/>
    <m/>
  </r>
  <r>
    <n v="3237"/>
    <n v="63"/>
    <s v="Female"/>
    <x v="22"/>
    <x v="3"/>
    <n v="84"/>
    <s v="South Carolina"/>
    <x v="0"/>
    <x v="8"/>
    <x v="3"/>
    <x v="18"/>
    <x v="1"/>
    <x v="1"/>
    <n v="8"/>
    <x v="1"/>
    <x v="5"/>
    <m/>
  </r>
  <r>
    <n v="3238"/>
    <n v="61"/>
    <s v="Female"/>
    <x v="17"/>
    <x v="0"/>
    <n v="57"/>
    <s v="Vermont"/>
    <x v="2"/>
    <x v="0"/>
    <x v="2"/>
    <x v="24"/>
    <x v="1"/>
    <x v="1"/>
    <n v="4"/>
    <x v="1"/>
    <x v="1"/>
    <m/>
  </r>
  <r>
    <n v="3239"/>
    <n v="25"/>
    <s v="Female"/>
    <x v="4"/>
    <x v="1"/>
    <n v="84"/>
    <s v="Wyoming"/>
    <x v="3"/>
    <x v="11"/>
    <x v="3"/>
    <x v="10"/>
    <x v="1"/>
    <x v="1"/>
    <n v="37"/>
    <x v="1"/>
    <x v="3"/>
    <m/>
  </r>
  <r>
    <n v="3240"/>
    <n v="33"/>
    <s v="Female"/>
    <x v="12"/>
    <x v="3"/>
    <n v="32"/>
    <s v="Colorado"/>
    <x v="2"/>
    <x v="4"/>
    <x v="3"/>
    <x v="6"/>
    <x v="1"/>
    <x v="1"/>
    <n v="30"/>
    <x v="1"/>
    <x v="5"/>
    <m/>
  </r>
  <r>
    <n v="3241"/>
    <n v="56"/>
    <s v="Female"/>
    <x v="3"/>
    <x v="1"/>
    <n v="37"/>
    <s v="West Virginia"/>
    <x v="2"/>
    <x v="10"/>
    <x v="3"/>
    <x v="1"/>
    <x v="1"/>
    <x v="1"/>
    <n v="37"/>
    <x v="4"/>
    <x v="5"/>
    <m/>
  </r>
  <r>
    <n v="3242"/>
    <n v="50"/>
    <s v="Female"/>
    <x v="8"/>
    <x v="3"/>
    <n v="58"/>
    <s v="Connecticut"/>
    <x v="2"/>
    <x v="12"/>
    <x v="2"/>
    <x v="9"/>
    <x v="1"/>
    <x v="1"/>
    <n v="30"/>
    <x v="3"/>
    <x v="3"/>
    <m/>
  </r>
  <r>
    <n v="3243"/>
    <n v="45"/>
    <s v="Female"/>
    <x v="20"/>
    <x v="0"/>
    <n v="74"/>
    <s v="Oregon"/>
    <x v="1"/>
    <x v="19"/>
    <x v="3"/>
    <x v="24"/>
    <x v="1"/>
    <x v="1"/>
    <n v="17"/>
    <x v="0"/>
    <x v="1"/>
    <m/>
  </r>
  <r>
    <n v="3244"/>
    <n v="45"/>
    <s v="Female"/>
    <x v="15"/>
    <x v="0"/>
    <n v="99"/>
    <s v="Idaho"/>
    <x v="0"/>
    <x v="13"/>
    <x v="2"/>
    <x v="11"/>
    <x v="1"/>
    <x v="1"/>
    <n v="11"/>
    <x v="4"/>
    <x v="6"/>
    <m/>
  </r>
  <r>
    <n v="3245"/>
    <n v="65"/>
    <s v="Female"/>
    <x v="1"/>
    <x v="0"/>
    <n v="81"/>
    <s v="Arkansas"/>
    <x v="2"/>
    <x v="13"/>
    <x v="3"/>
    <x v="15"/>
    <x v="1"/>
    <x v="1"/>
    <n v="42"/>
    <x v="2"/>
    <x v="2"/>
    <m/>
  </r>
  <r>
    <n v="3246"/>
    <n v="63"/>
    <s v="Female"/>
    <x v="13"/>
    <x v="0"/>
    <n v="76"/>
    <s v="Kansas"/>
    <x v="2"/>
    <x v="7"/>
    <x v="3"/>
    <x v="20"/>
    <x v="1"/>
    <x v="1"/>
    <n v="20"/>
    <x v="1"/>
    <x v="1"/>
    <m/>
  </r>
  <r>
    <n v="3247"/>
    <n v="70"/>
    <s v="Female"/>
    <x v="4"/>
    <x v="1"/>
    <n v="98"/>
    <s v="Michigan"/>
    <x v="2"/>
    <x v="23"/>
    <x v="2"/>
    <x v="25"/>
    <x v="1"/>
    <x v="1"/>
    <n v="37"/>
    <x v="1"/>
    <x v="5"/>
    <m/>
  </r>
  <r>
    <n v="3248"/>
    <n v="53"/>
    <s v="Female"/>
    <x v="24"/>
    <x v="3"/>
    <n v="91"/>
    <s v="Arkansas"/>
    <x v="2"/>
    <x v="11"/>
    <x v="2"/>
    <x v="5"/>
    <x v="1"/>
    <x v="1"/>
    <n v="12"/>
    <x v="3"/>
    <x v="0"/>
    <m/>
  </r>
  <r>
    <n v="3249"/>
    <n v="22"/>
    <s v="Female"/>
    <x v="17"/>
    <x v="0"/>
    <n v="79"/>
    <s v="Pennsylvania"/>
    <x v="1"/>
    <x v="11"/>
    <x v="2"/>
    <x v="13"/>
    <x v="1"/>
    <x v="1"/>
    <n v="41"/>
    <x v="4"/>
    <x v="3"/>
    <m/>
  </r>
  <r>
    <n v="3250"/>
    <n v="26"/>
    <s v="Female"/>
    <x v="21"/>
    <x v="3"/>
    <n v="83"/>
    <s v="Virginia"/>
    <x v="2"/>
    <x v="6"/>
    <x v="2"/>
    <x v="10"/>
    <x v="1"/>
    <x v="1"/>
    <n v="32"/>
    <x v="2"/>
    <x v="3"/>
    <m/>
  </r>
  <r>
    <n v="3251"/>
    <n v="23"/>
    <s v="Female"/>
    <x v="7"/>
    <x v="2"/>
    <n v="90"/>
    <s v="Minnesota"/>
    <x v="2"/>
    <x v="11"/>
    <x v="1"/>
    <x v="25"/>
    <x v="1"/>
    <x v="1"/>
    <n v="15"/>
    <x v="0"/>
    <x v="1"/>
    <m/>
  </r>
  <r>
    <n v="3252"/>
    <n v="25"/>
    <s v="Female"/>
    <x v="7"/>
    <x v="2"/>
    <n v="20"/>
    <s v="Nevada"/>
    <x v="2"/>
    <x v="9"/>
    <x v="0"/>
    <x v="5"/>
    <x v="1"/>
    <x v="1"/>
    <n v="39"/>
    <x v="0"/>
    <x v="3"/>
    <m/>
  </r>
  <r>
    <n v="3253"/>
    <n v="69"/>
    <s v="Female"/>
    <x v="3"/>
    <x v="1"/>
    <n v="21"/>
    <s v="Montana"/>
    <x v="0"/>
    <x v="18"/>
    <x v="1"/>
    <x v="6"/>
    <x v="1"/>
    <x v="1"/>
    <n v="48"/>
    <x v="2"/>
    <x v="0"/>
    <m/>
  </r>
  <r>
    <n v="3254"/>
    <n v="36"/>
    <s v="Female"/>
    <x v="21"/>
    <x v="3"/>
    <n v="60"/>
    <s v="Nebraska"/>
    <x v="2"/>
    <x v="18"/>
    <x v="3"/>
    <x v="20"/>
    <x v="1"/>
    <x v="1"/>
    <n v="8"/>
    <x v="0"/>
    <x v="0"/>
    <m/>
  </r>
  <r>
    <n v="3255"/>
    <n v="21"/>
    <s v="Female"/>
    <x v="1"/>
    <x v="0"/>
    <n v="31"/>
    <s v="Indiana"/>
    <x v="1"/>
    <x v="23"/>
    <x v="0"/>
    <x v="17"/>
    <x v="1"/>
    <x v="1"/>
    <n v="11"/>
    <x v="4"/>
    <x v="6"/>
    <m/>
  </r>
  <r>
    <n v="3256"/>
    <n v="57"/>
    <s v="Female"/>
    <x v="6"/>
    <x v="0"/>
    <n v="40"/>
    <s v="New Jersey"/>
    <x v="2"/>
    <x v="13"/>
    <x v="3"/>
    <x v="24"/>
    <x v="1"/>
    <x v="1"/>
    <n v="36"/>
    <x v="4"/>
    <x v="5"/>
    <m/>
  </r>
  <r>
    <n v="3257"/>
    <n v="60"/>
    <s v="Female"/>
    <x v="12"/>
    <x v="3"/>
    <n v="26"/>
    <s v="Wisconsin"/>
    <x v="0"/>
    <x v="11"/>
    <x v="0"/>
    <x v="15"/>
    <x v="1"/>
    <x v="1"/>
    <n v="50"/>
    <x v="0"/>
    <x v="6"/>
    <m/>
  </r>
  <r>
    <n v="3258"/>
    <n v="44"/>
    <s v="Female"/>
    <x v="5"/>
    <x v="0"/>
    <n v="98"/>
    <s v="Minnesota"/>
    <x v="2"/>
    <x v="18"/>
    <x v="3"/>
    <x v="19"/>
    <x v="1"/>
    <x v="1"/>
    <n v="39"/>
    <x v="0"/>
    <x v="6"/>
    <m/>
  </r>
  <r>
    <n v="3259"/>
    <n v="31"/>
    <s v="Female"/>
    <x v="9"/>
    <x v="1"/>
    <n v="51"/>
    <s v="New Jersey"/>
    <x v="2"/>
    <x v="23"/>
    <x v="1"/>
    <x v="12"/>
    <x v="1"/>
    <x v="1"/>
    <n v="11"/>
    <x v="2"/>
    <x v="4"/>
    <m/>
  </r>
  <r>
    <n v="3260"/>
    <n v="57"/>
    <s v="Female"/>
    <x v="19"/>
    <x v="3"/>
    <n v="95"/>
    <s v="Oklahoma"/>
    <x v="3"/>
    <x v="21"/>
    <x v="3"/>
    <x v="5"/>
    <x v="1"/>
    <x v="1"/>
    <n v="5"/>
    <x v="5"/>
    <x v="6"/>
    <m/>
  </r>
  <r>
    <n v="3261"/>
    <n v="39"/>
    <s v="Female"/>
    <x v="18"/>
    <x v="3"/>
    <n v="36"/>
    <s v="Wisconsin"/>
    <x v="2"/>
    <x v="10"/>
    <x v="2"/>
    <x v="21"/>
    <x v="1"/>
    <x v="1"/>
    <n v="7"/>
    <x v="2"/>
    <x v="2"/>
    <m/>
  </r>
  <r>
    <n v="3262"/>
    <n v="48"/>
    <s v="Female"/>
    <x v="22"/>
    <x v="3"/>
    <n v="52"/>
    <s v="Rhode Island"/>
    <x v="0"/>
    <x v="17"/>
    <x v="0"/>
    <x v="10"/>
    <x v="1"/>
    <x v="1"/>
    <n v="50"/>
    <x v="5"/>
    <x v="1"/>
    <m/>
  </r>
  <r>
    <n v="3263"/>
    <n v="42"/>
    <s v="Female"/>
    <x v="17"/>
    <x v="0"/>
    <n v="35"/>
    <s v="Indiana"/>
    <x v="2"/>
    <x v="10"/>
    <x v="1"/>
    <x v="6"/>
    <x v="1"/>
    <x v="1"/>
    <n v="21"/>
    <x v="1"/>
    <x v="6"/>
    <m/>
  </r>
  <r>
    <n v="3264"/>
    <n v="56"/>
    <s v="Female"/>
    <x v="6"/>
    <x v="0"/>
    <n v="68"/>
    <s v="Vermont"/>
    <x v="1"/>
    <x v="13"/>
    <x v="3"/>
    <x v="9"/>
    <x v="1"/>
    <x v="1"/>
    <n v="31"/>
    <x v="5"/>
    <x v="0"/>
    <m/>
  </r>
  <r>
    <n v="3265"/>
    <n v="28"/>
    <s v="Female"/>
    <x v="13"/>
    <x v="0"/>
    <n v="50"/>
    <s v="Maine"/>
    <x v="1"/>
    <x v="4"/>
    <x v="0"/>
    <x v="8"/>
    <x v="1"/>
    <x v="1"/>
    <n v="39"/>
    <x v="1"/>
    <x v="4"/>
    <m/>
  </r>
  <r>
    <n v="3266"/>
    <n v="40"/>
    <s v="Female"/>
    <x v="12"/>
    <x v="3"/>
    <n v="100"/>
    <s v="Alabama"/>
    <x v="2"/>
    <x v="3"/>
    <x v="0"/>
    <x v="20"/>
    <x v="1"/>
    <x v="1"/>
    <n v="28"/>
    <x v="2"/>
    <x v="0"/>
    <m/>
  </r>
  <r>
    <n v="3267"/>
    <n v="49"/>
    <s v="Female"/>
    <x v="7"/>
    <x v="2"/>
    <n v="74"/>
    <s v="Alabama"/>
    <x v="1"/>
    <x v="0"/>
    <x v="0"/>
    <x v="13"/>
    <x v="1"/>
    <x v="1"/>
    <n v="33"/>
    <x v="4"/>
    <x v="1"/>
    <m/>
  </r>
  <r>
    <n v="3268"/>
    <n v="37"/>
    <s v="Female"/>
    <x v="15"/>
    <x v="0"/>
    <n v="45"/>
    <s v="Idaho"/>
    <x v="0"/>
    <x v="6"/>
    <x v="0"/>
    <x v="23"/>
    <x v="1"/>
    <x v="1"/>
    <n v="42"/>
    <x v="2"/>
    <x v="3"/>
    <m/>
  </r>
  <r>
    <n v="3269"/>
    <n v="22"/>
    <s v="Female"/>
    <x v="10"/>
    <x v="0"/>
    <n v="97"/>
    <s v="Arkansas"/>
    <x v="2"/>
    <x v="17"/>
    <x v="3"/>
    <x v="24"/>
    <x v="1"/>
    <x v="1"/>
    <n v="5"/>
    <x v="4"/>
    <x v="6"/>
    <m/>
  </r>
  <r>
    <n v="3270"/>
    <n v="27"/>
    <s v="Female"/>
    <x v="0"/>
    <x v="0"/>
    <n v="60"/>
    <s v="Ohio"/>
    <x v="2"/>
    <x v="24"/>
    <x v="0"/>
    <x v="17"/>
    <x v="1"/>
    <x v="1"/>
    <n v="25"/>
    <x v="1"/>
    <x v="5"/>
    <m/>
  </r>
  <r>
    <n v="3271"/>
    <n v="59"/>
    <s v="Female"/>
    <x v="20"/>
    <x v="0"/>
    <n v="25"/>
    <s v="Illinois"/>
    <x v="2"/>
    <x v="21"/>
    <x v="0"/>
    <x v="15"/>
    <x v="1"/>
    <x v="1"/>
    <n v="48"/>
    <x v="3"/>
    <x v="2"/>
    <m/>
  </r>
  <r>
    <n v="3272"/>
    <n v="35"/>
    <s v="Female"/>
    <x v="20"/>
    <x v="0"/>
    <n v="55"/>
    <s v="Nevada"/>
    <x v="3"/>
    <x v="23"/>
    <x v="1"/>
    <x v="9"/>
    <x v="1"/>
    <x v="1"/>
    <n v="30"/>
    <x v="2"/>
    <x v="1"/>
    <m/>
  </r>
  <r>
    <n v="3273"/>
    <n v="58"/>
    <s v="Female"/>
    <x v="9"/>
    <x v="1"/>
    <n v="99"/>
    <s v="Texas"/>
    <x v="2"/>
    <x v="12"/>
    <x v="0"/>
    <x v="0"/>
    <x v="1"/>
    <x v="1"/>
    <n v="34"/>
    <x v="3"/>
    <x v="3"/>
    <m/>
  </r>
  <r>
    <n v="3274"/>
    <n v="58"/>
    <s v="Female"/>
    <x v="22"/>
    <x v="3"/>
    <n v="45"/>
    <s v="Nevada"/>
    <x v="1"/>
    <x v="20"/>
    <x v="2"/>
    <x v="4"/>
    <x v="1"/>
    <x v="1"/>
    <n v="34"/>
    <x v="3"/>
    <x v="6"/>
    <m/>
  </r>
  <r>
    <n v="3275"/>
    <n v="46"/>
    <s v="Female"/>
    <x v="1"/>
    <x v="0"/>
    <n v="20"/>
    <s v="Oklahoma"/>
    <x v="2"/>
    <x v="17"/>
    <x v="1"/>
    <x v="14"/>
    <x v="1"/>
    <x v="1"/>
    <n v="14"/>
    <x v="1"/>
    <x v="0"/>
    <m/>
  </r>
  <r>
    <n v="3276"/>
    <n v="43"/>
    <s v="Female"/>
    <x v="13"/>
    <x v="0"/>
    <n v="88"/>
    <s v="Alabama"/>
    <x v="3"/>
    <x v="14"/>
    <x v="2"/>
    <x v="4"/>
    <x v="1"/>
    <x v="1"/>
    <n v="2"/>
    <x v="5"/>
    <x v="1"/>
    <m/>
  </r>
  <r>
    <n v="3277"/>
    <n v="39"/>
    <s v="Female"/>
    <x v="18"/>
    <x v="3"/>
    <n v="99"/>
    <s v="South Dakota"/>
    <x v="2"/>
    <x v="3"/>
    <x v="2"/>
    <x v="8"/>
    <x v="1"/>
    <x v="1"/>
    <n v="41"/>
    <x v="3"/>
    <x v="6"/>
    <m/>
  </r>
  <r>
    <n v="3278"/>
    <n v="59"/>
    <s v="Female"/>
    <x v="11"/>
    <x v="0"/>
    <n v="86"/>
    <s v="Texas"/>
    <x v="2"/>
    <x v="24"/>
    <x v="1"/>
    <x v="17"/>
    <x v="1"/>
    <x v="1"/>
    <n v="3"/>
    <x v="2"/>
    <x v="5"/>
    <m/>
  </r>
  <r>
    <n v="3279"/>
    <n v="59"/>
    <s v="Female"/>
    <x v="10"/>
    <x v="0"/>
    <n v="70"/>
    <s v="Montana"/>
    <x v="2"/>
    <x v="13"/>
    <x v="2"/>
    <x v="19"/>
    <x v="1"/>
    <x v="1"/>
    <n v="18"/>
    <x v="4"/>
    <x v="1"/>
    <m/>
  </r>
  <r>
    <n v="3280"/>
    <n v="59"/>
    <s v="Female"/>
    <x v="19"/>
    <x v="3"/>
    <n v="50"/>
    <s v="Wyoming"/>
    <x v="1"/>
    <x v="16"/>
    <x v="3"/>
    <x v="23"/>
    <x v="1"/>
    <x v="1"/>
    <n v="1"/>
    <x v="5"/>
    <x v="0"/>
    <m/>
  </r>
  <r>
    <n v="3281"/>
    <n v="45"/>
    <s v="Female"/>
    <x v="8"/>
    <x v="3"/>
    <n v="57"/>
    <s v="New York"/>
    <x v="0"/>
    <x v="16"/>
    <x v="0"/>
    <x v="6"/>
    <x v="1"/>
    <x v="1"/>
    <n v="5"/>
    <x v="3"/>
    <x v="5"/>
    <m/>
  </r>
  <r>
    <n v="3282"/>
    <n v="27"/>
    <s v="Female"/>
    <x v="13"/>
    <x v="0"/>
    <n v="69"/>
    <s v="Oregon"/>
    <x v="0"/>
    <x v="9"/>
    <x v="0"/>
    <x v="0"/>
    <x v="1"/>
    <x v="1"/>
    <n v="41"/>
    <x v="4"/>
    <x v="2"/>
    <m/>
  </r>
  <r>
    <n v="3283"/>
    <n v="24"/>
    <s v="Female"/>
    <x v="17"/>
    <x v="0"/>
    <n v="94"/>
    <s v="California"/>
    <x v="2"/>
    <x v="16"/>
    <x v="3"/>
    <x v="3"/>
    <x v="1"/>
    <x v="1"/>
    <n v="5"/>
    <x v="2"/>
    <x v="5"/>
    <m/>
  </r>
  <r>
    <n v="3284"/>
    <n v="47"/>
    <s v="Female"/>
    <x v="14"/>
    <x v="2"/>
    <n v="24"/>
    <s v="North Carolina"/>
    <x v="0"/>
    <x v="7"/>
    <x v="1"/>
    <x v="25"/>
    <x v="1"/>
    <x v="1"/>
    <n v="10"/>
    <x v="5"/>
    <x v="6"/>
    <m/>
  </r>
  <r>
    <n v="3285"/>
    <n v="70"/>
    <s v="Female"/>
    <x v="18"/>
    <x v="3"/>
    <n v="79"/>
    <s v="Kentucky"/>
    <x v="0"/>
    <x v="3"/>
    <x v="1"/>
    <x v="21"/>
    <x v="1"/>
    <x v="1"/>
    <n v="20"/>
    <x v="0"/>
    <x v="2"/>
    <m/>
  </r>
  <r>
    <n v="3286"/>
    <n v="58"/>
    <s v="Female"/>
    <x v="19"/>
    <x v="3"/>
    <n v="31"/>
    <s v="Hawaii"/>
    <x v="3"/>
    <x v="23"/>
    <x v="3"/>
    <x v="7"/>
    <x v="1"/>
    <x v="1"/>
    <n v="11"/>
    <x v="1"/>
    <x v="1"/>
    <m/>
  </r>
  <r>
    <n v="3287"/>
    <n v="45"/>
    <s v="Female"/>
    <x v="14"/>
    <x v="2"/>
    <n v="67"/>
    <s v="Illinois"/>
    <x v="0"/>
    <x v="6"/>
    <x v="0"/>
    <x v="11"/>
    <x v="1"/>
    <x v="1"/>
    <n v="4"/>
    <x v="0"/>
    <x v="0"/>
    <m/>
  </r>
  <r>
    <n v="3288"/>
    <n v="24"/>
    <s v="Female"/>
    <x v="11"/>
    <x v="0"/>
    <n v="63"/>
    <s v="West Virginia"/>
    <x v="0"/>
    <x v="13"/>
    <x v="1"/>
    <x v="12"/>
    <x v="1"/>
    <x v="1"/>
    <n v="38"/>
    <x v="2"/>
    <x v="1"/>
    <m/>
  </r>
  <r>
    <n v="3289"/>
    <n v="67"/>
    <s v="Female"/>
    <x v="8"/>
    <x v="3"/>
    <n v="61"/>
    <s v="South Carolina"/>
    <x v="3"/>
    <x v="3"/>
    <x v="1"/>
    <x v="17"/>
    <x v="1"/>
    <x v="1"/>
    <n v="19"/>
    <x v="2"/>
    <x v="4"/>
    <m/>
  </r>
  <r>
    <n v="3290"/>
    <n v="31"/>
    <s v="Female"/>
    <x v="21"/>
    <x v="3"/>
    <n v="50"/>
    <s v="Montana"/>
    <x v="2"/>
    <x v="1"/>
    <x v="2"/>
    <x v="8"/>
    <x v="1"/>
    <x v="1"/>
    <n v="16"/>
    <x v="0"/>
    <x v="6"/>
    <m/>
  </r>
  <r>
    <n v="3291"/>
    <n v="52"/>
    <s v="Female"/>
    <x v="7"/>
    <x v="2"/>
    <n v="82"/>
    <s v="North Dakota"/>
    <x v="0"/>
    <x v="13"/>
    <x v="1"/>
    <x v="0"/>
    <x v="1"/>
    <x v="1"/>
    <n v="2"/>
    <x v="3"/>
    <x v="5"/>
    <m/>
  </r>
  <r>
    <n v="3292"/>
    <n v="29"/>
    <s v="Female"/>
    <x v="22"/>
    <x v="3"/>
    <n v="51"/>
    <s v="New Mexico"/>
    <x v="0"/>
    <x v="8"/>
    <x v="3"/>
    <x v="4"/>
    <x v="1"/>
    <x v="1"/>
    <n v="11"/>
    <x v="1"/>
    <x v="5"/>
    <m/>
  </r>
  <r>
    <n v="3293"/>
    <n v="62"/>
    <s v="Female"/>
    <x v="8"/>
    <x v="3"/>
    <n v="23"/>
    <s v="Missouri"/>
    <x v="0"/>
    <x v="0"/>
    <x v="1"/>
    <x v="17"/>
    <x v="1"/>
    <x v="1"/>
    <n v="18"/>
    <x v="4"/>
    <x v="0"/>
    <m/>
  </r>
  <r>
    <n v="3294"/>
    <n v="19"/>
    <s v="Female"/>
    <x v="7"/>
    <x v="2"/>
    <n v="91"/>
    <s v="West Virginia"/>
    <x v="2"/>
    <x v="9"/>
    <x v="1"/>
    <x v="22"/>
    <x v="1"/>
    <x v="1"/>
    <n v="47"/>
    <x v="2"/>
    <x v="0"/>
    <m/>
  </r>
  <r>
    <n v="3295"/>
    <n v="62"/>
    <s v="Female"/>
    <x v="1"/>
    <x v="0"/>
    <n v="60"/>
    <s v="South Carolina"/>
    <x v="1"/>
    <x v="23"/>
    <x v="1"/>
    <x v="21"/>
    <x v="1"/>
    <x v="1"/>
    <n v="15"/>
    <x v="4"/>
    <x v="4"/>
    <m/>
  </r>
  <r>
    <n v="3296"/>
    <n v="70"/>
    <s v="Female"/>
    <x v="0"/>
    <x v="0"/>
    <n v="34"/>
    <s v="West Virginia"/>
    <x v="1"/>
    <x v="12"/>
    <x v="2"/>
    <x v="24"/>
    <x v="1"/>
    <x v="1"/>
    <n v="15"/>
    <x v="1"/>
    <x v="1"/>
    <m/>
  </r>
  <r>
    <n v="3297"/>
    <n v="20"/>
    <s v="Female"/>
    <x v="0"/>
    <x v="0"/>
    <n v="23"/>
    <s v="Alaska"/>
    <x v="2"/>
    <x v="14"/>
    <x v="1"/>
    <x v="13"/>
    <x v="1"/>
    <x v="1"/>
    <n v="47"/>
    <x v="0"/>
    <x v="3"/>
    <m/>
  </r>
  <r>
    <n v="3298"/>
    <n v="67"/>
    <s v="Female"/>
    <x v="22"/>
    <x v="3"/>
    <n v="82"/>
    <s v="West Virginia"/>
    <x v="2"/>
    <x v="10"/>
    <x v="3"/>
    <x v="18"/>
    <x v="1"/>
    <x v="1"/>
    <n v="47"/>
    <x v="3"/>
    <x v="5"/>
    <m/>
  </r>
  <r>
    <n v="3299"/>
    <n v="65"/>
    <s v="Female"/>
    <x v="14"/>
    <x v="2"/>
    <n v="73"/>
    <s v="New Mexico"/>
    <x v="2"/>
    <x v="18"/>
    <x v="3"/>
    <x v="22"/>
    <x v="1"/>
    <x v="1"/>
    <n v="6"/>
    <x v="4"/>
    <x v="6"/>
    <m/>
  </r>
  <r>
    <n v="3300"/>
    <n v="45"/>
    <s v="Female"/>
    <x v="6"/>
    <x v="0"/>
    <n v="32"/>
    <s v="South Dakota"/>
    <x v="0"/>
    <x v="11"/>
    <x v="1"/>
    <x v="8"/>
    <x v="1"/>
    <x v="1"/>
    <n v="18"/>
    <x v="0"/>
    <x v="5"/>
    <m/>
  </r>
  <r>
    <n v="3301"/>
    <n v="26"/>
    <s v="Female"/>
    <x v="19"/>
    <x v="3"/>
    <n v="80"/>
    <s v="Oklahoma"/>
    <x v="2"/>
    <x v="4"/>
    <x v="1"/>
    <x v="8"/>
    <x v="1"/>
    <x v="1"/>
    <n v="40"/>
    <x v="4"/>
    <x v="4"/>
    <m/>
  </r>
  <r>
    <n v="3302"/>
    <n v="36"/>
    <s v="Female"/>
    <x v="13"/>
    <x v="0"/>
    <n v="58"/>
    <s v="Oklahoma"/>
    <x v="3"/>
    <x v="4"/>
    <x v="2"/>
    <x v="16"/>
    <x v="1"/>
    <x v="1"/>
    <n v="31"/>
    <x v="2"/>
    <x v="0"/>
    <m/>
  </r>
  <r>
    <n v="3303"/>
    <n v="36"/>
    <s v="Female"/>
    <x v="0"/>
    <x v="0"/>
    <n v="82"/>
    <s v="Alabama"/>
    <x v="3"/>
    <x v="19"/>
    <x v="0"/>
    <x v="13"/>
    <x v="1"/>
    <x v="1"/>
    <n v="31"/>
    <x v="0"/>
    <x v="4"/>
    <m/>
  </r>
  <r>
    <n v="3304"/>
    <n v="20"/>
    <s v="Female"/>
    <x v="22"/>
    <x v="3"/>
    <n v="60"/>
    <s v="Mississippi"/>
    <x v="1"/>
    <x v="2"/>
    <x v="2"/>
    <x v="10"/>
    <x v="1"/>
    <x v="1"/>
    <n v="4"/>
    <x v="2"/>
    <x v="0"/>
    <m/>
  </r>
  <r>
    <n v="3305"/>
    <n v="30"/>
    <s v="Female"/>
    <x v="8"/>
    <x v="3"/>
    <n v="79"/>
    <s v="Mississippi"/>
    <x v="3"/>
    <x v="20"/>
    <x v="3"/>
    <x v="3"/>
    <x v="1"/>
    <x v="1"/>
    <n v="36"/>
    <x v="4"/>
    <x v="6"/>
    <m/>
  </r>
  <r>
    <n v="3306"/>
    <n v="34"/>
    <s v="Female"/>
    <x v="15"/>
    <x v="0"/>
    <n v="41"/>
    <s v="Nebraska"/>
    <x v="0"/>
    <x v="17"/>
    <x v="2"/>
    <x v="17"/>
    <x v="1"/>
    <x v="1"/>
    <n v="31"/>
    <x v="3"/>
    <x v="4"/>
    <m/>
  </r>
  <r>
    <n v="3307"/>
    <n v="63"/>
    <s v="Female"/>
    <x v="14"/>
    <x v="2"/>
    <n v="39"/>
    <s v="Colorado"/>
    <x v="0"/>
    <x v="20"/>
    <x v="2"/>
    <x v="2"/>
    <x v="1"/>
    <x v="1"/>
    <n v="6"/>
    <x v="0"/>
    <x v="0"/>
    <m/>
  </r>
  <r>
    <n v="3308"/>
    <n v="18"/>
    <s v="Female"/>
    <x v="18"/>
    <x v="3"/>
    <n v="36"/>
    <s v="Pennsylvania"/>
    <x v="1"/>
    <x v="14"/>
    <x v="0"/>
    <x v="8"/>
    <x v="1"/>
    <x v="1"/>
    <n v="1"/>
    <x v="1"/>
    <x v="5"/>
    <m/>
  </r>
  <r>
    <n v="3309"/>
    <n v="55"/>
    <s v="Female"/>
    <x v="2"/>
    <x v="0"/>
    <n v="70"/>
    <s v="Utah"/>
    <x v="2"/>
    <x v="6"/>
    <x v="3"/>
    <x v="4"/>
    <x v="1"/>
    <x v="1"/>
    <n v="29"/>
    <x v="1"/>
    <x v="5"/>
    <m/>
  </r>
  <r>
    <n v="3310"/>
    <n v="48"/>
    <s v="Female"/>
    <x v="8"/>
    <x v="3"/>
    <n v="47"/>
    <s v="Massachusetts"/>
    <x v="2"/>
    <x v="24"/>
    <x v="2"/>
    <x v="0"/>
    <x v="1"/>
    <x v="1"/>
    <n v="19"/>
    <x v="3"/>
    <x v="5"/>
    <m/>
  </r>
  <r>
    <n v="3311"/>
    <n v="45"/>
    <s v="Female"/>
    <x v="14"/>
    <x v="2"/>
    <n v="27"/>
    <s v="Iowa"/>
    <x v="2"/>
    <x v="6"/>
    <x v="0"/>
    <x v="2"/>
    <x v="1"/>
    <x v="1"/>
    <n v="12"/>
    <x v="3"/>
    <x v="0"/>
    <m/>
  </r>
  <r>
    <n v="3312"/>
    <n v="29"/>
    <s v="Female"/>
    <x v="19"/>
    <x v="3"/>
    <n v="52"/>
    <s v="Florida"/>
    <x v="0"/>
    <x v="24"/>
    <x v="2"/>
    <x v="8"/>
    <x v="1"/>
    <x v="1"/>
    <n v="18"/>
    <x v="4"/>
    <x v="2"/>
    <m/>
  </r>
  <r>
    <n v="3313"/>
    <n v="55"/>
    <s v="Female"/>
    <x v="4"/>
    <x v="1"/>
    <n v="75"/>
    <s v="Louisiana"/>
    <x v="0"/>
    <x v="13"/>
    <x v="2"/>
    <x v="14"/>
    <x v="1"/>
    <x v="1"/>
    <n v="45"/>
    <x v="1"/>
    <x v="3"/>
    <m/>
  </r>
  <r>
    <n v="3314"/>
    <n v="55"/>
    <s v="Female"/>
    <x v="19"/>
    <x v="3"/>
    <n v="30"/>
    <s v="Kansas"/>
    <x v="3"/>
    <x v="13"/>
    <x v="3"/>
    <x v="14"/>
    <x v="1"/>
    <x v="1"/>
    <n v="45"/>
    <x v="2"/>
    <x v="5"/>
    <m/>
  </r>
  <r>
    <n v="3315"/>
    <n v="55"/>
    <s v="Female"/>
    <x v="20"/>
    <x v="0"/>
    <n v="94"/>
    <s v="Kansas"/>
    <x v="2"/>
    <x v="10"/>
    <x v="1"/>
    <x v="19"/>
    <x v="1"/>
    <x v="1"/>
    <n v="8"/>
    <x v="2"/>
    <x v="3"/>
    <m/>
  </r>
  <r>
    <n v="3316"/>
    <n v="48"/>
    <s v="Female"/>
    <x v="18"/>
    <x v="3"/>
    <n v="68"/>
    <s v="Kentucky"/>
    <x v="1"/>
    <x v="9"/>
    <x v="2"/>
    <x v="25"/>
    <x v="1"/>
    <x v="1"/>
    <n v="4"/>
    <x v="3"/>
    <x v="6"/>
    <m/>
  </r>
  <r>
    <n v="3317"/>
    <n v="42"/>
    <s v="Female"/>
    <x v="20"/>
    <x v="0"/>
    <n v="45"/>
    <s v="New Mexico"/>
    <x v="2"/>
    <x v="8"/>
    <x v="2"/>
    <x v="0"/>
    <x v="1"/>
    <x v="1"/>
    <n v="5"/>
    <x v="5"/>
    <x v="0"/>
    <m/>
  </r>
  <r>
    <n v="3318"/>
    <n v="21"/>
    <s v="Female"/>
    <x v="19"/>
    <x v="3"/>
    <n v="67"/>
    <s v="North Carolina"/>
    <x v="3"/>
    <x v="6"/>
    <x v="2"/>
    <x v="15"/>
    <x v="1"/>
    <x v="1"/>
    <n v="30"/>
    <x v="1"/>
    <x v="3"/>
    <m/>
  </r>
  <r>
    <n v="3319"/>
    <n v="45"/>
    <s v="Female"/>
    <x v="14"/>
    <x v="2"/>
    <n v="46"/>
    <s v="North Dakota"/>
    <x v="2"/>
    <x v="8"/>
    <x v="2"/>
    <x v="14"/>
    <x v="1"/>
    <x v="1"/>
    <n v="15"/>
    <x v="3"/>
    <x v="5"/>
    <m/>
  </r>
  <r>
    <n v="3320"/>
    <n v="23"/>
    <s v="Female"/>
    <x v="6"/>
    <x v="0"/>
    <n v="31"/>
    <s v="North Dakota"/>
    <x v="2"/>
    <x v="21"/>
    <x v="2"/>
    <x v="12"/>
    <x v="1"/>
    <x v="1"/>
    <n v="17"/>
    <x v="2"/>
    <x v="6"/>
    <m/>
  </r>
  <r>
    <n v="3321"/>
    <n v="66"/>
    <s v="Female"/>
    <x v="0"/>
    <x v="0"/>
    <n v="44"/>
    <s v="Illinois"/>
    <x v="3"/>
    <x v="5"/>
    <x v="3"/>
    <x v="13"/>
    <x v="1"/>
    <x v="1"/>
    <n v="45"/>
    <x v="1"/>
    <x v="6"/>
    <m/>
  </r>
  <r>
    <n v="3322"/>
    <n v="32"/>
    <s v="Female"/>
    <x v="7"/>
    <x v="2"/>
    <n v="100"/>
    <s v="Maine"/>
    <x v="1"/>
    <x v="4"/>
    <x v="0"/>
    <x v="12"/>
    <x v="1"/>
    <x v="1"/>
    <n v="3"/>
    <x v="0"/>
    <x v="2"/>
    <m/>
  </r>
  <r>
    <n v="3323"/>
    <n v="52"/>
    <s v="Female"/>
    <x v="1"/>
    <x v="0"/>
    <n v="92"/>
    <s v="Indiana"/>
    <x v="3"/>
    <x v="20"/>
    <x v="0"/>
    <x v="7"/>
    <x v="1"/>
    <x v="1"/>
    <n v="43"/>
    <x v="3"/>
    <x v="1"/>
    <m/>
  </r>
  <r>
    <n v="3324"/>
    <n v="54"/>
    <s v="Female"/>
    <x v="8"/>
    <x v="3"/>
    <n v="78"/>
    <s v="North Dakota"/>
    <x v="2"/>
    <x v="22"/>
    <x v="0"/>
    <x v="1"/>
    <x v="1"/>
    <x v="1"/>
    <n v="4"/>
    <x v="2"/>
    <x v="5"/>
    <m/>
  </r>
  <r>
    <n v="3325"/>
    <n v="37"/>
    <s v="Female"/>
    <x v="17"/>
    <x v="0"/>
    <n v="32"/>
    <s v="Missouri"/>
    <x v="1"/>
    <x v="16"/>
    <x v="3"/>
    <x v="19"/>
    <x v="1"/>
    <x v="1"/>
    <n v="41"/>
    <x v="0"/>
    <x v="1"/>
    <m/>
  </r>
  <r>
    <n v="3326"/>
    <n v="29"/>
    <s v="Female"/>
    <x v="3"/>
    <x v="1"/>
    <n v="97"/>
    <s v="Alaska"/>
    <x v="2"/>
    <x v="1"/>
    <x v="3"/>
    <x v="5"/>
    <x v="1"/>
    <x v="1"/>
    <n v="16"/>
    <x v="0"/>
    <x v="5"/>
    <m/>
  </r>
  <r>
    <n v="3327"/>
    <n v="47"/>
    <s v="Female"/>
    <x v="24"/>
    <x v="3"/>
    <n v="95"/>
    <s v="North Dakota"/>
    <x v="2"/>
    <x v="23"/>
    <x v="2"/>
    <x v="12"/>
    <x v="1"/>
    <x v="1"/>
    <n v="10"/>
    <x v="5"/>
    <x v="2"/>
    <m/>
  </r>
  <r>
    <n v="3328"/>
    <n v="47"/>
    <s v="Female"/>
    <x v="6"/>
    <x v="0"/>
    <n v="64"/>
    <s v="Connecticut"/>
    <x v="2"/>
    <x v="13"/>
    <x v="1"/>
    <x v="18"/>
    <x v="1"/>
    <x v="1"/>
    <n v="2"/>
    <x v="5"/>
    <x v="3"/>
    <m/>
  </r>
  <r>
    <n v="3329"/>
    <n v="42"/>
    <s v="Female"/>
    <x v="3"/>
    <x v="1"/>
    <n v="35"/>
    <s v="Wisconsin"/>
    <x v="2"/>
    <x v="10"/>
    <x v="1"/>
    <x v="20"/>
    <x v="1"/>
    <x v="1"/>
    <n v="11"/>
    <x v="1"/>
    <x v="4"/>
    <m/>
  </r>
  <r>
    <n v="3330"/>
    <n v="34"/>
    <s v="Female"/>
    <x v="21"/>
    <x v="3"/>
    <n v="54"/>
    <s v="New Jersey"/>
    <x v="2"/>
    <x v="0"/>
    <x v="0"/>
    <x v="1"/>
    <x v="1"/>
    <x v="1"/>
    <n v="1"/>
    <x v="5"/>
    <x v="4"/>
    <m/>
  </r>
  <r>
    <n v="3331"/>
    <n v="38"/>
    <s v="Female"/>
    <x v="4"/>
    <x v="1"/>
    <n v="96"/>
    <s v="Missouri"/>
    <x v="2"/>
    <x v="13"/>
    <x v="1"/>
    <x v="20"/>
    <x v="1"/>
    <x v="1"/>
    <n v="41"/>
    <x v="4"/>
    <x v="3"/>
    <m/>
  </r>
  <r>
    <n v="3332"/>
    <n v="55"/>
    <s v="Female"/>
    <x v="12"/>
    <x v="3"/>
    <n v="58"/>
    <s v="California"/>
    <x v="2"/>
    <x v="6"/>
    <x v="2"/>
    <x v="22"/>
    <x v="1"/>
    <x v="1"/>
    <n v="39"/>
    <x v="3"/>
    <x v="3"/>
    <m/>
  </r>
  <r>
    <n v="3333"/>
    <n v="27"/>
    <s v="Female"/>
    <x v="17"/>
    <x v="0"/>
    <n v="23"/>
    <s v="Washington"/>
    <x v="2"/>
    <x v="5"/>
    <x v="2"/>
    <x v="0"/>
    <x v="1"/>
    <x v="1"/>
    <n v="1"/>
    <x v="3"/>
    <x v="4"/>
    <m/>
  </r>
  <r>
    <n v="3334"/>
    <n v="55"/>
    <s v="Female"/>
    <x v="2"/>
    <x v="0"/>
    <n v="35"/>
    <s v="Minnesota"/>
    <x v="2"/>
    <x v="10"/>
    <x v="1"/>
    <x v="13"/>
    <x v="1"/>
    <x v="1"/>
    <n v="3"/>
    <x v="3"/>
    <x v="5"/>
    <m/>
  </r>
  <r>
    <n v="3335"/>
    <n v="66"/>
    <s v="Female"/>
    <x v="5"/>
    <x v="0"/>
    <n v="23"/>
    <s v="California"/>
    <x v="2"/>
    <x v="19"/>
    <x v="2"/>
    <x v="10"/>
    <x v="1"/>
    <x v="1"/>
    <n v="21"/>
    <x v="2"/>
    <x v="2"/>
    <m/>
  </r>
  <r>
    <n v="3336"/>
    <n v="44"/>
    <s v="Female"/>
    <x v="19"/>
    <x v="3"/>
    <n v="94"/>
    <s v="Texas"/>
    <x v="3"/>
    <x v="17"/>
    <x v="0"/>
    <x v="22"/>
    <x v="1"/>
    <x v="1"/>
    <n v="48"/>
    <x v="4"/>
    <x v="3"/>
    <m/>
  </r>
  <r>
    <n v="3337"/>
    <n v="39"/>
    <s v="Female"/>
    <x v="0"/>
    <x v="0"/>
    <n v="45"/>
    <s v="Montana"/>
    <x v="2"/>
    <x v="18"/>
    <x v="3"/>
    <x v="8"/>
    <x v="1"/>
    <x v="1"/>
    <n v="24"/>
    <x v="5"/>
    <x v="2"/>
    <m/>
  </r>
  <r>
    <n v="3338"/>
    <n v="23"/>
    <s v="Female"/>
    <x v="14"/>
    <x v="2"/>
    <n v="23"/>
    <s v="Arizona"/>
    <x v="0"/>
    <x v="24"/>
    <x v="0"/>
    <x v="9"/>
    <x v="1"/>
    <x v="1"/>
    <n v="45"/>
    <x v="4"/>
    <x v="4"/>
    <m/>
  </r>
  <r>
    <n v="3339"/>
    <n v="29"/>
    <s v="Female"/>
    <x v="11"/>
    <x v="0"/>
    <n v="94"/>
    <s v="Minnesota"/>
    <x v="0"/>
    <x v="3"/>
    <x v="0"/>
    <x v="25"/>
    <x v="1"/>
    <x v="1"/>
    <n v="46"/>
    <x v="2"/>
    <x v="5"/>
    <m/>
  </r>
  <r>
    <n v="3340"/>
    <n v="20"/>
    <s v="Female"/>
    <x v="24"/>
    <x v="3"/>
    <n v="99"/>
    <s v="Nebraska"/>
    <x v="2"/>
    <x v="17"/>
    <x v="3"/>
    <x v="2"/>
    <x v="1"/>
    <x v="1"/>
    <n v="35"/>
    <x v="1"/>
    <x v="0"/>
    <m/>
  </r>
  <r>
    <n v="3341"/>
    <n v="42"/>
    <s v="Female"/>
    <x v="17"/>
    <x v="0"/>
    <n v="36"/>
    <s v="Virginia"/>
    <x v="3"/>
    <x v="1"/>
    <x v="3"/>
    <x v="9"/>
    <x v="1"/>
    <x v="1"/>
    <n v="47"/>
    <x v="2"/>
    <x v="0"/>
    <m/>
  </r>
  <r>
    <n v="3342"/>
    <n v="55"/>
    <s v="Female"/>
    <x v="14"/>
    <x v="2"/>
    <n v="50"/>
    <s v="Connecticut"/>
    <x v="3"/>
    <x v="8"/>
    <x v="2"/>
    <x v="21"/>
    <x v="1"/>
    <x v="1"/>
    <n v="35"/>
    <x v="2"/>
    <x v="5"/>
    <m/>
  </r>
  <r>
    <n v="3343"/>
    <n v="66"/>
    <s v="Female"/>
    <x v="14"/>
    <x v="2"/>
    <n v="81"/>
    <s v="New Jersey"/>
    <x v="2"/>
    <x v="10"/>
    <x v="1"/>
    <x v="1"/>
    <x v="1"/>
    <x v="1"/>
    <n v="45"/>
    <x v="2"/>
    <x v="1"/>
    <m/>
  </r>
  <r>
    <n v="3344"/>
    <n v="24"/>
    <s v="Female"/>
    <x v="6"/>
    <x v="0"/>
    <n v="31"/>
    <s v="Kentucky"/>
    <x v="3"/>
    <x v="14"/>
    <x v="0"/>
    <x v="2"/>
    <x v="1"/>
    <x v="1"/>
    <n v="6"/>
    <x v="1"/>
    <x v="4"/>
    <m/>
  </r>
  <r>
    <n v="3345"/>
    <n v="62"/>
    <s v="Female"/>
    <x v="19"/>
    <x v="3"/>
    <n v="48"/>
    <s v="Washington"/>
    <x v="3"/>
    <x v="23"/>
    <x v="3"/>
    <x v="12"/>
    <x v="1"/>
    <x v="1"/>
    <n v="20"/>
    <x v="1"/>
    <x v="2"/>
    <m/>
  </r>
  <r>
    <n v="3346"/>
    <n v="28"/>
    <s v="Female"/>
    <x v="8"/>
    <x v="3"/>
    <n v="91"/>
    <s v="Florida"/>
    <x v="2"/>
    <x v="2"/>
    <x v="2"/>
    <x v="8"/>
    <x v="1"/>
    <x v="1"/>
    <n v="3"/>
    <x v="0"/>
    <x v="4"/>
    <m/>
  </r>
  <r>
    <n v="3347"/>
    <n v="30"/>
    <s v="Female"/>
    <x v="2"/>
    <x v="0"/>
    <n v="99"/>
    <s v="Oklahoma"/>
    <x v="2"/>
    <x v="13"/>
    <x v="2"/>
    <x v="10"/>
    <x v="1"/>
    <x v="1"/>
    <n v="30"/>
    <x v="0"/>
    <x v="3"/>
    <m/>
  </r>
  <r>
    <n v="3348"/>
    <n v="22"/>
    <s v="Female"/>
    <x v="9"/>
    <x v="1"/>
    <n v="70"/>
    <s v="Iowa"/>
    <x v="3"/>
    <x v="17"/>
    <x v="2"/>
    <x v="9"/>
    <x v="1"/>
    <x v="1"/>
    <n v="28"/>
    <x v="3"/>
    <x v="4"/>
    <m/>
  </r>
  <r>
    <n v="3349"/>
    <n v="28"/>
    <s v="Female"/>
    <x v="17"/>
    <x v="0"/>
    <n v="74"/>
    <s v="New Hampshire"/>
    <x v="0"/>
    <x v="0"/>
    <x v="0"/>
    <x v="24"/>
    <x v="1"/>
    <x v="1"/>
    <n v="15"/>
    <x v="1"/>
    <x v="6"/>
    <m/>
  </r>
  <r>
    <n v="3350"/>
    <n v="35"/>
    <s v="Female"/>
    <x v="16"/>
    <x v="3"/>
    <n v="79"/>
    <s v="Georgia"/>
    <x v="2"/>
    <x v="16"/>
    <x v="3"/>
    <x v="24"/>
    <x v="1"/>
    <x v="1"/>
    <n v="29"/>
    <x v="3"/>
    <x v="3"/>
    <m/>
  </r>
  <r>
    <n v="3351"/>
    <n v="45"/>
    <s v="Female"/>
    <x v="8"/>
    <x v="3"/>
    <n v="33"/>
    <s v="Mississippi"/>
    <x v="1"/>
    <x v="8"/>
    <x v="3"/>
    <x v="17"/>
    <x v="1"/>
    <x v="1"/>
    <n v="15"/>
    <x v="1"/>
    <x v="4"/>
    <m/>
  </r>
  <r>
    <n v="3352"/>
    <n v="43"/>
    <s v="Female"/>
    <x v="5"/>
    <x v="0"/>
    <n v="49"/>
    <s v="New Hampshire"/>
    <x v="0"/>
    <x v="17"/>
    <x v="1"/>
    <x v="13"/>
    <x v="1"/>
    <x v="1"/>
    <n v="18"/>
    <x v="4"/>
    <x v="0"/>
    <m/>
  </r>
  <r>
    <n v="3353"/>
    <n v="55"/>
    <s v="Female"/>
    <x v="22"/>
    <x v="3"/>
    <n v="96"/>
    <s v="Washington"/>
    <x v="2"/>
    <x v="11"/>
    <x v="2"/>
    <x v="25"/>
    <x v="1"/>
    <x v="1"/>
    <n v="7"/>
    <x v="4"/>
    <x v="4"/>
    <m/>
  </r>
  <r>
    <n v="3354"/>
    <n v="31"/>
    <s v="Female"/>
    <x v="10"/>
    <x v="0"/>
    <n v="66"/>
    <s v="Ohio"/>
    <x v="0"/>
    <x v="11"/>
    <x v="3"/>
    <x v="7"/>
    <x v="1"/>
    <x v="1"/>
    <n v="19"/>
    <x v="2"/>
    <x v="6"/>
    <m/>
  </r>
  <r>
    <n v="3355"/>
    <n v="42"/>
    <s v="Female"/>
    <x v="11"/>
    <x v="0"/>
    <n v="45"/>
    <s v="Maryland"/>
    <x v="2"/>
    <x v="20"/>
    <x v="3"/>
    <x v="24"/>
    <x v="1"/>
    <x v="1"/>
    <n v="15"/>
    <x v="3"/>
    <x v="1"/>
    <m/>
  </r>
  <r>
    <n v="3356"/>
    <n v="40"/>
    <s v="Female"/>
    <x v="0"/>
    <x v="0"/>
    <n v="28"/>
    <s v="Delaware"/>
    <x v="2"/>
    <x v="15"/>
    <x v="1"/>
    <x v="4"/>
    <x v="1"/>
    <x v="1"/>
    <n v="3"/>
    <x v="4"/>
    <x v="4"/>
    <m/>
  </r>
  <r>
    <n v="3357"/>
    <n v="39"/>
    <s v="Female"/>
    <x v="2"/>
    <x v="0"/>
    <n v="48"/>
    <s v="Tennessee"/>
    <x v="2"/>
    <x v="5"/>
    <x v="2"/>
    <x v="22"/>
    <x v="1"/>
    <x v="1"/>
    <n v="13"/>
    <x v="3"/>
    <x v="4"/>
    <m/>
  </r>
  <r>
    <n v="3358"/>
    <n v="41"/>
    <s v="Female"/>
    <x v="15"/>
    <x v="0"/>
    <n v="67"/>
    <s v="Arkansas"/>
    <x v="2"/>
    <x v="6"/>
    <x v="0"/>
    <x v="22"/>
    <x v="1"/>
    <x v="1"/>
    <n v="37"/>
    <x v="2"/>
    <x v="5"/>
    <m/>
  </r>
  <r>
    <n v="3359"/>
    <n v="56"/>
    <s v="Female"/>
    <x v="17"/>
    <x v="0"/>
    <n v="59"/>
    <s v="Tennessee"/>
    <x v="2"/>
    <x v="23"/>
    <x v="3"/>
    <x v="10"/>
    <x v="1"/>
    <x v="1"/>
    <n v="26"/>
    <x v="1"/>
    <x v="2"/>
    <m/>
  </r>
  <r>
    <n v="3360"/>
    <n v="43"/>
    <s v="Female"/>
    <x v="12"/>
    <x v="3"/>
    <n v="74"/>
    <s v="New Hampshire"/>
    <x v="0"/>
    <x v="16"/>
    <x v="3"/>
    <x v="14"/>
    <x v="1"/>
    <x v="1"/>
    <n v="29"/>
    <x v="5"/>
    <x v="5"/>
    <m/>
  </r>
  <r>
    <n v="3361"/>
    <n v="22"/>
    <s v="Female"/>
    <x v="14"/>
    <x v="2"/>
    <n v="81"/>
    <s v="Minnesota"/>
    <x v="2"/>
    <x v="1"/>
    <x v="1"/>
    <x v="19"/>
    <x v="1"/>
    <x v="1"/>
    <n v="47"/>
    <x v="1"/>
    <x v="6"/>
    <m/>
  </r>
  <r>
    <n v="3362"/>
    <n v="47"/>
    <s v="Female"/>
    <x v="9"/>
    <x v="1"/>
    <n v="26"/>
    <s v="Florida"/>
    <x v="2"/>
    <x v="5"/>
    <x v="1"/>
    <x v="18"/>
    <x v="1"/>
    <x v="1"/>
    <n v="47"/>
    <x v="2"/>
    <x v="4"/>
    <m/>
  </r>
  <r>
    <n v="3363"/>
    <n v="50"/>
    <s v="Female"/>
    <x v="8"/>
    <x v="3"/>
    <n v="61"/>
    <s v="Tennessee"/>
    <x v="2"/>
    <x v="0"/>
    <x v="2"/>
    <x v="23"/>
    <x v="1"/>
    <x v="1"/>
    <n v="48"/>
    <x v="0"/>
    <x v="0"/>
    <m/>
  </r>
  <r>
    <n v="3364"/>
    <n v="58"/>
    <s v="Female"/>
    <x v="1"/>
    <x v="0"/>
    <n v="23"/>
    <s v="California"/>
    <x v="2"/>
    <x v="2"/>
    <x v="0"/>
    <x v="23"/>
    <x v="1"/>
    <x v="1"/>
    <n v="46"/>
    <x v="4"/>
    <x v="4"/>
    <m/>
  </r>
  <r>
    <n v="3365"/>
    <n v="50"/>
    <s v="Female"/>
    <x v="18"/>
    <x v="3"/>
    <n v="33"/>
    <s v="Oregon"/>
    <x v="2"/>
    <x v="15"/>
    <x v="3"/>
    <x v="20"/>
    <x v="1"/>
    <x v="1"/>
    <n v="7"/>
    <x v="2"/>
    <x v="5"/>
    <m/>
  </r>
  <r>
    <n v="3366"/>
    <n v="43"/>
    <s v="Female"/>
    <x v="11"/>
    <x v="0"/>
    <n v="58"/>
    <s v="Tennessee"/>
    <x v="0"/>
    <x v="11"/>
    <x v="3"/>
    <x v="14"/>
    <x v="1"/>
    <x v="1"/>
    <n v="45"/>
    <x v="2"/>
    <x v="6"/>
    <m/>
  </r>
  <r>
    <n v="3367"/>
    <n v="38"/>
    <s v="Female"/>
    <x v="24"/>
    <x v="3"/>
    <n v="65"/>
    <s v="North Carolina"/>
    <x v="2"/>
    <x v="16"/>
    <x v="1"/>
    <x v="2"/>
    <x v="1"/>
    <x v="1"/>
    <n v="47"/>
    <x v="5"/>
    <x v="3"/>
    <m/>
  </r>
  <r>
    <n v="3368"/>
    <n v="44"/>
    <s v="Female"/>
    <x v="17"/>
    <x v="0"/>
    <n v="48"/>
    <s v="Tennessee"/>
    <x v="2"/>
    <x v="24"/>
    <x v="2"/>
    <x v="0"/>
    <x v="1"/>
    <x v="1"/>
    <n v="6"/>
    <x v="0"/>
    <x v="0"/>
    <m/>
  </r>
  <r>
    <n v="3369"/>
    <n v="30"/>
    <s v="Female"/>
    <x v="3"/>
    <x v="1"/>
    <n v="25"/>
    <s v="Nebraska"/>
    <x v="2"/>
    <x v="24"/>
    <x v="1"/>
    <x v="3"/>
    <x v="1"/>
    <x v="1"/>
    <n v="29"/>
    <x v="4"/>
    <x v="6"/>
    <m/>
  </r>
  <r>
    <n v="3370"/>
    <n v="47"/>
    <s v="Female"/>
    <x v="1"/>
    <x v="0"/>
    <n v="51"/>
    <s v="Maine"/>
    <x v="2"/>
    <x v="21"/>
    <x v="0"/>
    <x v="1"/>
    <x v="1"/>
    <x v="1"/>
    <n v="42"/>
    <x v="1"/>
    <x v="5"/>
    <m/>
  </r>
  <r>
    <n v="3371"/>
    <n v="30"/>
    <s v="Female"/>
    <x v="22"/>
    <x v="3"/>
    <n v="31"/>
    <s v="Illinois"/>
    <x v="2"/>
    <x v="4"/>
    <x v="2"/>
    <x v="24"/>
    <x v="1"/>
    <x v="1"/>
    <n v="46"/>
    <x v="1"/>
    <x v="0"/>
    <m/>
  </r>
  <r>
    <n v="3372"/>
    <n v="49"/>
    <s v="Female"/>
    <x v="15"/>
    <x v="0"/>
    <n v="99"/>
    <s v="Colorado"/>
    <x v="1"/>
    <x v="2"/>
    <x v="0"/>
    <x v="8"/>
    <x v="1"/>
    <x v="1"/>
    <n v="28"/>
    <x v="3"/>
    <x v="2"/>
    <m/>
  </r>
  <r>
    <n v="3373"/>
    <n v="56"/>
    <s v="Female"/>
    <x v="20"/>
    <x v="0"/>
    <n v="25"/>
    <s v="Pennsylvania"/>
    <x v="2"/>
    <x v="1"/>
    <x v="0"/>
    <x v="7"/>
    <x v="1"/>
    <x v="1"/>
    <n v="14"/>
    <x v="2"/>
    <x v="6"/>
    <m/>
  </r>
  <r>
    <n v="3374"/>
    <n v="70"/>
    <s v="Female"/>
    <x v="3"/>
    <x v="1"/>
    <n v="52"/>
    <s v="Minnesota"/>
    <x v="2"/>
    <x v="7"/>
    <x v="1"/>
    <x v="22"/>
    <x v="1"/>
    <x v="1"/>
    <n v="12"/>
    <x v="5"/>
    <x v="6"/>
    <m/>
  </r>
  <r>
    <n v="3375"/>
    <n v="22"/>
    <s v="Female"/>
    <x v="0"/>
    <x v="0"/>
    <n v="47"/>
    <s v="Nevada"/>
    <x v="1"/>
    <x v="12"/>
    <x v="1"/>
    <x v="5"/>
    <x v="1"/>
    <x v="1"/>
    <n v="41"/>
    <x v="5"/>
    <x v="2"/>
    <m/>
  </r>
  <r>
    <n v="3376"/>
    <n v="51"/>
    <s v="Female"/>
    <x v="23"/>
    <x v="1"/>
    <n v="98"/>
    <s v="Connecticut"/>
    <x v="3"/>
    <x v="22"/>
    <x v="3"/>
    <x v="17"/>
    <x v="1"/>
    <x v="1"/>
    <n v="8"/>
    <x v="2"/>
    <x v="2"/>
    <m/>
  </r>
  <r>
    <n v="3377"/>
    <n v="22"/>
    <s v="Female"/>
    <x v="19"/>
    <x v="3"/>
    <n v="46"/>
    <s v="Ohio"/>
    <x v="2"/>
    <x v="14"/>
    <x v="0"/>
    <x v="18"/>
    <x v="1"/>
    <x v="1"/>
    <n v="24"/>
    <x v="1"/>
    <x v="3"/>
    <m/>
  </r>
  <r>
    <n v="3378"/>
    <n v="37"/>
    <s v="Female"/>
    <x v="5"/>
    <x v="0"/>
    <n v="32"/>
    <s v="Kentucky"/>
    <x v="2"/>
    <x v="22"/>
    <x v="0"/>
    <x v="7"/>
    <x v="1"/>
    <x v="1"/>
    <n v="18"/>
    <x v="3"/>
    <x v="0"/>
    <m/>
  </r>
  <r>
    <n v="3379"/>
    <n v="49"/>
    <s v="Female"/>
    <x v="6"/>
    <x v="0"/>
    <n v="75"/>
    <s v="Minnesota"/>
    <x v="0"/>
    <x v="9"/>
    <x v="3"/>
    <x v="21"/>
    <x v="1"/>
    <x v="1"/>
    <n v="6"/>
    <x v="1"/>
    <x v="3"/>
    <m/>
  </r>
  <r>
    <n v="3380"/>
    <n v="61"/>
    <s v="Female"/>
    <x v="8"/>
    <x v="3"/>
    <n v="51"/>
    <s v="Tennessee"/>
    <x v="0"/>
    <x v="2"/>
    <x v="2"/>
    <x v="11"/>
    <x v="1"/>
    <x v="1"/>
    <n v="40"/>
    <x v="1"/>
    <x v="1"/>
    <m/>
  </r>
  <r>
    <n v="3381"/>
    <n v="41"/>
    <s v="Female"/>
    <x v="10"/>
    <x v="0"/>
    <n v="52"/>
    <s v="North Dakota"/>
    <x v="0"/>
    <x v="24"/>
    <x v="2"/>
    <x v="1"/>
    <x v="1"/>
    <x v="1"/>
    <n v="6"/>
    <x v="3"/>
    <x v="6"/>
    <m/>
  </r>
  <r>
    <n v="3382"/>
    <n v="57"/>
    <s v="Female"/>
    <x v="19"/>
    <x v="3"/>
    <n v="66"/>
    <s v="Minnesota"/>
    <x v="0"/>
    <x v="2"/>
    <x v="0"/>
    <x v="15"/>
    <x v="1"/>
    <x v="1"/>
    <n v="27"/>
    <x v="2"/>
    <x v="3"/>
    <m/>
  </r>
  <r>
    <n v="3383"/>
    <n v="34"/>
    <s v="Female"/>
    <x v="1"/>
    <x v="0"/>
    <n v="35"/>
    <s v="Nebraska"/>
    <x v="2"/>
    <x v="1"/>
    <x v="1"/>
    <x v="24"/>
    <x v="1"/>
    <x v="1"/>
    <n v="2"/>
    <x v="4"/>
    <x v="1"/>
    <m/>
  </r>
  <r>
    <n v="3384"/>
    <n v="27"/>
    <s v="Female"/>
    <x v="7"/>
    <x v="2"/>
    <n v="43"/>
    <s v="Delaware"/>
    <x v="2"/>
    <x v="6"/>
    <x v="3"/>
    <x v="4"/>
    <x v="1"/>
    <x v="1"/>
    <n v="39"/>
    <x v="0"/>
    <x v="4"/>
    <m/>
  </r>
  <r>
    <n v="3385"/>
    <n v="39"/>
    <s v="Female"/>
    <x v="15"/>
    <x v="0"/>
    <n v="24"/>
    <s v="Minnesota"/>
    <x v="0"/>
    <x v="1"/>
    <x v="2"/>
    <x v="1"/>
    <x v="1"/>
    <x v="1"/>
    <n v="9"/>
    <x v="0"/>
    <x v="3"/>
    <m/>
  </r>
  <r>
    <n v="3386"/>
    <n v="62"/>
    <s v="Female"/>
    <x v="16"/>
    <x v="3"/>
    <n v="83"/>
    <s v="Rhode Island"/>
    <x v="2"/>
    <x v="8"/>
    <x v="0"/>
    <x v="24"/>
    <x v="1"/>
    <x v="1"/>
    <n v="16"/>
    <x v="2"/>
    <x v="6"/>
    <m/>
  </r>
  <r>
    <n v="3387"/>
    <n v="34"/>
    <s v="Female"/>
    <x v="17"/>
    <x v="0"/>
    <n v="62"/>
    <s v="Michigan"/>
    <x v="2"/>
    <x v="12"/>
    <x v="3"/>
    <x v="4"/>
    <x v="1"/>
    <x v="1"/>
    <n v="36"/>
    <x v="1"/>
    <x v="3"/>
    <m/>
  </r>
  <r>
    <n v="3388"/>
    <n v="53"/>
    <s v="Female"/>
    <x v="13"/>
    <x v="0"/>
    <n v="78"/>
    <s v="New Jersey"/>
    <x v="1"/>
    <x v="6"/>
    <x v="1"/>
    <x v="10"/>
    <x v="1"/>
    <x v="1"/>
    <n v="2"/>
    <x v="2"/>
    <x v="4"/>
    <m/>
  </r>
  <r>
    <n v="3389"/>
    <n v="35"/>
    <s v="Female"/>
    <x v="1"/>
    <x v="0"/>
    <n v="61"/>
    <s v="South Dakota"/>
    <x v="2"/>
    <x v="17"/>
    <x v="1"/>
    <x v="21"/>
    <x v="1"/>
    <x v="1"/>
    <n v="21"/>
    <x v="2"/>
    <x v="1"/>
    <m/>
  </r>
  <r>
    <n v="3390"/>
    <n v="38"/>
    <s v="Female"/>
    <x v="13"/>
    <x v="0"/>
    <n v="57"/>
    <s v="North Carolina"/>
    <x v="0"/>
    <x v="1"/>
    <x v="3"/>
    <x v="1"/>
    <x v="1"/>
    <x v="1"/>
    <n v="39"/>
    <x v="0"/>
    <x v="2"/>
    <m/>
  </r>
  <r>
    <n v="3391"/>
    <n v="32"/>
    <s v="Female"/>
    <x v="20"/>
    <x v="0"/>
    <n v="70"/>
    <s v="Oregon"/>
    <x v="1"/>
    <x v="16"/>
    <x v="2"/>
    <x v="23"/>
    <x v="1"/>
    <x v="1"/>
    <n v="38"/>
    <x v="3"/>
    <x v="2"/>
    <m/>
  </r>
  <r>
    <n v="3392"/>
    <n v="47"/>
    <s v="Female"/>
    <x v="15"/>
    <x v="0"/>
    <n v="57"/>
    <s v="Montana"/>
    <x v="2"/>
    <x v="5"/>
    <x v="3"/>
    <x v="5"/>
    <x v="1"/>
    <x v="1"/>
    <n v="6"/>
    <x v="5"/>
    <x v="6"/>
    <m/>
  </r>
  <r>
    <n v="3393"/>
    <n v="53"/>
    <s v="Female"/>
    <x v="18"/>
    <x v="3"/>
    <n v="74"/>
    <s v="New Jersey"/>
    <x v="3"/>
    <x v="24"/>
    <x v="0"/>
    <x v="9"/>
    <x v="1"/>
    <x v="1"/>
    <n v="6"/>
    <x v="0"/>
    <x v="4"/>
    <m/>
  </r>
  <r>
    <n v="3394"/>
    <n v="60"/>
    <s v="Female"/>
    <x v="10"/>
    <x v="0"/>
    <n v="90"/>
    <s v="Arizona"/>
    <x v="2"/>
    <x v="9"/>
    <x v="3"/>
    <x v="0"/>
    <x v="1"/>
    <x v="1"/>
    <n v="50"/>
    <x v="5"/>
    <x v="5"/>
    <m/>
  </r>
  <r>
    <n v="3395"/>
    <n v="31"/>
    <s v="Female"/>
    <x v="3"/>
    <x v="1"/>
    <n v="98"/>
    <s v="Vermont"/>
    <x v="1"/>
    <x v="22"/>
    <x v="1"/>
    <x v="13"/>
    <x v="1"/>
    <x v="1"/>
    <n v="9"/>
    <x v="3"/>
    <x v="2"/>
    <m/>
  </r>
  <r>
    <n v="3396"/>
    <n v="44"/>
    <s v="Female"/>
    <x v="10"/>
    <x v="0"/>
    <n v="43"/>
    <s v="Colorado"/>
    <x v="2"/>
    <x v="5"/>
    <x v="0"/>
    <x v="0"/>
    <x v="1"/>
    <x v="1"/>
    <n v="15"/>
    <x v="5"/>
    <x v="6"/>
    <m/>
  </r>
  <r>
    <n v="3397"/>
    <n v="29"/>
    <s v="Female"/>
    <x v="13"/>
    <x v="0"/>
    <n v="37"/>
    <s v="Tennessee"/>
    <x v="3"/>
    <x v="13"/>
    <x v="0"/>
    <x v="11"/>
    <x v="1"/>
    <x v="1"/>
    <n v="5"/>
    <x v="3"/>
    <x v="3"/>
    <m/>
  </r>
  <r>
    <n v="3398"/>
    <n v="19"/>
    <s v="Female"/>
    <x v="0"/>
    <x v="0"/>
    <n v="38"/>
    <s v="New Jersey"/>
    <x v="0"/>
    <x v="22"/>
    <x v="2"/>
    <x v="6"/>
    <x v="1"/>
    <x v="1"/>
    <n v="13"/>
    <x v="4"/>
    <x v="4"/>
    <m/>
  </r>
  <r>
    <n v="3399"/>
    <n v="54"/>
    <s v="Female"/>
    <x v="2"/>
    <x v="0"/>
    <n v="60"/>
    <s v="Montana"/>
    <x v="0"/>
    <x v="6"/>
    <x v="0"/>
    <x v="1"/>
    <x v="1"/>
    <x v="1"/>
    <n v="44"/>
    <x v="1"/>
    <x v="0"/>
    <m/>
  </r>
  <r>
    <n v="3400"/>
    <n v="40"/>
    <s v="Female"/>
    <x v="13"/>
    <x v="0"/>
    <n v="55"/>
    <s v="Montana"/>
    <x v="3"/>
    <x v="22"/>
    <x v="0"/>
    <x v="19"/>
    <x v="1"/>
    <x v="1"/>
    <n v="36"/>
    <x v="5"/>
    <x v="2"/>
    <m/>
  </r>
  <r>
    <n v="3401"/>
    <n v="39"/>
    <s v="Female"/>
    <x v="12"/>
    <x v="3"/>
    <n v="51"/>
    <s v="Nevada"/>
    <x v="2"/>
    <x v="12"/>
    <x v="3"/>
    <x v="3"/>
    <x v="1"/>
    <x v="1"/>
    <n v="18"/>
    <x v="0"/>
    <x v="0"/>
    <m/>
  </r>
  <r>
    <n v="3402"/>
    <n v="44"/>
    <s v="Female"/>
    <x v="21"/>
    <x v="3"/>
    <n v="71"/>
    <s v="Nevada"/>
    <x v="0"/>
    <x v="15"/>
    <x v="0"/>
    <x v="10"/>
    <x v="1"/>
    <x v="1"/>
    <n v="39"/>
    <x v="2"/>
    <x v="1"/>
    <m/>
  </r>
  <r>
    <n v="3403"/>
    <n v="22"/>
    <s v="Female"/>
    <x v="15"/>
    <x v="0"/>
    <n v="61"/>
    <s v="Louisiana"/>
    <x v="2"/>
    <x v="13"/>
    <x v="1"/>
    <x v="9"/>
    <x v="1"/>
    <x v="1"/>
    <n v="11"/>
    <x v="3"/>
    <x v="6"/>
    <m/>
  </r>
  <r>
    <n v="3404"/>
    <n v="30"/>
    <s v="Female"/>
    <x v="23"/>
    <x v="1"/>
    <n v="65"/>
    <s v="Illinois"/>
    <x v="2"/>
    <x v="8"/>
    <x v="2"/>
    <x v="14"/>
    <x v="1"/>
    <x v="1"/>
    <n v="1"/>
    <x v="1"/>
    <x v="4"/>
    <m/>
  </r>
  <r>
    <n v="3405"/>
    <n v="69"/>
    <s v="Female"/>
    <x v="24"/>
    <x v="3"/>
    <n v="34"/>
    <s v="South Carolina"/>
    <x v="0"/>
    <x v="8"/>
    <x v="3"/>
    <x v="14"/>
    <x v="1"/>
    <x v="1"/>
    <n v="34"/>
    <x v="2"/>
    <x v="2"/>
    <m/>
  </r>
  <r>
    <n v="3406"/>
    <n v="28"/>
    <s v="Female"/>
    <x v="0"/>
    <x v="0"/>
    <n v="87"/>
    <s v="Washington"/>
    <x v="2"/>
    <x v="3"/>
    <x v="2"/>
    <x v="13"/>
    <x v="1"/>
    <x v="1"/>
    <n v="47"/>
    <x v="4"/>
    <x v="4"/>
    <m/>
  </r>
  <r>
    <n v="3407"/>
    <n v="57"/>
    <s v="Female"/>
    <x v="1"/>
    <x v="0"/>
    <n v="79"/>
    <s v="Nebraska"/>
    <x v="2"/>
    <x v="16"/>
    <x v="1"/>
    <x v="8"/>
    <x v="1"/>
    <x v="1"/>
    <n v="24"/>
    <x v="0"/>
    <x v="3"/>
    <m/>
  </r>
  <r>
    <n v="3408"/>
    <n v="46"/>
    <s v="Female"/>
    <x v="10"/>
    <x v="0"/>
    <n v="46"/>
    <s v="Alabama"/>
    <x v="1"/>
    <x v="7"/>
    <x v="1"/>
    <x v="4"/>
    <x v="1"/>
    <x v="1"/>
    <n v="20"/>
    <x v="1"/>
    <x v="3"/>
    <m/>
  </r>
  <r>
    <n v="3409"/>
    <n v="48"/>
    <s v="Female"/>
    <x v="20"/>
    <x v="0"/>
    <n v="72"/>
    <s v="Montana"/>
    <x v="0"/>
    <x v="7"/>
    <x v="2"/>
    <x v="9"/>
    <x v="1"/>
    <x v="1"/>
    <n v="11"/>
    <x v="4"/>
    <x v="2"/>
    <m/>
  </r>
  <r>
    <n v="3410"/>
    <n v="24"/>
    <s v="Female"/>
    <x v="5"/>
    <x v="0"/>
    <n v="93"/>
    <s v="Minnesota"/>
    <x v="2"/>
    <x v="11"/>
    <x v="2"/>
    <x v="20"/>
    <x v="1"/>
    <x v="1"/>
    <n v="3"/>
    <x v="2"/>
    <x v="6"/>
    <m/>
  </r>
  <r>
    <n v="3411"/>
    <n v="50"/>
    <s v="Female"/>
    <x v="3"/>
    <x v="1"/>
    <n v="76"/>
    <s v="Ohio"/>
    <x v="0"/>
    <x v="11"/>
    <x v="2"/>
    <x v="12"/>
    <x v="1"/>
    <x v="1"/>
    <n v="38"/>
    <x v="4"/>
    <x v="4"/>
    <m/>
  </r>
  <r>
    <n v="3412"/>
    <n v="29"/>
    <s v="Female"/>
    <x v="9"/>
    <x v="1"/>
    <n v="56"/>
    <s v="New York"/>
    <x v="0"/>
    <x v="0"/>
    <x v="0"/>
    <x v="17"/>
    <x v="1"/>
    <x v="1"/>
    <n v="45"/>
    <x v="1"/>
    <x v="1"/>
    <m/>
  </r>
  <r>
    <n v="3413"/>
    <n v="61"/>
    <s v="Female"/>
    <x v="3"/>
    <x v="1"/>
    <n v="83"/>
    <s v="Indiana"/>
    <x v="2"/>
    <x v="23"/>
    <x v="3"/>
    <x v="1"/>
    <x v="1"/>
    <x v="1"/>
    <n v="31"/>
    <x v="0"/>
    <x v="3"/>
    <m/>
  </r>
  <r>
    <n v="3414"/>
    <n v="34"/>
    <s v="Female"/>
    <x v="24"/>
    <x v="3"/>
    <n v="90"/>
    <s v="Delaware"/>
    <x v="3"/>
    <x v="13"/>
    <x v="0"/>
    <x v="16"/>
    <x v="1"/>
    <x v="1"/>
    <n v="16"/>
    <x v="3"/>
    <x v="4"/>
    <m/>
  </r>
  <r>
    <n v="3415"/>
    <n v="27"/>
    <s v="Female"/>
    <x v="23"/>
    <x v="1"/>
    <n v="94"/>
    <s v="Connecticut"/>
    <x v="2"/>
    <x v="1"/>
    <x v="1"/>
    <x v="17"/>
    <x v="1"/>
    <x v="1"/>
    <n v="3"/>
    <x v="4"/>
    <x v="3"/>
    <m/>
  </r>
  <r>
    <n v="3416"/>
    <n v="38"/>
    <s v="Female"/>
    <x v="0"/>
    <x v="0"/>
    <n v="68"/>
    <s v="New York"/>
    <x v="2"/>
    <x v="9"/>
    <x v="3"/>
    <x v="23"/>
    <x v="1"/>
    <x v="1"/>
    <n v="15"/>
    <x v="4"/>
    <x v="2"/>
    <m/>
  </r>
  <r>
    <n v="3417"/>
    <n v="25"/>
    <s v="Female"/>
    <x v="3"/>
    <x v="1"/>
    <n v="53"/>
    <s v="Alabama"/>
    <x v="2"/>
    <x v="7"/>
    <x v="1"/>
    <x v="20"/>
    <x v="1"/>
    <x v="1"/>
    <n v="11"/>
    <x v="4"/>
    <x v="6"/>
    <m/>
  </r>
  <r>
    <n v="3418"/>
    <n v="54"/>
    <s v="Female"/>
    <x v="7"/>
    <x v="2"/>
    <n v="35"/>
    <s v="Massachusetts"/>
    <x v="2"/>
    <x v="24"/>
    <x v="2"/>
    <x v="25"/>
    <x v="1"/>
    <x v="1"/>
    <n v="22"/>
    <x v="5"/>
    <x v="0"/>
    <m/>
  </r>
  <r>
    <n v="3419"/>
    <n v="53"/>
    <s v="Female"/>
    <x v="14"/>
    <x v="2"/>
    <n v="30"/>
    <s v="South Carolina"/>
    <x v="2"/>
    <x v="19"/>
    <x v="2"/>
    <x v="24"/>
    <x v="1"/>
    <x v="1"/>
    <n v="35"/>
    <x v="5"/>
    <x v="2"/>
    <m/>
  </r>
  <r>
    <n v="3420"/>
    <n v="23"/>
    <s v="Female"/>
    <x v="16"/>
    <x v="3"/>
    <n v="26"/>
    <s v="West Virginia"/>
    <x v="0"/>
    <x v="21"/>
    <x v="0"/>
    <x v="0"/>
    <x v="1"/>
    <x v="1"/>
    <n v="5"/>
    <x v="0"/>
    <x v="4"/>
    <m/>
  </r>
  <r>
    <n v="3421"/>
    <n v="19"/>
    <s v="Female"/>
    <x v="19"/>
    <x v="3"/>
    <n v="60"/>
    <s v="Kentucky"/>
    <x v="2"/>
    <x v="7"/>
    <x v="0"/>
    <x v="10"/>
    <x v="1"/>
    <x v="1"/>
    <n v="35"/>
    <x v="3"/>
    <x v="4"/>
    <m/>
  </r>
  <r>
    <n v="3422"/>
    <n v="57"/>
    <s v="Female"/>
    <x v="9"/>
    <x v="1"/>
    <n v="30"/>
    <s v="New Jersey"/>
    <x v="2"/>
    <x v="1"/>
    <x v="2"/>
    <x v="25"/>
    <x v="1"/>
    <x v="1"/>
    <n v="27"/>
    <x v="3"/>
    <x v="1"/>
    <m/>
  </r>
  <r>
    <n v="3423"/>
    <n v="19"/>
    <s v="Female"/>
    <x v="7"/>
    <x v="2"/>
    <n v="91"/>
    <s v="New York"/>
    <x v="0"/>
    <x v="19"/>
    <x v="0"/>
    <x v="20"/>
    <x v="1"/>
    <x v="1"/>
    <n v="9"/>
    <x v="0"/>
    <x v="5"/>
    <m/>
  </r>
  <r>
    <n v="3424"/>
    <n v="33"/>
    <s v="Female"/>
    <x v="23"/>
    <x v="1"/>
    <n v="71"/>
    <s v="Massachusetts"/>
    <x v="2"/>
    <x v="18"/>
    <x v="1"/>
    <x v="1"/>
    <x v="1"/>
    <x v="1"/>
    <n v="21"/>
    <x v="3"/>
    <x v="4"/>
    <m/>
  </r>
  <r>
    <n v="3425"/>
    <n v="33"/>
    <s v="Female"/>
    <x v="18"/>
    <x v="3"/>
    <n v="64"/>
    <s v="Florida"/>
    <x v="0"/>
    <x v="14"/>
    <x v="2"/>
    <x v="2"/>
    <x v="1"/>
    <x v="1"/>
    <n v="23"/>
    <x v="2"/>
    <x v="5"/>
    <m/>
  </r>
  <r>
    <n v="3426"/>
    <n v="38"/>
    <s v="Female"/>
    <x v="19"/>
    <x v="3"/>
    <n v="54"/>
    <s v="Michigan"/>
    <x v="2"/>
    <x v="24"/>
    <x v="2"/>
    <x v="12"/>
    <x v="1"/>
    <x v="1"/>
    <n v="3"/>
    <x v="5"/>
    <x v="4"/>
    <m/>
  </r>
  <r>
    <n v="3427"/>
    <n v="47"/>
    <s v="Female"/>
    <x v="20"/>
    <x v="0"/>
    <n v="35"/>
    <s v="Oregon"/>
    <x v="3"/>
    <x v="23"/>
    <x v="3"/>
    <x v="3"/>
    <x v="1"/>
    <x v="1"/>
    <n v="31"/>
    <x v="2"/>
    <x v="2"/>
    <m/>
  </r>
  <r>
    <n v="3428"/>
    <n v="39"/>
    <s v="Female"/>
    <x v="17"/>
    <x v="0"/>
    <n v="38"/>
    <s v="Michigan"/>
    <x v="3"/>
    <x v="2"/>
    <x v="0"/>
    <x v="16"/>
    <x v="1"/>
    <x v="1"/>
    <n v="44"/>
    <x v="1"/>
    <x v="2"/>
    <m/>
  </r>
  <r>
    <n v="3429"/>
    <n v="32"/>
    <s v="Female"/>
    <x v="16"/>
    <x v="3"/>
    <n v="69"/>
    <s v="Washington"/>
    <x v="2"/>
    <x v="0"/>
    <x v="3"/>
    <x v="16"/>
    <x v="1"/>
    <x v="1"/>
    <n v="20"/>
    <x v="0"/>
    <x v="5"/>
    <m/>
  </r>
  <r>
    <n v="3430"/>
    <n v="27"/>
    <s v="Female"/>
    <x v="11"/>
    <x v="0"/>
    <n v="96"/>
    <s v="Alaska"/>
    <x v="1"/>
    <x v="7"/>
    <x v="0"/>
    <x v="7"/>
    <x v="1"/>
    <x v="1"/>
    <n v="34"/>
    <x v="5"/>
    <x v="1"/>
    <m/>
  </r>
  <r>
    <n v="3431"/>
    <n v="67"/>
    <s v="Female"/>
    <x v="20"/>
    <x v="0"/>
    <n v="73"/>
    <s v="Montana"/>
    <x v="2"/>
    <x v="12"/>
    <x v="0"/>
    <x v="13"/>
    <x v="1"/>
    <x v="1"/>
    <n v="17"/>
    <x v="4"/>
    <x v="6"/>
    <m/>
  </r>
  <r>
    <n v="3432"/>
    <n v="46"/>
    <s v="Female"/>
    <x v="22"/>
    <x v="3"/>
    <n v="49"/>
    <s v="New Mexico"/>
    <x v="1"/>
    <x v="14"/>
    <x v="2"/>
    <x v="13"/>
    <x v="1"/>
    <x v="1"/>
    <n v="20"/>
    <x v="0"/>
    <x v="2"/>
    <m/>
  </r>
  <r>
    <n v="3433"/>
    <n v="36"/>
    <s v="Female"/>
    <x v="23"/>
    <x v="1"/>
    <n v="44"/>
    <s v="Connecticut"/>
    <x v="2"/>
    <x v="0"/>
    <x v="2"/>
    <x v="3"/>
    <x v="1"/>
    <x v="1"/>
    <n v="46"/>
    <x v="3"/>
    <x v="6"/>
    <m/>
  </r>
  <r>
    <n v="3434"/>
    <n v="62"/>
    <s v="Female"/>
    <x v="20"/>
    <x v="0"/>
    <n v="93"/>
    <s v="Alaska"/>
    <x v="2"/>
    <x v="22"/>
    <x v="1"/>
    <x v="21"/>
    <x v="1"/>
    <x v="1"/>
    <n v="28"/>
    <x v="3"/>
    <x v="2"/>
    <m/>
  </r>
  <r>
    <n v="3435"/>
    <n v="31"/>
    <s v="Female"/>
    <x v="13"/>
    <x v="0"/>
    <n v="72"/>
    <s v="Ohio"/>
    <x v="1"/>
    <x v="20"/>
    <x v="2"/>
    <x v="19"/>
    <x v="1"/>
    <x v="1"/>
    <n v="6"/>
    <x v="0"/>
    <x v="0"/>
    <m/>
  </r>
  <r>
    <n v="3436"/>
    <n v="68"/>
    <s v="Female"/>
    <x v="20"/>
    <x v="0"/>
    <n v="91"/>
    <s v="Montana"/>
    <x v="2"/>
    <x v="19"/>
    <x v="2"/>
    <x v="6"/>
    <x v="1"/>
    <x v="1"/>
    <n v="50"/>
    <x v="5"/>
    <x v="4"/>
    <m/>
  </r>
  <r>
    <n v="3437"/>
    <n v="57"/>
    <s v="Female"/>
    <x v="22"/>
    <x v="3"/>
    <n v="83"/>
    <s v="Nebraska"/>
    <x v="0"/>
    <x v="15"/>
    <x v="0"/>
    <x v="24"/>
    <x v="1"/>
    <x v="1"/>
    <n v="41"/>
    <x v="4"/>
    <x v="5"/>
    <m/>
  </r>
  <r>
    <n v="3438"/>
    <n v="22"/>
    <s v="Female"/>
    <x v="14"/>
    <x v="2"/>
    <n v="62"/>
    <s v="Oklahoma"/>
    <x v="1"/>
    <x v="14"/>
    <x v="0"/>
    <x v="22"/>
    <x v="1"/>
    <x v="1"/>
    <n v="50"/>
    <x v="3"/>
    <x v="2"/>
    <m/>
  </r>
  <r>
    <n v="3439"/>
    <n v="26"/>
    <s v="Female"/>
    <x v="5"/>
    <x v="0"/>
    <n v="71"/>
    <s v="Kentucky"/>
    <x v="2"/>
    <x v="10"/>
    <x v="3"/>
    <x v="23"/>
    <x v="1"/>
    <x v="1"/>
    <n v="33"/>
    <x v="2"/>
    <x v="5"/>
    <m/>
  </r>
  <r>
    <n v="3440"/>
    <n v="43"/>
    <s v="Female"/>
    <x v="24"/>
    <x v="3"/>
    <n v="93"/>
    <s v="Idaho"/>
    <x v="2"/>
    <x v="0"/>
    <x v="2"/>
    <x v="21"/>
    <x v="1"/>
    <x v="1"/>
    <n v="25"/>
    <x v="0"/>
    <x v="3"/>
    <m/>
  </r>
  <r>
    <n v="3441"/>
    <n v="45"/>
    <s v="Female"/>
    <x v="8"/>
    <x v="3"/>
    <n v="63"/>
    <s v="Maryland"/>
    <x v="0"/>
    <x v="23"/>
    <x v="3"/>
    <x v="12"/>
    <x v="1"/>
    <x v="1"/>
    <n v="2"/>
    <x v="3"/>
    <x v="1"/>
    <m/>
  </r>
  <r>
    <n v="3442"/>
    <n v="64"/>
    <s v="Female"/>
    <x v="1"/>
    <x v="0"/>
    <n v="96"/>
    <s v="Tennessee"/>
    <x v="3"/>
    <x v="4"/>
    <x v="3"/>
    <x v="18"/>
    <x v="1"/>
    <x v="1"/>
    <n v="15"/>
    <x v="2"/>
    <x v="2"/>
    <m/>
  </r>
  <r>
    <n v="3443"/>
    <n v="28"/>
    <s v="Female"/>
    <x v="11"/>
    <x v="0"/>
    <n v="78"/>
    <s v="Michigan"/>
    <x v="2"/>
    <x v="10"/>
    <x v="1"/>
    <x v="12"/>
    <x v="1"/>
    <x v="1"/>
    <n v="12"/>
    <x v="3"/>
    <x v="1"/>
    <m/>
  </r>
  <r>
    <n v="3444"/>
    <n v="47"/>
    <s v="Female"/>
    <x v="10"/>
    <x v="0"/>
    <n v="24"/>
    <s v="Tennessee"/>
    <x v="0"/>
    <x v="5"/>
    <x v="2"/>
    <x v="11"/>
    <x v="1"/>
    <x v="1"/>
    <n v="28"/>
    <x v="1"/>
    <x v="4"/>
    <m/>
  </r>
  <r>
    <n v="3445"/>
    <n v="53"/>
    <s v="Female"/>
    <x v="13"/>
    <x v="0"/>
    <n v="63"/>
    <s v="Rhode Island"/>
    <x v="1"/>
    <x v="14"/>
    <x v="2"/>
    <x v="1"/>
    <x v="1"/>
    <x v="1"/>
    <n v="12"/>
    <x v="4"/>
    <x v="4"/>
    <m/>
  </r>
  <r>
    <n v="3446"/>
    <n v="42"/>
    <s v="Female"/>
    <x v="19"/>
    <x v="3"/>
    <n v="58"/>
    <s v="Florida"/>
    <x v="2"/>
    <x v="23"/>
    <x v="3"/>
    <x v="17"/>
    <x v="1"/>
    <x v="1"/>
    <n v="3"/>
    <x v="5"/>
    <x v="2"/>
    <m/>
  </r>
  <r>
    <n v="3447"/>
    <n v="51"/>
    <s v="Female"/>
    <x v="23"/>
    <x v="1"/>
    <n v="55"/>
    <s v="Louisiana"/>
    <x v="1"/>
    <x v="7"/>
    <x v="1"/>
    <x v="11"/>
    <x v="1"/>
    <x v="1"/>
    <n v="20"/>
    <x v="1"/>
    <x v="1"/>
    <m/>
  </r>
  <r>
    <n v="3448"/>
    <n v="62"/>
    <s v="Female"/>
    <x v="3"/>
    <x v="1"/>
    <n v="58"/>
    <s v="Arkansas"/>
    <x v="2"/>
    <x v="24"/>
    <x v="3"/>
    <x v="12"/>
    <x v="1"/>
    <x v="1"/>
    <n v="3"/>
    <x v="4"/>
    <x v="4"/>
    <m/>
  </r>
  <r>
    <n v="3449"/>
    <n v="18"/>
    <s v="Female"/>
    <x v="7"/>
    <x v="2"/>
    <n v="28"/>
    <s v="Kentucky"/>
    <x v="1"/>
    <x v="22"/>
    <x v="0"/>
    <x v="18"/>
    <x v="1"/>
    <x v="1"/>
    <n v="32"/>
    <x v="4"/>
    <x v="0"/>
    <m/>
  </r>
  <r>
    <n v="3450"/>
    <n v="48"/>
    <s v="Female"/>
    <x v="0"/>
    <x v="0"/>
    <n v="37"/>
    <s v="Kansas"/>
    <x v="2"/>
    <x v="18"/>
    <x v="1"/>
    <x v="21"/>
    <x v="1"/>
    <x v="1"/>
    <n v="35"/>
    <x v="1"/>
    <x v="5"/>
    <m/>
  </r>
  <r>
    <n v="3451"/>
    <n v="20"/>
    <s v="Female"/>
    <x v="6"/>
    <x v="0"/>
    <n v="78"/>
    <s v="Vermont"/>
    <x v="2"/>
    <x v="6"/>
    <x v="1"/>
    <x v="2"/>
    <x v="1"/>
    <x v="1"/>
    <n v="31"/>
    <x v="3"/>
    <x v="5"/>
    <m/>
  </r>
  <r>
    <n v="3452"/>
    <n v="32"/>
    <s v="Female"/>
    <x v="0"/>
    <x v="0"/>
    <n v="73"/>
    <s v="Nevada"/>
    <x v="3"/>
    <x v="5"/>
    <x v="3"/>
    <x v="23"/>
    <x v="1"/>
    <x v="1"/>
    <n v="13"/>
    <x v="2"/>
    <x v="2"/>
    <m/>
  </r>
  <r>
    <n v="3453"/>
    <n v="26"/>
    <s v="Female"/>
    <x v="14"/>
    <x v="2"/>
    <n v="20"/>
    <s v="Oklahoma"/>
    <x v="2"/>
    <x v="21"/>
    <x v="1"/>
    <x v="5"/>
    <x v="1"/>
    <x v="1"/>
    <n v="3"/>
    <x v="0"/>
    <x v="0"/>
    <m/>
  </r>
  <r>
    <n v="3454"/>
    <n v="31"/>
    <s v="Female"/>
    <x v="5"/>
    <x v="0"/>
    <n v="60"/>
    <s v="Alabama"/>
    <x v="0"/>
    <x v="6"/>
    <x v="0"/>
    <x v="12"/>
    <x v="1"/>
    <x v="1"/>
    <n v="48"/>
    <x v="0"/>
    <x v="4"/>
    <m/>
  </r>
  <r>
    <n v="3455"/>
    <n v="55"/>
    <s v="Female"/>
    <x v="8"/>
    <x v="3"/>
    <n v="71"/>
    <s v="Louisiana"/>
    <x v="1"/>
    <x v="12"/>
    <x v="3"/>
    <x v="7"/>
    <x v="1"/>
    <x v="1"/>
    <n v="15"/>
    <x v="3"/>
    <x v="4"/>
    <m/>
  </r>
  <r>
    <n v="3456"/>
    <n v="49"/>
    <s v="Female"/>
    <x v="17"/>
    <x v="0"/>
    <n v="89"/>
    <s v="Ohio"/>
    <x v="2"/>
    <x v="20"/>
    <x v="3"/>
    <x v="15"/>
    <x v="1"/>
    <x v="1"/>
    <n v="13"/>
    <x v="0"/>
    <x v="2"/>
    <m/>
  </r>
  <r>
    <n v="3457"/>
    <n v="42"/>
    <s v="Female"/>
    <x v="15"/>
    <x v="0"/>
    <n v="53"/>
    <s v="Texas"/>
    <x v="2"/>
    <x v="16"/>
    <x v="3"/>
    <x v="7"/>
    <x v="1"/>
    <x v="1"/>
    <n v="21"/>
    <x v="0"/>
    <x v="5"/>
    <m/>
  </r>
  <r>
    <n v="3458"/>
    <n v="64"/>
    <s v="Female"/>
    <x v="16"/>
    <x v="3"/>
    <n v="87"/>
    <s v="Maryland"/>
    <x v="2"/>
    <x v="0"/>
    <x v="2"/>
    <x v="23"/>
    <x v="1"/>
    <x v="1"/>
    <n v="29"/>
    <x v="1"/>
    <x v="0"/>
    <m/>
  </r>
  <r>
    <n v="3459"/>
    <n v="68"/>
    <s v="Female"/>
    <x v="16"/>
    <x v="3"/>
    <n v="37"/>
    <s v="West Virginia"/>
    <x v="0"/>
    <x v="10"/>
    <x v="1"/>
    <x v="10"/>
    <x v="1"/>
    <x v="1"/>
    <n v="24"/>
    <x v="0"/>
    <x v="3"/>
    <m/>
  </r>
  <r>
    <n v="3460"/>
    <n v="68"/>
    <s v="Female"/>
    <x v="15"/>
    <x v="0"/>
    <n v="37"/>
    <s v="Ohio"/>
    <x v="0"/>
    <x v="14"/>
    <x v="3"/>
    <x v="1"/>
    <x v="1"/>
    <x v="1"/>
    <n v="21"/>
    <x v="3"/>
    <x v="2"/>
    <m/>
  </r>
  <r>
    <n v="3461"/>
    <n v="41"/>
    <s v="Female"/>
    <x v="18"/>
    <x v="3"/>
    <n v="78"/>
    <s v="Indiana"/>
    <x v="2"/>
    <x v="9"/>
    <x v="1"/>
    <x v="0"/>
    <x v="1"/>
    <x v="1"/>
    <n v="5"/>
    <x v="4"/>
    <x v="4"/>
    <m/>
  </r>
  <r>
    <n v="3462"/>
    <n v="51"/>
    <s v="Female"/>
    <x v="9"/>
    <x v="1"/>
    <n v="23"/>
    <s v="Wyoming"/>
    <x v="1"/>
    <x v="1"/>
    <x v="1"/>
    <x v="9"/>
    <x v="1"/>
    <x v="1"/>
    <n v="47"/>
    <x v="1"/>
    <x v="3"/>
    <m/>
  </r>
  <r>
    <n v="3463"/>
    <n v="44"/>
    <s v="Female"/>
    <x v="2"/>
    <x v="0"/>
    <n v="73"/>
    <s v="Michigan"/>
    <x v="0"/>
    <x v="8"/>
    <x v="1"/>
    <x v="21"/>
    <x v="1"/>
    <x v="1"/>
    <n v="34"/>
    <x v="2"/>
    <x v="6"/>
    <m/>
  </r>
  <r>
    <n v="3464"/>
    <n v="27"/>
    <s v="Female"/>
    <x v="16"/>
    <x v="3"/>
    <n v="27"/>
    <s v="Maine"/>
    <x v="2"/>
    <x v="22"/>
    <x v="3"/>
    <x v="24"/>
    <x v="1"/>
    <x v="1"/>
    <n v="45"/>
    <x v="3"/>
    <x v="0"/>
    <m/>
  </r>
  <r>
    <n v="3465"/>
    <n v="36"/>
    <s v="Female"/>
    <x v="7"/>
    <x v="2"/>
    <n v="59"/>
    <s v="Utah"/>
    <x v="1"/>
    <x v="15"/>
    <x v="0"/>
    <x v="6"/>
    <x v="1"/>
    <x v="1"/>
    <n v="12"/>
    <x v="3"/>
    <x v="2"/>
    <m/>
  </r>
  <r>
    <n v="3466"/>
    <n v="19"/>
    <s v="Female"/>
    <x v="21"/>
    <x v="3"/>
    <n v="53"/>
    <s v="Iowa"/>
    <x v="2"/>
    <x v="9"/>
    <x v="1"/>
    <x v="10"/>
    <x v="1"/>
    <x v="1"/>
    <n v="31"/>
    <x v="5"/>
    <x v="1"/>
    <m/>
  </r>
  <r>
    <n v="3467"/>
    <n v="49"/>
    <s v="Female"/>
    <x v="20"/>
    <x v="0"/>
    <n v="42"/>
    <s v="Maryland"/>
    <x v="1"/>
    <x v="7"/>
    <x v="2"/>
    <x v="7"/>
    <x v="1"/>
    <x v="1"/>
    <n v="43"/>
    <x v="4"/>
    <x v="2"/>
    <m/>
  </r>
  <r>
    <n v="3468"/>
    <n v="18"/>
    <s v="Female"/>
    <x v="18"/>
    <x v="3"/>
    <n v="45"/>
    <s v="Texas"/>
    <x v="2"/>
    <x v="4"/>
    <x v="3"/>
    <x v="11"/>
    <x v="1"/>
    <x v="1"/>
    <n v="5"/>
    <x v="2"/>
    <x v="2"/>
    <m/>
  </r>
  <r>
    <n v="3469"/>
    <n v="36"/>
    <s v="Female"/>
    <x v="12"/>
    <x v="3"/>
    <n v="89"/>
    <s v="Ohio"/>
    <x v="1"/>
    <x v="21"/>
    <x v="0"/>
    <x v="22"/>
    <x v="1"/>
    <x v="1"/>
    <n v="36"/>
    <x v="5"/>
    <x v="3"/>
    <m/>
  </r>
  <r>
    <n v="3470"/>
    <n v="36"/>
    <s v="Female"/>
    <x v="20"/>
    <x v="0"/>
    <n v="85"/>
    <s v="North Dakota"/>
    <x v="0"/>
    <x v="23"/>
    <x v="3"/>
    <x v="19"/>
    <x v="1"/>
    <x v="1"/>
    <n v="12"/>
    <x v="1"/>
    <x v="2"/>
    <m/>
  </r>
  <r>
    <n v="3471"/>
    <n v="19"/>
    <s v="Female"/>
    <x v="7"/>
    <x v="2"/>
    <n v="69"/>
    <s v="West Virginia"/>
    <x v="1"/>
    <x v="8"/>
    <x v="2"/>
    <x v="21"/>
    <x v="1"/>
    <x v="1"/>
    <n v="31"/>
    <x v="1"/>
    <x v="4"/>
    <m/>
  </r>
  <r>
    <n v="3472"/>
    <n v="43"/>
    <s v="Female"/>
    <x v="3"/>
    <x v="1"/>
    <n v="66"/>
    <s v="North Carolina"/>
    <x v="1"/>
    <x v="24"/>
    <x v="1"/>
    <x v="0"/>
    <x v="1"/>
    <x v="1"/>
    <n v="31"/>
    <x v="1"/>
    <x v="4"/>
    <m/>
  </r>
  <r>
    <n v="3473"/>
    <n v="31"/>
    <s v="Female"/>
    <x v="0"/>
    <x v="0"/>
    <n v="42"/>
    <s v="Georgia"/>
    <x v="1"/>
    <x v="3"/>
    <x v="2"/>
    <x v="8"/>
    <x v="1"/>
    <x v="1"/>
    <n v="15"/>
    <x v="5"/>
    <x v="1"/>
    <m/>
  </r>
  <r>
    <n v="3474"/>
    <n v="63"/>
    <s v="Female"/>
    <x v="10"/>
    <x v="0"/>
    <n v="40"/>
    <s v="Kansas"/>
    <x v="2"/>
    <x v="17"/>
    <x v="1"/>
    <x v="16"/>
    <x v="1"/>
    <x v="1"/>
    <n v="11"/>
    <x v="1"/>
    <x v="1"/>
    <m/>
  </r>
  <r>
    <n v="3475"/>
    <n v="41"/>
    <s v="Female"/>
    <x v="13"/>
    <x v="0"/>
    <n v="82"/>
    <s v="Maine"/>
    <x v="2"/>
    <x v="17"/>
    <x v="0"/>
    <x v="9"/>
    <x v="1"/>
    <x v="1"/>
    <n v="18"/>
    <x v="0"/>
    <x v="5"/>
    <m/>
  </r>
  <r>
    <n v="3476"/>
    <n v="48"/>
    <s v="Female"/>
    <x v="4"/>
    <x v="1"/>
    <n v="88"/>
    <s v="South Carolina"/>
    <x v="2"/>
    <x v="20"/>
    <x v="1"/>
    <x v="9"/>
    <x v="1"/>
    <x v="1"/>
    <n v="9"/>
    <x v="1"/>
    <x v="3"/>
    <m/>
  </r>
  <r>
    <n v="3477"/>
    <n v="68"/>
    <s v="Female"/>
    <x v="23"/>
    <x v="1"/>
    <n v="99"/>
    <s v="South Carolina"/>
    <x v="3"/>
    <x v="20"/>
    <x v="2"/>
    <x v="20"/>
    <x v="1"/>
    <x v="1"/>
    <n v="11"/>
    <x v="1"/>
    <x v="1"/>
    <m/>
  </r>
  <r>
    <n v="3478"/>
    <n v="53"/>
    <s v="Female"/>
    <x v="8"/>
    <x v="3"/>
    <n v="85"/>
    <s v="Kentucky"/>
    <x v="1"/>
    <x v="11"/>
    <x v="1"/>
    <x v="1"/>
    <x v="1"/>
    <x v="1"/>
    <n v="38"/>
    <x v="5"/>
    <x v="4"/>
    <m/>
  </r>
  <r>
    <n v="3479"/>
    <n v="36"/>
    <s v="Female"/>
    <x v="8"/>
    <x v="3"/>
    <n v="57"/>
    <s v="Arizona"/>
    <x v="2"/>
    <x v="23"/>
    <x v="3"/>
    <x v="7"/>
    <x v="1"/>
    <x v="1"/>
    <n v="42"/>
    <x v="3"/>
    <x v="3"/>
    <m/>
  </r>
  <r>
    <n v="3480"/>
    <n v="46"/>
    <s v="Female"/>
    <x v="1"/>
    <x v="0"/>
    <n v="56"/>
    <s v="New York"/>
    <x v="1"/>
    <x v="20"/>
    <x v="2"/>
    <x v="17"/>
    <x v="1"/>
    <x v="1"/>
    <n v="41"/>
    <x v="1"/>
    <x v="5"/>
    <m/>
  </r>
  <r>
    <n v="3481"/>
    <n v="21"/>
    <s v="Female"/>
    <x v="3"/>
    <x v="1"/>
    <n v="79"/>
    <s v="New Hampshire"/>
    <x v="0"/>
    <x v="15"/>
    <x v="0"/>
    <x v="22"/>
    <x v="1"/>
    <x v="1"/>
    <n v="45"/>
    <x v="3"/>
    <x v="5"/>
    <m/>
  </r>
  <r>
    <n v="3482"/>
    <n v="52"/>
    <s v="Female"/>
    <x v="20"/>
    <x v="0"/>
    <n v="67"/>
    <s v="Ohio"/>
    <x v="1"/>
    <x v="1"/>
    <x v="2"/>
    <x v="10"/>
    <x v="1"/>
    <x v="1"/>
    <n v="41"/>
    <x v="5"/>
    <x v="4"/>
    <m/>
  </r>
  <r>
    <n v="3483"/>
    <n v="66"/>
    <s v="Female"/>
    <x v="24"/>
    <x v="3"/>
    <n v="61"/>
    <s v="Hawaii"/>
    <x v="2"/>
    <x v="9"/>
    <x v="0"/>
    <x v="14"/>
    <x v="1"/>
    <x v="1"/>
    <n v="35"/>
    <x v="5"/>
    <x v="1"/>
    <m/>
  </r>
  <r>
    <n v="3484"/>
    <n v="19"/>
    <s v="Female"/>
    <x v="15"/>
    <x v="0"/>
    <n v="37"/>
    <s v="Texas"/>
    <x v="0"/>
    <x v="3"/>
    <x v="0"/>
    <x v="14"/>
    <x v="1"/>
    <x v="1"/>
    <n v="21"/>
    <x v="2"/>
    <x v="6"/>
    <m/>
  </r>
  <r>
    <n v="3485"/>
    <n v="44"/>
    <s v="Female"/>
    <x v="10"/>
    <x v="0"/>
    <n v="75"/>
    <s v="Illinois"/>
    <x v="0"/>
    <x v="0"/>
    <x v="3"/>
    <x v="13"/>
    <x v="1"/>
    <x v="1"/>
    <n v="13"/>
    <x v="2"/>
    <x v="4"/>
    <m/>
  </r>
  <r>
    <n v="3486"/>
    <n v="50"/>
    <s v="Female"/>
    <x v="5"/>
    <x v="0"/>
    <n v="21"/>
    <s v="Massachusetts"/>
    <x v="3"/>
    <x v="18"/>
    <x v="0"/>
    <x v="10"/>
    <x v="1"/>
    <x v="1"/>
    <n v="23"/>
    <x v="5"/>
    <x v="0"/>
    <m/>
  </r>
  <r>
    <n v="3487"/>
    <n v="51"/>
    <s v="Female"/>
    <x v="6"/>
    <x v="0"/>
    <n v="89"/>
    <s v="North Carolina"/>
    <x v="0"/>
    <x v="4"/>
    <x v="0"/>
    <x v="17"/>
    <x v="1"/>
    <x v="1"/>
    <n v="6"/>
    <x v="3"/>
    <x v="1"/>
    <m/>
  </r>
  <r>
    <n v="3488"/>
    <n v="25"/>
    <s v="Female"/>
    <x v="3"/>
    <x v="1"/>
    <n v="24"/>
    <s v="West Virginia"/>
    <x v="0"/>
    <x v="19"/>
    <x v="3"/>
    <x v="25"/>
    <x v="1"/>
    <x v="1"/>
    <n v="39"/>
    <x v="4"/>
    <x v="2"/>
    <m/>
  </r>
  <r>
    <n v="3489"/>
    <n v="62"/>
    <s v="Female"/>
    <x v="1"/>
    <x v="0"/>
    <n v="27"/>
    <s v="Delaware"/>
    <x v="3"/>
    <x v="11"/>
    <x v="1"/>
    <x v="17"/>
    <x v="1"/>
    <x v="1"/>
    <n v="7"/>
    <x v="1"/>
    <x v="3"/>
    <m/>
  </r>
  <r>
    <n v="3490"/>
    <n v="48"/>
    <s v="Female"/>
    <x v="10"/>
    <x v="0"/>
    <n v="26"/>
    <s v="Idaho"/>
    <x v="0"/>
    <x v="13"/>
    <x v="2"/>
    <x v="7"/>
    <x v="1"/>
    <x v="1"/>
    <n v="32"/>
    <x v="3"/>
    <x v="6"/>
    <m/>
  </r>
  <r>
    <n v="3491"/>
    <n v="62"/>
    <s v="Female"/>
    <x v="23"/>
    <x v="1"/>
    <n v="82"/>
    <s v="Oregon"/>
    <x v="2"/>
    <x v="10"/>
    <x v="1"/>
    <x v="2"/>
    <x v="1"/>
    <x v="1"/>
    <n v="43"/>
    <x v="2"/>
    <x v="3"/>
    <m/>
  </r>
  <r>
    <n v="3492"/>
    <n v="22"/>
    <s v="Female"/>
    <x v="13"/>
    <x v="0"/>
    <n v="28"/>
    <s v="Maine"/>
    <x v="2"/>
    <x v="20"/>
    <x v="0"/>
    <x v="12"/>
    <x v="1"/>
    <x v="1"/>
    <n v="15"/>
    <x v="1"/>
    <x v="5"/>
    <m/>
  </r>
  <r>
    <n v="3493"/>
    <n v="48"/>
    <s v="Female"/>
    <x v="24"/>
    <x v="3"/>
    <n v="65"/>
    <s v="South Dakota"/>
    <x v="2"/>
    <x v="2"/>
    <x v="3"/>
    <x v="7"/>
    <x v="1"/>
    <x v="1"/>
    <n v="48"/>
    <x v="4"/>
    <x v="2"/>
    <m/>
  </r>
  <r>
    <n v="3494"/>
    <n v="48"/>
    <s v="Female"/>
    <x v="13"/>
    <x v="0"/>
    <n v="82"/>
    <s v="New Mexico"/>
    <x v="3"/>
    <x v="13"/>
    <x v="0"/>
    <x v="15"/>
    <x v="1"/>
    <x v="1"/>
    <n v="35"/>
    <x v="2"/>
    <x v="1"/>
    <m/>
  </r>
  <r>
    <n v="3495"/>
    <n v="62"/>
    <s v="Female"/>
    <x v="18"/>
    <x v="3"/>
    <n v="38"/>
    <s v="Washington"/>
    <x v="2"/>
    <x v="5"/>
    <x v="0"/>
    <x v="22"/>
    <x v="1"/>
    <x v="1"/>
    <n v="41"/>
    <x v="3"/>
    <x v="3"/>
    <m/>
  </r>
  <r>
    <n v="3496"/>
    <n v="24"/>
    <s v="Female"/>
    <x v="6"/>
    <x v="0"/>
    <n v="33"/>
    <s v="Georgia"/>
    <x v="3"/>
    <x v="0"/>
    <x v="1"/>
    <x v="24"/>
    <x v="1"/>
    <x v="1"/>
    <n v="14"/>
    <x v="1"/>
    <x v="1"/>
    <m/>
  </r>
  <r>
    <n v="3497"/>
    <n v="39"/>
    <s v="Female"/>
    <x v="9"/>
    <x v="1"/>
    <n v="38"/>
    <s v="Idaho"/>
    <x v="2"/>
    <x v="6"/>
    <x v="2"/>
    <x v="8"/>
    <x v="1"/>
    <x v="1"/>
    <n v="22"/>
    <x v="3"/>
    <x v="5"/>
    <m/>
  </r>
  <r>
    <n v="3498"/>
    <n v="35"/>
    <s v="Female"/>
    <x v="8"/>
    <x v="3"/>
    <n v="48"/>
    <s v="Colorado"/>
    <x v="2"/>
    <x v="16"/>
    <x v="1"/>
    <x v="12"/>
    <x v="1"/>
    <x v="1"/>
    <n v="16"/>
    <x v="0"/>
    <x v="6"/>
    <m/>
  </r>
  <r>
    <n v="3499"/>
    <n v="47"/>
    <s v="Female"/>
    <x v="3"/>
    <x v="1"/>
    <n v="35"/>
    <s v="Kentucky"/>
    <x v="2"/>
    <x v="12"/>
    <x v="2"/>
    <x v="1"/>
    <x v="1"/>
    <x v="1"/>
    <n v="2"/>
    <x v="4"/>
    <x v="4"/>
    <m/>
  </r>
  <r>
    <n v="3500"/>
    <n v="22"/>
    <s v="Female"/>
    <x v="20"/>
    <x v="0"/>
    <n v="29"/>
    <s v="New Jersey"/>
    <x v="0"/>
    <x v="21"/>
    <x v="3"/>
    <x v="23"/>
    <x v="1"/>
    <x v="1"/>
    <n v="13"/>
    <x v="3"/>
    <x v="6"/>
    <m/>
  </r>
  <r>
    <n v="3501"/>
    <n v="38"/>
    <s v="Female"/>
    <x v="5"/>
    <x v="0"/>
    <n v="48"/>
    <s v="Oregon"/>
    <x v="1"/>
    <x v="5"/>
    <x v="3"/>
    <x v="7"/>
    <x v="1"/>
    <x v="1"/>
    <n v="38"/>
    <x v="5"/>
    <x v="0"/>
    <m/>
  </r>
  <r>
    <n v="3502"/>
    <n v="53"/>
    <s v="Female"/>
    <x v="9"/>
    <x v="1"/>
    <n v="87"/>
    <s v="Nebraska"/>
    <x v="2"/>
    <x v="5"/>
    <x v="3"/>
    <x v="3"/>
    <x v="1"/>
    <x v="1"/>
    <n v="43"/>
    <x v="4"/>
    <x v="1"/>
    <m/>
  </r>
  <r>
    <n v="3503"/>
    <n v="31"/>
    <s v="Female"/>
    <x v="21"/>
    <x v="3"/>
    <n v="62"/>
    <s v="Massachusetts"/>
    <x v="2"/>
    <x v="14"/>
    <x v="3"/>
    <x v="15"/>
    <x v="1"/>
    <x v="1"/>
    <n v="26"/>
    <x v="4"/>
    <x v="3"/>
    <m/>
  </r>
  <r>
    <n v="3504"/>
    <n v="31"/>
    <s v="Female"/>
    <x v="5"/>
    <x v="0"/>
    <n v="96"/>
    <s v="Nebraska"/>
    <x v="2"/>
    <x v="6"/>
    <x v="1"/>
    <x v="14"/>
    <x v="1"/>
    <x v="1"/>
    <n v="39"/>
    <x v="1"/>
    <x v="1"/>
    <m/>
  </r>
  <r>
    <n v="3505"/>
    <n v="65"/>
    <s v="Female"/>
    <x v="8"/>
    <x v="3"/>
    <n v="41"/>
    <s v="Hawaii"/>
    <x v="1"/>
    <x v="10"/>
    <x v="3"/>
    <x v="8"/>
    <x v="1"/>
    <x v="1"/>
    <n v="50"/>
    <x v="0"/>
    <x v="5"/>
    <m/>
  </r>
  <r>
    <n v="3506"/>
    <n v="48"/>
    <s v="Female"/>
    <x v="16"/>
    <x v="3"/>
    <n v="42"/>
    <s v="Indiana"/>
    <x v="0"/>
    <x v="16"/>
    <x v="0"/>
    <x v="5"/>
    <x v="1"/>
    <x v="1"/>
    <n v="40"/>
    <x v="4"/>
    <x v="6"/>
    <m/>
  </r>
  <r>
    <n v="3507"/>
    <n v="18"/>
    <s v="Female"/>
    <x v="5"/>
    <x v="0"/>
    <n v="57"/>
    <s v="Illinois"/>
    <x v="0"/>
    <x v="8"/>
    <x v="0"/>
    <x v="5"/>
    <x v="1"/>
    <x v="1"/>
    <n v="12"/>
    <x v="1"/>
    <x v="0"/>
    <m/>
  </r>
  <r>
    <n v="3508"/>
    <n v="46"/>
    <s v="Female"/>
    <x v="8"/>
    <x v="3"/>
    <n v="65"/>
    <s v="Colorado"/>
    <x v="1"/>
    <x v="7"/>
    <x v="1"/>
    <x v="13"/>
    <x v="1"/>
    <x v="1"/>
    <n v="33"/>
    <x v="2"/>
    <x v="6"/>
    <m/>
  </r>
  <r>
    <n v="3509"/>
    <n v="52"/>
    <s v="Female"/>
    <x v="13"/>
    <x v="0"/>
    <n v="54"/>
    <s v="Pennsylvania"/>
    <x v="2"/>
    <x v="0"/>
    <x v="3"/>
    <x v="15"/>
    <x v="1"/>
    <x v="1"/>
    <n v="49"/>
    <x v="4"/>
    <x v="1"/>
    <m/>
  </r>
  <r>
    <n v="3510"/>
    <n v="50"/>
    <s v="Female"/>
    <x v="17"/>
    <x v="0"/>
    <n v="22"/>
    <s v="Ohio"/>
    <x v="0"/>
    <x v="18"/>
    <x v="0"/>
    <x v="12"/>
    <x v="1"/>
    <x v="1"/>
    <n v="43"/>
    <x v="0"/>
    <x v="4"/>
    <m/>
  </r>
  <r>
    <n v="3511"/>
    <n v="49"/>
    <s v="Female"/>
    <x v="4"/>
    <x v="1"/>
    <n v="96"/>
    <s v="Pennsylvania"/>
    <x v="1"/>
    <x v="20"/>
    <x v="3"/>
    <x v="17"/>
    <x v="1"/>
    <x v="1"/>
    <n v="14"/>
    <x v="0"/>
    <x v="5"/>
    <m/>
  </r>
  <r>
    <n v="3512"/>
    <n v="69"/>
    <s v="Female"/>
    <x v="16"/>
    <x v="3"/>
    <n v="81"/>
    <s v="Mississippi"/>
    <x v="2"/>
    <x v="24"/>
    <x v="2"/>
    <x v="14"/>
    <x v="1"/>
    <x v="1"/>
    <n v="21"/>
    <x v="2"/>
    <x v="6"/>
    <m/>
  </r>
  <r>
    <n v="3513"/>
    <n v="36"/>
    <s v="Female"/>
    <x v="5"/>
    <x v="0"/>
    <n v="46"/>
    <s v="Kentucky"/>
    <x v="2"/>
    <x v="3"/>
    <x v="3"/>
    <x v="10"/>
    <x v="1"/>
    <x v="1"/>
    <n v="31"/>
    <x v="5"/>
    <x v="3"/>
    <m/>
  </r>
  <r>
    <n v="3514"/>
    <n v="30"/>
    <s v="Female"/>
    <x v="0"/>
    <x v="0"/>
    <n v="74"/>
    <s v="Alaska"/>
    <x v="3"/>
    <x v="4"/>
    <x v="1"/>
    <x v="13"/>
    <x v="1"/>
    <x v="1"/>
    <n v="29"/>
    <x v="2"/>
    <x v="0"/>
    <m/>
  </r>
  <r>
    <n v="3515"/>
    <n v="25"/>
    <s v="Female"/>
    <x v="4"/>
    <x v="1"/>
    <n v="50"/>
    <s v="Georgia"/>
    <x v="3"/>
    <x v="0"/>
    <x v="0"/>
    <x v="15"/>
    <x v="1"/>
    <x v="1"/>
    <n v="32"/>
    <x v="1"/>
    <x v="5"/>
    <m/>
  </r>
  <r>
    <n v="3516"/>
    <n v="19"/>
    <s v="Female"/>
    <x v="10"/>
    <x v="0"/>
    <n v="80"/>
    <s v="South Dakota"/>
    <x v="3"/>
    <x v="4"/>
    <x v="0"/>
    <x v="8"/>
    <x v="1"/>
    <x v="1"/>
    <n v="16"/>
    <x v="5"/>
    <x v="4"/>
    <m/>
  </r>
  <r>
    <n v="3517"/>
    <n v="34"/>
    <s v="Female"/>
    <x v="23"/>
    <x v="1"/>
    <n v="56"/>
    <s v="South Carolina"/>
    <x v="1"/>
    <x v="3"/>
    <x v="2"/>
    <x v="8"/>
    <x v="1"/>
    <x v="1"/>
    <n v="38"/>
    <x v="3"/>
    <x v="4"/>
    <m/>
  </r>
  <r>
    <n v="3518"/>
    <n v="29"/>
    <s v="Female"/>
    <x v="11"/>
    <x v="0"/>
    <n v="69"/>
    <s v="Tennessee"/>
    <x v="2"/>
    <x v="20"/>
    <x v="0"/>
    <x v="0"/>
    <x v="1"/>
    <x v="1"/>
    <n v="34"/>
    <x v="5"/>
    <x v="6"/>
    <m/>
  </r>
  <r>
    <n v="3519"/>
    <n v="50"/>
    <s v="Female"/>
    <x v="5"/>
    <x v="0"/>
    <n v="97"/>
    <s v="Colorado"/>
    <x v="2"/>
    <x v="13"/>
    <x v="1"/>
    <x v="13"/>
    <x v="1"/>
    <x v="1"/>
    <n v="30"/>
    <x v="3"/>
    <x v="3"/>
    <m/>
  </r>
  <r>
    <n v="3520"/>
    <n v="31"/>
    <s v="Female"/>
    <x v="6"/>
    <x v="0"/>
    <n v="66"/>
    <s v="Wisconsin"/>
    <x v="2"/>
    <x v="3"/>
    <x v="0"/>
    <x v="5"/>
    <x v="1"/>
    <x v="1"/>
    <n v="14"/>
    <x v="4"/>
    <x v="0"/>
    <m/>
  </r>
  <r>
    <n v="3521"/>
    <n v="41"/>
    <s v="Female"/>
    <x v="19"/>
    <x v="3"/>
    <n v="70"/>
    <s v="Georgia"/>
    <x v="1"/>
    <x v="18"/>
    <x v="1"/>
    <x v="0"/>
    <x v="1"/>
    <x v="1"/>
    <n v="33"/>
    <x v="4"/>
    <x v="5"/>
    <m/>
  </r>
  <r>
    <n v="3522"/>
    <n v="52"/>
    <s v="Female"/>
    <x v="9"/>
    <x v="1"/>
    <n v="50"/>
    <s v="Maryland"/>
    <x v="2"/>
    <x v="6"/>
    <x v="0"/>
    <x v="5"/>
    <x v="1"/>
    <x v="1"/>
    <n v="35"/>
    <x v="0"/>
    <x v="1"/>
    <m/>
  </r>
  <r>
    <n v="3523"/>
    <n v="27"/>
    <s v="Female"/>
    <x v="13"/>
    <x v="0"/>
    <n v="85"/>
    <s v="New Jersey"/>
    <x v="2"/>
    <x v="22"/>
    <x v="1"/>
    <x v="20"/>
    <x v="1"/>
    <x v="1"/>
    <n v="13"/>
    <x v="1"/>
    <x v="3"/>
    <m/>
  </r>
  <r>
    <n v="3524"/>
    <n v="49"/>
    <s v="Female"/>
    <x v="21"/>
    <x v="3"/>
    <n v="59"/>
    <s v="Nevada"/>
    <x v="2"/>
    <x v="17"/>
    <x v="2"/>
    <x v="24"/>
    <x v="1"/>
    <x v="1"/>
    <n v="30"/>
    <x v="1"/>
    <x v="0"/>
    <m/>
  </r>
  <r>
    <n v="3525"/>
    <n v="69"/>
    <s v="Female"/>
    <x v="13"/>
    <x v="0"/>
    <n v="74"/>
    <s v="Michigan"/>
    <x v="0"/>
    <x v="5"/>
    <x v="2"/>
    <x v="25"/>
    <x v="1"/>
    <x v="1"/>
    <n v="30"/>
    <x v="2"/>
    <x v="5"/>
    <m/>
  </r>
  <r>
    <n v="3526"/>
    <n v="45"/>
    <s v="Female"/>
    <x v="12"/>
    <x v="3"/>
    <n v="38"/>
    <s v="Wyoming"/>
    <x v="0"/>
    <x v="8"/>
    <x v="0"/>
    <x v="22"/>
    <x v="1"/>
    <x v="1"/>
    <n v="47"/>
    <x v="4"/>
    <x v="2"/>
    <m/>
  </r>
  <r>
    <n v="3527"/>
    <n v="20"/>
    <s v="Female"/>
    <x v="1"/>
    <x v="0"/>
    <n v="99"/>
    <s v="Massachusetts"/>
    <x v="2"/>
    <x v="8"/>
    <x v="1"/>
    <x v="1"/>
    <x v="1"/>
    <x v="1"/>
    <n v="1"/>
    <x v="3"/>
    <x v="6"/>
    <m/>
  </r>
  <r>
    <n v="3528"/>
    <n v="25"/>
    <s v="Female"/>
    <x v="0"/>
    <x v="0"/>
    <n v="97"/>
    <s v="Washington"/>
    <x v="1"/>
    <x v="4"/>
    <x v="1"/>
    <x v="15"/>
    <x v="1"/>
    <x v="1"/>
    <n v="1"/>
    <x v="1"/>
    <x v="1"/>
    <m/>
  </r>
  <r>
    <n v="3529"/>
    <n v="38"/>
    <s v="Female"/>
    <x v="18"/>
    <x v="3"/>
    <n v="67"/>
    <s v="Maine"/>
    <x v="0"/>
    <x v="0"/>
    <x v="2"/>
    <x v="21"/>
    <x v="1"/>
    <x v="1"/>
    <n v="33"/>
    <x v="3"/>
    <x v="2"/>
    <m/>
  </r>
  <r>
    <n v="3530"/>
    <n v="55"/>
    <s v="Female"/>
    <x v="17"/>
    <x v="0"/>
    <n v="20"/>
    <s v="Montana"/>
    <x v="1"/>
    <x v="1"/>
    <x v="0"/>
    <x v="14"/>
    <x v="1"/>
    <x v="1"/>
    <n v="43"/>
    <x v="4"/>
    <x v="1"/>
    <m/>
  </r>
  <r>
    <n v="3531"/>
    <n v="62"/>
    <s v="Female"/>
    <x v="12"/>
    <x v="3"/>
    <n v="45"/>
    <s v="Oklahoma"/>
    <x v="0"/>
    <x v="13"/>
    <x v="1"/>
    <x v="10"/>
    <x v="1"/>
    <x v="1"/>
    <n v="37"/>
    <x v="3"/>
    <x v="1"/>
    <m/>
  </r>
  <r>
    <n v="3532"/>
    <n v="54"/>
    <s v="Female"/>
    <x v="9"/>
    <x v="1"/>
    <n v="52"/>
    <s v="North Dakota"/>
    <x v="3"/>
    <x v="10"/>
    <x v="0"/>
    <x v="7"/>
    <x v="1"/>
    <x v="1"/>
    <n v="23"/>
    <x v="1"/>
    <x v="3"/>
    <m/>
  </r>
  <r>
    <n v="3533"/>
    <n v="61"/>
    <s v="Female"/>
    <x v="13"/>
    <x v="0"/>
    <n v="68"/>
    <s v="Connecticut"/>
    <x v="0"/>
    <x v="21"/>
    <x v="3"/>
    <x v="7"/>
    <x v="1"/>
    <x v="1"/>
    <n v="12"/>
    <x v="2"/>
    <x v="2"/>
    <m/>
  </r>
  <r>
    <n v="3534"/>
    <n v="50"/>
    <s v="Female"/>
    <x v="4"/>
    <x v="1"/>
    <n v="98"/>
    <s v="Texas"/>
    <x v="0"/>
    <x v="22"/>
    <x v="3"/>
    <x v="15"/>
    <x v="1"/>
    <x v="1"/>
    <n v="30"/>
    <x v="0"/>
    <x v="0"/>
    <m/>
  </r>
  <r>
    <n v="3535"/>
    <n v="65"/>
    <s v="Female"/>
    <x v="9"/>
    <x v="1"/>
    <n v="83"/>
    <s v="Delaware"/>
    <x v="2"/>
    <x v="0"/>
    <x v="3"/>
    <x v="20"/>
    <x v="1"/>
    <x v="1"/>
    <n v="7"/>
    <x v="1"/>
    <x v="1"/>
    <m/>
  </r>
  <r>
    <n v="3536"/>
    <n v="68"/>
    <s v="Female"/>
    <x v="6"/>
    <x v="0"/>
    <n v="51"/>
    <s v="Mississippi"/>
    <x v="2"/>
    <x v="16"/>
    <x v="2"/>
    <x v="11"/>
    <x v="1"/>
    <x v="1"/>
    <n v="20"/>
    <x v="5"/>
    <x v="5"/>
    <m/>
  </r>
  <r>
    <n v="3537"/>
    <n v="55"/>
    <s v="Female"/>
    <x v="8"/>
    <x v="3"/>
    <n v="21"/>
    <s v="Minnesota"/>
    <x v="0"/>
    <x v="15"/>
    <x v="1"/>
    <x v="21"/>
    <x v="1"/>
    <x v="1"/>
    <n v="10"/>
    <x v="0"/>
    <x v="5"/>
    <m/>
  </r>
  <r>
    <n v="3538"/>
    <n v="57"/>
    <s v="Female"/>
    <x v="8"/>
    <x v="3"/>
    <n v="92"/>
    <s v="Georgia"/>
    <x v="2"/>
    <x v="0"/>
    <x v="1"/>
    <x v="22"/>
    <x v="1"/>
    <x v="1"/>
    <n v="40"/>
    <x v="2"/>
    <x v="6"/>
    <m/>
  </r>
  <r>
    <n v="3539"/>
    <n v="56"/>
    <s v="Female"/>
    <x v="9"/>
    <x v="1"/>
    <n v="63"/>
    <s v="Iowa"/>
    <x v="1"/>
    <x v="3"/>
    <x v="1"/>
    <x v="21"/>
    <x v="1"/>
    <x v="1"/>
    <n v="21"/>
    <x v="0"/>
    <x v="5"/>
    <m/>
  </r>
  <r>
    <n v="3540"/>
    <n v="29"/>
    <s v="Female"/>
    <x v="16"/>
    <x v="3"/>
    <n v="56"/>
    <s v="New York"/>
    <x v="1"/>
    <x v="14"/>
    <x v="1"/>
    <x v="20"/>
    <x v="1"/>
    <x v="1"/>
    <n v="17"/>
    <x v="2"/>
    <x v="4"/>
    <m/>
  </r>
  <r>
    <n v="3541"/>
    <n v="24"/>
    <s v="Female"/>
    <x v="6"/>
    <x v="0"/>
    <n v="95"/>
    <s v="Nevada"/>
    <x v="2"/>
    <x v="23"/>
    <x v="1"/>
    <x v="7"/>
    <x v="1"/>
    <x v="1"/>
    <n v="5"/>
    <x v="4"/>
    <x v="1"/>
    <m/>
  </r>
  <r>
    <n v="3542"/>
    <n v="59"/>
    <s v="Female"/>
    <x v="0"/>
    <x v="0"/>
    <n v="66"/>
    <s v="Virginia"/>
    <x v="2"/>
    <x v="8"/>
    <x v="0"/>
    <x v="8"/>
    <x v="1"/>
    <x v="1"/>
    <n v="22"/>
    <x v="3"/>
    <x v="2"/>
    <m/>
  </r>
  <r>
    <n v="3543"/>
    <n v="62"/>
    <s v="Female"/>
    <x v="7"/>
    <x v="2"/>
    <n v="28"/>
    <s v="Idaho"/>
    <x v="1"/>
    <x v="8"/>
    <x v="1"/>
    <x v="13"/>
    <x v="1"/>
    <x v="1"/>
    <n v="5"/>
    <x v="0"/>
    <x v="1"/>
    <m/>
  </r>
  <r>
    <n v="3544"/>
    <n v="58"/>
    <s v="Female"/>
    <x v="19"/>
    <x v="3"/>
    <n v="83"/>
    <s v="Colorado"/>
    <x v="2"/>
    <x v="24"/>
    <x v="0"/>
    <x v="18"/>
    <x v="1"/>
    <x v="1"/>
    <n v="18"/>
    <x v="3"/>
    <x v="6"/>
    <m/>
  </r>
  <r>
    <n v="3545"/>
    <n v="64"/>
    <s v="Female"/>
    <x v="20"/>
    <x v="0"/>
    <n v="55"/>
    <s v="Wisconsin"/>
    <x v="3"/>
    <x v="4"/>
    <x v="3"/>
    <x v="2"/>
    <x v="1"/>
    <x v="1"/>
    <n v="42"/>
    <x v="1"/>
    <x v="6"/>
    <m/>
  </r>
  <r>
    <n v="3546"/>
    <n v="48"/>
    <s v="Female"/>
    <x v="3"/>
    <x v="1"/>
    <n v="28"/>
    <s v="Connecticut"/>
    <x v="2"/>
    <x v="22"/>
    <x v="1"/>
    <x v="5"/>
    <x v="1"/>
    <x v="1"/>
    <n v="22"/>
    <x v="5"/>
    <x v="2"/>
    <m/>
  </r>
  <r>
    <n v="3547"/>
    <n v="60"/>
    <s v="Female"/>
    <x v="18"/>
    <x v="3"/>
    <n v="79"/>
    <s v="Kansas"/>
    <x v="2"/>
    <x v="10"/>
    <x v="2"/>
    <x v="2"/>
    <x v="1"/>
    <x v="1"/>
    <n v="37"/>
    <x v="4"/>
    <x v="4"/>
    <m/>
  </r>
  <r>
    <n v="3548"/>
    <n v="52"/>
    <s v="Female"/>
    <x v="18"/>
    <x v="3"/>
    <n v="31"/>
    <s v="Pennsylvania"/>
    <x v="0"/>
    <x v="23"/>
    <x v="2"/>
    <x v="1"/>
    <x v="1"/>
    <x v="1"/>
    <n v="23"/>
    <x v="2"/>
    <x v="2"/>
    <m/>
  </r>
  <r>
    <n v="3549"/>
    <n v="63"/>
    <s v="Female"/>
    <x v="0"/>
    <x v="0"/>
    <n v="37"/>
    <s v="Utah"/>
    <x v="2"/>
    <x v="16"/>
    <x v="3"/>
    <x v="23"/>
    <x v="1"/>
    <x v="1"/>
    <n v="47"/>
    <x v="5"/>
    <x v="0"/>
    <m/>
  </r>
  <r>
    <n v="3550"/>
    <n v="44"/>
    <s v="Female"/>
    <x v="17"/>
    <x v="0"/>
    <n v="34"/>
    <s v="Oregon"/>
    <x v="2"/>
    <x v="17"/>
    <x v="2"/>
    <x v="10"/>
    <x v="1"/>
    <x v="1"/>
    <n v="11"/>
    <x v="4"/>
    <x v="0"/>
    <m/>
  </r>
  <r>
    <n v="3551"/>
    <n v="63"/>
    <s v="Female"/>
    <x v="9"/>
    <x v="1"/>
    <n v="74"/>
    <s v="West Virginia"/>
    <x v="1"/>
    <x v="20"/>
    <x v="0"/>
    <x v="3"/>
    <x v="1"/>
    <x v="1"/>
    <n v="32"/>
    <x v="1"/>
    <x v="1"/>
    <m/>
  </r>
  <r>
    <n v="3552"/>
    <n v="66"/>
    <s v="Female"/>
    <x v="24"/>
    <x v="3"/>
    <n v="31"/>
    <s v="Montana"/>
    <x v="0"/>
    <x v="13"/>
    <x v="1"/>
    <x v="4"/>
    <x v="1"/>
    <x v="1"/>
    <n v="20"/>
    <x v="0"/>
    <x v="1"/>
    <m/>
  </r>
  <r>
    <n v="3553"/>
    <n v="22"/>
    <s v="Female"/>
    <x v="12"/>
    <x v="3"/>
    <n v="66"/>
    <s v="Kentucky"/>
    <x v="2"/>
    <x v="24"/>
    <x v="0"/>
    <x v="25"/>
    <x v="1"/>
    <x v="1"/>
    <n v="3"/>
    <x v="3"/>
    <x v="3"/>
    <m/>
  </r>
  <r>
    <n v="3554"/>
    <n v="62"/>
    <s v="Female"/>
    <x v="9"/>
    <x v="1"/>
    <n v="99"/>
    <s v="Minnesota"/>
    <x v="2"/>
    <x v="4"/>
    <x v="1"/>
    <x v="17"/>
    <x v="1"/>
    <x v="1"/>
    <n v="32"/>
    <x v="4"/>
    <x v="1"/>
    <m/>
  </r>
  <r>
    <n v="3555"/>
    <n v="39"/>
    <s v="Female"/>
    <x v="10"/>
    <x v="0"/>
    <n v="55"/>
    <s v="Louisiana"/>
    <x v="2"/>
    <x v="21"/>
    <x v="1"/>
    <x v="11"/>
    <x v="1"/>
    <x v="1"/>
    <n v="5"/>
    <x v="2"/>
    <x v="0"/>
    <m/>
  </r>
  <r>
    <n v="3556"/>
    <n v="25"/>
    <s v="Female"/>
    <x v="0"/>
    <x v="0"/>
    <n v="23"/>
    <s v="Delaware"/>
    <x v="0"/>
    <x v="5"/>
    <x v="1"/>
    <x v="7"/>
    <x v="1"/>
    <x v="1"/>
    <n v="45"/>
    <x v="1"/>
    <x v="3"/>
    <m/>
  </r>
  <r>
    <n v="3557"/>
    <n v="70"/>
    <s v="Female"/>
    <x v="1"/>
    <x v="0"/>
    <n v="88"/>
    <s v="Arizona"/>
    <x v="2"/>
    <x v="18"/>
    <x v="3"/>
    <x v="13"/>
    <x v="1"/>
    <x v="1"/>
    <n v="43"/>
    <x v="1"/>
    <x v="4"/>
    <m/>
  </r>
  <r>
    <n v="3558"/>
    <n v="52"/>
    <s v="Female"/>
    <x v="14"/>
    <x v="2"/>
    <n v="26"/>
    <s v="Nevada"/>
    <x v="2"/>
    <x v="15"/>
    <x v="2"/>
    <x v="17"/>
    <x v="1"/>
    <x v="1"/>
    <n v="1"/>
    <x v="3"/>
    <x v="6"/>
    <m/>
  </r>
  <r>
    <n v="3559"/>
    <n v="68"/>
    <s v="Female"/>
    <x v="21"/>
    <x v="3"/>
    <n v="94"/>
    <s v="Alaska"/>
    <x v="0"/>
    <x v="23"/>
    <x v="2"/>
    <x v="3"/>
    <x v="1"/>
    <x v="1"/>
    <n v="9"/>
    <x v="0"/>
    <x v="3"/>
    <m/>
  </r>
  <r>
    <n v="3560"/>
    <n v="18"/>
    <s v="Female"/>
    <x v="6"/>
    <x v="0"/>
    <n v="25"/>
    <s v="Utah"/>
    <x v="2"/>
    <x v="19"/>
    <x v="3"/>
    <x v="23"/>
    <x v="1"/>
    <x v="1"/>
    <n v="13"/>
    <x v="0"/>
    <x v="6"/>
    <m/>
  </r>
  <r>
    <n v="3561"/>
    <n v="18"/>
    <s v="Female"/>
    <x v="20"/>
    <x v="0"/>
    <n v="96"/>
    <s v="Kansas"/>
    <x v="3"/>
    <x v="10"/>
    <x v="3"/>
    <x v="22"/>
    <x v="1"/>
    <x v="1"/>
    <n v="5"/>
    <x v="2"/>
    <x v="2"/>
    <m/>
  </r>
  <r>
    <n v="3562"/>
    <n v="63"/>
    <s v="Female"/>
    <x v="4"/>
    <x v="1"/>
    <n v="29"/>
    <s v="North Carolina"/>
    <x v="0"/>
    <x v="13"/>
    <x v="1"/>
    <x v="10"/>
    <x v="1"/>
    <x v="1"/>
    <n v="39"/>
    <x v="2"/>
    <x v="0"/>
    <m/>
  </r>
  <r>
    <n v="3563"/>
    <n v="47"/>
    <s v="Female"/>
    <x v="4"/>
    <x v="1"/>
    <n v="36"/>
    <s v="Maryland"/>
    <x v="2"/>
    <x v="17"/>
    <x v="0"/>
    <x v="10"/>
    <x v="1"/>
    <x v="1"/>
    <n v="7"/>
    <x v="4"/>
    <x v="1"/>
    <m/>
  </r>
  <r>
    <n v="3564"/>
    <n v="43"/>
    <s v="Female"/>
    <x v="0"/>
    <x v="0"/>
    <n v="90"/>
    <s v="Maine"/>
    <x v="2"/>
    <x v="14"/>
    <x v="2"/>
    <x v="17"/>
    <x v="1"/>
    <x v="1"/>
    <n v="8"/>
    <x v="2"/>
    <x v="6"/>
    <m/>
  </r>
  <r>
    <n v="3565"/>
    <n v="60"/>
    <s v="Female"/>
    <x v="24"/>
    <x v="3"/>
    <n v="38"/>
    <s v="Illinois"/>
    <x v="1"/>
    <x v="18"/>
    <x v="2"/>
    <x v="9"/>
    <x v="1"/>
    <x v="1"/>
    <n v="40"/>
    <x v="0"/>
    <x v="2"/>
    <m/>
  </r>
  <r>
    <n v="3566"/>
    <n v="49"/>
    <s v="Female"/>
    <x v="8"/>
    <x v="3"/>
    <n v="52"/>
    <s v="Pennsylvania"/>
    <x v="1"/>
    <x v="0"/>
    <x v="1"/>
    <x v="13"/>
    <x v="1"/>
    <x v="1"/>
    <n v="35"/>
    <x v="3"/>
    <x v="5"/>
    <m/>
  </r>
  <r>
    <n v="3567"/>
    <n v="28"/>
    <s v="Female"/>
    <x v="2"/>
    <x v="0"/>
    <n v="88"/>
    <s v="Alaska"/>
    <x v="1"/>
    <x v="20"/>
    <x v="1"/>
    <x v="0"/>
    <x v="1"/>
    <x v="1"/>
    <n v="14"/>
    <x v="0"/>
    <x v="5"/>
    <m/>
  </r>
  <r>
    <n v="3568"/>
    <n v="32"/>
    <s v="Female"/>
    <x v="18"/>
    <x v="3"/>
    <n v="56"/>
    <s v="New Mexico"/>
    <x v="1"/>
    <x v="5"/>
    <x v="2"/>
    <x v="8"/>
    <x v="1"/>
    <x v="1"/>
    <n v="26"/>
    <x v="2"/>
    <x v="5"/>
    <m/>
  </r>
  <r>
    <n v="3569"/>
    <n v="29"/>
    <s v="Female"/>
    <x v="3"/>
    <x v="1"/>
    <n v="71"/>
    <s v="Arkansas"/>
    <x v="2"/>
    <x v="7"/>
    <x v="1"/>
    <x v="3"/>
    <x v="1"/>
    <x v="1"/>
    <n v="14"/>
    <x v="3"/>
    <x v="3"/>
    <m/>
  </r>
  <r>
    <n v="3570"/>
    <n v="35"/>
    <s v="Female"/>
    <x v="3"/>
    <x v="1"/>
    <n v="94"/>
    <s v="Alaska"/>
    <x v="2"/>
    <x v="8"/>
    <x v="3"/>
    <x v="19"/>
    <x v="1"/>
    <x v="1"/>
    <n v="9"/>
    <x v="4"/>
    <x v="0"/>
    <m/>
  </r>
  <r>
    <n v="3571"/>
    <n v="23"/>
    <s v="Female"/>
    <x v="10"/>
    <x v="0"/>
    <n v="97"/>
    <s v="Louisiana"/>
    <x v="3"/>
    <x v="11"/>
    <x v="0"/>
    <x v="15"/>
    <x v="1"/>
    <x v="1"/>
    <n v="32"/>
    <x v="5"/>
    <x v="2"/>
    <m/>
  </r>
  <r>
    <n v="3572"/>
    <n v="70"/>
    <s v="Female"/>
    <x v="11"/>
    <x v="0"/>
    <n v="27"/>
    <s v="North Dakota"/>
    <x v="2"/>
    <x v="3"/>
    <x v="2"/>
    <x v="20"/>
    <x v="1"/>
    <x v="1"/>
    <n v="15"/>
    <x v="4"/>
    <x v="6"/>
    <m/>
  </r>
  <r>
    <n v="3573"/>
    <n v="23"/>
    <s v="Female"/>
    <x v="6"/>
    <x v="0"/>
    <n v="28"/>
    <s v="Rhode Island"/>
    <x v="2"/>
    <x v="13"/>
    <x v="1"/>
    <x v="11"/>
    <x v="1"/>
    <x v="1"/>
    <n v="25"/>
    <x v="2"/>
    <x v="5"/>
    <m/>
  </r>
  <r>
    <n v="3574"/>
    <n v="43"/>
    <s v="Female"/>
    <x v="2"/>
    <x v="0"/>
    <n v="67"/>
    <s v="Connecticut"/>
    <x v="0"/>
    <x v="1"/>
    <x v="3"/>
    <x v="17"/>
    <x v="1"/>
    <x v="1"/>
    <n v="27"/>
    <x v="3"/>
    <x v="5"/>
    <m/>
  </r>
  <r>
    <n v="3575"/>
    <n v="29"/>
    <s v="Female"/>
    <x v="20"/>
    <x v="0"/>
    <n v="70"/>
    <s v="New York"/>
    <x v="2"/>
    <x v="17"/>
    <x v="3"/>
    <x v="17"/>
    <x v="1"/>
    <x v="1"/>
    <n v="39"/>
    <x v="4"/>
    <x v="3"/>
    <m/>
  </r>
  <r>
    <n v="3576"/>
    <n v="61"/>
    <s v="Female"/>
    <x v="7"/>
    <x v="2"/>
    <n v="95"/>
    <s v="Kentucky"/>
    <x v="2"/>
    <x v="10"/>
    <x v="3"/>
    <x v="5"/>
    <x v="1"/>
    <x v="1"/>
    <n v="49"/>
    <x v="0"/>
    <x v="4"/>
    <m/>
  </r>
  <r>
    <n v="3577"/>
    <n v="29"/>
    <s v="Female"/>
    <x v="23"/>
    <x v="1"/>
    <n v="24"/>
    <s v="Maine"/>
    <x v="0"/>
    <x v="22"/>
    <x v="1"/>
    <x v="23"/>
    <x v="1"/>
    <x v="1"/>
    <n v="12"/>
    <x v="0"/>
    <x v="4"/>
    <m/>
  </r>
  <r>
    <n v="3578"/>
    <n v="66"/>
    <s v="Female"/>
    <x v="22"/>
    <x v="3"/>
    <n v="35"/>
    <s v="Missouri"/>
    <x v="1"/>
    <x v="22"/>
    <x v="0"/>
    <x v="4"/>
    <x v="1"/>
    <x v="1"/>
    <n v="13"/>
    <x v="4"/>
    <x v="1"/>
    <m/>
  </r>
  <r>
    <n v="3579"/>
    <n v="46"/>
    <s v="Female"/>
    <x v="9"/>
    <x v="1"/>
    <n v="22"/>
    <s v="Georgia"/>
    <x v="0"/>
    <x v="8"/>
    <x v="0"/>
    <x v="4"/>
    <x v="1"/>
    <x v="1"/>
    <n v="22"/>
    <x v="4"/>
    <x v="3"/>
    <m/>
  </r>
  <r>
    <n v="3580"/>
    <n v="34"/>
    <s v="Female"/>
    <x v="18"/>
    <x v="3"/>
    <n v="66"/>
    <s v="Arizona"/>
    <x v="0"/>
    <x v="8"/>
    <x v="3"/>
    <x v="3"/>
    <x v="1"/>
    <x v="1"/>
    <n v="19"/>
    <x v="2"/>
    <x v="6"/>
    <m/>
  </r>
  <r>
    <n v="3581"/>
    <n v="51"/>
    <s v="Female"/>
    <x v="0"/>
    <x v="0"/>
    <n v="83"/>
    <s v="New Hampshire"/>
    <x v="2"/>
    <x v="23"/>
    <x v="2"/>
    <x v="20"/>
    <x v="1"/>
    <x v="1"/>
    <n v="3"/>
    <x v="1"/>
    <x v="4"/>
    <m/>
  </r>
  <r>
    <n v="3582"/>
    <n v="26"/>
    <s v="Female"/>
    <x v="10"/>
    <x v="0"/>
    <n v="95"/>
    <s v="Georgia"/>
    <x v="2"/>
    <x v="20"/>
    <x v="3"/>
    <x v="17"/>
    <x v="1"/>
    <x v="1"/>
    <n v="50"/>
    <x v="2"/>
    <x v="1"/>
    <m/>
  </r>
  <r>
    <n v="3583"/>
    <n v="23"/>
    <s v="Female"/>
    <x v="6"/>
    <x v="0"/>
    <n v="41"/>
    <s v="California"/>
    <x v="1"/>
    <x v="19"/>
    <x v="2"/>
    <x v="10"/>
    <x v="1"/>
    <x v="1"/>
    <n v="15"/>
    <x v="3"/>
    <x v="2"/>
    <m/>
  </r>
  <r>
    <n v="3584"/>
    <n v="52"/>
    <s v="Female"/>
    <x v="0"/>
    <x v="0"/>
    <n v="77"/>
    <s v="Arizona"/>
    <x v="0"/>
    <x v="18"/>
    <x v="2"/>
    <x v="6"/>
    <x v="1"/>
    <x v="1"/>
    <n v="44"/>
    <x v="2"/>
    <x v="6"/>
    <m/>
  </r>
  <r>
    <n v="3585"/>
    <n v="39"/>
    <s v="Female"/>
    <x v="4"/>
    <x v="1"/>
    <n v="52"/>
    <s v="Florida"/>
    <x v="0"/>
    <x v="21"/>
    <x v="3"/>
    <x v="3"/>
    <x v="1"/>
    <x v="1"/>
    <n v="48"/>
    <x v="5"/>
    <x v="5"/>
    <m/>
  </r>
  <r>
    <n v="3586"/>
    <n v="39"/>
    <s v="Female"/>
    <x v="24"/>
    <x v="3"/>
    <n v="41"/>
    <s v="New York"/>
    <x v="3"/>
    <x v="0"/>
    <x v="0"/>
    <x v="18"/>
    <x v="1"/>
    <x v="1"/>
    <n v="4"/>
    <x v="0"/>
    <x v="4"/>
    <m/>
  </r>
  <r>
    <n v="3587"/>
    <n v="33"/>
    <s v="Female"/>
    <x v="15"/>
    <x v="0"/>
    <n v="28"/>
    <s v="Idaho"/>
    <x v="2"/>
    <x v="22"/>
    <x v="0"/>
    <x v="7"/>
    <x v="1"/>
    <x v="1"/>
    <n v="12"/>
    <x v="3"/>
    <x v="4"/>
    <m/>
  </r>
  <r>
    <n v="3588"/>
    <n v="33"/>
    <s v="Female"/>
    <x v="1"/>
    <x v="0"/>
    <n v="90"/>
    <s v="Virginia"/>
    <x v="1"/>
    <x v="10"/>
    <x v="2"/>
    <x v="9"/>
    <x v="1"/>
    <x v="1"/>
    <n v="33"/>
    <x v="5"/>
    <x v="2"/>
    <m/>
  </r>
  <r>
    <n v="3589"/>
    <n v="23"/>
    <s v="Female"/>
    <x v="12"/>
    <x v="3"/>
    <n v="55"/>
    <s v="Michigan"/>
    <x v="2"/>
    <x v="23"/>
    <x v="1"/>
    <x v="22"/>
    <x v="1"/>
    <x v="1"/>
    <n v="40"/>
    <x v="1"/>
    <x v="2"/>
    <m/>
  </r>
  <r>
    <n v="3590"/>
    <n v="31"/>
    <s v="Female"/>
    <x v="22"/>
    <x v="3"/>
    <n v="73"/>
    <s v="New Hampshire"/>
    <x v="2"/>
    <x v="24"/>
    <x v="1"/>
    <x v="3"/>
    <x v="1"/>
    <x v="1"/>
    <n v="38"/>
    <x v="1"/>
    <x v="6"/>
    <m/>
  </r>
  <r>
    <n v="3591"/>
    <n v="27"/>
    <s v="Female"/>
    <x v="10"/>
    <x v="0"/>
    <n v="87"/>
    <s v="South Dakota"/>
    <x v="2"/>
    <x v="0"/>
    <x v="3"/>
    <x v="25"/>
    <x v="1"/>
    <x v="1"/>
    <n v="19"/>
    <x v="0"/>
    <x v="6"/>
    <m/>
  </r>
  <r>
    <n v="3592"/>
    <n v="48"/>
    <s v="Female"/>
    <x v="14"/>
    <x v="2"/>
    <n v="89"/>
    <s v="South Dakota"/>
    <x v="2"/>
    <x v="9"/>
    <x v="0"/>
    <x v="20"/>
    <x v="1"/>
    <x v="1"/>
    <n v="38"/>
    <x v="4"/>
    <x v="3"/>
    <m/>
  </r>
  <r>
    <n v="3593"/>
    <n v="61"/>
    <s v="Female"/>
    <x v="23"/>
    <x v="1"/>
    <n v="82"/>
    <s v="New Jersey"/>
    <x v="0"/>
    <x v="12"/>
    <x v="1"/>
    <x v="9"/>
    <x v="1"/>
    <x v="1"/>
    <n v="18"/>
    <x v="0"/>
    <x v="0"/>
    <m/>
  </r>
  <r>
    <n v="3594"/>
    <n v="63"/>
    <s v="Female"/>
    <x v="3"/>
    <x v="1"/>
    <n v="80"/>
    <s v="Wyoming"/>
    <x v="2"/>
    <x v="13"/>
    <x v="1"/>
    <x v="7"/>
    <x v="1"/>
    <x v="1"/>
    <n v="24"/>
    <x v="3"/>
    <x v="5"/>
    <m/>
  </r>
  <r>
    <n v="3595"/>
    <n v="19"/>
    <s v="Female"/>
    <x v="18"/>
    <x v="3"/>
    <n v="87"/>
    <s v="Alabama"/>
    <x v="0"/>
    <x v="4"/>
    <x v="2"/>
    <x v="4"/>
    <x v="1"/>
    <x v="1"/>
    <n v="29"/>
    <x v="0"/>
    <x v="3"/>
    <m/>
  </r>
  <r>
    <n v="3596"/>
    <n v="21"/>
    <s v="Female"/>
    <x v="0"/>
    <x v="0"/>
    <n v="41"/>
    <s v="South Dakota"/>
    <x v="2"/>
    <x v="10"/>
    <x v="1"/>
    <x v="0"/>
    <x v="1"/>
    <x v="1"/>
    <n v="14"/>
    <x v="3"/>
    <x v="2"/>
    <m/>
  </r>
  <r>
    <n v="3597"/>
    <n v="28"/>
    <s v="Female"/>
    <x v="15"/>
    <x v="0"/>
    <n v="83"/>
    <s v="South Carolina"/>
    <x v="2"/>
    <x v="4"/>
    <x v="1"/>
    <x v="12"/>
    <x v="1"/>
    <x v="1"/>
    <n v="44"/>
    <x v="1"/>
    <x v="0"/>
    <m/>
  </r>
  <r>
    <n v="3598"/>
    <n v="29"/>
    <s v="Female"/>
    <x v="12"/>
    <x v="3"/>
    <n v="71"/>
    <s v="New Mexico"/>
    <x v="2"/>
    <x v="1"/>
    <x v="2"/>
    <x v="0"/>
    <x v="1"/>
    <x v="1"/>
    <n v="18"/>
    <x v="4"/>
    <x v="3"/>
    <m/>
  </r>
  <r>
    <n v="3599"/>
    <n v="23"/>
    <s v="Female"/>
    <x v="15"/>
    <x v="0"/>
    <n v="76"/>
    <s v="Connecticut"/>
    <x v="3"/>
    <x v="7"/>
    <x v="1"/>
    <x v="7"/>
    <x v="1"/>
    <x v="1"/>
    <n v="19"/>
    <x v="4"/>
    <x v="4"/>
    <m/>
  </r>
  <r>
    <n v="3600"/>
    <n v="37"/>
    <s v="Female"/>
    <x v="18"/>
    <x v="3"/>
    <n v="34"/>
    <s v="Kansas"/>
    <x v="1"/>
    <x v="15"/>
    <x v="1"/>
    <x v="7"/>
    <x v="1"/>
    <x v="1"/>
    <n v="4"/>
    <x v="1"/>
    <x v="1"/>
    <m/>
  </r>
  <r>
    <n v="3601"/>
    <n v="67"/>
    <s v="Female"/>
    <x v="10"/>
    <x v="0"/>
    <n v="81"/>
    <s v="South Carolina"/>
    <x v="3"/>
    <x v="8"/>
    <x v="1"/>
    <x v="6"/>
    <x v="1"/>
    <x v="1"/>
    <n v="25"/>
    <x v="1"/>
    <x v="4"/>
    <m/>
  </r>
  <r>
    <n v="3602"/>
    <n v="34"/>
    <s v="Female"/>
    <x v="17"/>
    <x v="0"/>
    <n v="47"/>
    <s v="North Carolina"/>
    <x v="2"/>
    <x v="21"/>
    <x v="2"/>
    <x v="23"/>
    <x v="1"/>
    <x v="1"/>
    <n v="3"/>
    <x v="3"/>
    <x v="5"/>
    <m/>
  </r>
  <r>
    <n v="3603"/>
    <n v="58"/>
    <s v="Female"/>
    <x v="11"/>
    <x v="0"/>
    <n v="36"/>
    <s v="Wyoming"/>
    <x v="1"/>
    <x v="23"/>
    <x v="2"/>
    <x v="19"/>
    <x v="1"/>
    <x v="1"/>
    <n v="40"/>
    <x v="5"/>
    <x v="3"/>
    <m/>
  </r>
  <r>
    <n v="3604"/>
    <n v="45"/>
    <s v="Female"/>
    <x v="2"/>
    <x v="0"/>
    <n v="51"/>
    <s v="Louisiana"/>
    <x v="2"/>
    <x v="9"/>
    <x v="1"/>
    <x v="6"/>
    <x v="1"/>
    <x v="1"/>
    <n v="5"/>
    <x v="1"/>
    <x v="1"/>
    <m/>
  </r>
  <r>
    <n v="3605"/>
    <n v="63"/>
    <s v="Female"/>
    <x v="15"/>
    <x v="0"/>
    <n v="86"/>
    <s v="Louisiana"/>
    <x v="2"/>
    <x v="20"/>
    <x v="3"/>
    <x v="19"/>
    <x v="1"/>
    <x v="1"/>
    <n v="17"/>
    <x v="5"/>
    <x v="2"/>
    <m/>
  </r>
  <r>
    <n v="3606"/>
    <n v="68"/>
    <s v="Female"/>
    <x v="2"/>
    <x v="0"/>
    <n v="41"/>
    <s v="Alabama"/>
    <x v="2"/>
    <x v="9"/>
    <x v="3"/>
    <x v="12"/>
    <x v="1"/>
    <x v="1"/>
    <n v="36"/>
    <x v="4"/>
    <x v="6"/>
    <m/>
  </r>
  <r>
    <n v="3607"/>
    <n v="41"/>
    <s v="Female"/>
    <x v="3"/>
    <x v="1"/>
    <n v="90"/>
    <s v="Minnesota"/>
    <x v="3"/>
    <x v="7"/>
    <x v="3"/>
    <x v="3"/>
    <x v="1"/>
    <x v="1"/>
    <n v="41"/>
    <x v="0"/>
    <x v="2"/>
    <m/>
  </r>
  <r>
    <n v="3608"/>
    <n v="50"/>
    <s v="Female"/>
    <x v="19"/>
    <x v="3"/>
    <n v="93"/>
    <s v="New Mexico"/>
    <x v="0"/>
    <x v="4"/>
    <x v="3"/>
    <x v="19"/>
    <x v="1"/>
    <x v="1"/>
    <n v="20"/>
    <x v="0"/>
    <x v="4"/>
    <m/>
  </r>
  <r>
    <n v="3609"/>
    <n v="24"/>
    <s v="Female"/>
    <x v="24"/>
    <x v="3"/>
    <n v="56"/>
    <s v="Tennessee"/>
    <x v="2"/>
    <x v="17"/>
    <x v="3"/>
    <x v="12"/>
    <x v="1"/>
    <x v="1"/>
    <n v="2"/>
    <x v="1"/>
    <x v="6"/>
    <m/>
  </r>
  <r>
    <n v="3610"/>
    <n v="21"/>
    <s v="Female"/>
    <x v="20"/>
    <x v="0"/>
    <n v="39"/>
    <s v="New Mexico"/>
    <x v="2"/>
    <x v="17"/>
    <x v="2"/>
    <x v="23"/>
    <x v="1"/>
    <x v="1"/>
    <n v="31"/>
    <x v="5"/>
    <x v="5"/>
    <m/>
  </r>
  <r>
    <n v="3611"/>
    <n v="18"/>
    <s v="Female"/>
    <x v="14"/>
    <x v="2"/>
    <n v="86"/>
    <s v="Texas"/>
    <x v="3"/>
    <x v="14"/>
    <x v="3"/>
    <x v="3"/>
    <x v="1"/>
    <x v="1"/>
    <n v="23"/>
    <x v="4"/>
    <x v="0"/>
    <m/>
  </r>
  <r>
    <n v="3612"/>
    <n v="63"/>
    <s v="Female"/>
    <x v="17"/>
    <x v="0"/>
    <n v="82"/>
    <s v="Washington"/>
    <x v="2"/>
    <x v="5"/>
    <x v="1"/>
    <x v="25"/>
    <x v="1"/>
    <x v="1"/>
    <n v="30"/>
    <x v="2"/>
    <x v="2"/>
    <m/>
  </r>
  <r>
    <n v="3613"/>
    <n v="47"/>
    <s v="Female"/>
    <x v="3"/>
    <x v="1"/>
    <n v="29"/>
    <s v="Michigan"/>
    <x v="2"/>
    <x v="11"/>
    <x v="2"/>
    <x v="2"/>
    <x v="1"/>
    <x v="1"/>
    <n v="26"/>
    <x v="1"/>
    <x v="6"/>
    <m/>
  </r>
  <r>
    <n v="3614"/>
    <n v="58"/>
    <s v="Female"/>
    <x v="19"/>
    <x v="3"/>
    <n v="27"/>
    <s v="Minnesota"/>
    <x v="2"/>
    <x v="23"/>
    <x v="3"/>
    <x v="22"/>
    <x v="1"/>
    <x v="1"/>
    <n v="40"/>
    <x v="0"/>
    <x v="2"/>
    <m/>
  </r>
  <r>
    <n v="3615"/>
    <n v="46"/>
    <s v="Female"/>
    <x v="24"/>
    <x v="3"/>
    <n v="25"/>
    <s v="Delaware"/>
    <x v="0"/>
    <x v="1"/>
    <x v="1"/>
    <x v="15"/>
    <x v="1"/>
    <x v="1"/>
    <n v="19"/>
    <x v="4"/>
    <x v="2"/>
    <m/>
  </r>
  <r>
    <n v="3616"/>
    <n v="35"/>
    <s v="Female"/>
    <x v="10"/>
    <x v="0"/>
    <n v="31"/>
    <s v="California"/>
    <x v="2"/>
    <x v="9"/>
    <x v="0"/>
    <x v="9"/>
    <x v="1"/>
    <x v="1"/>
    <n v="4"/>
    <x v="2"/>
    <x v="5"/>
    <m/>
  </r>
  <r>
    <n v="3617"/>
    <n v="42"/>
    <s v="Female"/>
    <x v="15"/>
    <x v="0"/>
    <n v="23"/>
    <s v="Wisconsin"/>
    <x v="0"/>
    <x v="7"/>
    <x v="0"/>
    <x v="19"/>
    <x v="1"/>
    <x v="1"/>
    <n v="33"/>
    <x v="5"/>
    <x v="0"/>
    <m/>
  </r>
  <r>
    <n v="3618"/>
    <n v="48"/>
    <s v="Female"/>
    <x v="22"/>
    <x v="3"/>
    <n v="47"/>
    <s v="Kentucky"/>
    <x v="2"/>
    <x v="12"/>
    <x v="3"/>
    <x v="12"/>
    <x v="1"/>
    <x v="1"/>
    <n v="29"/>
    <x v="5"/>
    <x v="5"/>
    <m/>
  </r>
  <r>
    <n v="3619"/>
    <n v="28"/>
    <s v="Female"/>
    <x v="24"/>
    <x v="3"/>
    <n v="67"/>
    <s v="Nevada"/>
    <x v="2"/>
    <x v="1"/>
    <x v="3"/>
    <x v="8"/>
    <x v="1"/>
    <x v="1"/>
    <n v="47"/>
    <x v="3"/>
    <x v="4"/>
    <m/>
  </r>
  <r>
    <n v="3620"/>
    <n v="44"/>
    <s v="Female"/>
    <x v="18"/>
    <x v="3"/>
    <n v="75"/>
    <s v="North Carolina"/>
    <x v="1"/>
    <x v="23"/>
    <x v="0"/>
    <x v="17"/>
    <x v="1"/>
    <x v="1"/>
    <n v="50"/>
    <x v="0"/>
    <x v="1"/>
    <m/>
  </r>
  <r>
    <n v="3621"/>
    <n v="60"/>
    <s v="Female"/>
    <x v="3"/>
    <x v="1"/>
    <n v="82"/>
    <s v="Louisiana"/>
    <x v="2"/>
    <x v="2"/>
    <x v="2"/>
    <x v="25"/>
    <x v="1"/>
    <x v="1"/>
    <n v="28"/>
    <x v="2"/>
    <x v="0"/>
    <m/>
  </r>
  <r>
    <n v="3622"/>
    <n v="38"/>
    <s v="Female"/>
    <x v="4"/>
    <x v="1"/>
    <n v="32"/>
    <s v="New Jersey"/>
    <x v="3"/>
    <x v="5"/>
    <x v="2"/>
    <x v="8"/>
    <x v="1"/>
    <x v="1"/>
    <n v="5"/>
    <x v="1"/>
    <x v="0"/>
    <m/>
  </r>
  <r>
    <n v="3623"/>
    <n v="46"/>
    <s v="Female"/>
    <x v="10"/>
    <x v="0"/>
    <n v="41"/>
    <s v="Wisconsin"/>
    <x v="2"/>
    <x v="7"/>
    <x v="3"/>
    <x v="12"/>
    <x v="1"/>
    <x v="1"/>
    <n v="12"/>
    <x v="2"/>
    <x v="2"/>
    <m/>
  </r>
  <r>
    <n v="3624"/>
    <n v="39"/>
    <s v="Female"/>
    <x v="16"/>
    <x v="3"/>
    <n v="89"/>
    <s v="Arkansas"/>
    <x v="2"/>
    <x v="10"/>
    <x v="0"/>
    <x v="6"/>
    <x v="1"/>
    <x v="1"/>
    <n v="4"/>
    <x v="3"/>
    <x v="1"/>
    <m/>
  </r>
  <r>
    <n v="3625"/>
    <n v="22"/>
    <s v="Female"/>
    <x v="19"/>
    <x v="3"/>
    <n v="82"/>
    <s v="Texas"/>
    <x v="3"/>
    <x v="15"/>
    <x v="3"/>
    <x v="11"/>
    <x v="1"/>
    <x v="1"/>
    <n v="22"/>
    <x v="4"/>
    <x v="4"/>
    <m/>
  </r>
  <r>
    <n v="3626"/>
    <n v="44"/>
    <s v="Female"/>
    <x v="18"/>
    <x v="3"/>
    <n v="99"/>
    <s v="Illinois"/>
    <x v="0"/>
    <x v="14"/>
    <x v="0"/>
    <x v="9"/>
    <x v="1"/>
    <x v="1"/>
    <n v="32"/>
    <x v="3"/>
    <x v="1"/>
    <m/>
  </r>
  <r>
    <n v="3627"/>
    <n v="69"/>
    <s v="Female"/>
    <x v="0"/>
    <x v="0"/>
    <n v="98"/>
    <s v="Mississippi"/>
    <x v="0"/>
    <x v="11"/>
    <x v="3"/>
    <x v="22"/>
    <x v="1"/>
    <x v="1"/>
    <n v="32"/>
    <x v="0"/>
    <x v="3"/>
    <m/>
  </r>
  <r>
    <n v="3628"/>
    <n v="39"/>
    <s v="Female"/>
    <x v="22"/>
    <x v="3"/>
    <n v="54"/>
    <s v="Delaware"/>
    <x v="2"/>
    <x v="5"/>
    <x v="0"/>
    <x v="19"/>
    <x v="1"/>
    <x v="1"/>
    <n v="48"/>
    <x v="1"/>
    <x v="6"/>
    <m/>
  </r>
  <r>
    <n v="3629"/>
    <n v="53"/>
    <s v="Female"/>
    <x v="0"/>
    <x v="0"/>
    <n v="88"/>
    <s v="Georgia"/>
    <x v="0"/>
    <x v="7"/>
    <x v="2"/>
    <x v="1"/>
    <x v="1"/>
    <x v="1"/>
    <n v="35"/>
    <x v="2"/>
    <x v="5"/>
    <m/>
  </r>
  <r>
    <n v="3630"/>
    <n v="52"/>
    <s v="Female"/>
    <x v="17"/>
    <x v="0"/>
    <n v="43"/>
    <s v="Kansas"/>
    <x v="0"/>
    <x v="12"/>
    <x v="2"/>
    <x v="21"/>
    <x v="1"/>
    <x v="1"/>
    <n v="44"/>
    <x v="5"/>
    <x v="0"/>
    <m/>
  </r>
  <r>
    <n v="3631"/>
    <n v="65"/>
    <s v="Female"/>
    <x v="19"/>
    <x v="3"/>
    <n v="73"/>
    <s v="Oklahoma"/>
    <x v="2"/>
    <x v="12"/>
    <x v="0"/>
    <x v="3"/>
    <x v="1"/>
    <x v="1"/>
    <n v="29"/>
    <x v="1"/>
    <x v="1"/>
    <m/>
  </r>
  <r>
    <n v="3632"/>
    <n v="48"/>
    <s v="Female"/>
    <x v="19"/>
    <x v="3"/>
    <n v="50"/>
    <s v="New Jersey"/>
    <x v="2"/>
    <x v="15"/>
    <x v="3"/>
    <x v="25"/>
    <x v="1"/>
    <x v="1"/>
    <n v="26"/>
    <x v="2"/>
    <x v="5"/>
    <m/>
  </r>
  <r>
    <n v="3633"/>
    <n v="27"/>
    <s v="Female"/>
    <x v="4"/>
    <x v="1"/>
    <n v="73"/>
    <s v="Utah"/>
    <x v="0"/>
    <x v="14"/>
    <x v="1"/>
    <x v="20"/>
    <x v="1"/>
    <x v="1"/>
    <n v="3"/>
    <x v="5"/>
    <x v="3"/>
    <m/>
  </r>
  <r>
    <n v="3634"/>
    <n v="39"/>
    <s v="Female"/>
    <x v="24"/>
    <x v="3"/>
    <n v="51"/>
    <s v="Montana"/>
    <x v="2"/>
    <x v="20"/>
    <x v="1"/>
    <x v="24"/>
    <x v="1"/>
    <x v="1"/>
    <n v="1"/>
    <x v="4"/>
    <x v="4"/>
    <m/>
  </r>
  <r>
    <n v="3635"/>
    <n v="59"/>
    <s v="Female"/>
    <x v="20"/>
    <x v="0"/>
    <n v="22"/>
    <s v="Ohio"/>
    <x v="2"/>
    <x v="6"/>
    <x v="0"/>
    <x v="19"/>
    <x v="1"/>
    <x v="1"/>
    <n v="17"/>
    <x v="3"/>
    <x v="2"/>
    <m/>
  </r>
  <r>
    <n v="3636"/>
    <n v="52"/>
    <s v="Female"/>
    <x v="3"/>
    <x v="1"/>
    <n v="32"/>
    <s v="Colorado"/>
    <x v="0"/>
    <x v="17"/>
    <x v="3"/>
    <x v="19"/>
    <x v="1"/>
    <x v="1"/>
    <n v="17"/>
    <x v="2"/>
    <x v="0"/>
    <m/>
  </r>
  <r>
    <n v="3637"/>
    <n v="50"/>
    <s v="Female"/>
    <x v="3"/>
    <x v="1"/>
    <n v="38"/>
    <s v="California"/>
    <x v="0"/>
    <x v="12"/>
    <x v="2"/>
    <x v="13"/>
    <x v="1"/>
    <x v="1"/>
    <n v="36"/>
    <x v="1"/>
    <x v="1"/>
    <m/>
  </r>
  <r>
    <n v="3638"/>
    <n v="32"/>
    <s v="Female"/>
    <x v="23"/>
    <x v="1"/>
    <n v="66"/>
    <s v="Utah"/>
    <x v="0"/>
    <x v="22"/>
    <x v="0"/>
    <x v="2"/>
    <x v="1"/>
    <x v="1"/>
    <n v="32"/>
    <x v="2"/>
    <x v="0"/>
    <m/>
  </r>
  <r>
    <n v="3639"/>
    <n v="40"/>
    <s v="Female"/>
    <x v="21"/>
    <x v="3"/>
    <n v="20"/>
    <s v="Kansas"/>
    <x v="2"/>
    <x v="8"/>
    <x v="1"/>
    <x v="7"/>
    <x v="1"/>
    <x v="1"/>
    <n v="50"/>
    <x v="3"/>
    <x v="4"/>
    <m/>
  </r>
  <r>
    <n v="3640"/>
    <n v="26"/>
    <s v="Female"/>
    <x v="7"/>
    <x v="2"/>
    <n v="44"/>
    <s v="Illinois"/>
    <x v="2"/>
    <x v="18"/>
    <x v="2"/>
    <x v="2"/>
    <x v="1"/>
    <x v="1"/>
    <n v="39"/>
    <x v="0"/>
    <x v="2"/>
    <m/>
  </r>
  <r>
    <n v="3641"/>
    <n v="47"/>
    <s v="Female"/>
    <x v="12"/>
    <x v="3"/>
    <n v="31"/>
    <s v="Minnesota"/>
    <x v="0"/>
    <x v="6"/>
    <x v="1"/>
    <x v="8"/>
    <x v="1"/>
    <x v="1"/>
    <n v="17"/>
    <x v="3"/>
    <x v="5"/>
    <m/>
  </r>
  <r>
    <n v="3642"/>
    <n v="51"/>
    <s v="Female"/>
    <x v="14"/>
    <x v="2"/>
    <n v="45"/>
    <s v="New York"/>
    <x v="2"/>
    <x v="17"/>
    <x v="3"/>
    <x v="6"/>
    <x v="1"/>
    <x v="1"/>
    <n v="39"/>
    <x v="4"/>
    <x v="6"/>
    <m/>
  </r>
  <r>
    <n v="3643"/>
    <n v="47"/>
    <s v="Female"/>
    <x v="10"/>
    <x v="0"/>
    <n v="71"/>
    <s v="Arizona"/>
    <x v="0"/>
    <x v="1"/>
    <x v="2"/>
    <x v="9"/>
    <x v="1"/>
    <x v="1"/>
    <n v="5"/>
    <x v="3"/>
    <x v="2"/>
    <m/>
  </r>
  <r>
    <n v="3644"/>
    <n v="53"/>
    <s v="Female"/>
    <x v="18"/>
    <x v="3"/>
    <n v="96"/>
    <s v="Tennessee"/>
    <x v="3"/>
    <x v="23"/>
    <x v="3"/>
    <x v="20"/>
    <x v="1"/>
    <x v="1"/>
    <n v="47"/>
    <x v="5"/>
    <x v="2"/>
    <m/>
  </r>
  <r>
    <n v="3645"/>
    <n v="35"/>
    <s v="Female"/>
    <x v="0"/>
    <x v="0"/>
    <n v="32"/>
    <s v="Arkansas"/>
    <x v="2"/>
    <x v="10"/>
    <x v="0"/>
    <x v="4"/>
    <x v="1"/>
    <x v="1"/>
    <n v="18"/>
    <x v="0"/>
    <x v="1"/>
    <m/>
  </r>
  <r>
    <n v="3646"/>
    <n v="38"/>
    <s v="Female"/>
    <x v="21"/>
    <x v="3"/>
    <n v="90"/>
    <s v="Colorado"/>
    <x v="0"/>
    <x v="5"/>
    <x v="2"/>
    <x v="10"/>
    <x v="1"/>
    <x v="1"/>
    <n v="31"/>
    <x v="2"/>
    <x v="6"/>
    <m/>
  </r>
  <r>
    <n v="3647"/>
    <n v="69"/>
    <s v="Female"/>
    <x v="16"/>
    <x v="3"/>
    <n v="68"/>
    <s v="Nevada"/>
    <x v="2"/>
    <x v="1"/>
    <x v="1"/>
    <x v="11"/>
    <x v="1"/>
    <x v="1"/>
    <n v="39"/>
    <x v="5"/>
    <x v="0"/>
    <m/>
  </r>
  <r>
    <n v="3648"/>
    <n v="47"/>
    <s v="Female"/>
    <x v="6"/>
    <x v="0"/>
    <n v="45"/>
    <s v="Kansas"/>
    <x v="2"/>
    <x v="0"/>
    <x v="0"/>
    <x v="25"/>
    <x v="1"/>
    <x v="1"/>
    <n v="12"/>
    <x v="4"/>
    <x v="1"/>
    <m/>
  </r>
  <r>
    <n v="3649"/>
    <n v="31"/>
    <s v="Female"/>
    <x v="11"/>
    <x v="0"/>
    <n v="67"/>
    <s v="New York"/>
    <x v="2"/>
    <x v="3"/>
    <x v="0"/>
    <x v="11"/>
    <x v="1"/>
    <x v="1"/>
    <n v="45"/>
    <x v="1"/>
    <x v="4"/>
    <m/>
  </r>
  <r>
    <n v="3650"/>
    <n v="68"/>
    <s v="Female"/>
    <x v="11"/>
    <x v="0"/>
    <n v="57"/>
    <s v="Minnesota"/>
    <x v="2"/>
    <x v="18"/>
    <x v="3"/>
    <x v="9"/>
    <x v="1"/>
    <x v="1"/>
    <n v="33"/>
    <x v="2"/>
    <x v="0"/>
    <m/>
  </r>
  <r>
    <n v="3651"/>
    <n v="51"/>
    <s v="Female"/>
    <x v="2"/>
    <x v="0"/>
    <n v="60"/>
    <s v="Ohio"/>
    <x v="2"/>
    <x v="5"/>
    <x v="2"/>
    <x v="22"/>
    <x v="1"/>
    <x v="1"/>
    <n v="3"/>
    <x v="3"/>
    <x v="2"/>
    <m/>
  </r>
  <r>
    <n v="3652"/>
    <n v="20"/>
    <s v="Female"/>
    <x v="8"/>
    <x v="3"/>
    <n v="32"/>
    <s v="Arizona"/>
    <x v="2"/>
    <x v="22"/>
    <x v="1"/>
    <x v="1"/>
    <x v="1"/>
    <x v="1"/>
    <n v="5"/>
    <x v="0"/>
    <x v="6"/>
    <m/>
  </r>
  <r>
    <n v="3653"/>
    <n v="27"/>
    <s v="Female"/>
    <x v="8"/>
    <x v="3"/>
    <n v="29"/>
    <s v="Kentucky"/>
    <x v="1"/>
    <x v="23"/>
    <x v="3"/>
    <x v="1"/>
    <x v="1"/>
    <x v="1"/>
    <n v="23"/>
    <x v="5"/>
    <x v="5"/>
    <m/>
  </r>
  <r>
    <n v="3654"/>
    <n v="67"/>
    <s v="Female"/>
    <x v="7"/>
    <x v="2"/>
    <n v="20"/>
    <s v="Minnesota"/>
    <x v="2"/>
    <x v="24"/>
    <x v="1"/>
    <x v="14"/>
    <x v="1"/>
    <x v="1"/>
    <n v="39"/>
    <x v="2"/>
    <x v="0"/>
    <m/>
  </r>
  <r>
    <n v="3655"/>
    <n v="21"/>
    <s v="Female"/>
    <x v="16"/>
    <x v="3"/>
    <n v="98"/>
    <s v="Arkansas"/>
    <x v="2"/>
    <x v="14"/>
    <x v="0"/>
    <x v="19"/>
    <x v="1"/>
    <x v="1"/>
    <n v="10"/>
    <x v="2"/>
    <x v="2"/>
    <m/>
  </r>
  <r>
    <n v="3656"/>
    <n v="20"/>
    <s v="Female"/>
    <x v="1"/>
    <x v="0"/>
    <n v="27"/>
    <s v="Wyoming"/>
    <x v="2"/>
    <x v="22"/>
    <x v="3"/>
    <x v="25"/>
    <x v="1"/>
    <x v="1"/>
    <n v="4"/>
    <x v="2"/>
    <x v="4"/>
    <m/>
  </r>
  <r>
    <n v="3657"/>
    <n v="35"/>
    <s v="Female"/>
    <x v="14"/>
    <x v="2"/>
    <n v="67"/>
    <s v="North Dakota"/>
    <x v="3"/>
    <x v="17"/>
    <x v="1"/>
    <x v="5"/>
    <x v="1"/>
    <x v="1"/>
    <n v="18"/>
    <x v="2"/>
    <x v="5"/>
    <m/>
  </r>
  <r>
    <n v="3658"/>
    <n v="58"/>
    <s v="Female"/>
    <x v="9"/>
    <x v="1"/>
    <n v="82"/>
    <s v="Alabama"/>
    <x v="0"/>
    <x v="9"/>
    <x v="0"/>
    <x v="5"/>
    <x v="1"/>
    <x v="1"/>
    <n v="1"/>
    <x v="5"/>
    <x v="6"/>
    <m/>
  </r>
  <r>
    <n v="3659"/>
    <n v="28"/>
    <s v="Female"/>
    <x v="17"/>
    <x v="0"/>
    <n v="72"/>
    <s v="Mississippi"/>
    <x v="2"/>
    <x v="23"/>
    <x v="3"/>
    <x v="7"/>
    <x v="1"/>
    <x v="1"/>
    <n v="18"/>
    <x v="3"/>
    <x v="0"/>
    <m/>
  </r>
  <r>
    <n v="3660"/>
    <n v="27"/>
    <s v="Female"/>
    <x v="3"/>
    <x v="1"/>
    <n v="77"/>
    <s v="Illinois"/>
    <x v="1"/>
    <x v="0"/>
    <x v="3"/>
    <x v="17"/>
    <x v="1"/>
    <x v="1"/>
    <n v="46"/>
    <x v="4"/>
    <x v="2"/>
    <m/>
  </r>
  <r>
    <n v="3661"/>
    <n v="19"/>
    <s v="Female"/>
    <x v="9"/>
    <x v="1"/>
    <n v="74"/>
    <s v="Arkansas"/>
    <x v="0"/>
    <x v="21"/>
    <x v="0"/>
    <x v="0"/>
    <x v="1"/>
    <x v="1"/>
    <n v="13"/>
    <x v="4"/>
    <x v="0"/>
    <m/>
  </r>
  <r>
    <n v="3662"/>
    <n v="63"/>
    <s v="Female"/>
    <x v="3"/>
    <x v="1"/>
    <n v="39"/>
    <s v="Kansas"/>
    <x v="1"/>
    <x v="3"/>
    <x v="0"/>
    <x v="22"/>
    <x v="1"/>
    <x v="1"/>
    <n v="5"/>
    <x v="2"/>
    <x v="0"/>
    <m/>
  </r>
  <r>
    <n v="3663"/>
    <n v="69"/>
    <s v="Female"/>
    <x v="6"/>
    <x v="0"/>
    <n v="80"/>
    <s v="Rhode Island"/>
    <x v="2"/>
    <x v="21"/>
    <x v="1"/>
    <x v="17"/>
    <x v="1"/>
    <x v="1"/>
    <n v="11"/>
    <x v="5"/>
    <x v="1"/>
    <m/>
  </r>
  <r>
    <n v="3664"/>
    <n v="65"/>
    <s v="Female"/>
    <x v="21"/>
    <x v="3"/>
    <n v="59"/>
    <s v="Florida"/>
    <x v="2"/>
    <x v="14"/>
    <x v="2"/>
    <x v="9"/>
    <x v="1"/>
    <x v="1"/>
    <n v="49"/>
    <x v="2"/>
    <x v="1"/>
    <m/>
  </r>
  <r>
    <n v="3665"/>
    <n v="63"/>
    <s v="Female"/>
    <x v="14"/>
    <x v="2"/>
    <n v="68"/>
    <s v="Missouri"/>
    <x v="2"/>
    <x v="2"/>
    <x v="3"/>
    <x v="9"/>
    <x v="1"/>
    <x v="1"/>
    <n v="1"/>
    <x v="5"/>
    <x v="0"/>
    <m/>
  </r>
  <r>
    <n v="3666"/>
    <n v="28"/>
    <s v="Female"/>
    <x v="20"/>
    <x v="0"/>
    <n v="77"/>
    <s v="North Carolina"/>
    <x v="2"/>
    <x v="15"/>
    <x v="3"/>
    <x v="10"/>
    <x v="1"/>
    <x v="1"/>
    <n v="11"/>
    <x v="2"/>
    <x v="3"/>
    <m/>
  </r>
  <r>
    <n v="3667"/>
    <n v="67"/>
    <s v="Female"/>
    <x v="16"/>
    <x v="3"/>
    <n v="50"/>
    <s v="Alabama"/>
    <x v="2"/>
    <x v="8"/>
    <x v="0"/>
    <x v="23"/>
    <x v="1"/>
    <x v="1"/>
    <n v="47"/>
    <x v="1"/>
    <x v="6"/>
    <m/>
  </r>
  <r>
    <n v="3668"/>
    <n v="51"/>
    <s v="Female"/>
    <x v="13"/>
    <x v="0"/>
    <n v="45"/>
    <s v="Washington"/>
    <x v="0"/>
    <x v="17"/>
    <x v="3"/>
    <x v="4"/>
    <x v="1"/>
    <x v="1"/>
    <n v="20"/>
    <x v="0"/>
    <x v="5"/>
    <m/>
  </r>
  <r>
    <n v="3669"/>
    <n v="59"/>
    <s v="Female"/>
    <x v="0"/>
    <x v="0"/>
    <n v="71"/>
    <s v="Michigan"/>
    <x v="3"/>
    <x v="23"/>
    <x v="2"/>
    <x v="20"/>
    <x v="1"/>
    <x v="1"/>
    <n v="18"/>
    <x v="0"/>
    <x v="2"/>
    <m/>
  </r>
  <r>
    <n v="3670"/>
    <n v="25"/>
    <s v="Female"/>
    <x v="20"/>
    <x v="0"/>
    <n v="52"/>
    <s v="Washington"/>
    <x v="1"/>
    <x v="5"/>
    <x v="3"/>
    <x v="7"/>
    <x v="1"/>
    <x v="1"/>
    <n v="43"/>
    <x v="3"/>
    <x v="3"/>
    <m/>
  </r>
  <r>
    <n v="3671"/>
    <n v="31"/>
    <s v="Female"/>
    <x v="9"/>
    <x v="1"/>
    <n v="50"/>
    <s v="Vermont"/>
    <x v="1"/>
    <x v="3"/>
    <x v="0"/>
    <x v="1"/>
    <x v="1"/>
    <x v="1"/>
    <n v="4"/>
    <x v="3"/>
    <x v="6"/>
    <m/>
  </r>
  <r>
    <n v="3672"/>
    <n v="62"/>
    <s v="Female"/>
    <x v="8"/>
    <x v="3"/>
    <n v="66"/>
    <s v="Illinois"/>
    <x v="0"/>
    <x v="6"/>
    <x v="2"/>
    <x v="3"/>
    <x v="1"/>
    <x v="1"/>
    <n v="20"/>
    <x v="0"/>
    <x v="3"/>
    <m/>
  </r>
  <r>
    <n v="3673"/>
    <n v="51"/>
    <s v="Female"/>
    <x v="3"/>
    <x v="1"/>
    <n v="81"/>
    <s v="New York"/>
    <x v="1"/>
    <x v="6"/>
    <x v="3"/>
    <x v="21"/>
    <x v="1"/>
    <x v="1"/>
    <n v="7"/>
    <x v="3"/>
    <x v="5"/>
    <m/>
  </r>
  <r>
    <n v="3674"/>
    <n v="32"/>
    <s v="Female"/>
    <x v="20"/>
    <x v="0"/>
    <n v="28"/>
    <s v="Rhode Island"/>
    <x v="2"/>
    <x v="6"/>
    <x v="2"/>
    <x v="13"/>
    <x v="1"/>
    <x v="1"/>
    <n v="31"/>
    <x v="4"/>
    <x v="0"/>
    <m/>
  </r>
  <r>
    <n v="3675"/>
    <n v="35"/>
    <s v="Female"/>
    <x v="8"/>
    <x v="3"/>
    <n v="65"/>
    <s v="Washington"/>
    <x v="2"/>
    <x v="24"/>
    <x v="0"/>
    <x v="6"/>
    <x v="1"/>
    <x v="1"/>
    <n v="41"/>
    <x v="0"/>
    <x v="0"/>
    <m/>
  </r>
  <r>
    <n v="3676"/>
    <n v="70"/>
    <s v="Female"/>
    <x v="19"/>
    <x v="3"/>
    <n v="80"/>
    <s v="Virginia"/>
    <x v="2"/>
    <x v="3"/>
    <x v="0"/>
    <x v="21"/>
    <x v="1"/>
    <x v="1"/>
    <n v="3"/>
    <x v="4"/>
    <x v="5"/>
    <m/>
  </r>
  <r>
    <n v="3677"/>
    <n v="19"/>
    <s v="Female"/>
    <x v="16"/>
    <x v="3"/>
    <n v="94"/>
    <s v="Wisconsin"/>
    <x v="1"/>
    <x v="11"/>
    <x v="1"/>
    <x v="17"/>
    <x v="1"/>
    <x v="1"/>
    <n v="16"/>
    <x v="3"/>
    <x v="5"/>
    <m/>
  </r>
  <r>
    <n v="3678"/>
    <n v="32"/>
    <s v="Female"/>
    <x v="21"/>
    <x v="3"/>
    <n v="30"/>
    <s v="Michigan"/>
    <x v="2"/>
    <x v="0"/>
    <x v="3"/>
    <x v="24"/>
    <x v="1"/>
    <x v="1"/>
    <n v="43"/>
    <x v="1"/>
    <x v="2"/>
    <m/>
  </r>
  <r>
    <n v="3679"/>
    <n v="56"/>
    <s v="Female"/>
    <x v="5"/>
    <x v="0"/>
    <n v="45"/>
    <s v="Texas"/>
    <x v="1"/>
    <x v="19"/>
    <x v="3"/>
    <x v="22"/>
    <x v="1"/>
    <x v="1"/>
    <n v="29"/>
    <x v="4"/>
    <x v="0"/>
    <m/>
  </r>
  <r>
    <n v="3680"/>
    <n v="53"/>
    <s v="Female"/>
    <x v="7"/>
    <x v="2"/>
    <n v="91"/>
    <s v="Idaho"/>
    <x v="2"/>
    <x v="10"/>
    <x v="2"/>
    <x v="16"/>
    <x v="1"/>
    <x v="1"/>
    <n v="5"/>
    <x v="1"/>
    <x v="4"/>
    <m/>
  </r>
  <r>
    <n v="3681"/>
    <n v="22"/>
    <s v="Female"/>
    <x v="12"/>
    <x v="3"/>
    <n v="36"/>
    <s v="Iowa"/>
    <x v="1"/>
    <x v="24"/>
    <x v="0"/>
    <x v="25"/>
    <x v="1"/>
    <x v="1"/>
    <n v="30"/>
    <x v="5"/>
    <x v="3"/>
    <m/>
  </r>
  <r>
    <n v="3682"/>
    <n v="26"/>
    <s v="Female"/>
    <x v="24"/>
    <x v="3"/>
    <n v="73"/>
    <s v="Connecticut"/>
    <x v="3"/>
    <x v="23"/>
    <x v="3"/>
    <x v="13"/>
    <x v="1"/>
    <x v="1"/>
    <n v="33"/>
    <x v="5"/>
    <x v="5"/>
    <m/>
  </r>
  <r>
    <n v="3683"/>
    <n v="42"/>
    <s v="Female"/>
    <x v="5"/>
    <x v="0"/>
    <n v="60"/>
    <s v="Wyoming"/>
    <x v="2"/>
    <x v="1"/>
    <x v="3"/>
    <x v="7"/>
    <x v="1"/>
    <x v="1"/>
    <n v="46"/>
    <x v="0"/>
    <x v="4"/>
    <m/>
  </r>
  <r>
    <n v="3684"/>
    <n v="30"/>
    <s v="Female"/>
    <x v="20"/>
    <x v="0"/>
    <n v="77"/>
    <s v="Mississippi"/>
    <x v="2"/>
    <x v="7"/>
    <x v="0"/>
    <x v="23"/>
    <x v="1"/>
    <x v="1"/>
    <n v="17"/>
    <x v="0"/>
    <x v="0"/>
    <m/>
  </r>
  <r>
    <n v="3685"/>
    <n v="29"/>
    <s v="Female"/>
    <x v="11"/>
    <x v="0"/>
    <n v="86"/>
    <s v="Pennsylvania"/>
    <x v="0"/>
    <x v="4"/>
    <x v="1"/>
    <x v="9"/>
    <x v="1"/>
    <x v="1"/>
    <n v="47"/>
    <x v="2"/>
    <x v="4"/>
    <m/>
  </r>
  <r>
    <n v="3686"/>
    <n v="47"/>
    <s v="Female"/>
    <x v="6"/>
    <x v="0"/>
    <n v="42"/>
    <s v="Tennessee"/>
    <x v="0"/>
    <x v="16"/>
    <x v="2"/>
    <x v="4"/>
    <x v="1"/>
    <x v="1"/>
    <n v="17"/>
    <x v="1"/>
    <x v="4"/>
    <m/>
  </r>
  <r>
    <n v="3687"/>
    <n v="59"/>
    <s v="Female"/>
    <x v="3"/>
    <x v="1"/>
    <n v="70"/>
    <s v="Louisiana"/>
    <x v="2"/>
    <x v="4"/>
    <x v="1"/>
    <x v="3"/>
    <x v="1"/>
    <x v="1"/>
    <n v="17"/>
    <x v="1"/>
    <x v="4"/>
    <m/>
  </r>
  <r>
    <n v="3688"/>
    <n v="34"/>
    <s v="Female"/>
    <x v="5"/>
    <x v="0"/>
    <n v="44"/>
    <s v="Arkansas"/>
    <x v="0"/>
    <x v="12"/>
    <x v="2"/>
    <x v="25"/>
    <x v="1"/>
    <x v="1"/>
    <n v="28"/>
    <x v="4"/>
    <x v="6"/>
    <m/>
  </r>
  <r>
    <n v="3689"/>
    <n v="52"/>
    <s v="Female"/>
    <x v="12"/>
    <x v="3"/>
    <n v="91"/>
    <s v="West Virginia"/>
    <x v="0"/>
    <x v="3"/>
    <x v="1"/>
    <x v="23"/>
    <x v="1"/>
    <x v="1"/>
    <n v="8"/>
    <x v="1"/>
    <x v="5"/>
    <m/>
  </r>
  <r>
    <n v="3690"/>
    <n v="47"/>
    <s v="Female"/>
    <x v="16"/>
    <x v="3"/>
    <n v="30"/>
    <s v="South Carolina"/>
    <x v="0"/>
    <x v="16"/>
    <x v="3"/>
    <x v="21"/>
    <x v="1"/>
    <x v="1"/>
    <n v="8"/>
    <x v="4"/>
    <x v="3"/>
    <m/>
  </r>
  <r>
    <n v="3691"/>
    <n v="24"/>
    <s v="Female"/>
    <x v="0"/>
    <x v="0"/>
    <n v="23"/>
    <s v="Kansas"/>
    <x v="1"/>
    <x v="10"/>
    <x v="3"/>
    <x v="5"/>
    <x v="1"/>
    <x v="1"/>
    <n v="4"/>
    <x v="4"/>
    <x v="4"/>
    <m/>
  </r>
  <r>
    <n v="3692"/>
    <n v="63"/>
    <s v="Female"/>
    <x v="3"/>
    <x v="1"/>
    <n v="21"/>
    <s v="Michigan"/>
    <x v="3"/>
    <x v="20"/>
    <x v="2"/>
    <x v="3"/>
    <x v="1"/>
    <x v="1"/>
    <n v="24"/>
    <x v="3"/>
    <x v="1"/>
    <m/>
  </r>
  <r>
    <n v="3693"/>
    <n v="59"/>
    <s v="Female"/>
    <x v="7"/>
    <x v="2"/>
    <n v="34"/>
    <s v="Alabama"/>
    <x v="0"/>
    <x v="2"/>
    <x v="1"/>
    <x v="3"/>
    <x v="1"/>
    <x v="1"/>
    <n v="29"/>
    <x v="1"/>
    <x v="0"/>
    <m/>
  </r>
  <r>
    <n v="3694"/>
    <n v="66"/>
    <s v="Female"/>
    <x v="0"/>
    <x v="0"/>
    <n v="46"/>
    <s v="South Dakota"/>
    <x v="2"/>
    <x v="10"/>
    <x v="2"/>
    <x v="15"/>
    <x v="1"/>
    <x v="1"/>
    <n v="10"/>
    <x v="0"/>
    <x v="1"/>
    <m/>
  </r>
  <r>
    <n v="3695"/>
    <n v="45"/>
    <s v="Female"/>
    <x v="1"/>
    <x v="0"/>
    <n v="41"/>
    <s v="Rhode Island"/>
    <x v="2"/>
    <x v="24"/>
    <x v="0"/>
    <x v="4"/>
    <x v="1"/>
    <x v="1"/>
    <n v="11"/>
    <x v="3"/>
    <x v="4"/>
    <m/>
  </r>
  <r>
    <n v="3696"/>
    <n v="38"/>
    <s v="Female"/>
    <x v="11"/>
    <x v="0"/>
    <n v="33"/>
    <s v="Florida"/>
    <x v="2"/>
    <x v="3"/>
    <x v="3"/>
    <x v="7"/>
    <x v="1"/>
    <x v="1"/>
    <n v="18"/>
    <x v="4"/>
    <x v="0"/>
    <m/>
  </r>
  <r>
    <n v="3697"/>
    <n v="63"/>
    <s v="Female"/>
    <x v="0"/>
    <x v="0"/>
    <n v="48"/>
    <s v="Connecticut"/>
    <x v="0"/>
    <x v="2"/>
    <x v="3"/>
    <x v="10"/>
    <x v="1"/>
    <x v="1"/>
    <n v="26"/>
    <x v="4"/>
    <x v="2"/>
    <m/>
  </r>
  <r>
    <n v="3698"/>
    <n v="55"/>
    <s v="Female"/>
    <x v="15"/>
    <x v="0"/>
    <n v="66"/>
    <s v="Pennsylvania"/>
    <x v="0"/>
    <x v="6"/>
    <x v="0"/>
    <x v="23"/>
    <x v="1"/>
    <x v="1"/>
    <n v="39"/>
    <x v="1"/>
    <x v="1"/>
    <m/>
  </r>
  <r>
    <n v="3699"/>
    <n v="25"/>
    <s v="Female"/>
    <x v="11"/>
    <x v="0"/>
    <n v="54"/>
    <s v="California"/>
    <x v="3"/>
    <x v="1"/>
    <x v="1"/>
    <x v="8"/>
    <x v="1"/>
    <x v="1"/>
    <n v="4"/>
    <x v="0"/>
    <x v="2"/>
    <m/>
  </r>
  <r>
    <n v="3700"/>
    <n v="51"/>
    <s v="Female"/>
    <x v="21"/>
    <x v="3"/>
    <n v="55"/>
    <s v="Oklahoma"/>
    <x v="2"/>
    <x v="8"/>
    <x v="3"/>
    <x v="4"/>
    <x v="1"/>
    <x v="1"/>
    <n v="24"/>
    <x v="4"/>
    <x v="1"/>
    <m/>
  </r>
  <r>
    <n v="3701"/>
    <n v="28"/>
    <s v="Female"/>
    <x v="8"/>
    <x v="3"/>
    <n v="84"/>
    <s v="North Dakota"/>
    <x v="3"/>
    <x v="4"/>
    <x v="2"/>
    <x v="10"/>
    <x v="1"/>
    <x v="1"/>
    <n v="2"/>
    <x v="4"/>
    <x v="6"/>
    <m/>
  </r>
  <r>
    <n v="3702"/>
    <n v="46"/>
    <s v="Female"/>
    <x v="3"/>
    <x v="1"/>
    <n v="66"/>
    <s v="New Mexico"/>
    <x v="2"/>
    <x v="4"/>
    <x v="1"/>
    <x v="21"/>
    <x v="1"/>
    <x v="1"/>
    <n v="36"/>
    <x v="1"/>
    <x v="2"/>
    <m/>
  </r>
  <r>
    <n v="3703"/>
    <n v="58"/>
    <s v="Female"/>
    <x v="9"/>
    <x v="1"/>
    <n v="65"/>
    <s v="South Carolina"/>
    <x v="2"/>
    <x v="21"/>
    <x v="1"/>
    <x v="6"/>
    <x v="1"/>
    <x v="1"/>
    <n v="36"/>
    <x v="0"/>
    <x v="1"/>
    <m/>
  </r>
  <r>
    <n v="3704"/>
    <n v="30"/>
    <s v="Female"/>
    <x v="3"/>
    <x v="1"/>
    <n v="83"/>
    <s v="Michigan"/>
    <x v="1"/>
    <x v="11"/>
    <x v="3"/>
    <x v="25"/>
    <x v="1"/>
    <x v="1"/>
    <n v="23"/>
    <x v="3"/>
    <x v="6"/>
    <m/>
  </r>
  <r>
    <n v="3705"/>
    <n v="68"/>
    <s v="Female"/>
    <x v="12"/>
    <x v="3"/>
    <n v="61"/>
    <s v="Missouri"/>
    <x v="0"/>
    <x v="13"/>
    <x v="0"/>
    <x v="8"/>
    <x v="1"/>
    <x v="1"/>
    <n v="36"/>
    <x v="2"/>
    <x v="3"/>
    <m/>
  </r>
  <r>
    <n v="3706"/>
    <n v="28"/>
    <s v="Female"/>
    <x v="11"/>
    <x v="0"/>
    <n v="65"/>
    <s v="Colorado"/>
    <x v="0"/>
    <x v="11"/>
    <x v="2"/>
    <x v="20"/>
    <x v="1"/>
    <x v="1"/>
    <n v="2"/>
    <x v="5"/>
    <x v="2"/>
    <m/>
  </r>
  <r>
    <n v="3707"/>
    <n v="26"/>
    <s v="Female"/>
    <x v="3"/>
    <x v="1"/>
    <n v="55"/>
    <s v="Kansas"/>
    <x v="2"/>
    <x v="14"/>
    <x v="1"/>
    <x v="8"/>
    <x v="1"/>
    <x v="1"/>
    <n v="17"/>
    <x v="1"/>
    <x v="4"/>
    <m/>
  </r>
  <r>
    <n v="3708"/>
    <n v="35"/>
    <s v="Female"/>
    <x v="24"/>
    <x v="3"/>
    <n v="79"/>
    <s v="Illinois"/>
    <x v="2"/>
    <x v="9"/>
    <x v="3"/>
    <x v="10"/>
    <x v="1"/>
    <x v="1"/>
    <n v="19"/>
    <x v="0"/>
    <x v="1"/>
    <m/>
  </r>
  <r>
    <n v="3709"/>
    <n v="40"/>
    <s v="Female"/>
    <x v="15"/>
    <x v="0"/>
    <n v="96"/>
    <s v="South Carolina"/>
    <x v="2"/>
    <x v="16"/>
    <x v="3"/>
    <x v="17"/>
    <x v="1"/>
    <x v="1"/>
    <n v="41"/>
    <x v="3"/>
    <x v="5"/>
    <m/>
  </r>
  <r>
    <n v="3710"/>
    <n v="31"/>
    <s v="Female"/>
    <x v="20"/>
    <x v="0"/>
    <n v="43"/>
    <s v="Utah"/>
    <x v="2"/>
    <x v="5"/>
    <x v="3"/>
    <x v="2"/>
    <x v="1"/>
    <x v="1"/>
    <n v="27"/>
    <x v="3"/>
    <x v="3"/>
    <m/>
  </r>
  <r>
    <n v="3711"/>
    <n v="60"/>
    <s v="Female"/>
    <x v="16"/>
    <x v="3"/>
    <n v="40"/>
    <s v="Hawaii"/>
    <x v="2"/>
    <x v="22"/>
    <x v="2"/>
    <x v="2"/>
    <x v="1"/>
    <x v="1"/>
    <n v="32"/>
    <x v="4"/>
    <x v="0"/>
    <m/>
  </r>
  <r>
    <n v="3712"/>
    <n v="69"/>
    <s v="Female"/>
    <x v="19"/>
    <x v="3"/>
    <n v="62"/>
    <s v="Texas"/>
    <x v="3"/>
    <x v="15"/>
    <x v="3"/>
    <x v="20"/>
    <x v="1"/>
    <x v="1"/>
    <n v="33"/>
    <x v="1"/>
    <x v="2"/>
    <m/>
  </r>
  <r>
    <n v="3713"/>
    <n v="51"/>
    <s v="Female"/>
    <x v="0"/>
    <x v="0"/>
    <n v="72"/>
    <s v="Oregon"/>
    <x v="2"/>
    <x v="2"/>
    <x v="1"/>
    <x v="5"/>
    <x v="1"/>
    <x v="1"/>
    <n v="24"/>
    <x v="3"/>
    <x v="3"/>
    <m/>
  </r>
  <r>
    <n v="3714"/>
    <n v="49"/>
    <s v="Female"/>
    <x v="9"/>
    <x v="1"/>
    <n v="87"/>
    <s v="Arizona"/>
    <x v="2"/>
    <x v="15"/>
    <x v="1"/>
    <x v="4"/>
    <x v="1"/>
    <x v="1"/>
    <n v="31"/>
    <x v="5"/>
    <x v="6"/>
    <m/>
  </r>
  <r>
    <n v="3715"/>
    <n v="18"/>
    <s v="Female"/>
    <x v="19"/>
    <x v="3"/>
    <n v="31"/>
    <s v="New York"/>
    <x v="1"/>
    <x v="15"/>
    <x v="0"/>
    <x v="14"/>
    <x v="1"/>
    <x v="1"/>
    <n v="35"/>
    <x v="2"/>
    <x v="1"/>
    <m/>
  </r>
  <r>
    <n v="3716"/>
    <n v="63"/>
    <s v="Female"/>
    <x v="12"/>
    <x v="3"/>
    <n v="34"/>
    <s v="Nebraska"/>
    <x v="1"/>
    <x v="20"/>
    <x v="3"/>
    <x v="10"/>
    <x v="1"/>
    <x v="1"/>
    <n v="2"/>
    <x v="4"/>
    <x v="5"/>
    <m/>
  </r>
  <r>
    <n v="3717"/>
    <n v="57"/>
    <s v="Female"/>
    <x v="5"/>
    <x v="0"/>
    <n v="53"/>
    <s v="Vermont"/>
    <x v="2"/>
    <x v="4"/>
    <x v="3"/>
    <x v="10"/>
    <x v="1"/>
    <x v="1"/>
    <n v="42"/>
    <x v="5"/>
    <x v="6"/>
    <m/>
  </r>
  <r>
    <n v="3718"/>
    <n v="45"/>
    <s v="Female"/>
    <x v="17"/>
    <x v="0"/>
    <n v="85"/>
    <s v="Maryland"/>
    <x v="3"/>
    <x v="3"/>
    <x v="2"/>
    <x v="13"/>
    <x v="1"/>
    <x v="1"/>
    <n v="47"/>
    <x v="4"/>
    <x v="6"/>
    <m/>
  </r>
  <r>
    <n v="3719"/>
    <n v="36"/>
    <s v="Female"/>
    <x v="13"/>
    <x v="0"/>
    <n v="50"/>
    <s v="Tennessee"/>
    <x v="0"/>
    <x v="2"/>
    <x v="3"/>
    <x v="25"/>
    <x v="1"/>
    <x v="1"/>
    <n v="44"/>
    <x v="4"/>
    <x v="4"/>
    <m/>
  </r>
  <r>
    <n v="3720"/>
    <n v="20"/>
    <s v="Female"/>
    <x v="13"/>
    <x v="0"/>
    <n v="91"/>
    <s v="Pennsylvania"/>
    <x v="2"/>
    <x v="16"/>
    <x v="2"/>
    <x v="18"/>
    <x v="1"/>
    <x v="1"/>
    <n v="8"/>
    <x v="4"/>
    <x v="6"/>
    <m/>
  </r>
  <r>
    <n v="3721"/>
    <n v="21"/>
    <s v="Female"/>
    <x v="19"/>
    <x v="3"/>
    <n v="56"/>
    <s v="South Carolina"/>
    <x v="2"/>
    <x v="15"/>
    <x v="3"/>
    <x v="2"/>
    <x v="1"/>
    <x v="1"/>
    <n v="13"/>
    <x v="2"/>
    <x v="3"/>
    <m/>
  </r>
  <r>
    <n v="3722"/>
    <n v="62"/>
    <s v="Female"/>
    <x v="7"/>
    <x v="2"/>
    <n v="60"/>
    <s v="Connecticut"/>
    <x v="0"/>
    <x v="6"/>
    <x v="3"/>
    <x v="8"/>
    <x v="1"/>
    <x v="1"/>
    <n v="10"/>
    <x v="1"/>
    <x v="2"/>
    <m/>
  </r>
  <r>
    <n v="3723"/>
    <n v="23"/>
    <s v="Female"/>
    <x v="14"/>
    <x v="2"/>
    <n v="34"/>
    <s v="Kentucky"/>
    <x v="3"/>
    <x v="22"/>
    <x v="3"/>
    <x v="8"/>
    <x v="1"/>
    <x v="1"/>
    <n v="1"/>
    <x v="2"/>
    <x v="0"/>
    <m/>
  </r>
  <r>
    <n v="3724"/>
    <n v="26"/>
    <s v="Female"/>
    <x v="3"/>
    <x v="1"/>
    <n v="30"/>
    <s v="Rhode Island"/>
    <x v="2"/>
    <x v="19"/>
    <x v="1"/>
    <x v="2"/>
    <x v="1"/>
    <x v="1"/>
    <n v="1"/>
    <x v="5"/>
    <x v="5"/>
    <m/>
  </r>
  <r>
    <n v="3725"/>
    <n v="30"/>
    <s v="Female"/>
    <x v="24"/>
    <x v="3"/>
    <n v="71"/>
    <s v="Colorado"/>
    <x v="0"/>
    <x v="14"/>
    <x v="0"/>
    <x v="0"/>
    <x v="1"/>
    <x v="1"/>
    <n v="18"/>
    <x v="4"/>
    <x v="2"/>
    <m/>
  </r>
  <r>
    <n v="3726"/>
    <n v="18"/>
    <s v="Female"/>
    <x v="10"/>
    <x v="0"/>
    <n v="100"/>
    <s v="Oklahoma"/>
    <x v="1"/>
    <x v="2"/>
    <x v="0"/>
    <x v="9"/>
    <x v="1"/>
    <x v="1"/>
    <n v="2"/>
    <x v="3"/>
    <x v="2"/>
    <m/>
  </r>
  <r>
    <n v="3727"/>
    <n v="47"/>
    <s v="Female"/>
    <x v="22"/>
    <x v="3"/>
    <n v="85"/>
    <s v="Idaho"/>
    <x v="3"/>
    <x v="20"/>
    <x v="3"/>
    <x v="12"/>
    <x v="1"/>
    <x v="1"/>
    <n v="36"/>
    <x v="5"/>
    <x v="6"/>
    <m/>
  </r>
  <r>
    <n v="3728"/>
    <n v="41"/>
    <s v="Female"/>
    <x v="20"/>
    <x v="0"/>
    <n v="83"/>
    <s v="Maine"/>
    <x v="2"/>
    <x v="9"/>
    <x v="2"/>
    <x v="22"/>
    <x v="1"/>
    <x v="1"/>
    <n v="17"/>
    <x v="5"/>
    <x v="4"/>
    <m/>
  </r>
  <r>
    <n v="3729"/>
    <n v="62"/>
    <s v="Female"/>
    <x v="14"/>
    <x v="2"/>
    <n v="31"/>
    <s v="Vermont"/>
    <x v="0"/>
    <x v="16"/>
    <x v="0"/>
    <x v="23"/>
    <x v="1"/>
    <x v="1"/>
    <n v="1"/>
    <x v="5"/>
    <x v="2"/>
    <m/>
  </r>
  <r>
    <n v="3730"/>
    <n v="28"/>
    <s v="Female"/>
    <x v="23"/>
    <x v="1"/>
    <n v="82"/>
    <s v="Rhode Island"/>
    <x v="2"/>
    <x v="11"/>
    <x v="1"/>
    <x v="15"/>
    <x v="1"/>
    <x v="1"/>
    <n v="50"/>
    <x v="1"/>
    <x v="3"/>
    <m/>
  </r>
  <r>
    <n v="3731"/>
    <n v="46"/>
    <s v="Female"/>
    <x v="5"/>
    <x v="0"/>
    <n v="79"/>
    <s v="Florida"/>
    <x v="2"/>
    <x v="11"/>
    <x v="2"/>
    <x v="16"/>
    <x v="1"/>
    <x v="1"/>
    <n v="3"/>
    <x v="2"/>
    <x v="4"/>
    <m/>
  </r>
  <r>
    <n v="3732"/>
    <n v="54"/>
    <s v="Female"/>
    <x v="19"/>
    <x v="3"/>
    <n v="62"/>
    <s v="West Virginia"/>
    <x v="2"/>
    <x v="12"/>
    <x v="1"/>
    <x v="0"/>
    <x v="1"/>
    <x v="1"/>
    <n v="45"/>
    <x v="3"/>
    <x v="3"/>
    <m/>
  </r>
  <r>
    <n v="3733"/>
    <n v="36"/>
    <s v="Female"/>
    <x v="9"/>
    <x v="1"/>
    <n v="92"/>
    <s v="Indiana"/>
    <x v="0"/>
    <x v="6"/>
    <x v="1"/>
    <x v="19"/>
    <x v="1"/>
    <x v="1"/>
    <n v="28"/>
    <x v="3"/>
    <x v="2"/>
    <m/>
  </r>
  <r>
    <n v="3734"/>
    <n v="25"/>
    <s v="Female"/>
    <x v="20"/>
    <x v="0"/>
    <n v="58"/>
    <s v="Illinois"/>
    <x v="2"/>
    <x v="1"/>
    <x v="3"/>
    <x v="15"/>
    <x v="1"/>
    <x v="1"/>
    <n v="6"/>
    <x v="5"/>
    <x v="6"/>
    <m/>
  </r>
  <r>
    <n v="3735"/>
    <n v="38"/>
    <s v="Female"/>
    <x v="15"/>
    <x v="0"/>
    <n v="88"/>
    <s v="California"/>
    <x v="2"/>
    <x v="19"/>
    <x v="1"/>
    <x v="10"/>
    <x v="1"/>
    <x v="1"/>
    <n v="33"/>
    <x v="5"/>
    <x v="6"/>
    <m/>
  </r>
  <r>
    <n v="3736"/>
    <n v="38"/>
    <s v="Female"/>
    <x v="3"/>
    <x v="1"/>
    <n v="44"/>
    <s v="Massachusetts"/>
    <x v="0"/>
    <x v="20"/>
    <x v="1"/>
    <x v="0"/>
    <x v="1"/>
    <x v="1"/>
    <n v="29"/>
    <x v="3"/>
    <x v="2"/>
    <m/>
  </r>
  <r>
    <n v="3737"/>
    <n v="42"/>
    <s v="Female"/>
    <x v="2"/>
    <x v="0"/>
    <n v="56"/>
    <s v="Idaho"/>
    <x v="2"/>
    <x v="16"/>
    <x v="1"/>
    <x v="7"/>
    <x v="1"/>
    <x v="1"/>
    <n v="2"/>
    <x v="3"/>
    <x v="6"/>
    <m/>
  </r>
  <r>
    <n v="3738"/>
    <n v="19"/>
    <s v="Female"/>
    <x v="16"/>
    <x v="3"/>
    <n v="23"/>
    <s v="Kentucky"/>
    <x v="1"/>
    <x v="1"/>
    <x v="0"/>
    <x v="17"/>
    <x v="1"/>
    <x v="1"/>
    <n v="43"/>
    <x v="3"/>
    <x v="4"/>
    <m/>
  </r>
  <r>
    <n v="3739"/>
    <n v="34"/>
    <s v="Female"/>
    <x v="6"/>
    <x v="0"/>
    <n v="45"/>
    <s v="Delaware"/>
    <x v="2"/>
    <x v="18"/>
    <x v="1"/>
    <x v="6"/>
    <x v="1"/>
    <x v="1"/>
    <n v="48"/>
    <x v="1"/>
    <x v="0"/>
    <m/>
  </r>
  <r>
    <n v="3740"/>
    <n v="38"/>
    <s v="Female"/>
    <x v="12"/>
    <x v="3"/>
    <n v="31"/>
    <s v="Idaho"/>
    <x v="2"/>
    <x v="8"/>
    <x v="3"/>
    <x v="13"/>
    <x v="1"/>
    <x v="1"/>
    <n v="43"/>
    <x v="2"/>
    <x v="1"/>
    <m/>
  </r>
  <r>
    <n v="3741"/>
    <n v="42"/>
    <s v="Female"/>
    <x v="13"/>
    <x v="0"/>
    <n v="96"/>
    <s v="Virginia"/>
    <x v="2"/>
    <x v="5"/>
    <x v="2"/>
    <x v="4"/>
    <x v="1"/>
    <x v="1"/>
    <n v="26"/>
    <x v="5"/>
    <x v="4"/>
    <m/>
  </r>
  <r>
    <n v="3742"/>
    <n v="58"/>
    <s v="Female"/>
    <x v="5"/>
    <x v="0"/>
    <n v="96"/>
    <s v="Arizona"/>
    <x v="2"/>
    <x v="7"/>
    <x v="1"/>
    <x v="20"/>
    <x v="1"/>
    <x v="1"/>
    <n v="26"/>
    <x v="5"/>
    <x v="4"/>
    <m/>
  </r>
  <r>
    <n v="3743"/>
    <n v="56"/>
    <s v="Female"/>
    <x v="5"/>
    <x v="0"/>
    <n v="80"/>
    <s v="Maryland"/>
    <x v="2"/>
    <x v="0"/>
    <x v="3"/>
    <x v="9"/>
    <x v="1"/>
    <x v="1"/>
    <n v="50"/>
    <x v="2"/>
    <x v="4"/>
    <m/>
  </r>
  <r>
    <n v="3744"/>
    <n v="62"/>
    <s v="Female"/>
    <x v="13"/>
    <x v="0"/>
    <n v="28"/>
    <s v="Idaho"/>
    <x v="0"/>
    <x v="17"/>
    <x v="3"/>
    <x v="2"/>
    <x v="1"/>
    <x v="1"/>
    <n v="36"/>
    <x v="5"/>
    <x v="3"/>
    <m/>
  </r>
  <r>
    <n v="3745"/>
    <n v="24"/>
    <s v="Female"/>
    <x v="15"/>
    <x v="0"/>
    <n v="51"/>
    <s v="New Jersey"/>
    <x v="2"/>
    <x v="0"/>
    <x v="2"/>
    <x v="6"/>
    <x v="1"/>
    <x v="1"/>
    <n v="26"/>
    <x v="4"/>
    <x v="0"/>
    <m/>
  </r>
  <r>
    <n v="3746"/>
    <n v="60"/>
    <s v="Female"/>
    <x v="20"/>
    <x v="0"/>
    <n v="41"/>
    <s v="Washington"/>
    <x v="0"/>
    <x v="9"/>
    <x v="1"/>
    <x v="12"/>
    <x v="1"/>
    <x v="1"/>
    <n v="2"/>
    <x v="5"/>
    <x v="5"/>
    <m/>
  </r>
  <r>
    <n v="3747"/>
    <n v="53"/>
    <s v="Female"/>
    <x v="7"/>
    <x v="2"/>
    <n v="99"/>
    <s v="Idaho"/>
    <x v="3"/>
    <x v="17"/>
    <x v="2"/>
    <x v="4"/>
    <x v="1"/>
    <x v="1"/>
    <n v="49"/>
    <x v="3"/>
    <x v="5"/>
    <m/>
  </r>
  <r>
    <n v="3748"/>
    <n v="26"/>
    <s v="Female"/>
    <x v="1"/>
    <x v="0"/>
    <n v="53"/>
    <s v="Rhode Island"/>
    <x v="0"/>
    <x v="8"/>
    <x v="1"/>
    <x v="12"/>
    <x v="1"/>
    <x v="1"/>
    <n v="32"/>
    <x v="4"/>
    <x v="4"/>
    <m/>
  </r>
  <r>
    <n v="3749"/>
    <n v="34"/>
    <s v="Female"/>
    <x v="21"/>
    <x v="3"/>
    <n v="25"/>
    <s v="Delaware"/>
    <x v="2"/>
    <x v="10"/>
    <x v="3"/>
    <x v="14"/>
    <x v="1"/>
    <x v="1"/>
    <n v="3"/>
    <x v="0"/>
    <x v="2"/>
    <m/>
  </r>
  <r>
    <n v="3750"/>
    <n v="24"/>
    <s v="Female"/>
    <x v="0"/>
    <x v="0"/>
    <n v="95"/>
    <s v="Alaska"/>
    <x v="0"/>
    <x v="22"/>
    <x v="0"/>
    <x v="25"/>
    <x v="1"/>
    <x v="1"/>
    <n v="38"/>
    <x v="0"/>
    <x v="6"/>
    <m/>
  </r>
  <r>
    <n v="3751"/>
    <n v="42"/>
    <s v="Female"/>
    <x v="15"/>
    <x v="0"/>
    <n v="88"/>
    <s v="Arizona"/>
    <x v="2"/>
    <x v="9"/>
    <x v="3"/>
    <x v="0"/>
    <x v="1"/>
    <x v="1"/>
    <n v="5"/>
    <x v="3"/>
    <x v="5"/>
    <m/>
  </r>
  <r>
    <n v="3752"/>
    <n v="36"/>
    <s v="Female"/>
    <x v="16"/>
    <x v="3"/>
    <n v="97"/>
    <s v="Alabama"/>
    <x v="1"/>
    <x v="5"/>
    <x v="3"/>
    <x v="13"/>
    <x v="1"/>
    <x v="1"/>
    <n v="8"/>
    <x v="2"/>
    <x v="6"/>
    <m/>
  </r>
  <r>
    <n v="3753"/>
    <n v="24"/>
    <s v="Female"/>
    <x v="7"/>
    <x v="2"/>
    <n v="81"/>
    <s v="Washington"/>
    <x v="0"/>
    <x v="6"/>
    <x v="0"/>
    <x v="18"/>
    <x v="1"/>
    <x v="1"/>
    <n v="43"/>
    <x v="0"/>
    <x v="1"/>
    <m/>
  </r>
  <r>
    <n v="3754"/>
    <n v="39"/>
    <s v="Female"/>
    <x v="12"/>
    <x v="3"/>
    <n v="26"/>
    <s v="Louisiana"/>
    <x v="1"/>
    <x v="2"/>
    <x v="0"/>
    <x v="13"/>
    <x v="1"/>
    <x v="1"/>
    <n v="22"/>
    <x v="4"/>
    <x v="0"/>
    <m/>
  </r>
  <r>
    <n v="3755"/>
    <n v="46"/>
    <s v="Female"/>
    <x v="9"/>
    <x v="1"/>
    <n v="41"/>
    <s v="Nebraska"/>
    <x v="2"/>
    <x v="2"/>
    <x v="2"/>
    <x v="9"/>
    <x v="1"/>
    <x v="1"/>
    <n v="10"/>
    <x v="1"/>
    <x v="6"/>
    <m/>
  </r>
  <r>
    <n v="3756"/>
    <n v="64"/>
    <s v="Female"/>
    <x v="11"/>
    <x v="0"/>
    <n v="93"/>
    <s v="Pennsylvania"/>
    <x v="2"/>
    <x v="15"/>
    <x v="3"/>
    <x v="10"/>
    <x v="1"/>
    <x v="1"/>
    <n v="26"/>
    <x v="2"/>
    <x v="5"/>
    <m/>
  </r>
  <r>
    <n v="3757"/>
    <n v="64"/>
    <s v="Female"/>
    <x v="11"/>
    <x v="0"/>
    <n v="69"/>
    <s v="South Carolina"/>
    <x v="0"/>
    <x v="11"/>
    <x v="1"/>
    <x v="3"/>
    <x v="1"/>
    <x v="1"/>
    <n v="42"/>
    <x v="5"/>
    <x v="4"/>
    <m/>
  </r>
  <r>
    <n v="3758"/>
    <n v="61"/>
    <s v="Female"/>
    <x v="11"/>
    <x v="0"/>
    <n v="44"/>
    <s v="California"/>
    <x v="0"/>
    <x v="16"/>
    <x v="3"/>
    <x v="21"/>
    <x v="1"/>
    <x v="1"/>
    <n v="33"/>
    <x v="1"/>
    <x v="1"/>
    <m/>
  </r>
  <r>
    <n v="3759"/>
    <n v="61"/>
    <s v="Female"/>
    <x v="3"/>
    <x v="1"/>
    <n v="54"/>
    <s v="Indiana"/>
    <x v="1"/>
    <x v="13"/>
    <x v="1"/>
    <x v="6"/>
    <x v="1"/>
    <x v="1"/>
    <n v="23"/>
    <x v="4"/>
    <x v="3"/>
    <m/>
  </r>
  <r>
    <n v="3760"/>
    <n v="44"/>
    <s v="Female"/>
    <x v="4"/>
    <x v="1"/>
    <n v="61"/>
    <s v="Missouri"/>
    <x v="2"/>
    <x v="6"/>
    <x v="1"/>
    <x v="22"/>
    <x v="1"/>
    <x v="1"/>
    <n v="30"/>
    <x v="0"/>
    <x v="3"/>
    <m/>
  </r>
  <r>
    <n v="3761"/>
    <n v="65"/>
    <s v="Female"/>
    <x v="20"/>
    <x v="0"/>
    <n v="80"/>
    <s v="Connecticut"/>
    <x v="2"/>
    <x v="15"/>
    <x v="3"/>
    <x v="0"/>
    <x v="1"/>
    <x v="1"/>
    <n v="36"/>
    <x v="3"/>
    <x v="1"/>
    <m/>
  </r>
  <r>
    <n v="3762"/>
    <n v="60"/>
    <s v="Female"/>
    <x v="21"/>
    <x v="3"/>
    <n v="30"/>
    <s v="Nevada"/>
    <x v="2"/>
    <x v="14"/>
    <x v="2"/>
    <x v="24"/>
    <x v="1"/>
    <x v="1"/>
    <n v="3"/>
    <x v="0"/>
    <x v="6"/>
    <m/>
  </r>
  <r>
    <n v="3763"/>
    <n v="65"/>
    <s v="Female"/>
    <x v="6"/>
    <x v="0"/>
    <n v="94"/>
    <s v="New York"/>
    <x v="0"/>
    <x v="14"/>
    <x v="3"/>
    <x v="25"/>
    <x v="1"/>
    <x v="1"/>
    <n v="13"/>
    <x v="3"/>
    <x v="2"/>
    <m/>
  </r>
  <r>
    <n v="3764"/>
    <n v="27"/>
    <s v="Female"/>
    <x v="5"/>
    <x v="0"/>
    <n v="24"/>
    <s v="Oklahoma"/>
    <x v="3"/>
    <x v="16"/>
    <x v="0"/>
    <x v="21"/>
    <x v="1"/>
    <x v="1"/>
    <n v="38"/>
    <x v="1"/>
    <x v="6"/>
    <m/>
  </r>
  <r>
    <n v="3765"/>
    <n v="36"/>
    <s v="Female"/>
    <x v="20"/>
    <x v="0"/>
    <n v="21"/>
    <s v="South Dakota"/>
    <x v="2"/>
    <x v="1"/>
    <x v="3"/>
    <x v="22"/>
    <x v="1"/>
    <x v="1"/>
    <n v="19"/>
    <x v="0"/>
    <x v="5"/>
    <m/>
  </r>
  <r>
    <n v="3766"/>
    <n v="22"/>
    <s v="Female"/>
    <x v="16"/>
    <x v="3"/>
    <n v="52"/>
    <s v="Missouri"/>
    <x v="2"/>
    <x v="14"/>
    <x v="2"/>
    <x v="12"/>
    <x v="1"/>
    <x v="1"/>
    <n v="14"/>
    <x v="4"/>
    <x v="4"/>
    <m/>
  </r>
  <r>
    <n v="3767"/>
    <n v="62"/>
    <s v="Female"/>
    <x v="8"/>
    <x v="3"/>
    <n v="59"/>
    <s v="Texas"/>
    <x v="2"/>
    <x v="13"/>
    <x v="3"/>
    <x v="17"/>
    <x v="1"/>
    <x v="1"/>
    <n v="43"/>
    <x v="5"/>
    <x v="2"/>
    <m/>
  </r>
  <r>
    <n v="3768"/>
    <n v="59"/>
    <s v="Female"/>
    <x v="6"/>
    <x v="0"/>
    <n v="51"/>
    <s v="New York"/>
    <x v="3"/>
    <x v="13"/>
    <x v="2"/>
    <x v="0"/>
    <x v="1"/>
    <x v="1"/>
    <n v="10"/>
    <x v="4"/>
    <x v="0"/>
    <m/>
  </r>
  <r>
    <n v="3769"/>
    <n v="50"/>
    <s v="Female"/>
    <x v="1"/>
    <x v="0"/>
    <n v="35"/>
    <s v="Vermont"/>
    <x v="2"/>
    <x v="22"/>
    <x v="0"/>
    <x v="8"/>
    <x v="1"/>
    <x v="1"/>
    <n v="34"/>
    <x v="4"/>
    <x v="3"/>
    <m/>
  </r>
  <r>
    <n v="3770"/>
    <n v="51"/>
    <s v="Female"/>
    <x v="24"/>
    <x v="3"/>
    <n v="87"/>
    <s v="Arizona"/>
    <x v="0"/>
    <x v="14"/>
    <x v="2"/>
    <x v="2"/>
    <x v="1"/>
    <x v="1"/>
    <n v="31"/>
    <x v="0"/>
    <x v="2"/>
    <m/>
  </r>
  <r>
    <n v="3771"/>
    <n v="23"/>
    <s v="Female"/>
    <x v="13"/>
    <x v="0"/>
    <n v="42"/>
    <s v="Montana"/>
    <x v="0"/>
    <x v="13"/>
    <x v="2"/>
    <x v="8"/>
    <x v="1"/>
    <x v="1"/>
    <n v="34"/>
    <x v="4"/>
    <x v="1"/>
    <m/>
  </r>
  <r>
    <n v="3772"/>
    <n v="21"/>
    <s v="Female"/>
    <x v="17"/>
    <x v="0"/>
    <n v="86"/>
    <s v="Oklahoma"/>
    <x v="2"/>
    <x v="16"/>
    <x v="0"/>
    <x v="4"/>
    <x v="1"/>
    <x v="1"/>
    <n v="28"/>
    <x v="0"/>
    <x v="4"/>
    <m/>
  </r>
  <r>
    <n v="3773"/>
    <n v="44"/>
    <s v="Female"/>
    <x v="13"/>
    <x v="0"/>
    <n v="26"/>
    <s v="New Hampshire"/>
    <x v="0"/>
    <x v="22"/>
    <x v="3"/>
    <x v="0"/>
    <x v="1"/>
    <x v="1"/>
    <n v="35"/>
    <x v="1"/>
    <x v="2"/>
    <m/>
  </r>
  <r>
    <n v="3774"/>
    <n v="25"/>
    <s v="Female"/>
    <x v="1"/>
    <x v="0"/>
    <n v="60"/>
    <s v="Wisconsin"/>
    <x v="2"/>
    <x v="10"/>
    <x v="2"/>
    <x v="22"/>
    <x v="1"/>
    <x v="1"/>
    <n v="41"/>
    <x v="1"/>
    <x v="3"/>
    <m/>
  </r>
  <r>
    <n v="3775"/>
    <n v="57"/>
    <s v="Female"/>
    <x v="24"/>
    <x v="3"/>
    <n v="83"/>
    <s v="Alaska"/>
    <x v="1"/>
    <x v="17"/>
    <x v="0"/>
    <x v="14"/>
    <x v="1"/>
    <x v="1"/>
    <n v="48"/>
    <x v="3"/>
    <x v="0"/>
    <m/>
  </r>
  <r>
    <n v="3776"/>
    <n v="41"/>
    <s v="Female"/>
    <x v="22"/>
    <x v="3"/>
    <n v="63"/>
    <s v="South Dakota"/>
    <x v="1"/>
    <x v="6"/>
    <x v="1"/>
    <x v="6"/>
    <x v="1"/>
    <x v="1"/>
    <n v="45"/>
    <x v="1"/>
    <x v="3"/>
    <m/>
  </r>
  <r>
    <n v="3777"/>
    <n v="19"/>
    <s v="Female"/>
    <x v="4"/>
    <x v="1"/>
    <n v="25"/>
    <s v="Alaska"/>
    <x v="0"/>
    <x v="8"/>
    <x v="1"/>
    <x v="18"/>
    <x v="1"/>
    <x v="1"/>
    <n v="10"/>
    <x v="2"/>
    <x v="0"/>
    <m/>
  </r>
  <r>
    <n v="3778"/>
    <n v="43"/>
    <s v="Female"/>
    <x v="6"/>
    <x v="0"/>
    <n v="65"/>
    <s v="Utah"/>
    <x v="2"/>
    <x v="1"/>
    <x v="3"/>
    <x v="12"/>
    <x v="1"/>
    <x v="1"/>
    <n v="9"/>
    <x v="1"/>
    <x v="1"/>
    <m/>
  </r>
  <r>
    <n v="3779"/>
    <n v="25"/>
    <s v="Female"/>
    <x v="4"/>
    <x v="1"/>
    <n v="60"/>
    <s v="South Dakota"/>
    <x v="2"/>
    <x v="17"/>
    <x v="3"/>
    <x v="25"/>
    <x v="1"/>
    <x v="1"/>
    <n v="30"/>
    <x v="5"/>
    <x v="2"/>
    <m/>
  </r>
  <r>
    <n v="3780"/>
    <n v="60"/>
    <s v="Female"/>
    <x v="2"/>
    <x v="0"/>
    <n v="75"/>
    <s v="California"/>
    <x v="3"/>
    <x v="12"/>
    <x v="1"/>
    <x v="8"/>
    <x v="1"/>
    <x v="1"/>
    <n v="45"/>
    <x v="3"/>
    <x v="2"/>
    <m/>
  </r>
  <r>
    <n v="3781"/>
    <n v="54"/>
    <s v="Female"/>
    <x v="4"/>
    <x v="1"/>
    <n v="57"/>
    <s v="Mississippi"/>
    <x v="0"/>
    <x v="22"/>
    <x v="3"/>
    <x v="18"/>
    <x v="1"/>
    <x v="1"/>
    <n v="41"/>
    <x v="0"/>
    <x v="3"/>
    <m/>
  </r>
  <r>
    <n v="3782"/>
    <n v="52"/>
    <s v="Female"/>
    <x v="23"/>
    <x v="1"/>
    <n v="99"/>
    <s v="Tennessee"/>
    <x v="2"/>
    <x v="6"/>
    <x v="0"/>
    <x v="5"/>
    <x v="1"/>
    <x v="1"/>
    <n v="40"/>
    <x v="3"/>
    <x v="0"/>
    <m/>
  </r>
  <r>
    <n v="3783"/>
    <n v="40"/>
    <s v="Female"/>
    <x v="14"/>
    <x v="2"/>
    <n v="45"/>
    <s v="Alabama"/>
    <x v="0"/>
    <x v="20"/>
    <x v="1"/>
    <x v="24"/>
    <x v="1"/>
    <x v="1"/>
    <n v="42"/>
    <x v="3"/>
    <x v="0"/>
    <m/>
  </r>
  <r>
    <n v="3784"/>
    <n v="39"/>
    <s v="Female"/>
    <x v="24"/>
    <x v="3"/>
    <n v="66"/>
    <s v="Maine"/>
    <x v="3"/>
    <x v="20"/>
    <x v="2"/>
    <x v="20"/>
    <x v="1"/>
    <x v="1"/>
    <n v="17"/>
    <x v="5"/>
    <x v="0"/>
    <m/>
  </r>
  <r>
    <n v="3785"/>
    <n v="54"/>
    <s v="Female"/>
    <x v="20"/>
    <x v="0"/>
    <n v="53"/>
    <s v="Virginia"/>
    <x v="2"/>
    <x v="10"/>
    <x v="0"/>
    <x v="21"/>
    <x v="1"/>
    <x v="1"/>
    <n v="4"/>
    <x v="0"/>
    <x v="2"/>
    <m/>
  </r>
  <r>
    <n v="3786"/>
    <n v="64"/>
    <s v="Female"/>
    <x v="2"/>
    <x v="0"/>
    <n v="94"/>
    <s v="New Hampshire"/>
    <x v="0"/>
    <x v="12"/>
    <x v="0"/>
    <x v="1"/>
    <x v="1"/>
    <x v="1"/>
    <n v="6"/>
    <x v="1"/>
    <x v="5"/>
    <m/>
  </r>
  <r>
    <n v="3787"/>
    <n v="31"/>
    <s v="Female"/>
    <x v="23"/>
    <x v="1"/>
    <n v="47"/>
    <s v="Tennessee"/>
    <x v="0"/>
    <x v="22"/>
    <x v="3"/>
    <x v="2"/>
    <x v="1"/>
    <x v="1"/>
    <n v="22"/>
    <x v="0"/>
    <x v="1"/>
    <m/>
  </r>
  <r>
    <n v="3788"/>
    <n v="37"/>
    <s v="Female"/>
    <x v="0"/>
    <x v="0"/>
    <n v="80"/>
    <s v="New York"/>
    <x v="2"/>
    <x v="6"/>
    <x v="3"/>
    <x v="2"/>
    <x v="1"/>
    <x v="1"/>
    <n v="46"/>
    <x v="3"/>
    <x v="6"/>
    <m/>
  </r>
  <r>
    <n v="3789"/>
    <n v="43"/>
    <s v="Female"/>
    <x v="19"/>
    <x v="3"/>
    <n v="65"/>
    <s v="Kansas"/>
    <x v="3"/>
    <x v="11"/>
    <x v="1"/>
    <x v="20"/>
    <x v="1"/>
    <x v="1"/>
    <n v="27"/>
    <x v="5"/>
    <x v="5"/>
    <m/>
  </r>
  <r>
    <n v="3790"/>
    <n v="56"/>
    <s v="Female"/>
    <x v="5"/>
    <x v="0"/>
    <n v="75"/>
    <s v="North Dakota"/>
    <x v="2"/>
    <x v="23"/>
    <x v="2"/>
    <x v="1"/>
    <x v="1"/>
    <x v="1"/>
    <n v="18"/>
    <x v="4"/>
    <x v="6"/>
    <m/>
  </r>
  <r>
    <n v="3791"/>
    <n v="27"/>
    <s v="Female"/>
    <x v="8"/>
    <x v="3"/>
    <n v="45"/>
    <s v="Alaska"/>
    <x v="3"/>
    <x v="19"/>
    <x v="2"/>
    <x v="9"/>
    <x v="1"/>
    <x v="1"/>
    <n v="31"/>
    <x v="2"/>
    <x v="1"/>
    <m/>
  </r>
  <r>
    <n v="3792"/>
    <n v="40"/>
    <s v="Female"/>
    <x v="12"/>
    <x v="3"/>
    <n v="51"/>
    <s v="Texas"/>
    <x v="2"/>
    <x v="0"/>
    <x v="1"/>
    <x v="5"/>
    <x v="1"/>
    <x v="1"/>
    <n v="1"/>
    <x v="0"/>
    <x v="1"/>
    <m/>
  </r>
  <r>
    <n v="3793"/>
    <n v="43"/>
    <s v="Female"/>
    <x v="18"/>
    <x v="3"/>
    <n v="58"/>
    <s v="Massachusetts"/>
    <x v="1"/>
    <x v="2"/>
    <x v="2"/>
    <x v="4"/>
    <x v="1"/>
    <x v="1"/>
    <n v="2"/>
    <x v="3"/>
    <x v="0"/>
    <m/>
  </r>
  <r>
    <n v="3794"/>
    <n v="62"/>
    <s v="Female"/>
    <x v="12"/>
    <x v="3"/>
    <n v="20"/>
    <s v="Delaware"/>
    <x v="2"/>
    <x v="6"/>
    <x v="3"/>
    <x v="8"/>
    <x v="1"/>
    <x v="1"/>
    <n v="46"/>
    <x v="4"/>
    <x v="2"/>
    <m/>
  </r>
  <r>
    <n v="3795"/>
    <n v="44"/>
    <s v="Female"/>
    <x v="18"/>
    <x v="3"/>
    <n v="82"/>
    <s v="South Dakota"/>
    <x v="2"/>
    <x v="10"/>
    <x v="2"/>
    <x v="2"/>
    <x v="1"/>
    <x v="1"/>
    <n v="27"/>
    <x v="0"/>
    <x v="1"/>
    <m/>
  </r>
  <r>
    <n v="3796"/>
    <n v="45"/>
    <s v="Female"/>
    <x v="24"/>
    <x v="3"/>
    <n v="92"/>
    <s v="Arkansas"/>
    <x v="2"/>
    <x v="4"/>
    <x v="1"/>
    <x v="16"/>
    <x v="1"/>
    <x v="1"/>
    <n v="3"/>
    <x v="1"/>
    <x v="1"/>
    <m/>
  </r>
  <r>
    <n v="3797"/>
    <n v="40"/>
    <s v="Female"/>
    <x v="6"/>
    <x v="0"/>
    <n v="81"/>
    <s v="Utah"/>
    <x v="2"/>
    <x v="12"/>
    <x v="3"/>
    <x v="20"/>
    <x v="1"/>
    <x v="1"/>
    <n v="47"/>
    <x v="4"/>
    <x v="3"/>
    <m/>
  </r>
  <r>
    <n v="3798"/>
    <n v="68"/>
    <s v="Female"/>
    <x v="12"/>
    <x v="3"/>
    <n v="44"/>
    <s v="California"/>
    <x v="2"/>
    <x v="0"/>
    <x v="2"/>
    <x v="16"/>
    <x v="1"/>
    <x v="1"/>
    <n v="20"/>
    <x v="1"/>
    <x v="3"/>
    <m/>
  </r>
  <r>
    <n v="3799"/>
    <n v="63"/>
    <s v="Female"/>
    <x v="16"/>
    <x v="3"/>
    <n v="72"/>
    <s v="Rhode Island"/>
    <x v="1"/>
    <x v="18"/>
    <x v="0"/>
    <x v="20"/>
    <x v="1"/>
    <x v="1"/>
    <n v="23"/>
    <x v="2"/>
    <x v="2"/>
    <m/>
  </r>
  <r>
    <n v="3800"/>
    <n v="60"/>
    <s v="Female"/>
    <x v="14"/>
    <x v="2"/>
    <n v="26"/>
    <s v="Oklahoma"/>
    <x v="0"/>
    <x v="10"/>
    <x v="0"/>
    <x v="4"/>
    <x v="1"/>
    <x v="1"/>
    <n v="13"/>
    <x v="2"/>
    <x v="5"/>
    <m/>
  </r>
  <r>
    <n v="3801"/>
    <n v="19"/>
    <s v="Female"/>
    <x v="1"/>
    <x v="0"/>
    <n v="26"/>
    <s v="Vermont"/>
    <x v="2"/>
    <x v="2"/>
    <x v="3"/>
    <x v="3"/>
    <x v="1"/>
    <x v="1"/>
    <n v="12"/>
    <x v="0"/>
    <x v="4"/>
    <m/>
  </r>
  <r>
    <n v="3802"/>
    <n v="26"/>
    <s v="Female"/>
    <x v="0"/>
    <x v="0"/>
    <n v="84"/>
    <s v="Kentucky"/>
    <x v="2"/>
    <x v="15"/>
    <x v="1"/>
    <x v="11"/>
    <x v="1"/>
    <x v="1"/>
    <n v="36"/>
    <x v="3"/>
    <x v="0"/>
    <m/>
  </r>
  <r>
    <n v="3803"/>
    <n v="70"/>
    <s v="Female"/>
    <x v="18"/>
    <x v="3"/>
    <n v="72"/>
    <s v="Illinois"/>
    <x v="1"/>
    <x v="2"/>
    <x v="1"/>
    <x v="20"/>
    <x v="1"/>
    <x v="1"/>
    <n v="1"/>
    <x v="4"/>
    <x v="5"/>
    <m/>
  </r>
  <r>
    <n v="3804"/>
    <n v="48"/>
    <s v="Female"/>
    <x v="8"/>
    <x v="3"/>
    <n v="55"/>
    <s v="Connecticut"/>
    <x v="2"/>
    <x v="10"/>
    <x v="1"/>
    <x v="2"/>
    <x v="1"/>
    <x v="1"/>
    <n v="14"/>
    <x v="5"/>
    <x v="1"/>
    <m/>
  </r>
  <r>
    <n v="3805"/>
    <n v="37"/>
    <s v="Female"/>
    <x v="19"/>
    <x v="3"/>
    <n v="77"/>
    <s v="Florida"/>
    <x v="2"/>
    <x v="8"/>
    <x v="3"/>
    <x v="6"/>
    <x v="1"/>
    <x v="1"/>
    <n v="45"/>
    <x v="1"/>
    <x v="2"/>
    <m/>
  </r>
  <r>
    <n v="3806"/>
    <n v="48"/>
    <s v="Female"/>
    <x v="18"/>
    <x v="3"/>
    <n v="57"/>
    <s v="New Jersey"/>
    <x v="2"/>
    <x v="14"/>
    <x v="3"/>
    <x v="0"/>
    <x v="1"/>
    <x v="1"/>
    <n v="31"/>
    <x v="2"/>
    <x v="3"/>
    <m/>
  </r>
  <r>
    <n v="3807"/>
    <n v="18"/>
    <s v="Female"/>
    <x v="23"/>
    <x v="1"/>
    <n v="71"/>
    <s v="Missouri"/>
    <x v="2"/>
    <x v="11"/>
    <x v="1"/>
    <x v="23"/>
    <x v="1"/>
    <x v="1"/>
    <n v="41"/>
    <x v="3"/>
    <x v="1"/>
    <m/>
  </r>
  <r>
    <n v="3808"/>
    <n v="38"/>
    <s v="Female"/>
    <x v="0"/>
    <x v="0"/>
    <n v="39"/>
    <s v="Michigan"/>
    <x v="0"/>
    <x v="15"/>
    <x v="1"/>
    <x v="25"/>
    <x v="1"/>
    <x v="1"/>
    <n v="36"/>
    <x v="3"/>
    <x v="2"/>
    <m/>
  </r>
  <r>
    <n v="3809"/>
    <n v="33"/>
    <s v="Female"/>
    <x v="20"/>
    <x v="0"/>
    <n v="28"/>
    <s v="Washington"/>
    <x v="2"/>
    <x v="6"/>
    <x v="0"/>
    <x v="15"/>
    <x v="1"/>
    <x v="1"/>
    <n v="6"/>
    <x v="5"/>
    <x v="4"/>
    <m/>
  </r>
  <r>
    <n v="3810"/>
    <n v="57"/>
    <s v="Female"/>
    <x v="9"/>
    <x v="1"/>
    <n v="33"/>
    <s v="New York"/>
    <x v="1"/>
    <x v="1"/>
    <x v="0"/>
    <x v="5"/>
    <x v="1"/>
    <x v="1"/>
    <n v="28"/>
    <x v="2"/>
    <x v="2"/>
    <m/>
  </r>
  <r>
    <n v="3811"/>
    <n v="46"/>
    <s v="Female"/>
    <x v="11"/>
    <x v="0"/>
    <n v="79"/>
    <s v="Wisconsin"/>
    <x v="0"/>
    <x v="15"/>
    <x v="3"/>
    <x v="14"/>
    <x v="1"/>
    <x v="1"/>
    <n v="29"/>
    <x v="0"/>
    <x v="5"/>
    <m/>
  </r>
  <r>
    <n v="3812"/>
    <n v="46"/>
    <s v="Female"/>
    <x v="22"/>
    <x v="3"/>
    <n v="30"/>
    <s v="Idaho"/>
    <x v="2"/>
    <x v="1"/>
    <x v="0"/>
    <x v="8"/>
    <x v="1"/>
    <x v="1"/>
    <n v="14"/>
    <x v="1"/>
    <x v="5"/>
    <m/>
  </r>
  <r>
    <n v="3813"/>
    <n v="50"/>
    <s v="Female"/>
    <x v="11"/>
    <x v="0"/>
    <n v="75"/>
    <s v="Michigan"/>
    <x v="2"/>
    <x v="6"/>
    <x v="1"/>
    <x v="24"/>
    <x v="1"/>
    <x v="1"/>
    <n v="7"/>
    <x v="4"/>
    <x v="6"/>
    <m/>
  </r>
  <r>
    <n v="3814"/>
    <n v="61"/>
    <s v="Female"/>
    <x v="13"/>
    <x v="0"/>
    <n v="89"/>
    <s v="Georgia"/>
    <x v="2"/>
    <x v="20"/>
    <x v="2"/>
    <x v="18"/>
    <x v="1"/>
    <x v="1"/>
    <n v="31"/>
    <x v="0"/>
    <x v="4"/>
    <m/>
  </r>
  <r>
    <n v="3815"/>
    <n v="45"/>
    <s v="Female"/>
    <x v="10"/>
    <x v="0"/>
    <n v="95"/>
    <s v="Michigan"/>
    <x v="2"/>
    <x v="20"/>
    <x v="0"/>
    <x v="13"/>
    <x v="1"/>
    <x v="1"/>
    <n v="26"/>
    <x v="4"/>
    <x v="6"/>
    <m/>
  </r>
  <r>
    <n v="3816"/>
    <n v="32"/>
    <s v="Female"/>
    <x v="19"/>
    <x v="3"/>
    <n v="44"/>
    <s v="Maine"/>
    <x v="2"/>
    <x v="18"/>
    <x v="3"/>
    <x v="12"/>
    <x v="1"/>
    <x v="1"/>
    <n v="12"/>
    <x v="0"/>
    <x v="0"/>
    <m/>
  </r>
  <r>
    <n v="3817"/>
    <n v="29"/>
    <s v="Female"/>
    <x v="7"/>
    <x v="2"/>
    <n v="86"/>
    <s v="Maryland"/>
    <x v="1"/>
    <x v="5"/>
    <x v="2"/>
    <x v="12"/>
    <x v="1"/>
    <x v="1"/>
    <n v="45"/>
    <x v="2"/>
    <x v="0"/>
    <m/>
  </r>
  <r>
    <n v="3818"/>
    <n v="66"/>
    <s v="Female"/>
    <x v="18"/>
    <x v="3"/>
    <n v="91"/>
    <s v="Missouri"/>
    <x v="2"/>
    <x v="23"/>
    <x v="3"/>
    <x v="4"/>
    <x v="1"/>
    <x v="1"/>
    <n v="40"/>
    <x v="3"/>
    <x v="2"/>
    <m/>
  </r>
  <r>
    <n v="3819"/>
    <n v="70"/>
    <s v="Female"/>
    <x v="4"/>
    <x v="1"/>
    <n v="41"/>
    <s v="Oregon"/>
    <x v="3"/>
    <x v="21"/>
    <x v="0"/>
    <x v="1"/>
    <x v="1"/>
    <x v="1"/>
    <n v="42"/>
    <x v="1"/>
    <x v="5"/>
    <m/>
  </r>
  <r>
    <n v="3820"/>
    <n v="36"/>
    <s v="Female"/>
    <x v="13"/>
    <x v="0"/>
    <n v="99"/>
    <s v="Arkansas"/>
    <x v="1"/>
    <x v="9"/>
    <x v="1"/>
    <x v="25"/>
    <x v="1"/>
    <x v="1"/>
    <n v="45"/>
    <x v="1"/>
    <x v="3"/>
    <m/>
  </r>
  <r>
    <n v="3821"/>
    <n v="34"/>
    <s v="Female"/>
    <x v="22"/>
    <x v="3"/>
    <n v="65"/>
    <s v="New Hampshire"/>
    <x v="2"/>
    <x v="7"/>
    <x v="0"/>
    <x v="11"/>
    <x v="1"/>
    <x v="1"/>
    <n v="34"/>
    <x v="5"/>
    <x v="3"/>
    <m/>
  </r>
  <r>
    <n v="3822"/>
    <n v="20"/>
    <s v="Female"/>
    <x v="4"/>
    <x v="1"/>
    <n v="48"/>
    <s v="Oregon"/>
    <x v="2"/>
    <x v="9"/>
    <x v="2"/>
    <x v="7"/>
    <x v="1"/>
    <x v="1"/>
    <n v="34"/>
    <x v="2"/>
    <x v="6"/>
    <m/>
  </r>
  <r>
    <n v="3823"/>
    <n v="70"/>
    <s v="Female"/>
    <x v="19"/>
    <x v="3"/>
    <n v="41"/>
    <s v="Kansas"/>
    <x v="1"/>
    <x v="9"/>
    <x v="1"/>
    <x v="20"/>
    <x v="1"/>
    <x v="1"/>
    <n v="17"/>
    <x v="3"/>
    <x v="6"/>
    <m/>
  </r>
  <r>
    <n v="3824"/>
    <n v="50"/>
    <s v="Female"/>
    <x v="5"/>
    <x v="0"/>
    <n v="42"/>
    <s v="California"/>
    <x v="2"/>
    <x v="9"/>
    <x v="2"/>
    <x v="23"/>
    <x v="1"/>
    <x v="1"/>
    <n v="27"/>
    <x v="4"/>
    <x v="1"/>
    <m/>
  </r>
  <r>
    <n v="3825"/>
    <n v="54"/>
    <s v="Female"/>
    <x v="6"/>
    <x v="0"/>
    <n v="26"/>
    <s v="Georgia"/>
    <x v="2"/>
    <x v="8"/>
    <x v="2"/>
    <x v="8"/>
    <x v="1"/>
    <x v="1"/>
    <n v="31"/>
    <x v="2"/>
    <x v="3"/>
    <m/>
  </r>
  <r>
    <n v="3826"/>
    <n v="49"/>
    <s v="Female"/>
    <x v="6"/>
    <x v="0"/>
    <n v="35"/>
    <s v="Hawaii"/>
    <x v="0"/>
    <x v="14"/>
    <x v="3"/>
    <x v="18"/>
    <x v="1"/>
    <x v="1"/>
    <n v="47"/>
    <x v="5"/>
    <x v="0"/>
    <m/>
  </r>
  <r>
    <n v="3827"/>
    <n v="50"/>
    <s v="Female"/>
    <x v="14"/>
    <x v="2"/>
    <n v="31"/>
    <s v="Montana"/>
    <x v="2"/>
    <x v="0"/>
    <x v="2"/>
    <x v="8"/>
    <x v="1"/>
    <x v="1"/>
    <n v="25"/>
    <x v="4"/>
    <x v="2"/>
    <m/>
  </r>
  <r>
    <n v="3828"/>
    <n v="62"/>
    <s v="Female"/>
    <x v="16"/>
    <x v="3"/>
    <n v="73"/>
    <s v="Montana"/>
    <x v="2"/>
    <x v="16"/>
    <x v="2"/>
    <x v="18"/>
    <x v="1"/>
    <x v="1"/>
    <n v="47"/>
    <x v="1"/>
    <x v="0"/>
    <m/>
  </r>
  <r>
    <n v="3829"/>
    <n v="42"/>
    <s v="Female"/>
    <x v="0"/>
    <x v="0"/>
    <n v="82"/>
    <s v="Mississippi"/>
    <x v="2"/>
    <x v="4"/>
    <x v="1"/>
    <x v="10"/>
    <x v="1"/>
    <x v="1"/>
    <n v="8"/>
    <x v="1"/>
    <x v="1"/>
    <m/>
  </r>
  <r>
    <n v="3830"/>
    <n v="69"/>
    <s v="Female"/>
    <x v="13"/>
    <x v="0"/>
    <n v="32"/>
    <s v="Washington"/>
    <x v="2"/>
    <x v="21"/>
    <x v="1"/>
    <x v="25"/>
    <x v="1"/>
    <x v="1"/>
    <n v="32"/>
    <x v="5"/>
    <x v="0"/>
    <m/>
  </r>
  <r>
    <n v="3831"/>
    <n v="22"/>
    <s v="Female"/>
    <x v="19"/>
    <x v="3"/>
    <n v="27"/>
    <s v="Pennsylvania"/>
    <x v="2"/>
    <x v="21"/>
    <x v="2"/>
    <x v="23"/>
    <x v="1"/>
    <x v="1"/>
    <n v="33"/>
    <x v="4"/>
    <x v="6"/>
    <m/>
  </r>
  <r>
    <n v="3832"/>
    <n v="36"/>
    <s v="Female"/>
    <x v="21"/>
    <x v="3"/>
    <n v="86"/>
    <s v="Nevada"/>
    <x v="0"/>
    <x v="5"/>
    <x v="1"/>
    <x v="8"/>
    <x v="1"/>
    <x v="1"/>
    <n v="16"/>
    <x v="5"/>
    <x v="6"/>
    <m/>
  </r>
  <r>
    <n v="3833"/>
    <n v="64"/>
    <s v="Female"/>
    <x v="23"/>
    <x v="1"/>
    <n v="38"/>
    <s v="Kansas"/>
    <x v="3"/>
    <x v="7"/>
    <x v="0"/>
    <x v="3"/>
    <x v="1"/>
    <x v="1"/>
    <n v="27"/>
    <x v="1"/>
    <x v="1"/>
    <m/>
  </r>
  <r>
    <n v="3834"/>
    <n v="44"/>
    <s v="Female"/>
    <x v="14"/>
    <x v="2"/>
    <n v="93"/>
    <s v="Arizona"/>
    <x v="0"/>
    <x v="0"/>
    <x v="2"/>
    <x v="7"/>
    <x v="1"/>
    <x v="1"/>
    <n v="17"/>
    <x v="3"/>
    <x v="6"/>
    <m/>
  </r>
  <r>
    <n v="3835"/>
    <n v="43"/>
    <s v="Female"/>
    <x v="15"/>
    <x v="0"/>
    <n v="59"/>
    <s v="Tennessee"/>
    <x v="2"/>
    <x v="23"/>
    <x v="0"/>
    <x v="18"/>
    <x v="1"/>
    <x v="1"/>
    <n v="17"/>
    <x v="1"/>
    <x v="3"/>
    <m/>
  </r>
  <r>
    <n v="3836"/>
    <n v="58"/>
    <s v="Female"/>
    <x v="3"/>
    <x v="1"/>
    <n v="58"/>
    <s v="Pennsylvania"/>
    <x v="0"/>
    <x v="5"/>
    <x v="0"/>
    <x v="4"/>
    <x v="1"/>
    <x v="1"/>
    <n v="28"/>
    <x v="3"/>
    <x v="4"/>
    <m/>
  </r>
  <r>
    <n v="3837"/>
    <n v="62"/>
    <s v="Female"/>
    <x v="11"/>
    <x v="0"/>
    <n v="84"/>
    <s v="Alaska"/>
    <x v="2"/>
    <x v="10"/>
    <x v="1"/>
    <x v="16"/>
    <x v="1"/>
    <x v="1"/>
    <n v="38"/>
    <x v="3"/>
    <x v="0"/>
    <m/>
  </r>
  <r>
    <n v="3838"/>
    <n v="45"/>
    <s v="Female"/>
    <x v="15"/>
    <x v="0"/>
    <n v="100"/>
    <s v="New Mexico"/>
    <x v="2"/>
    <x v="14"/>
    <x v="1"/>
    <x v="3"/>
    <x v="1"/>
    <x v="1"/>
    <n v="33"/>
    <x v="4"/>
    <x v="0"/>
    <m/>
  </r>
  <r>
    <n v="3839"/>
    <n v="47"/>
    <s v="Female"/>
    <x v="10"/>
    <x v="0"/>
    <n v="25"/>
    <s v="Rhode Island"/>
    <x v="0"/>
    <x v="14"/>
    <x v="2"/>
    <x v="13"/>
    <x v="1"/>
    <x v="1"/>
    <n v="24"/>
    <x v="0"/>
    <x v="6"/>
    <m/>
  </r>
  <r>
    <n v="3840"/>
    <n v="66"/>
    <s v="Female"/>
    <x v="3"/>
    <x v="1"/>
    <n v="29"/>
    <s v="Connecticut"/>
    <x v="2"/>
    <x v="15"/>
    <x v="1"/>
    <x v="14"/>
    <x v="1"/>
    <x v="1"/>
    <n v="14"/>
    <x v="0"/>
    <x v="3"/>
    <m/>
  </r>
  <r>
    <n v="3841"/>
    <n v="30"/>
    <s v="Female"/>
    <x v="2"/>
    <x v="0"/>
    <n v="42"/>
    <s v="Idaho"/>
    <x v="2"/>
    <x v="2"/>
    <x v="1"/>
    <x v="5"/>
    <x v="1"/>
    <x v="1"/>
    <n v="5"/>
    <x v="0"/>
    <x v="0"/>
    <m/>
  </r>
  <r>
    <n v="3842"/>
    <n v="68"/>
    <s v="Female"/>
    <x v="2"/>
    <x v="0"/>
    <n v="57"/>
    <s v="Mississippi"/>
    <x v="0"/>
    <x v="6"/>
    <x v="3"/>
    <x v="13"/>
    <x v="1"/>
    <x v="1"/>
    <n v="8"/>
    <x v="4"/>
    <x v="5"/>
    <m/>
  </r>
  <r>
    <n v="3843"/>
    <n v="35"/>
    <s v="Female"/>
    <x v="14"/>
    <x v="2"/>
    <n v="84"/>
    <s v="Colorado"/>
    <x v="0"/>
    <x v="12"/>
    <x v="0"/>
    <x v="13"/>
    <x v="1"/>
    <x v="1"/>
    <n v="42"/>
    <x v="5"/>
    <x v="5"/>
    <m/>
  </r>
  <r>
    <n v="3844"/>
    <n v="64"/>
    <s v="Female"/>
    <x v="19"/>
    <x v="3"/>
    <n v="71"/>
    <s v="Georgia"/>
    <x v="0"/>
    <x v="5"/>
    <x v="0"/>
    <x v="8"/>
    <x v="1"/>
    <x v="1"/>
    <n v="48"/>
    <x v="0"/>
    <x v="6"/>
    <m/>
  </r>
  <r>
    <n v="3845"/>
    <n v="30"/>
    <s v="Female"/>
    <x v="6"/>
    <x v="0"/>
    <n v="87"/>
    <s v="Montana"/>
    <x v="1"/>
    <x v="17"/>
    <x v="3"/>
    <x v="11"/>
    <x v="1"/>
    <x v="1"/>
    <n v="40"/>
    <x v="0"/>
    <x v="3"/>
    <m/>
  </r>
  <r>
    <n v="3846"/>
    <n v="58"/>
    <s v="Female"/>
    <x v="1"/>
    <x v="0"/>
    <n v="52"/>
    <s v="California"/>
    <x v="2"/>
    <x v="14"/>
    <x v="0"/>
    <x v="17"/>
    <x v="1"/>
    <x v="1"/>
    <n v="46"/>
    <x v="0"/>
    <x v="2"/>
    <m/>
  </r>
  <r>
    <n v="3847"/>
    <n v="57"/>
    <s v="Female"/>
    <x v="0"/>
    <x v="0"/>
    <n v="58"/>
    <s v="Pennsylvania"/>
    <x v="0"/>
    <x v="20"/>
    <x v="2"/>
    <x v="8"/>
    <x v="1"/>
    <x v="1"/>
    <n v="40"/>
    <x v="3"/>
    <x v="6"/>
    <m/>
  </r>
  <r>
    <n v="3848"/>
    <n v="60"/>
    <s v="Female"/>
    <x v="1"/>
    <x v="0"/>
    <n v="34"/>
    <s v="Delaware"/>
    <x v="1"/>
    <x v="24"/>
    <x v="3"/>
    <x v="20"/>
    <x v="1"/>
    <x v="1"/>
    <n v="31"/>
    <x v="3"/>
    <x v="0"/>
    <m/>
  </r>
  <r>
    <n v="3849"/>
    <n v="22"/>
    <s v="Female"/>
    <x v="16"/>
    <x v="3"/>
    <n v="60"/>
    <s v="New Hampshire"/>
    <x v="2"/>
    <x v="23"/>
    <x v="0"/>
    <x v="23"/>
    <x v="1"/>
    <x v="1"/>
    <n v="39"/>
    <x v="1"/>
    <x v="6"/>
    <m/>
  </r>
  <r>
    <n v="3850"/>
    <n v="46"/>
    <s v="Female"/>
    <x v="15"/>
    <x v="0"/>
    <n v="68"/>
    <s v="Florida"/>
    <x v="1"/>
    <x v="17"/>
    <x v="0"/>
    <x v="4"/>
    <x v="1"/>
    <x v="1"/>
    <n v="36"/>
    <x v="3"/>
    <x v="0"/>
    <m/>
  </r>
  <r>
    <n v="3851"/>
    <n v="27"/>
    <s v="Female"/>
    <x v="16"/>
    <x v="3"/>
    <n v="74"/>
    <s v="Mississippi"/>
    <x v="0"/>
    <x v="21"/>
    <x v="2"/>
    <x v="9"/>
    <x v="1"/>
    <x v="1"/>
    <n v="25"/>
    <x v="5"/>
    <x v="6"/>
    <m/>
  </r>
  <r>
    <n v="3852"/>
    <n v="50"/>
    <s v="Female"/>
    <x v="18"/>
    <x v="3"/>
    <n v="83"/>
    <s v="Montana"/>
    <x v="2"/>
    <x v="6"/>
    <x v="2"/>
    <x v="14"/>
    <x v="1"/>
    <x v="1"/>
    <n v="24"/>
    <x v="5"/>
    <x v="2"/>
    <m/>
  </r>
  <r>
    <n v="3853"/>
    <n v="65"/>
    <s v="Female"/>
    <x v="19"/>
    <x v="3"/>
    <n v="79"/>
    <s v="Mississippi"/>
    <x v="2"/>
    <x v="15"/>
    <x v="3"/>
    <x v="8"/>
    <x v="1"/>
    <x v="1"/>
    <n v="19"/>
    <x v="3"/>
    <x v="1"/>
    <m/>
  </r>
  <r>
    <n v="3854"/>
    <n v="61"/>
    <s v="Female"/>
    <x v="12"/>
    <x v="3"/>
    <n v="76"/>
    <s v="Tennessee"/>
    <x v="2"/>
    <x v="12"/>
    <x v="3"/>
    <x v="8"/>
    <x v="1"/>
    <x v="1"/>
    <n v="49"/>
    <x v="5"/>
    <x v="4"/>
    <m/>
  </r>
  <r>
    <n v="3855"/>
    <n v="57"/>
    <s v="Female"/>
    <x v="17"/>
    <x v="0"/>
    <n v="20"/>
    <s v="Florida"/>
    <x v="2"/>
    <x v="13"/>
    <x v="1"/>
    <x v="13"/>
    <x v="1"/>
    <x v="1"/>
    <n v="4"/>
    <x v="0"/>
    <x v="2"/>
    <m/>
  </r>
  <r>
    <n v="3856"/>
    <n v="40"/>
    <s v="Female"/>
    <x v="5"/>
    <x v="0"/>
    <n v="61"/>
    <s v="Illinois"/>
    <x v="3"/>
    <x v="12"/>
    <x v="2"/>
    <x v="9"/>
    <x v="1"/>
    <x v="1"/>
    <n v="36"/>
    <x v="1"/>
    <x v="3"/>
    <m/>
  </r>
  <r>
    <n v="3857"/>
    <n v="39"/>
    <s v="Female"/>
    <x v="3"/>
    <x v="1"/>
    <n v="78"/>
    <s v="Virginia"/>
    <x v="1"/>
    <x v="18"/>
    <x v="2"/>
    <x v="16"/>
    <x v="1"/>
    <x v="1"/>
    <n v="8"/>
    <x v="5"/>
    <x v="3"/>
    <m/>
  </r>
  <r>
    <n v="3858"/>
    <n v="42"/>
    <s v="Female"/>
    <x v="19"/>
    <x v="3"/>
    <n v="21"/>
    <s v="Texas"/>
    <x v="1"/>
    <x v="22"/>
    <x v="2"/>
    <x v="0"/>
    <x v="1"/>
    <x v="1"/>
    <n v="29"/>
    <x v="2"/>
    <x v="6"/>
    <m/>
  </r>
  <r>
    <n v="3859"/>
    <n v="30"/>
    <s v="Female"/>
    <x v="17"/>
    <x v="0"/>
    <n v="77"/>
    <s v="Missouri"/>
    <x v="2"/>
    <x v="8"/>
    <x v="0"/>
    <x v="22"/>
    <x v="1"/>
    <x v="1"/>
    <n v="26"/>
    <x v="2"/>
    <x v="3"/>
    <m/>
  </r>
  <r>
    <n v="3860"/>
    <n v="65"/>
    <s v="Female"/>
    <x v="6"/>
    <x v="0"/>
    <n v="88"/>
    <s v="Mississippi"/>
    <x v="1"/>
    <x v="24"/>
    <x v="3"/>
    <x v="23"/>
    <x v="1"/>
    <x v="1"/>
    <n v="47"/>
    <x v="4"/>
    <x v="4"/>
    <m/>
  </r>
  <r>
    <n v="3861"/>
    <n v="57"/>
    <s v="Female"/>
    <x v="12"/>
    <x v="3"/>
    <n v="64"/>
    <s v="Pennsylvania"/>
    <x v="2"/>
    <x v="2"/>
    <x v="2"/>
    <x v="9"/>
    <x v="1"/>
    <x v="1"/>
    <n v="44"/>
    <x v="1"/>
    <x v="2"/>
    <m/>
  </r>
  <r>
    <n v="3862"/>
    <n v="64"/>
    <s v="Female"/>
    <x v="14"/>
    <x v="2"/>
    <n v="57"/>
    <s v="Wyoming"/>
    <x v="2"/>
    <x v="22"/>
    <x v="1"/>
    <x v="17"/>
    <x v="1"/>
    <x v="1"/>
    <n v="49"/>
    <x v="2"/>
    <x v="5"/>
    <m/>
  </r>
  <r>
    <n v="3863"/>
    <n v="56"/>
    <s v="Female"/>
    <x v="5"/>
    <x v="0"/>
    <n v="49"/>
    <s v="Idaho"/>
    <x v="0"/>
    <x v="2"/>
    <x v="0"/>
    <x v="24"/>
    <x v="1"/>
    <x v="1"/>
    <n v="9"/>
    <x v="0"/>
    <x v="5"/>
    <m/>
  </r>
  <r>
    <n v="3864"/>
    <n v="40"/>
    <s v="Female"/>
    <x v="18"/>
    <x v="3"/>
    <n v="35"/>
    <s v="New Hampshire"/>
    <x v="2"/>
    <x v="20"/>
    <x v="2"/>
    <x v="19"/>
    <x v="1"/>
    <x v="1"/>
    <n v="28"/>
    <x v="1"/>
    <x v="0"/>
    <m/>
  </r>
  <r>
    <n v="3865"/>
    <n v="55"/>
    <s v="Female"/>
    <x v="17"/>
    <x v="0"/>
    <n v="99"/>
    <s v="Wyoming"/>
    <x v="1"/>
    <x v="24"/>
    <x v="0"/>
    <x v="17"/>
    <x v="1"/>
    <x v="1"/>
    <n v="1"/>
    <x v="5"/>
    <x v="0"/>
    <m/>
  </r>
  <r>
    <n v="3866"/>
    <n v="25"/>
    <s v="Female"/>
    <x v="6"/>
    <x v="0"/>
    <n v="42"/>
    <s v="Nebraska"/>
    <x v="2"/>
    <x v="8"/>
    <x v="1"/>
    <x v="13"/>
    <x v="1"/>
    <x v="1"/>
    <n v="28"/>
    <x v="1"/>
    <x v="6"/>
    <m/>
  </r>
  <r>
    <n v="3867"/>
    <n v="58"/>
    <s v="Female"/>
    <x v="19"/>
    <x v="3"/>
    <n v="32"/>
    <s v="Alaska"/>
    <x v="2"/>
    <x v="19"/>
    <x v="0"/>
    <x v="19"/>
    <x v="1"/>
    <x v="1"/>
    <n v="33"/>
    <x v="2"/>
    <x v="0"/>
    <m/>
  </r>
  <r>
    <n v="3868"/>
    <n v="46"/>
    <s v="Female"/>
    <x v="14"/>
    <x v="2"/>
    <n v="21"/>
    <s v="Maryland"/>
    <x v="0"/>
    <x v="12"/>
    <x v="2"/>
    <x v="6"/>
    <x v="1"/>
    <x v="1"/>
    <n v="28"/>
    <x v="2"/>
    <x v="5"/>
    <m/>
  </r>
  <r>
    <n v="3869"/>
    <n v="18"/>
    <s v="Female"/>
    <x v="10"/>
    <x v="0"/>
    <n v="29"/>
    <s v="Maryland"/>
    <x v="3"/>
    <x v="23"/>
    <x v="0"/>
    <x v="19"/>
    <x v="1"/>
    <x v="1"/>
    <n v="9"/>
    <x v="1"/>
    <x v="2"/>
    <m/>
  </r>
  <r>
    <n v="3870"/>
    <n v="26"/>
    <s v="Female"/>
    <x v="7"/>
    <x v="2"/>
    <n v="64"/>
    <s v="Arizona"/>
    <x v="0"/>
    <x v="17"/>
    <x v="1"/>
    <x v="1"/>
    <x v="1"/>
    <x v="1"/>
    <n v="28"/>
    <x v="4"/>
    <x v="2"/>
    <m/>
  </r>
  <r>
    <n v="3871"/>
    <n v="61"/>
    <s v="Female"/>
    <x v="3"/>
    <x v="1"/>
    <n v="46"/>
    <s v="Ohio"/>
    <x v="0"/>
    <x v="12"/>
    <x v="3"/>
    <x v="20"/>
    <x v="1"/>
    <x v="1"/>
    <n v="19"/>
    <x v="1"/>
    <x v="6"/>
    <m/>
  </r>
  <r>
    <n v="3872"/>
    <n v="55"/>
    <s v="Female"/>
    <x v="17"/>
    <x v="0"/>
    <n v="97"/>
    <s v="Minnesota"/>
    <x v="2"/>
    <x v="13"/>
    <x v="3"/>
    <x v="18"/>
    <x v="1"/>
    <x v="1"/>
    <n v="20"/>
    <x v="4"/>
    <x v="6"/>
    <m/>
  </r>
  <r>
    <n v="3873"/>
    <n v="41"/>
    <s v="Female"/>
    <x v="14"/>
    <x v="2"/>
    <n v="94"/>
    <s v="New Hampshire"/>
    <x v="2"/>
    <x v="14"/>
    <x v="1"/>
    <x v="12"/>
    <x v="1"/>
    <x v="1"/>
    <n v="3"/>
    <x v="1"/>
    <x v="5"/>
    <m/>
  </r>
  <r>
    <n v="3874"/>
    <n v="42"/>
    <s v="Female"/>
    <x v="3"/>
    <x v="1"/>
    <n v="43"/>
    <s v="Louisiana"/>
    <x v="0"/>
    <x v="5"/>
    <x v="2"/>
    <x v="8"/>
    <x v="1"/>
    <x v="1"/>
    <n v="22"/>
    <x v="2"/>
    <x v="1"/>
    <m/>
  </r>
  <r>
    <n v="3875"/>
    <n v="70"/>
    <s v="Female"/>
    <x v="1"/>
    <x v="0"/>
    <n v="54"/>
    <s v="Nevada"/>
    <x v="3"/>
    <x v="19"/>
    <x v="2"/>
    <x v="14"/>
    <x v="1"/>
    <x v="1"/>
    <n v="33"/>
    <x v="2"/>
    <x v="4"/>
    <m/>
  </r>
  <r>
    <n v="3876"/>
    <n v="63"/>
    <s v="Female"/>
    <x v="19"/>
    <x v="3"/>
    <n v="51"/>
    <s v="New Hampshire"/>
    <x v="2"/>
    <x v="6"/>
    <x v="0"/>
    <x v="19"/>
    <x v="1"/>
    <x v="1"/>
    <n v="21"/>
    <x v="2"/>
    <x v="2"/>
    <m/>
  </r>
  <r>
    <n v="3877"/>
    <n v="60"/>
    <s v="Female"/>
    <x v="9"/>
    <x v="1"/>
    <n v="85"/>
    <s v="Wisconsin"/>
    <x v="1"/>
    <x v="17"/>
    <x v="3"/>
    <x v="4"/>
    <x v="1"/>
    <x v="1"/>
    <n v="7"/>
    <x v="1"/>
    <x v="2"/>
    <m/>
  </r>
  <r>
    <n v="3878"/>
    <n v="28"/>
    <s v="Female"/>
    <x v="15"/>
    <x v="0"/>
    <n v="96"/>
    <s v="Nevada"/>
    <x v="2"/>
    <x v="8"/>
    <x v="1"/>
    <x v="13"/>
    <x v="1"/>
    <x v="1"/>
    <n v="46"/>
    <x v="5"/>
    <x v="5"/>
    <m/>
  </r>
  <r>
    <n v="3879"/>
    <n v="60"/>
    <s v="Female"/>
    <x v="19"/>
    <x v="3"/>
    <n v="42"/>
    <s v="South Carolina"/>
    <x v="2"/>
    <x v="6"/>
    <x v="2"/>
    <x v="10"/>
    <x v="1"/>
    <x v="1"/>
    <n v="24"/>
    <x v="2"/>
    <x v="2"/>
    <m/>
  </r>
  <r>
    <n v="3880"/>
    <n v="26"/>
    <s v="Female"/>
    <x v="11"/>
    <x v="0"/>
    <n v="63"/>
    <s v="Florida"/>
    <x v="0"/>
    <x v="1"/>
    <x v="0"/>
    <x v="18"/>
    <x v="1"/>
    <x v="1"/>
    <n v="6"/>
    <x v="5"/>
    <x v="3"/>
    <m/>
  </r>
  <r>
    <n v="3881"/>
    <n v="42"/>
    <s v="Female"/>
    <x v="5"/>
    <x v="0"/>
    <n v="20"/>
    <s v="Massachusetts"/>
    <x v="2"/>
    <x v="16"/>
    <x v="0"/>
    <x v="14"/>
    <x v="1"/>
    <x v="1"/>
    <n v="40"/>
    <x v="3"/>
    <x v="5"/>
    <m/>
  </r>
  <r>
    <n v="3882"/>
    <n v="56"/>
    <s v="Female"/>
    <x v="18"/>
    <x v="3"/>
    <n v="25"/>
    <s v="Georgia"/>
    <x v="0"/>
    <x v="5"/>
    <x v="1"/>
    <x v="24"/>
    <x v="1"/>
    <x v="1"/>
    <n v="17"/>
    <x v="5"/>
    <x v="1"/>
    <m/>
  </r>
  <r>
    <n v="3883"/>
    <n v="35"/>
    <s v="Female"/>
    <x v="13"/>
    <x v="0"/>
    <n v="95"/>
    <s v="North Dakota"/>
    <x v="0"/>
    <x v="24"/>
    <x v="3"/>
    <x v="4"/>
    <x v="1"/>
    <x v="1"/>
    <n v="24"/>
    <x v="1"/>
    <x v="0"/>
    <m/>
  </r>
  <r>
    <n v="3884"/>
    <n v="34"/>
    <s v="Female"/>
    <x v="19"/>
    <x v="3"/>
    <n v="38"/>
    <s v="North Dakota"/>
    <x v="3"/>
    <x v="7"/>
    <x v="3"/>
    <x v="8"/>
    <x v="1"/>
    <x v="1"/>
    <n v="22"/>
    <x v="1"/>
    <x v="0"/>
    <m/>
  </r>
  <r>
    <n v="3885"/>
    <n v="47"/>
    <s v="Female"/>
    <x v="3"/>
    <x v="1"/>
    <n v="29"/>
    <s v="Maryland"/>
    <x v="2"/>
    <x v="18"/>
    <x v="3"/>
    <x v="17"/>
    <x v="1"/>
    <x v="1"/>
    <n v="3"/>
    <x v="3"/>
    <x v="1"/>
    <m/>
  </r>
  <r>
    <n v="3886"/>
    <n v="49"/>
    <s v="Female"/>
    <x v="20"/>
    <x v="0"/>
    <n v="64"/>
    <s v="New Mexico"/>
    <x v="0"/>
    <x v="7"/>
    <x v="0"/>
    <x v="20"/>
    <x v="1"/>
    <x v="1"/>
    <n v="39"/>
    <x v="1"/>
    <x v="3"/>
    <m/>
  </r>
  <r>
    <n v="3887"/>
    <n v="37"/>
    <s v="Female"/>
    <x v="16"/>
    <x v="3"/>
    <n v="92"/>
    <s v="Iowa"/>
    <x v="1"/>
    <x v="18"/>
    <x v="2"/>
    <x v="14"/>
    <x v="1"/>
    <x v="1"/>
    <n v="40"/>
    <x v="5"/>
    <x v="3"/>
    <m/>
  </r>
  <r>
    <n v="3888"/>
    <n v="40"/>
    <s v="Female"/>
    <x v="5"/>
    <x v="0"/>
    <n v="34"/>
    <s v="Kansas"/>
    <x v="2"/>
    <x v="4"/>
    <x v="1"/>
    <x v="6"/>
    <x v="1"/>
    <x v="1"/>
    <n v="1"/>
    <x v="2"/>
    <x v="3"/>
    <m/>
  </r>
  <r>
    <n v="3889"/>
    <n v="45"/>
    <s v="Female"/>
    <x v="4"/>
    <x v="1"/>
    <n v="69"/>
    <s v="Virginia"/>
    <x v="2"/>
    <x v="10"/>
    <x v="1"/>
    <x v="10"/>
    <x v="1"/>
    <x v="1"/>
    <n v="14"/>
    <x v="0"/>
    <x v="4"/>
    <m/>
  </r>
  <r>
    <n v="3890"/>
    <n v="57"/>
    <s v="Female"/>
    <x v="10"/>
    <x v="0"/>
    <n v="65"/>
    <s v="Alaska"/>
    <x v="1"/>
    <x v="22"/>
    <x v="1"/>
    <x v="22"/>
    <x v="1"/>
    <x v="1"/>
    <n v="49"/>
    <x v="4"/>
    <x v="2"/>
    <m/>
  </r>
  <r>
    <n v="3891"/>
    <n v="35"/>
    <s v="Female"/>
    <x v="5"/>
    <x v="0"/>
    <n v="81"/>
    <s v="Nebraska"/>
    <x v="3"/>
    <x v="14"/>
    <x v="0"/>
    <x v="4"/>
    <x v="1"/>
    <x v="1"/>
    <n v="33"/>
    <x v="5"/>
    <x v="2"/>
    <m/>
  </r>
  <r>
    <n v="3892"/>
    <n v="36"/>
    <s v="Female"/>
    <x v="10"/>
    <x v="0"/>
    <n v="30"/>
    <s v="Colorado"/>
    <x v="0"/>
    <x v="15"/>
    <x v="0"/>
    <x v="15"/>
    <x v="1"/>
    <x v="1"/>
    <n v="6"/>
    <x v="4"/>
    <x v="3"/>
    <m/>
  </r>
  <r>
    <n v="3893"/>
    <n v="35"/>
    <s v="Female"/>
    <x v="16"/>
    <x v="3"/>
    <n v="86"/>
    <s v="Michigan"/>
    <x v="0"/>
    <x v="21"/>
    <x v="2"/>
    <x v="22"/>
    <x v="1"/>
    <x v="1"/>
    <n v="5"/>
    <x v="3"/>
    <x v="0"/>
    <m/>
  </r>
  <r>
    <n v="3894"/>
    <n v="21"/>
    <s v="Female"/>
    <x v="19"/>
    <x v="3"/>
    <n v="64"/>
    <s v="Massachusetts"/>
    <x v="0"/>
    <x v="3"/>
    <x v="3"/>
    <x v="19"/>
    <x v="1"/>
    <x v="1"/>
    <n v="29"/>
    <x v="4"/>
    <x v="4"/>
    <m/>
  </r>
  <r>
    <n v="3895"/>
    <n v="66"/>
    <s v="Female"/>
    <x v="11"/>
    <x v="0"/>
    <n v="78"/>
    <s v="Connecticut"/>
    <x v="0"/>
    <x v="3"/>
    <x v="1"/>
    <x v="14"/>
    <x v="1"/>
    <x v="1"/>
    <n v="44"/>
    <x v="2"/>
    <x v="6"/>
    <m/>
  </r>
  <r>
    <n v="3896"/>
    <n v="40"/>
    <s v="Female"/>
    <x v="15"/>
    <x v="0"/>
    <n v="28"/>
    <s v="Virginia"/>
    <x v="0"/>
    <x v="2"/>
    <x v="2"/>
    <x v="13"/>
    <x v="1"/>
    <x v="1"/>
    <n v="32"/>
    <x v="0"/>
    <x v="1"/>
    <m/>
  </r>
  <r>
    <n v="3897"/>
    <n v="52"/>
    <s v="Female"/>
    <x v="21"/>
    <x v="3"/>
    <n v="49"/>
    <s v="Iowa"/>
    <x v="0"/>
    <x v="3"/>
    <x v="1"/>
    <x v="21"/>
    <x v="1"/>
    <x v="1"/>
    <n v="41"/>
    <x v="4"/>
    <x v="4"/>
    <m/>
  </r>
  <r>
    <n v="3898"/>
    <n v="46"/>
    <s v="Female"/>
    <x v="22"/>
    <x v="3"/>
    <n v="33"/>
    <s v="New Jersey"/>
    <x v="0"/>
    <x v="14"/>
    <x v="1"/>
    <x v="25"/>
    <x v="1"/>
    <x v="1"/>
    <n v="24"/>
    <x v="0"/>
    <x v="3"/>
    <m/>
  </r>
  <r>
    <n v="3899"/>
    <n v="44"/>
    <s v="Female"/>
    <x v="9"/>
    <x v="1"/>
    <n v="77"/>
    <s v="Minnesota"/>
    <x v="1"/>
    <x v="18"/>
    <x v="2"/>
    <x v="1"/>
    <x v="1"/>
    <x v="1"/>
    <n v="24"/>
    <x v="0"/>
    <x v="1"/>
    <m/>
  </r>
  <r>
    <n v="3900"/>
    <n v="52"/>
    <s v="Female"/>
    <x v="8"/>
    <x v="3"/>
    <n v="81"/>
    <s v="California"/>
    <x v="2"/>
    <x v="19"/>
    <x v="1"/>
    <x v="0"/>
    <x v="1"/>
    <x v="1"/>
    <n v="33"/>
    <x v="0"/>
    <x v="3"/>
    <m/>
  </r>
  <r>
    <m/>
    <m/>
    <m/>
    <x v="25"/>
    <x v="4"/>
    <m/>
    <m/>
    <x v="4"/>
    <x v="25"/>
    <x v="4"/>
    <x v="26"/>
    <x v="2"/>
    <x v="2"/>
    <m/>
    <x v="6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DDD09-8BD7-4D84-9257-1815355126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Age/Gender ">
  <location ref="A3:B18" firstHeaderRow="1" firstDataRow="1" firstDataCol="1"/>
  <pivotFields count="17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"/>
  </rowFields>
  <rowItems count="15">
    <i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Total Spend " fld="5" baseField="2" baseItem="0" numFmtId="165"/>
  </dataFields>
  <formats count="3">
    <format dxfId="22">
      <pivotArea collapsedLevelsAreSubtotals="1" fieldPosition="0">
        <references count="1">
          <reference field="2" count="1">
            <x v="0"/>
          </reference>
        </references>
      </pivotArea>
    </format>
    <format dxfId="21">
      <pivotArea outline="0" collapsedLevelsAreSubtotals="1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A7355-616A-4C27-A27B-1B1DD9AC98E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ubscription Status ">
  <location ref="A2:D5" firstHeaderRow="0" firstDataRow="1" firstDataCol="1"/>
  <pivotFields count="17"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 " fld="5" baseField="11" baseItem="0" numFmtId="2"/>
    <dataField name="AOV" fld="5" subtotal="average" baseField="11" baseItem="0" numFmtId="2"/>
    <dataField name="Tot orders " fld="0" subtotal="count" showDataAs="percentOfTotal" baseField="11" baseItem="0" numFmtId="10"/>
  </dataFields>
  <formats count="5">
    <format dxfId="19">
      <pivotArea collapsedLevelsAreSubtotals="1" fieldPosition="0">
        <references count="2">
          <reference field="4294967294" count="1" selected="0">
            <x v="1"/>
          </reference>
          <reference field="11" count="1">
            <x v="0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dataOnly="0" outline="0" fieldPosition="0">
        <references count="1">
          <reference field="4294967294" count="1">
            <x v="0"/>
          </reference>
        </references>
      </pivotArea>
    </format>
    <format dxfId="15">
      <pivotArea outline="0" fieldPosition="0">
        <references count="1">
          <reference field="4294967294" count="1">
            <x v="2"/>
          </reference>
        </references>
      </pivotArea>
    </format>
  </format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1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2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D4F9A-50D6-4074-8925-78D8D0B08359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C9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8">
        <item x="4"/>
        <item x="1"/>
        <item x="2"/>
        <item x="5"/>
        <item x="3"/>
        <item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4"/>
  </rowFields>
  <rowItems count="7">
    <i>
      <x v="4"/>
    </i>
    <i>
      <x v="2"/>
    </i>
    <i>
      <x v="1"/>
    </i>
    <i>
      <x v="3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yment Method" fld="14" subtotal="count" baseField="0" baseItem="0"/>
    <dataField name="Count of Payment Method2" fld="14" subtotal="count" showDataAs="percentOfTotal" baseField="14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14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14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4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4C933-DC56-4148-A8E3-08DD83EC2FE0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2"/>
        <item x="4"/>
        <item x="6"/>
        <item x="0"/>
        <item x="5"/>
        <item x="3"/>
        <item x="1"/>
        <item h="1" x="7"/>
        <item t="default"/>
      </items>
    </pivotField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Frequency of Purchases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A45DB-ADAE-4E74-BF15-B5D82D0B392E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 rowHeaderCaption="locations ">
  <location ref="A3:B13" firstHeaderRow="1" firstDataRow="1" firstDataCol="1"/>
  <pivotFields count="17">
    <pivotField showAll="0" countASubtotal="1"/>
    <pivotField showAll="0"/>
    <pivotField showAll="0"/>
    <pivotField showAll="0"/>
    <pivotField showAll="0"/>
    <pivotField dataField="1" showAll="0"/>
    <pivotField axis="axisRow" showAll="0" measureFilter="1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/>
    </i>
    <i>
      <x v="4"/>
    </i>
    <i>
      <x v="11"/>
    </i>
    <i>
      <x v="12"/>
    </i>
    <i>
      <x v="25"/>
    </i>
    <i>
      <x v="26"/>
    </i>
    <i>
      <x v="27"/>
    </i>
    <i>
      <x v="31"/>
    </i>
    <i>
      <x v="33"/>
    </i>
    <i>
      <x v="47"/>
    </i>
  </rowItems>
  <colItems count="1">
    <i/>
  </colItems>
  <dataFields count="1">
    <dataField name="Revenue by location " fld="5" baseField="6" baseItem="0" numFmtId="166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D2E1C-C323-4677-9946-49161193AD6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:C7" firstHeaderRow="0" firstDataRow="1" firstDataCol="1"/>
  <pivotFields count="1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 revenue " fld="5" baseField="9" baseItem="0" numFmtId="166"/>
    <dataField name="% revenue " fld="5" showDataAs="percentOfTotal" baseField="9" baseItem="0" numFmtId="1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7ED15-351A-4A5C-859C-CB056A8C718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 ">
  <location ref="A3:C8" firstHeaderRow="0" firstDataRow="1" firstDataCol="1"/>
  <pivotFields count="17">
    <pivotField showAll="0"/>
    <pivotField showAll="0"/>
    <pivotField showAll="0"/>
    <pivotField showAll="0"/>
    <pivotField axis="axisRow"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 Revenue" fld="5" baseField="4" baseItem="0" numFmtId="166"/>
    <dataField name="% revenue " fld="5" showDataAs="percentOfTotal" baseField="4" baseItem="1" numFmtId="10"/>
  </dataFields>
  <formats count="3">
    <format dxfId="12">
      <pivotArea outline="0" collapsedLevelsAreSubtotals="1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  <format dxfId="10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C397E-02DA-46DA-9DF0-7ABD6F2285D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o 10 items sales ">
  <location ref="A2:B13" firstHeaderRow="1" firstDataRow="1" firstDataCol="1"/>
  <pivotFields count="17">
    <pivotField showAll="0"/>
    <pivotField showAll="0"/>
    <pivotField showAll="0"/>
    <pivotField axis="axisRow" showAll="0" measureFilter="1" sortType="descending">
      <items count="27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2"/>
    </i>
    <i>
      <x v="16"/>
    </i>
    <i>
      <x v="5"/>
    </i>
    <i>
      <x v="13"/>
    </i>
    <i>
      <x v="12"/>
    </i>
    <i>
      <x v="22"/>
    </i>
    <i>
      <x v="1"/>
    </i>
    <i>
      <x v="15"/>
    </i>
    <i>
      <x v="23"/>
    </i>
    <i>
      <x v="18"/>
    </i>
    <i t="grand">
      <x/>
    </i>
  </rowItems>
  <colItems count="1">
    <i/>
  </colItems>
  <dataFields count="1">
    <dataField name="Revenue by item " fld="5" baseField="3" baseItem="2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D9CF5-C80C-4C0B-8C0A-A8218BDB8234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lour">
  <location ref="A1:B28" firstHeaderRow="1" firstDataRow="1" firstDataCol="1"/>
  <pivotFields count="17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27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27">
    <i>
      <x v="8"/>
    </i>
    <i>
      <x v="20"/>
    </i>
    <i>
      <x v="24"/>
    </i>
    <i>
      <x v="13"/>
    </i>
    <i>
      <x v="5"/>
    </i>
    <i>
      <x v="22"/>
    </i>
    <i>
      <x v="7"/>
    </i>
    <i>
      <x v="19"/>
    </i>
    <i>
      <x v="1"/>
    </i>
    <i>
      <x v="12"/>
    </i>
    <i>
      <x v="14"/>
    </i>
    <i>
      <x v="4"/>
    </i>
    <i>
      <x v="16"/>
    </i>
    <i>
      <x v="17"/>
    </i>
    <i>
      <x v="23"/>
    </i>
    <i>
      <x/>
    </i>
    <i>
      <x v="15"/>
    </i>
    <i>
      <x v="18"/>
    </i>
    <i>
      <x v="10"/>
    </i>
    <i>
      <x v="11"/>
    </i>
    <i>
      <x v="2"/>
    </i>
    <i>
      <x v="6"/>
    </i>
    <i>
      <x v="3"/>
    </i>
    <i>
      <x v="9"/>
    </i>
    <i>
      <x v="21"/>
    </i>
    <i>
      <x v="25"/>
    </i>
    <i t="grand">
      <x/>
    </i>
  </rowItems>
  <colItems count="1">
    <i/>
  </colItems>
  <dataFields count="1">
    <dataField name="tot revenue " fld="5" baseField="8" baseItem="8" numFmtId="166"/>
  </dataField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4B389-ECE3-4001-B0D2-34D638038CB2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ize ">
  <location ref="A1:C6" firstHeaderRow="0" firstDataRow="1" firstDataCol="1"/>
  <pivotFields count="17"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6">
        <item x="0"/>
        <item x="2"/>
        <item x="1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 revenue " fld="5" baseField="7" baseItem="1" numFmtId="166"/>
    <dataField name="% revenue " fld="5" showDataAs="percentOfTotal" baseField="7" baseItem="1" numFmtId="10"/>
  </dataField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D37A3-EEF1-495D-9951-3032E50FFAC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Discounted ">
  <location ref="A3:B6" firstHeaderRow="1" firstDataRow="1" firstDataCol="1"/>
  <pivotFields count="1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TOt Revenue " fld="5" baseField="12" baseItem="0" numFmtId="166"/>
  </dataFields>
  <chartFormats count="18"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A3BA7-E318-4362-9D42-EA1360C8E8F9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Discounted ">
  <location ref="A3:B6" firstHeaderRow="1" firstDataRow="1" firstDataCol="1"/>
  <pivotFields count="1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OV " fld="5" subtotal="average" baseField="12" baseItem="0" numFmtId="166"/>
  </dataFields>
  <chartFormats count="15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5895E-86CF-40BF-9F43-8BB184EB44E3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 ">
  <location ref="A3:B8" firstHeaderRow="1" firstDataRow="1" firstDataCol="1"/>
  <pivotFields count="17"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rage Rating " fld="10" subtotal="average" baseField="4" baseItem="0"/>
  </dataFields>
  <formats count="1">
    <format dxfId="9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819A7-D431-4705-BDC3-58770D75DF56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view Rating ">
  <location ref="A1:B2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8">
        <item x="16"/>
        <item x="4"/>
        <item x="6"/>
        <item x="24"/>
        <item x="25"/>
        <item x="23"/>
        <item x="0"/>
        <item x="20"/>
        <item x="19"/>
        <item x="10"/>
        <item x="22"/>
        <item x="2"/>
        <item x="5"/>
        <item x="1"/>
        <item x="14"/>
        <item x="8"/>
        <item x="18"/>
        <item x="13"/>
        <item x="12"/>
        <item x="9"/>
        <item x="21"/>
        <item x="7"/>
        <item x="15"/>
        <item x="3"/>
        <item x="17"/>
        <item x="11"/>
        <item h="1" x="2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% reviews " fld="10" subtotal="count" showDataAs="percentOfTotal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DF5E1-D1C3-4C16-AD87-16381F6325A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8">
        <item h="1" x="6"/>
        <item x="0"/>
        <item x="3"/>
        <item x="5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4"/>
  </rowFields>
  <rowItems count="7">
    <i>
      <x v="2"/>
    </i>
    <i>
      <x v="4"/>
    </i>
    <i>
      <x v="5"/>
    </i>
    <i>
      <x v="3"/>
    </i>
    <i>
      <x v="1"/>
    </i>
    <i>
      <x v="6"/>
    </i>
    <i t="grand">
      <x/>
    </i>
  </rowItems>
  <colItems count="1">
    <i/>
  </colItems>
  <dataFields count="1">
    <dataField name="Count of Payment Method" fld="1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9690E2-1499-424B-990B-9A56F9974515}" name="LocationRevenueTable" displayName="LocationRevenueTable" ref="D2:E52" totalsRowShown="0">
  <autoFilter ref="D2:E52" xr:uid="{FA9690E2-1499-424B-990B-9A56F9974515}"/>
  <tableColumns count="2">
    <tableColumn id="1" xr3:uid="{741B67F9-A2B6-4E22-B5EF-272485EB6041}" name="Location" dataDxfId="14"/>
    <tableColumn id="2" xr3:uid="{9163F04F-5AE8-4AD0-A13D-18E87B59E834}" name="Revenue" dataDxfId="13">
      <calculatedColumnFormula>SUMIF('Shopping Data'!$G$2:$G$3901,D3,'Shopping Data'!$F$2:$F$3901)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FCFD51-27DA-4AC1-8F3E-79B446C8D587}" name="Table1" displayName="Table1" ref="F3:G10" totalsRowShown="0">
  <autoFilter ref="F3:G10" xr:uid="{E5FCFD51-27DA-4AC1-8F3E-79B446C8D587}"/>
  <tableColumns count="2">
    <tableColumn id="1" xr3:uid="{CF08E0C6-D745-43AD-B46A-85B7276075C4}" name="Summary KPI's "/>
    <tableColumn id="3" xr3:uid="{2CAF1B1F-024D-4378-AB72-239B17BDF586}" name="values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E140C0-77C5-4711-9E25-888F9A615B2A}" name="Table2" displayName="Table2" ref="A1:Q3902" totalsRowCount="1">
  <autoFilter ref="A1:Q3901" xr:uid="{21E140C0-77C5-4711-9E25-888F9A615B2A}"/>
  <tableColumns count="17">
    <tableColumn id="1" xr3:uid="{69F3E5C8-B895-48B0-8BC9-05AFDBFF0F14}" name="Customer ID"/>
    <tableColumn id="2" xr3:uid="{2AEB80D1-73F5-49DF-AAB0-1D8A72279587}" name="Age"/>
    <tableColumn id="3" xr3:uid="{06539263-3DDA-4810-83F9-5EB37814632F}" name="Gender"/>
    <tableColumn id="4" xr3:uid="{6BE31E10-2C61-4218-9289-762F3752A166}" name="Item Purchased"/>
    <tableColumn id="5" xr3:uid="{C58FE8E1-BBEA-4BC2-92D8-98775B43762D}" name="Category"/>
    <tableColumn id="6" xr3:uid="{C42E78FB-3136-4774-9542-A56D0801EFAF}" name="Purchase Amount (USD)" totalsRowFunction="custom">
      <totalsRowFormula>SUM(Table2[[#Headers],[#Data],[Purchase Amount (USD)]])</totalsRowFormula>
    </tableColumn>
    <tableColumn id="7" xr3:uid="{E09DE519-053A-4388-949A-ED88CA0205EE}" name="Location"/>
    <tableColumn id="8" xr3:uid="{2998A8AC-B81F-46E1-8D15-2CAD4A6CF20B}" name="Size"/>
    <tableColumn id="9" xr3:uid="{51BEBA35-894B-46B2-BDE5-BEC79520D6EB}" name="Color"/>
    <tableColumn id="10" xr3:uid="{818B0CCA-2A52-4423-A91B-7599600D9167}" name="Season"/>
    <tableColumn id="11" xr3:uid="{29AFA15D-C93B-4F5C-A0B2-D269A9A9BF9F}" name="Review Rating"/>
    <tableColumn id="12" xr3:uid="{D3DF62D9-CB2A-435C-8812-0EEEB2DCAECF}" name="Subscription Status"/>
    <tableColumn id="13" xr3:uid="{CA8E97A3-9366-463B-BC74-2037DB185D9E}" name="Discount Applied"/>
    <tableColumn id="14" xr3:uid="{4AB73E0F-24C8-44DE-85A1-DA274AB6F7F2}" name="Previous Purchases"/>
    <tableColumn id="15" xr3:uid="{A11FF1E4-CB77-4D51-8DF1-31BE9F7DF183}" name="Payment Method"/>
    <tableColumn id="16" xr3:uid="{7C33AD75-26F4-4E83-BCEF-55DB49533D53}" name="Frequency of Purchases"/>
    <tableColumn id="17" xr3:uid="{BCACB14F-5EE2-43D0-AF2A-A0A2C7544D29}" name="Total _Sales 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D952-BA45-4717-88CA-E3C0F66E85CB}">
  <sheetPr>
    <tabColor theme="6" tint="0.39997558519241921"/>
  </sheetPr>
  <dimension ref="A1:B18"/>
  <sheetViews>
    <sheetView zoomScale="63" workbookViewId="0">
      <selection activeCell="O21" sqref="O21"/>
    </sheetView>
  </sheetViews>
  <sheetFormatPr defaultRowHeight="14.5" x14ac:dyDescent="0.35"/>
  <cols>
    <col min="1" max="1" width="15.9140625" customWidth="1"/>
    <col min="2" max="2" width="12" customWidth="1"/>
    <col min="3" max="3" width="28.5" customWidth="1"/>
  </cols>
  <sheetData>
    <row r="1" spans="1:2" x14ac:dyDescent="0.35">
      <c r="A1" t="s">
        <v>177</v>
      </c>
    </row>
    <row r="3" spans="1:2" x14ac:dyDescent="0.35">
      <c r="A3" s="1" t="s">
        <v>162</v>
      </c>
      <c r="B3" t="s">
        <v>153</v>
      </c>
    </row>
    <row r="4" spans="1:2" x14ac:dyDescent="0.35">
      <c r="A4" s="2" t="s">
        <v>144</v>
      </c>
      <c r="B4" s="5">
        <v>75191</v>
      </c>
    </row>
    <row r="5" spans="1:2" x14ac:dyDescent="0.35">
      <c r="A5" s="3" t="s">
        <v>147</v>
      </c>
      <c r="B5" s="5">
        <v>13644</v>
      </c>
    </row>
    <row r="6" spans="1:2" x14ac:dyDescent="0.35">
      <c r="A6" s="3" t="s">
        <v>148</v>
      </c>
      <c r="B6" s="5">
        <v>14415</v>
      </c>
    </row>
    <row r="7" spans="1:2" x14ac:dyDescent="0.35">
      <c r="A7" s="3" t="s">
        <v>149</v>
      </c>
      <c r="B7" s="5">
        <v>14742</v>
      </c>
    </row>
    <row r="8" spans="1:2" x14ac:dyDescent="0.35">
      <c r="A8" s="3" t="s">
        <v>150</v>
      </c>
      <c r="B8" s="5">
        <v>14906</v>
      </c>
    </row>
    <row r="9" spans="1:2" x14ac:dyDescent="0.35">
      <c r="A9" s="3" t="s">
        <v>151</v>
      </c>
      <c r="B9" s="5">
        <v>13307</v>
      </c>
    </row>
    <row r="10" spans="1:2" x14ac:dyDescent="0.35">
      <c r="A10" s="3" t="s">
        <v>152</v>
      </c>
      <c r="B10" s="5">
        <v>4177</v>
      </c>
    </row>
    <row r="11" spans="1:2" x14ac:dyDescent="0.35">
      <c r="A11" s="2" t="s">
        <v>16</v>
      </c>
      <c r="B11" s="5">
        <v>157890</v>
      </c>
    </row>
    <row r="12" spans="1:2" x14ac:dyDescent="0.35">
      <c r="A12" s="3" t="s">
        <v>147</v>
      </c>
      <c r="B12" s="5">
        <v>29658</v>
      </c>
    </row>
    <row r="13" spans="1:2" x14ac:dyDescent="0.35">
      <c r="A13" s="3" t="s">
        <v>148</v>
      </c>
      <c r="B13" s="5">
        <v>30503</v>
      </c>
    </row>
    <row r="14" spans="1:2" x14ac:dyDescent="0.35">
      <c r="A14" s="3" t="s">
        <v>149</v>
      </c>
      <c r="B14" s="5">
        <v>27581</v>
      </c>
    </row>
    <row r="15" spans="1:2" x14ac:dyDescent="0.35">
      <c r="A15" s="3" t="s">
        <v>150</v>
      </c>
      <c r="B15" s="5">
        <v>31869</v>
      </c>
    </row>
    <row r="16" spans="1:2" x14ac:dyDescent="0.35">
      <c r="A16" s="3" t="s">
        <v>151</v>
      </c>
      <c r="B16" s="5">
        <v>28875</v>
      </c>
    </row>
    <row r="17" spans="1:2" x14ac:dyDescent="0.35">
      <c r="A17" s="3" t="s">
        <v>152</v>
      </c>
      <c r="B17" s="5">
        <v>9404</v>
      </c>
    </row>
    <row r="18" spans="1:2" x14ac:dyDescent="0.35">
      <c r="A18" s="2" t="s">
        <v>146</v>
      </c>
      <c r="B18" s="5">
        <v>233081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5F46-7531-44E0-8C05-C5CCBF2B36D0}">
  <sheetPr>
    <tabColor theme="6" tint="0.39997558519241921"/>
  </sheetPr>
  <dimension ref="A1:D5"/>
  <sheetViews>
    <sheetView workbookViewId="0">
      <selection activeCell="F19" sqref="F19"/>
    </sheetView>
  </sheetViews>
  <sheetFormatPr defaultRowHeight="14.5" x14ac:dyDescent="0.35"/>
  <cols>
    <col min="1" max="1" width="20" customWidth="1"/>
    <col min="2" max="2" width="15" customWidth="1"/>
    <col min="3" max="3" width="5.25" customWidth="1"/>
    <col min="4" max="4" width="9.83203125" customWidth="1"/>
  </cols>
  <sheetData>
    <row r="1" spans="1:4" x14ac:dyDescent="0.35">
      <c r="A1" t="s">
        <v>178</v>
      </c>
    </row>
    <row r="2" spans="1:4" x14ac:dyDescent="0.35">
      <c r="A2" s="1" t="s">
        <v>156</v>
      </c>
      <c r="B2" s="4" t="s">
        <v>157</v>
      </c>
      <c r="C2" t="s">
        <v>158</v>
      </c>
      <c r="D2" t="s">
        <v>176</v>
      </c>
    </row>
    <row r="3" spans="1:4" x14ac:dyDescent="0.35">
      <c r="A3" s="2" t="s">
        <v>143</v>
      </c>
      <c r="B3" s="4">
        <v>170436</v>
      </c>
      <c r="C3" s="7">
        <v>59.865121180189675</v>
      </c>
      <c r="D3" s="8">
        <v>0.73</v>
      </c>
    </row>
    <row r="4" spans="1:4" x14ac:dyDescent="0.35">
      <c r="A4" s="2" t="s">
        <v>23</v>
      </c>
      <c r="B4" s="4">
        <v>62645</v>
      </c>
      <c r="C4" s="7">
        <v>59.491927825261158</v>
      </c>
      <c r="D4" s="8">
        <v>0.27</v>
      </c>
    </row>
    <row r="5" spans="1:4" x14ac:dyDescent="0.35">
      <c r="A5" s="2" t="s">
        <v>146</v>
      </c>
      <c r="B5" s="4">
        <v>233081</v>
      </c>
      <c r="C5" s="7">
        <v>59.764358974358977</v>
      </c>
      <c r="D5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0B9C-069C-4334-A91B-DB026567046B}">
  <sheetPr>
    <tabColor rgb="FF92D050"/>
  </sheetPr>
  <dimension ref="A1:E9"/>
  <sheetViews>
    <sheetView zoomScale="74" workbookViewId="0">
      <selection activeCell="C7" sqref="C7"/>
    </sheetView>
  </sheetViews>
  <sheetFormatPr defaultRowHeight="14.5" x14ac:dyDescent="0.35"/>
  <cols>
    <col min="1" max="1" width="13.33203125" customWidth="1"/>
    <col min="2" max="2" width="24.33203125" customWidth="1"/>
    <col min="3" max="3" width="25.4140625" customWidth="1"/>
  </cols>
  <sheetData>
    <row r="1" spans="1:5" x14ac:dyDescent="0.35">
      <c r="A1" t="s">
        <v>179</v>
      </c>
    </row>
    <row r="2" spans="1:5" x14ac:dyDescent="0.35">
      <c r="A2" s="1" t="s">
        <v>145</v>
      </c>
      <c r="B2" t="s">
        <v>169</v>
      </c>
      <c r="C2" t="s">
        <v>180</v>
      </c>
      <c r="E2">
        <f>100-17.18</f>
        <v>82.82</v>
      </c>
    </row>
    <row r="3" spans="1:5" x14ac:dyDescent="0.35">
      <c r="A3" s="2" t="s">
        <v>40</v>
      </c>
      <c r="B3">
        <v>677</v>
      </c>
      <c r="C3" s="8">
        <v>0.17358974358974358</v>
      </c>
      <c r="E3" t="s">
        <v>181</v>
      </c>
    </row>
    <row r="4" spans="1:5" x14ac:dyDescent="0.35">
      <c r="A4" s="2" t="s">
        <v>34</v>
      </c>
      <c r="B4">
        <v>671</v>
      </c>
      <c r="C4" s="8">
        <v>0.17205128205128206</v>
      </c>
    </row>
    <row r="5" spans="1:5" x14ac:dyDescent="0.35">
      <c r="A5" s="2" t="s">
        <v>29</v>
      </c>
      <c r="B5">
        <v>670</v>
      </c>
      <c r="C5" s="8">
        <v>0.1717948717948718</v>
      </c>
    </row>
    <row r="6" spans="1:5" x14ac:dyDescent="0.35">
      <c r="A6" s="2" t="s">
        <v>77</v>
      </c>
      <c r="B6">
        <v>636</v>
      </c>
      <c r="C6" s="8">
        <v>0.16307692307692306</v>
      </c>
    </row>
    <row r="7" spans="1:5" x14ac:dyDescent="0.35">
      <c r="A7" s="2" t="s">
        <v>24</v>
      </c>
      <c r="B7">
        <v>634</v>
      </c>
      <c r="C7" s="8">
        <v>0.16256410256410256</v>
      </c>
    </row>
    <row r="8" spans="1:5" x14ac:dyDescent="0.35">
      <c r="A8" s="2" t="s">
        <v>66</v>
      </c>
      <c r="B8">
        <v>612</v>
      </c>
      <c r="C8" s="8">
        <v>0.15692307692307692</v>
      </c>
    </row>
    <row r="9" spans="1:5" x14ac:dyDescent="0.35">
      <c r="A9" s="2" t="s">
        <v>146</v>
      </c>
      <c r="B9">
        <v>3900</v>
      </c>
      <c r="C9" s="8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1B16-A436-4774-BD24-E7F17653026C}">
  <dimension ref="A1:B9"/>
  <sheetViews>
    <sheetView workbookViewId="0"/>
  </sheetViews>
  <sheetFormatPr defaultRowHeight="14.5" x14ac:dyDescent="0.35"/>
  <cols>
    <col min="1" max="1" width="14.4140625" customWidth="1"/>
    <col min="2" max="2" width="30.33203125" customWidth="1"/>
    <col min="3" max="3" width="18.75" customWidth="1"/>
  </cols>
  <sheetData>
    <row r="1" spans="1:2" x14ac:dyDescent="0.35">
      <c r="A1" s="1" t="s">
        <v>145</v>
      </c>
      <c r="B1" t="s">
        <v>175</v>
      </c>
    </row>
    <row r="2" spans="1:2" x14ac:dyDescent="0.35">
      <c r="A2" s="2" t="s">
        <v>43</v>
      </c>
      <c r="B2">
        <v>572</v>
      </c>
    </row>
    <row r="3" spans="1:2" x14ac:dyDescent="0.35">
      <c r="A3" s="2" t="s">
        <v>67</v>
      </c>
      <c r="B3">
        <v>547</v>
      </c>
    </row>
    <row r="4" spans="1:2" x14ac:dyDescent="0.35">
      <c r="A4" s="2" t="s">
        <v>88</v>
      </c>
      <c r="B4">
        <v>584</v>
      </c>
    </row>
    <row r="5" spans="1:2" x14ac:dyDescent="0.35">
      <c r="A5" s="2" t="s">
        <v>25</v>
      </c>
      <c r="B5">
        <v>542</v>
      </c>
    </row>
    <row r="6" spans="1:2" x14ac:dyDescent="0.35">
      <c r="A6" s="2" t="s">
        <v>79</v>
      </c>
      <c r="B6">
        <v>553</v>
      </c>
    </row>
    <row r="7" spans="1:2" x14ac:dyDescent="0.35">
      <c r="A7" s="2" t="s">
        <v>51</v>
      </c>
      <c r="B7">
        <v>563</v>
      </c>
    </row>
    <row r="8" spans="1:2" x14ac:dyDescent="0.35">
      <c r="A8" s="2" t="s">
        <v>35</v>
      </c>
      <c r="B8">
        <v>539</v>
      </c>
    </row>
    <row r="9" spans="1:2" x14ac:dyDescent="0.35">
      <c r="A9" s="2" t="s">
        <v>146</v>
      </c>
      <c r="B9">
        <v>3900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37A4-ED5B-4E80-9491-5A8A4B8F7758}">
  <sheetPr>
    <tabColor rgb="FFFF0000"/>
  </sheetPr>
  <dimension ref="A2:E52"/>
  <sheetViews>
    <sheetView zoomScale="60" workbookViewId="0">
      <selection activeCell="A5" sqref="A5"/>
    </sheetView>
  </sheetViews>
  <sheetFormatPr defaultRowHeight="14.5" x14ac:dyDescent="0.35"/>
  <cols>
    <col min="1" max="1" width="13.4140625" customWidth="1"/>
    <col min="2" max="2" width="20.25" customWidth="1"/>
    <col min="3" max="3" width="27.33203125" customWidth="1"/>
    <col min="4" max="4" width="15.25" customWidth="1"/>
    <col min="5" max="5" width="12" customWidth="1"/>
    <col min="6" max="6" width="9" customWidth="1"/>
    <col min="7" max="7" width="7.6640625" bestFit="1" customWidth="1"/>
    <col min="8" max="8" width="10.25" bestFit="1" customWidth="1"/>
    <col min="9" max="9" width="7.9140625" bestFit="1" customWidth="1"/>
    <col min="10" max="10" width="6.08203125" bestFit="1" customWidth="1"/>
    <col min="11" max="11" width="6.58203125" bestFit="1" customWidth="1"/>
    <col min="12" max="12" width="6" bestFit="1" customWidth="1"/>
    <col min="13" max="13" width="5.08203125" bestFit="1" customWidth="1"/>
    <col min="14" max="14" width="6" bestFit="1" customWidth="1"/>
    <col min="15" max="15" width="6.58203125" bestFit="1" customWidth="1"/>
    <col min="16" max="16" width="4.33203125" bestFit="1" customWidth="1"/>
    <col min="17" max="17" width="6.25" bestFit="1" customWidth="1"/>
    <col min="18" max="18" width="7.9140625" bestFit="1" customWidth="1"/>
    <col min="19" max="19" width="8.1640625" bestFit="1" customWidth="1"/>
    <col min="20" max="20" width="5.4140625" bestFit="1" customWidth="1"/>
    <col min="21" max="21" width="7.83203125" bestFit="1" customWidth="1"/>
    <col min="22" max="22" width="12.33203125" bestFit="1" customWidth="1"/>
    <col min="23" max="23" width="7.75" bestFit="1" customWidth="1"/>
    <col min="24" max="24" width="8.75" bestFit="1" customWidth="1"/>
    <col min="25" max="25" width="9.4140625" bestFit="1" customWidth="1"/>
    <col min="26" max="26" width="7.25" bestFit="1" customWidth="1"/>
    <col min="27" max="27" width="7.4140625" bestFit="1" customWidth="1"/>
    <col min="28" max="28" width="8"/>
    <col min="29" max="29" width="6.5" bestFit="1" customWidth="1"/>
    <col min="30" max="30" width="12.9140625" bestFit="1" customWidth="1"/>
    <col min="31" max="31" width="9.08203125" bestFit="1" customWidth="1"/>
    <col min="32" max="32" width="9.83203125" bestFit="1" customWidth="1"/>
    <col min="33" max="33" width="7.83203125" bestFit="1" customWidth="1"/>
    <col min="34" max="34" width="11.9140625" bestFit="1" customWidth="1"/>
    <col min="35" max="35" width="10.75" bestFit="1" customWidth="1"/>
    <col min="36" max="36" width="4.33203125" bestFit="1" customWidth="1"/>
    <col min="37" max="37" width="8.58203125" bestFit="1" customWidth="1"/>
    <col min="38" max="38" width="6.1640625" bestFit="1" customWidth="1"/>
    <col min="39" max="39" width="11" bestFit="1" customWidth="1"/>
    <col min="40" max="40" width="10.75" bestFit="1" customWidth="1"/>
    <col min="41" max="41" width="12.1640625" bestFit="1" customWidth="1"/>
    <col min="42" max="42" width="11" bestFit="1" customWidth="1"/>
    <col min="43" max="43" width="8.9140625" bestFit="1" customWidth="1"/>
    <col min="44" max="44" width="5.08203125" bestFit="1" customWidth="1"/>
    <col min="45" max="45" width="4.4140625" bestFit="1" customWidth="1"/>
    <col min="46" max="46" width="7.25" bestFit="1" customWidth="1"/>
    <col min="47" max="47" width="6.58203125" bestFit="1" customWidth="1"/>
    <col min="48" max="48" width="9.83203125" bestFit="1" customWidth="1"/>
    <col min="49" max="49" width="10.75" bestFit="1" customWidth="1"/>
    <col min="50" max="50" width="8.75" bestFit="1" customWidth="1"/>
    <col min="51" max="51" width="7.83203125" bestFit="1" customWidth="1"/>
    <col min="52" max="52" width="9.5" bestFit="1" customWidth="1"/>
  </cols>
  <sheetData>
    <row r="2" spans="1:5" x14ac:dyDescent="0.35">
      <c r="D2" t="s">
        <v>6</v>
      </c>
      <c r="E2" t="s">
        <v>201</v>
      </c>
    </row>
    <row r="3" spans="1:5" x14ac:dyDescent="0.35">
      <c r="A3" s="1" t="s">
        <v>154</v>
      </c>
      <c r="B3" t="s">
        <v>161</v>
      </c>
      <c r="D3" s="2" t="s">
        <v>81</v>
      </c>
      <c r="E3" s="15">
        <f>SUMIF('Shopping Data'!$G$2:$G$3901,D3,'Shopping Data'!$F$2:$F$3901)</f>
        <v>5261</v>
      </c>
    </row>
    <row r="4" spans="1:5" x14ac:dyDescent="0.35">
      <c r="A4" s="2" t="s">
        <v>81</v>
      </c>
      <c r="B4" s="6">
        <v>5261</v>
      </c>
      <c r="D4" s="2" t="s">
        <v>111</v>
      </c>
      <c r="E4" s="15">
        <f>SUMIF('Shopping Data'!$G$2:$G$3901,D4,'Shopping Data'!$F$2:$F$3901)</f>
        <v>4867</v>
      </c>
    </row>
    <row r="5" spans="1:5" x14ac:dyDescent="0.35">
      <c r="A5" s="2" t="s">
        <v>90</v>
      </c>
      <c r="B5" s="6">
        <v>5605</v>
      </c>
      <c r="D5" s="2" t="s">
        <v>108</v>
      </c>
      <c r="E5" s="15">
        <f>SUMIF('Shopping Data'!$G$2:$G$3901,D5,'Shopping Data'!$F$2:$F$3901)</f>
        <v>4326</v>
      </c>
    </row>
    <row r="6" spans="1:5" x14ac:dyDescent="0.35">
      <c r="A6" s="2" t="s">
        <v>126</v>
      </c>
      <c r="B6" s="6">
        <v>5587</v>
      </c>
      <c r="D6" s="2" t="s">
        <v>64</v>
      </c>
      <c r="E6" s="15">
        <f>SUMIF('Shopping Data'!$G$2:$G$3901,D6,'Shopping Data'!$F$2:$F$3901)</f>
        <v>4828</v>
      </c>
    </row>
    <row r="7" spans="1:5" x14ac:dyDescent="0.35">
      <c r="A7" s="2" t="s">
        <v>106</v>
      </c>
      <c r="B7" s="6">
        <v>5617</v>
      </c>
      <c r="D7" s="2" t="s">
        <v>90</v>
      </c>
      <c r="E7" s="15">
        <f>SUMIF('Shopping Data'!$G$2:$G$3901,D7,'Shopping Data'!$F$2:$F$3901)</f>
        <v>5605</v>
      </c>
    </row>
    <row r="8" spans="1:5" x14ac:dyDescent="0.35">
      <c r="A8" s="2" t="s">
        <v>49</v>
      </c>
      <c r="B8" s="6">
        <v>5784</v>
      </c>
      <c r="D8" s="2" t="s">
        <v>103</v>
      </c>
      <c r="E8" s="15">
        <f>SUMIF('Shopping Data'!$G$2:$G$3901,D8,'Shopping Data'!$F$2:$F$3901)</f>
        <v>4222</v>
      </c>
    </row>
    <row r="9" spans="1:5" x14ac:dyDescent="0.35">
      <c r="A9" s="2" t="s">
        <v>136</v>
      </c>
      <c r="B9" s="6">
        <v>5172</v>
      </c>
      <c r="D9" s="2" t="s">
        <v>130</v>
      </c>
      <c r="E9" s="15">
        <f>SUMIF('Shopping Data'!$G$2:$G$3901,D9,'Shopping Data'!$F$2:$F$3901)</f>
        <v>4226</v>
      </c>
    </row>
    <row r="10" spans="1:5" x14ac:dyDescent="0.35">
      <c r="A10" s="2" t="s">
        <v>98</v>
      </c>
      <c r="B10" s="6">
        <v>5514</v>
      </c>
      <c r="D10" s="2" t="s">
        <v>70</v>
      </c>
      <c r="E10" s="15">
        <f>SUMIF('Shopping Data'!$G$2:$G$3901,D10,'Shopping Data'!$F$2:$F$3901)</f>
        <v>4758</v>
      </c>
    </row>
    <row r="11" spans="1:5" x14ac:dyDescent="0.35">
      <c r="A11" s="2" t="s">
        <v>75</v>
      </c>
      <c r="B11" s="6">
        <v>5257</v>
      </c>
      <c r="D11" s="2" t="s">
        <v>94</v>
      </c>
      <c r="E11" s="15">
        <f>SUMIF('Shopping Data'!$G$2:$G$3901,D11,'Shopping Data'!$F$2:$F$3901)</f>
        <v>3798</v>
      </c>
    </row>
    <row r="12" spans="1:5" x14ac:dyDescent="0.35">
      <c r="A12" s="2" t="s">
        <v>105</v>
      </c>
      <c r="B12" s="6">
        <v>5220</v>
      </c>
      <c r="D12" s="2" t="s">
        <v>133</v>
      </c>
      <c r="E12" s="15">
        <f>SUMIF('Shopping Data'!$G$2:$G$3901,D12,'Shopping Data'!$F$2:$F$3901)</f>
        <v>4645</v>
      </c>
    </row>
    <row r="13" spans="1:5" x14ac:dyDescent="0.35">
      <c r="A13" s="2" t="s">
        <v>57</v>
      </c>
      <c r="B13" s="6">
        <v>5174</v>
      </c>
      <c r="D13" s="2" t="s">
        <v>68</v>
      </c>
      <c r="E13" s="15">
        <f>SUMIF('Shopping Data'!$G$2:$G$3901,D13,'Shopping Data'!$F$2:$F$3901)</f>
        <v>3752</v>
      </c>
    </row>
    <row r="14" spans="1:5" x14ac:dyDescent="0.35">
      <c r="D14" s="2" t="s">
        <v>126</v>
      </c>
      <c r="E14" s="15">
        <f>SUMIF('Shopping Data'!$G$2:$G$3901,D14,'Shopping Data'!$F$2:$F$3901)</f>
        <v>5587</v>
      </c>
    </row>
    <row r="15" spans="1:5" x14ac:dyDescent="0.35">
      <c r="D15" s="2" t="s">
        <v>106</v>
      </c>
      <c r="E15" s="15">
        <f>SUMIF('Shopping Data'!$G$2:$G$3901,D15,'Shopping Data'!$F$2:$F$3901)</f>
        <v>5617</v>
      </c>
    </row>
    <row r="16" spans="1:5" x14ac:dyDescent="0.35">
      <c r="D16" s="2" t="s">
        <v>107</v>
      </c>
      <c r="E16" s="15">
        <f>SUMIF('Shopping Data'!$G$2:$G$3901,D16,'Shopping Data'!$F$2:$F$3901)</f>
        <v>4655</v>
      </c>
    </row>
    <row r="17" spans="4:5" x14ac:dyDescent="0.35">
      <c r="D17" s="2" t="s">
        <v>137</v>
      </c>
      <c r="E17" s="15">
        <f>SUMIF('Shopping Data'!$G$2:$G$3901,D17,'Shopping Data'!$F$2:$F$3901)</f>
        <v>4201</v>
      </c>
    </row>
    <row r="18" spans="4:5" x14ac:dyDescent="0.35">
      <c r="D18" s="2" t="s">
        <v>102</v>
      </c>
      <c r="E18" s="15">
        <f>SUMIF('Shopping Data'!$G$2:$G$3901,D18,'Shopping Data'!$F$2:$F$3901)</f>
        <v>3437</v>
      </c>
    </row>
    <row r="19" spans="4:5" x14ac:dyDescent="0.35">
      <c r="D19" s="2" t="s">
        <v>19</v>
      </c>
      <c r="E19" s="15">
        <f>SUMIF('Shopping Data'!$G$2:$G$3901,D19,'Shopping Data'!$F$2:$F$3901)</f>
        <v>4402</v>
      </c>
    </row>
    <row r="20" spans="4:5" x14ac:dyDescent="0.35">
      <c r="D20" s="2" t="s">
        <v>53</v>
      </c>
      <c r="E20" s="15">
        <f>SUMIF('Shopping Data'!$G$2:$G$3901,D20,'Shopping Data'!$F$2:$F$3901)</f>
        <v>4848</v>
      </c>
    </row>
    <row r="21" spans="4:5" x14ac:dyDescent="0.35">
      <c r="D21" s="2" t="s">
        <v>27</v>
      </c>
      <c r="E21" s="15">
        <f>SUMIF('Shopping Data'!$G$2:$G$3901,D21,'Shopping Data'!$F$2:$F$3901)</f>
        <v>4388</v>
      </c>
    </row>
    <row r="22" spans="4:5" x14ac:dyDescent="0.35">
      <c r="D22" s="2" t="s">
        <v>119</v>
      </c>
      <c r="E22" s="15">
        <f>SUMIF('Shopping Data'!$G$2:$G$3901,D22,'Shopping Data'!$F$2:$F$3901)</f>
        <v>4795</v>
      </c>
    </row>
    <row r="23" spans="4:5" x14ac:dyDescent="0.35">
      <c r="D23" s="2" t="s">
        <v>31</v>
      </c>
      <c r="E23" s="15">
        <f>SUMIF('Shopping Data'!$G$2:$G$3901,D23,'Shopping Data'!$F$2:$F$3901)</f>
        <v>4384</v>
      </c>
    </row>
    <row r="24" spans="4:5" x14ac:dyDescent="0.35">
      <c r="D24" s="2" t="s">
        <v>142</v>
      </c>
      <c r="E24" s="15">
        <f>SUMIF('Shopping Data'!$G$2:$G$3901,D24,'Shopping Data'!$F$2:$F$3901)</f>
        <v>4533</v>
      </c>
    </row>
    <row r="25" spans="4:5" x14ac:dyDescent="0.35">
      <c r="D25" s="2" t="s">
        <v>139</v>
      </c>
      <c r="E25" s="15">
        <f>SUMIF('Shopping Data'!$G$2:$G$3901,D25,'Shopping Data'!$F$2:$F$3901)</f>
        <v>4977</v>
      </c>
    </row>
    <row r="26" spans="4:5" x14ac:dyDescent="0.35">
      <c r="D26" s="2" t="s">
        <v>82</v>
      </c>
      <c r="E26" s="15">
        <f>SUMIF('Shopping Data'!$G$2:$G$3901,D26,'Shopping Data'!$F$2:$F$3901)</f>
        <v>4883</v>
      </c>
    </row>
    <row r="27" spans="4:5" x14ac:dyDescent="0.35">
      <c r="D27" s="2" t="s">
        <v>61</v>
      </c>
      <c r="E27" s="15">
        <f>SUMIF('Shopping Data'!$G$2:$G$3901,D27,'Shopping Data'!$F$2:$F$3901)</f>
        <v>4691</v>
      </c>
    </row>
    <row r="28" spans="4:5" x14ac:dyDescent="0.35">
      <c r="D28" s="2" t="s">
        <v>49</v>
      </c>
      <c r="E28" s="15">
        <f>SUMIF('Shopping Data'!$G$2:$G$3901,D28,'Shopping Data'!$F$2:$F$3901)</f>
        <v>5784</v>
      </c>
    </row>
    <row r="29" spans="4:5" x14ac:dyDescent="0.35">
      <c r="D29" s="2" t="s">
        <v>136</v>
      </c>
      <c r="E29" s="15">
        <f>SUMIF('Shopping Data'!$G$2:$G$3901,D29,'Shopping Data'!$F$2:$F$3901)</f>
        <v>5172</v>
      </c>
    </row>
    <row r="30" spans="4:5" x14ac:dyDescent="0.35">
      <c r="D30" s="2" t="s">
        <v>98</v>
      </c>
      <c r="E30" s="15">
        <f>SUMIF('Shopping Data'!$G$2:$G$3901,D30,'Shopping Data'!$F$2:$F$3901)</f>
        <v>5514</v>
      </c>
    </row>
    <row r="31" spans="4:5" x14ac:dyDescent="0.35">
      <c r="D31" s="2" t="s">
        <v>73</v>
      </c>
      <c r="E31" s="15">
        <f>SUMIF('Shopping Data'!$G$2:$G$3901,D31,'Shopping Data'!$F$2:$F$3901)</f>
        <v>4219</v>
      </c>
    </row>
    <row r="32" spans="4:5" x14ac:dyDescent="0.35">
      <c r="D32" s="2" t="s">
        <v>118</v>
      </c>
      <c r="E32" s="15">
        <f>SUMIF('Shopping Data'!$G$2:$G$3901,D32,'Shopping Data'!$F$2:$F$3901)</f>
        <v>3802</v>
      </c>
    </row>
    <row r="33" spans="4:5" x14ac:dyDescent="0.35">
      <c r="D33" s="2" t="s">
        <v>121</v>
      </c>
      <c r="E33" s="15">
        <f>SUMIF('Shopping Data'!$G$2:$G$3901,D33,'Shopping Data'!$F$2:$F$3901)</f>
        <v>5014</v>
      </c>
    </row>
    <row r="34" spans="4:5" x14ac:dyDescent="0.35">
      <c r="D34" s="2" t="s">
        <v>75</v>
      </c>
      <c r="E34" s="15">
        <f>SUMIF('Shopping Data'!$G$2:$G$3901,D34,'Shopping Data'!$F$2:$F$3901)</f>
        <v>5257</v>
      </c>
    </row>
    <row r="35" spans="4:5" x14ac:dyDescent="0.35">
      <c r="D35" s="2" t="s">
        <v>89</v>
      </c>
      <c r="E35" s="15">
        <f>SUMIF('Shopping Data'!$G$2:$G$3901,D35,'Shopping Data'!$F$2:$F$3901)</f>
        <v>4742</v>
      </c>
    </row>
    <row r="36" spans="4:5" x14ac:dyDescent="0.35">
      <c r="D36" s="2" t="s">
        <v>105</v>
      </c>
      <c r="E36" s="15">
        <f>SUMIF('Shopping Data'!$G$2:$G$3901,D36,'Shopping Data'!$F$2:$F$3901)</f>
        <v>5220</v>
      </c>
    </row>
    <row r="37" spans="4:5" x14ac:dyDescent="0.35">
      <c r="D37" s="2" t="s">
        <v>114</v>
      </c>
      <c r="E37" s="15">
        <f>SUMIF('Shopping Data'!$G$2:$G$3901,D37,'Shopping Data'!$F$2:$F$3901)</f>
        <v>4649</v>
      </c>
    </row>
    <row r="38" spans="4:5" x14ac:dyDescent="0.35">
      <c r="D38" s="2" t="s">
        <v>92</v>
      </c>
      <c r="E38" s="15">
        <f>SUMIF('Shopping Data'!$G$2:$G$3901,D38,'Shopping Data'!$F$2:$F$3901)</f>
        <v>4376</v>
      </c>
    </row>
    <row r="39" spans="4:5" x14ac:dyDescent="0.35">
      <c r="D39" s="2" t="s">
        <v>41</v>
      </c>
      <c r="E39" s="15">
        <f>SUMIF('Shopping Data'!$G$2:$G$3901,D39,'Shopping Data'!$F$2:$F$3901)</f>
        <v>4243</v>
      </c>
    </row>
    <row r="40" spans="4:5" x14ac:dyDescent="0.35">
      <c r="D40" s="2" t="s">
        <v>129</v>
      </c>
      <c r="E40" s="15">
        <f>SUMIF('Shopping Data'!$G$2:$G$3901,D40,'Shopping Data'!$F$2:$F$3901)</f>
        <v>4926</v>
      </c>
    </row>
    <row r="41" spans="4:5" x14ac:dyDescent="0.35">
      <c r="D41" s="2" t="s">
        <v>38</v>
      </c>
      <c r="E41" s="15">
        <f>SUMIF('Shopping Data'!$G$2:$G$3901,D41,'Shopping Data'!$F$2:$F$3901)</f>
        <v>3871</v>
      </c>
    </row>
    <row r="42" spans="4:5" x14ac:dyDescent="0.35">
      <c r="D42" s="2" t="s">
        <v>122</v>
      </c>
      <c r="E42" s="15">
        <f>SUMIF('Shopping Data'!$G$2:$G$3901,D42,'Shopping Data'!$F$2:$F$3901)</f>
        <v>4439</v>
      </c>
    </row>
    <row r="43" spans="4:5" x14ac:dyDescent="0.35">
      <c r="D43" s="2" t="s">
        <v>138</v>
      </c>
      <c r="E43" s="15">
        <f>SUMIF('Shopping Data'!$G$2:$G$3901,D43,'Shopping Data'!$F$2:$F$3901)</f>
        <v>4236</v>
      </c>
    </row>
    <row r="44" spans="4:5" x14ac:dyDescent="0.35">
      <c r="D44" s="2" t="s">
        <v>113</v>
      </c>
      <c r="E44" s="15">
        <f>SUMIF('Shopping Data'!$G$2:$G$3901,D44,'Shopping Data'!$F$2:$F$3901)</f>
        <v>4772</v>
      </c>
    </row>
    <row r="45" spans="4:5" x14ac:dyDescent="0.35">
      <c r="D45" s="2" t="s">
        <v>96</v>
      </c>
      <c r="E45" s="15">
        <f>SUMIF('Shopping Data'!$G$2:$G$3901,D45,'Shopping Data'!$F$2:$F$3901)</f>
        <v>4712</v>
      </c>
    </row>
    <row r="46" spans="4:5" x14ac:dyDescent="0.35">
      <c r="D46" s="2" t="s">
        <v>131</v>
      </c>
      <c r="E46" s="15">
        <f>SUMIF('Shopping Data'!$G$2:$G$3901,D46,'Shopping Data'!$F$2:$F$3901)</f>
        <v>4443</v>
      </c>
    </row>
    <row r="47" spans="4:5" x14ac:dyDescent="0.35">
      <c r="D47" s="2" t="s">
        <v>120</v>
      </c>
      <c r="E47" s="15">
        <f>SUMIF('Shopping Data'!$G$2:$G$3901,D47,'Shopping Data'!$F$2:$F$3901)</f>
        <v>4860</v>
      </c>
    </row>
    <row r="48" spans="4:5" x14ac:dyDescent="0.35">
      <c r="D48" s="2" t="s">
        <v>132</v>
      </c>
      <c r="E48" s="15">
        <f>SUMIF('Shopping Data'!$G$2:$G$3901,D48,'Shopping Data'!$F$2:$F$3901)</f>
        <v>4842</v>
      </c>
    </row>
    <row r="49" spans="4:5" x14ac:dyDescent="0.35">
      <c r="D49" s="2" t="s">
        <v>140</v>
      </c>
      <c r="E49" s="15">
        <f>SUMIF('Shopping Data'!$G$2:$G$3901,D49,'Shopping Data'!$F$2:$F$3901)</f>
        <v>4623</v>
      </c>
    </row>
    <row r="50" spans="4:5" x14ac:dyDescent="0.35">
      <c r="D50" s="2" t="s">
        <v>57</v>
      </c>
      <c r="E50" s="15">
        <f>SUMIF('Shopping Data'!$G$2:$G$3901,D50,'Shopping Data'!$F$2:$F$3901)</f>
        <v>5174</v>
      </c>
    </row>
    <row r="51" spans="4:5" x14ac:dyDescent="0.35">
      <c r="D51" s="2" t="s">
        <v>141</v>
      </c>
      <c r="E51" s="15">
        <f>SUMIF('Shopping Data'!$G$2:$G$3901,D51,'Shopping Data'!$F$2:$F$3901)</f>
        <v>4196</v>
      </c>
    </row>
    <row r="52" spans="4:5" x14ac:dyDescent="0.35">
      <c r="D52" s="2" t="s">
        <v>45</v>
      </c>
      <c r="E52" s="15">
        <f>SUMIF('Shopping Data'!$G$2:$G$3901,D52,'Shopping Data'!$F$2:$F$3901)</f>
        <v>4309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476C-3AF5-4133-886B-2AEABF07EE1B}">
  <sheetPr>
    <tabColor rgb="FFFF0000"/>
  </sheetPr>
  <dimension ref="A2:C7"/>
  <sheetViews>
    <sheetView zoomScale="79" workbookViewId="0">
      <selection activeCell="J21" sqref="J21"/>
    </sheetView>
  </sheetViews>
  <sheetFormatPr defaultRowHeight="14.5" x14ac:dyDescent="0.35"/>
  <cols>
    <col min="1" max="1" width="13.25" customWidth="1"/>
    <col min="2" max="2" width="11.5" customWidth="1"/>
    <col min="3" max="3" width="10.75" customWidth="1"/>
  </cols>
  <sheetData>
    <row r="2" spans="1:3" x14ac:dyDescent="0.35">
      <c r="A2" s="1" t="s">
        <v>145</v>
      </c>
      <c r="B2" t="s">
        <v>170</v>
      </c>
      <c r="C2" t="s">
        <v>164</v>
      </c>
    </row>
    <row r="3" spans="1:3" x14ac:dyDescent="0.35">
      <c r="A3" s="2" t="s">
        <v>50</v>
      </c>
      <c r="B3" s="6">
        <v>60018</v>
      </c>
      <c r="C3" s="8">
        <v>0.25749846619844602</v>
      </c>
    </row>
    <row r="4" spans="1:3" x14ac:dyDescent="0.35">
      <c r="A4" s="2" t="s">
        <v>33</v>
      </c>
      <c r="B4" s="6">
        <v>58679</v>
      </c>
      <c r="C4" s="8">
        <v>0.251753682196318</v>
      </c>
    </row>
    <row r="5" spans="1:3" x14ac:dyDescent="0.35">
      <c r="A5" s="2" t="s">
        <v>47</v>
      </c>
      <c r="B5" s="6">
        <v>55777</v>
      </c>
      <c r="C5" s="8">
        <v>0.23930307489670974</v>
      </c>
    </row>
    <row r="6" spans="1:3" x14ac:dyDescent="0.35">
      <c r="A6" s="2" t="s">
        <v>22</v>
      </c>
      <c r="B6" s="6">
        <v>58607</v>
      </c>
      <c r="C6" s="8">
        <v>0.25144477670852622</v>
      </c>
    </row>
    <row r="7" spans="1:3" x14ac:dyDescent="0.35">
      <c r="A7" s="2" t="s">
        <v>146</v>
      </c>
      <c r="B7" s="6">
        <v>233081</v>
      </c>
      <c r="C7" s="8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A53D-06E9-47BA-B199-C5C448C1E933}">
  <sheetPr>
    <tabColor rgb="FFFF0000"/>
  </sheetPr>
  <dimension ref="A3:C9"/>
  <sheetViews>
    <sheetView workbookViewId="0">
      <selection activeCell="F22" sqref="F22"/>
    </sheetView>
  </sheetViews>
  <sheetFormatPr defaultRowHeight="14.5" x14ac:dyDescent="0.35"/>
  <cols>
    <col min="1" max="1" width="11.83203125" customWidth="1"/>
    <col min="2" max="2" width="11.5" customWidth="1"/>
    <col min="3" max="3" width="10.58203125" customWidth="1"/>
  </cols>
  <sheetData>
    <row r="3" spans="1:3" x14ac:dyDescent="0.35">
      <c r="A3" s="1" t="s">
        <v>159</v>
      </c>
      <c r="B3" t="s">
        <v>160</v>
      </c>
      <c r="C3" t="s">
        <v>164</v>
      </c>
    </row>
    <row r="4" spans="1:3" x14ac:dyDescent="0.35">
      <c r="A4" s="2" t="s">
        <v>18</v>
      </c>
      <c r="B4" s="6">
        <v>104264</v>
      </c>
      <c r="C4" s="8">
        <v>0.44732946915449995</v>
      </c>
    </row>
    <row r="5" spans="1:3" x14ac:dyDescent="0.35">
      <c r="A5" s="2" t="s">
        <v>60</v>
      </c>
      <c r="B5" s="6">
        <v>74200</v>
      </c>
      <c r="C5" s="8">
        <v>0.31834426658543596</v>
      </c>
    </row>
    <row r="6" spans="1:3" x14ac:dyDescent="0.35">
      <c r="A6" s="2" t="s">
        <v>37</v>
      </c>
      <c r="B6" s="6">
        <v>36093</v>
      </c>
      <c r="C6" s="8">
        <v>0.15485174681762992</v>
      </c>
    </row>
    <row r="7" spans="1:3" x14ac:dyDescent="0.35">
      <c r="A7" s="2" t="s">
        <v>56</v>
      </c>
      <c r="B7" s="6">
        <v>18524</v>
      </c>
      <c r="C7" s="8">
        <v>7.9474517442434181E-2</v>
      </c>
    </row>
    <row r="8" spans="1:3" x14ac:dyDescent="0.35">
      <c r="A8" s="2" t="s">
        <v>146</v>
      </c>
      <c r="B8" s="6">
        <v>233081</v>
      </c>
      <c r="C8" s="8">
        <v>1</v>
      </c>
    </row>
    <row r="9" spans="1:3" x14ac:dyDescent="0.35">
      <c r="B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8233-151B-45CA-AB91-A958E531AFBB}">
  <sheetPr>
    <tabColor theme="5" tint="-0.499984740745262"/>
  </sheetPr>
  <dimension ref="A2:B13"/>
  <sheetViews>
    <sheetView zoomScale="82" workbookViewId="0">
      <selection activeCell="J27" sqref="J27"/>
    </sheetView>
  </sheetViews>
  <sheetFormatPr defaultRowHeight="14.5" x14ac:dyDescent="0.35"/>
  <cols>
    <col min="1" max="1" width="18.75" customWidth="1"/>
    <col min="2" max="2" width="16.58203125" customWidth="1"/>
    <col min="3" max="3" width="22.5" customWidth="1"/>
    <col min="4" max="8" width="8"/>
    <col min="9" max="9" width="11.4140625" bestFit="1" customWidth="1"/>
    <col min="10" max="10" width="25.08203125" bestFit="1" customWidth="1"/>
    <col min="11" max="11" width="15.9140625" bestFit="1" customWidth="1"/>
  </cols>
  <sheetData>
    <row r="2" spans="1:2" x14ac:dyDescent="0.35">
      <c r="A2" s="1" t="s">
        <v>168</v>
      </c>
      <c r="B2" t="s">
        <v>167</v>
      </c>
    </row>
    <row r="3" spans="1:2" x14ac:dyDescent="0.35">
      <c r="A3" s="2" t="s">
        <v>17</v>
      </c>
      <c r="B3" s="6">
        <v>10410</v>
      </c>
    </row>
    <row r="4" spans="1:2" x14ac:dyDescent="0.35">
      <c r="A4" s="2" t="s">
        <v>48</v>
      </c>
      <c r="B4" s="6">
        <v>10332</v>
      </c>
    </row>
    <row r="5" spans="1:2" x14ac:dyDescent="0.35">
      <c r="A5" s="2" t="s">
        <v>72</v>
      </c>
      <c r="B5" s="6">
        <v>10320</v>
      </c>
    </row>
    <row r="6" spans="1:2" x14ac:dyDescent="0.35">
      <c r="A6" s="2" t="s">
        <v>86</v>
      </c>
      <c r="B6" s="6">
        <v>10090</v>
      </c>
    </row>
    <row r="7" spans="1:2" x14ac:dyDescent="0.35">
      <c r="A7" s="2" t="s">
        <v>97</v>
      </c>
      <c r="B7" s="6">
        <v>10010</v>
      </c>
    </row>
    <row r="8" spans="1:2" x14ac:dyDescent="0.35">
      <c r="A8" s="2" t="s">
        <v>80</v>
      </c>
      <c r="B8" s="6">
        <v>9649</v>
      </c>
    </row>
    <row r="9" spans="1:2" x14ac:dyDescent="0.35">
      <c r="A9" s="2" t="s">
        <v>124</v>
      </c>
      <c r="B9" s="6">
        <v>9635</v>
      </c>
    </row>
    <row r="10" spans="1:2" x14ac:dyDescent="0.35">
      <c r="A10" s="2" t="s">
        <v>110</v>
      </c>
      <c r="B10" s="6">
        <v>9561</v>
      </c>
    </row>
    <row r="11" spans="1:2" x14ac:dyDescent="0.35">
      <c r="A11" s="2" t="s">
        <v>26</v>
      </c>
      <c r="B11" s="6">
        <v>9462</v>
      </c>
    </row>
    <row r="12" spans="1:2" x14ac:dyDescent="0.35">
      <c r="A12" s="2" t="s">
        <v>52</v>
      </c>
      <c r="B12" s="6">
        <v>9433</v>
      </c>
    </row>
    <row r="13" spans="1:2" x14ac:dyDescent="0.35">
      <c r="A13" s="2" t="s">
        <v>146</v>
      </c>
      <c r="B13" s="6">
        <v>98902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31B9-A9C2-494F-91E9-41EE2247C9D0}">
  <sheetPr>
    <tabColor theme="5" tint="-0.499984740745262"/>
  </sheetPr>
  <dimension ref="A1:B28"/>
  <sheetViews>
    <sheetView workbookViewId="0">
      <selection activeCell="B12" sqref="B12"/>
    </sheetView>
  </sheetViews>
  <sheetFormatPr defaultRowHeight="14.5" x14ac:dyDescent="0.35"/>
  <cols>
    <col min="1" max="1" width="11.08203125" customWidth="1"/>
    <col min="2" max="2" width="11.33203125" customWidth="1"/>
  </cols>
  <sheetData>
    <row r="1" spans="1:2" x14ac:dyDescent="0.35">
      <c r="A1" s="1" t="s">
        <v>171</v>
      </c>
      <c r="B1" t="s">
        <v>170</v>
      </c>
    </row>
    <row r="2" spans="1:2" x14ac:dyDescent="0.35">
      <c r="A2" s="2" t="s">
        <v>87</v>
      </c>
      <c r="B2" s="6">
        <v>11104</v>
      </c>
    </row>
    <row r="3" spans="1:2" x14ac:dyDescent="0.35">
      <c r="A3" s="2" t="s">
        <v>76</v>
      </c>
      <c r="B3" s="6">
        <v>10459</v>
      </c>
    </row>
    <row r="4" spans="1:2" x14ac:dyDescent="0.35">
      <c r="A4" s="2" t="s">
        <v>125</v>
      </c>
      <c r="B4" s="6">
        <v>10308</v>
      </c>
    </row>
    <row r="5" spans="1:2" x14ac:dyDescent="0.35">
      <c r="A5" s="2" t="s">
        <v>69</v>
      </c>
      <c r="B5" s="6">
        <v>10292</v>
      </c>
    </row>
    <row r="6" spans="1:2" x14ac:dyDescent="0.35">
      <c r="A6" s="2" t="s">
        <v>100</v>
      </c>
      <c r="B6" s="6">
        <v>10274</v>
      </c>
    </row>
    <row r="7" spans="1:2" x14ac:dyDescent="0.35">
      <c r="A7" s="2" t="s">
        <v>74</v>
      </c>
      <c r="B7" s="6">
        <v>10245</v>
      </c>
    </row>
    <row r="8" spans="1:2" x14ac:dyDescent="0.35">
      <c r="A8" s="2" t="s">
        <v>21</v>
      </c>
      <c r="B8" s="6">
        <v>9936</v>
      </c>
    </row>
    <row r="9" spans="1:2" x14ac:dyDescent="0.35">
      <c r="A9" s="2" t="s">
        <v>58</v>
      </c>
      <c r="B9" s="6">
        <v>9832</v>
      </c>
    </row>
    <row r="10" spans="1:2" x14ac:dyDescent="0.35">
      <c r="A10" s="2" t="s">
        <v>85</v>
      </c>
      <c r="B10" s="6">
        <v>9753</v>
      </c>
    </row>
    <row r="11" spans="1:2" x14ac:dyDescent="0.35">
      <c r="A11" s="2" t="s">
        <v>28</v>
      </c>
      <c r="B11" s="6">
        <v>9405</v>
      </c>
    </row>
    <row r="12" spans="1:2" x14ac:dyDescent="0.35">
      <c r="A12" s="2" t="s">
        <v>112</v>
      </c>
      <c r="B12" s="6">
        <v>9377</v>
      </c>
    </row>
    <row r="13" spans="1:2" x14ac:dyDescent="0.35">
      <c r="A13" s="2" t="s">
        <v>54</v>
      </c>
      <c r="B13" s="6">
        <v>9277</v>
      </c>
    </row>
    <row r="14" spans="1:2" x14ac:dyDescent="0.35">
      <c r="A14" s="2" t="s">
        <v>62</v>
      </c>
      <c r="B14" s="6">
        <v>9270</v>
      </c>
    </row>
    <row r="15" spans="1:2" x14ac:dyDescent="0.35">
      <c r="A15" s="2" t="s">
        <v>65</v>
      </c>
      <c r="B15" s="6">
        <v>9062</v>
      </c>
    </row>
    <row r="16" spans="1:2" x14ac:dyDescent="0.35">
      <c r="A16" s="2" t="s">
        <v>46</v>
      </c>
      <c r="B16" s="6">
        <v>8895</v>
      </c>
    </row>
    <row r="17" spans="1:2" x14ac:dyDescent="0.35">
      <c r="A17" s="2" t="s">
        <v>109</v>
      </c>
      <c r="B17" s="6">
        <v>8881</v>
      </c>
    </row>
    <row r="18" spans="1:2" x14ac:dyDescent="0.35">
      <c r="A18" s="2" t="s">
        <v>91</v>
      </c>
      <c r="B18" s="6">
        <v>8819</v>
      </c>
    </row>
    <row r="19" spans="1:2" x14ac:dyDescent="0.35">
      <c r="A19" s="2" t="s">
        <v>99</v>
      </c>
      <c r="B19" s="6">
        <v>8779</v>
      </c>
    </row>
    <row r="20" spans="1:2" x14ac:dyDescent="0.35">
      <c r="A20" s="2" t="s">
        <v>84</v>
      </c>
      <c r="B20" s="6">
        <v>8692</v>
      </c>
    </row>
    <row r="21" spans="1:2" x14ac:dyDescent="0.35">
      <c r="A21" s="2" t="s">
        <v>127</v>
      </c>
      <c r="B21" s="6">
        <v>8684</v>
      </c>
    </row>
    <row r="22" spans="1:2" x14ac:dyDescent="0.35">
      <c r="A22" s="2" t="s">
        <v>135</v>
      </c>
      <c r="B22" s="6">
        <v>8657</v>
      </c>
    </row>
    <row r="23" spans="1:2" x14ac:dyDescent="0.35">
      <c r="A23" s="2" t="s">
        <v>71</v>
      </c>
      <c r="B23" s="6">
        <v>8419</v>
      </c>
    </row>
    <row r="24" spans="1:2" x14ac:dyDescent="0.35">
      <c r="A24" s="2" t="s">
        <v>101</v>
      </c>
      <c r="B24" s="6">
        <v>8328</v>
      </c>
    </row>
    <row r="25" spans="1:2" x14ac:dyDescent="0.35">
      <c r="A25" s="2" t="s">
        <v>117</v>
      </c>
      <c r="B25" s="6">
        <v>8269</v>
      </c>
    </row>
    <row r="26" spans="1:2" x14ac:dyDescent="0.35">
      <c r="A26" s="2" t="s">
        <v>42</v>
      </c>
      <c r="B26" s="6">
        <v>8064</v>
      </c>
    </row>
    <row r="27" spans="1:2" x14ac:dyDescent="0.35">
      <c r="A27" s="2" t="s">
        <v>183</v>
      </c>
      <c r="B27" s="6"/>
    </row>
    <row r="28" spans="1:2" x14ac:dyDescent="0.35">
      <c r="A28" s="2" t="s">
        <v>146</v>
      </c>
      <c r="B28" s="6">
        <v>233081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2ED4-11DE-4FAD-8D7E-5614269584DC}">
  <sheetPr>
    <tabColor theme="5" tint="-0.499984740745262"/>
  </sheetPr>
  <dimension ref="A1:C6"/>
  <sheetViews>
    <sheetView workbookViewId="0">
      <selection activeCell="J15" sqref="J15"/>
    </sheetView>
  </sheetViews>
  <sheetFormatPr defaultRowHeight="14.5" x14ac:dyDescent="0.35"/>
  <cols>
    <col min="1" max="1" width="11.08203125" customWidth="1"/>
    <col min="2" max="2" width="11.33203125" customWidth="1"/>
    <col min="3" max="3" width="10.58203125" customWidth="1"/>
  </cols>
  <sheetData>
    <row r="1" spans="1:3" x14ac:dyDescent="0.35">
      <c r="A1" s="1" t="s">
        <v>172</v>
      </c>
      <c r="B1" t="s">
        <v>170</v>
      </c>
      <c r="C1" t="s">
        <v>164</v>
      </c>
    </row>
    <row r="2" spans="1:3" x14ac:dyDescent="0.35">
      <c r="A2" s="2" t="s">
        <v>39</v>
      </c>
      <c r="B2" s="6">
        <v>105167</v>
      </c>
      <c r="C2" s="8">
        <v>0.45120365881388874</v>
      </c>
    </row>
    <row r="3" spans="1:3" x14ac:dyDescent="0.35">
      <c r="A3" s="2" t="s">
        <v>20</v>
      </c>
      <c r="B3" s="6">
        <v>61667</v>
      </c>
      <c r="C3" s="8">
        <v>0.26457325993967762</v>
      </c>
    </row>
    <row r="4" spans="1:3" x14ac:dyDescent="0.35">
      <c r="A4" s="2" t="s">
        <v>32</v>
      </c>
      <c r="B4" s="6">
        <v>40468</v>
      </c>
      <c r="C4" s="8">
        <v>0.17362204555497873</v>
      </c>
    </row>
    <row r="5" spans="1:3" x14ac:dyDescent="0.35">
      <c r="A5" s="2" t="s">
        <v>83</v>
      </c>
      <c r="B5" s="6">
        <v>25779</v>
      </c>
      <c r="C5" s="8">
        <v>0.11060103569145491</v>
      </c>
    </row>
    <row r="6" spans="1:3" x14ac:dyDescent="0.35">
      <c r="A6" s="2" t="s">
        <v>146</v>
      </c>
      <c r="B6" s="6">
        <v>233081</v>
      </c>
      <c r="C6" s="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1D5A-4CC6-4E50-9C29-844BDD674B66}">
  <sheetPr>
    <tabColor rgb="FF7030A0"/>
  </sheetPr>
  <dimension ref="A3:G8"/>
  <sheetViews>
    <sheetView topLeftCell="A2" workbookViewId="0">
      <selection activeCell="G14" sqref="G14"/>
    </sheetView>
  </sheetViews>
  <sheetFormatPr defaultRowHeight="14.5" x14ac:dyDescent="0.35"/>
  <cols>
    <col min="1" max="1" width="13.33203125" customWidth="1"/>
    <col min="2" max="2" width="12.33203125" customWidth="1"/>
    <col min="3" max="3" width="9.75" customWidth="1"/>
    <col min="4" max="4" width="10.83203125" customWidth="1"/>
    <col min="6" max="6" width="21.4140625" customWidth="1"/>
    <col min="7" max="7" width="12.33203125" customWidth="1"/>
    <col min="8" max="8" width="10.83203125" customWidth="1"/>
  </cols>
  <sheetData>
    <row r="3" spans="1:7" x14ac:dyDescent="0.35">
      <c r="A3" s="1" t="s">
        <v>163</v>
      </c>
      <c r="B3" t="s">
        <v>165</v>
      </c>
      <c r="D3" s="6"/>
      <c r="F3" t="s">
        <v>186</v>
      </c>
      <c r="G3" t="s">
        <v>187</v>
      </c>
    </row>
    <row r="4" spans="1:7" x14ac:dyDescent="0.35">
      <c r="A4" s="2" t="s">
        <v>143</v>
      </c>
      <c r="B4" s="6">
        <v>133670</v>
      </c>
      <c r="F4" t="s">
        <v>184</v>
      </c>
      <c r="G4" s="4">
        <f>GETPIVOTDATA("Purchase Amount (USD)",$A$3,"Discount Applied","Yes")</f>
        <v>99411</v>
      </c>
    </row>
    <row r="5" spans="1:7" x14ac:dyDescent="0.35">
      <c r="A5" s="2" t="s">
        <v>23</v>
      </c>
      <c r="B5" s="6">
        <v>99411</v>
      </c>
      <c r="F5" t="s">
        <v>185</v>
      </c>
      <c r="G5" s="4">
        <f>GETPIVOTDATA("Purchase Amount (USD)",$A$3,"Discount Applied","No")</f>
        <v>133670</v>
      </c>
    </row>
    <row r="6" spans="1:7" x14ac:dyDescent="0.35">
      <c r="A6" s="2" t="s">
        <v>146</v>
      </c>
      <c r="B6" s="6">
        <v>233081</v>
      </c>
      <c r="F6" t="s">
        <v>188</v>
      </c>
      <c r="G6" s="4">
        <f>GETPIVOTDATA("Purchase Amount (USD)",'Discount AOV'!$A$3,"Discount Applied","Yes")</f>
        <v>59.279069767441861</v>
      </c>
    </row>
    <row r="7" spans="1:7" x14ac:dyDescent="0.35">
      <c r="F7" t="s">
        <v>189</v>
      </c>
      <c r="G7" s="4">
        <f>GETPIVOTDATA("Purchase Amount (USD)",'Discount AOV'!$A$3,"Discount Applied","No")</f>
        <v>60.130454340980656</v>
      </c>
    </row>
    <row r="8" spans="1:7" x14ac:dyDescent="0.35">
      <c r="F8" t="s">
        <v>190</v>
      </c>
      <c r="G8" s="9">
        <f>AVERAGE(Table2[Review Rating])</f>
        <v>3.7308717948717871</v>
      </c>
    </row>
  </sheetData>
  <phoneticPr fontId="19" type="noConversion"/>
  <pageMargins left="0.7" right="0.7" top="0.75" bottom="0.75" header="0.3" footer="0.3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B29F-3A12-4791-9F87-33266699AFA4}">
  <sheetPr>
    <tabColor theme="8" tint="0.39997558519241921"/>
  </sheetPr>
  <dimension ref="A3:N22"/>
  <sheetViews>
    <sheetView workbookViewId="0">
      <selection activeCell="A3" sqref="A3:B5"/>
    </sheetView>
  </sheetViews>
  <sheetFormatPr defaultRowHeight="14.5" x14ac:dyDescent="0.35"/>
  <cols>
    <col min="1" max="1" width="13.33203125" customWidth="1"/>
    <col min="2" max="2" width="6.25" customWidth="1"/>
  </cols>
  <sheetData>
    <row r="3" spans="1:2" x14ac:dyDescent="0.35">
      <c r="A3" s="1" t="s">
        <v>163</v>
      </c>
      <c r="B3" t="s">
        <v>166</v>
      </c>
    </row>
    <row r="4" spans="1:2" x14ac:dyDescent="0.35">
      <c r="A4" s="2" t="s">
        <v>143</v>
      </c>
      <c r="B4" s="6">
        <v>60.130454340980656</v>
      </c>
    </row>
    <row r="5" spans="1:2" x14ac:dyDescent="0.35">
      <c r="A5" s="2" t="s">
        <v>23</v>
      </c>
      <c r="B5" s="6">
        <v>59.279069767441861</v>
      </c>
    </row>
    <row r="6" spans="1:2" x14ac:dyDescent="0.35">
      <c r="A6" s="2" t="s">
        <v>146</v>
      </c>
      <c r="B6" s="6">
        <v>59.764358974358977</v>
      </c>
    </row>
    <row r="22" spans="14:14" x14ac:dyDescent="0.35">
      <c r="N22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D507-D895-49F7-BBEB-009D6621CA26}">
  <sheetPr>
    <tabColor rgb="FFFFFF00"/>
  </sheetPr>
  <dimension ref="A3:E11"/>
  <sheetViews>
    <sheetView workbookViewId="0">
      <selection activeCell="E11" sqref="E11"/>
    </sheetView>
  </sheetViews>
  <sheetFormatPr defaultRowHeight="14.5" x14ac:dyDescent="0.35"/>
  <cols>
    <col min="1" max="1" width="27.9140625" customWidth="1"/>
    <col min="2" max="2" width="14.08203125" customWidth="1"/>
    <col min="3" max="3" width="8.6640625" customWidth="1"/>
    <col min="4" max="4" width="24.83203125" customWidth="1"/>
    <col min="5" max="5" width="20.1640625" customWidth="1"/>
    <col min="6" max="6" width="11.4140625" customWidth="1"/>
    <col min="7" max="11" width="8"/>
    <col min="12" max="13" width="8" customWidth="1"/>
  </cols>
  <sheetData>
    <row r="3" spans="1:5" x14ac:dyDescent="0.35">
      <c r="A3" s="1" t="s">
        <v>159</v>
      </c>
      <c r="B3" t="s">
        <v>182</v>
      </c>
      <c r="D3" s="16" t="s">
        <v>206</v>
      </c>
      <c r="E3" s="16" t="s">
        <v>207</v>
      </c>
    </row>
    <row r="4" spans="1:5" x14ac:dyDescent="0.35">
      <c r="A4" s="2" t="s">
        <v>60</v>
      </c>
      <c r="B4" s="9">
        <v>3.7470161290322617</v>
      </c>
      <c r="D4" s="17" t="s">
        <v>208</v>
      </c>
      <c r="E4" s="18">
        <f>AVERAGE('Shopping Data'!K2:K3901)</f>
        <v>3.7308717948717871</v>
      </c>
    </row>
    <row r="5" spans="1:5" x14ac:dyDescent="0.35">
      <c r="A5" s="2" t="s">
        <v>18</v>
      </c>
      <c r="B5" s="9">
        <v>3.7044905008635549</v>
      </c>
      <c r="D5" s="17" t="s">
        <v>217</v>
      </c>
      <c r="E5" s="17" t="s">
        <v>209</v>
      </c>
    </row>
    <row r="6" spans="1:5" x14ac:dyDescent="0.35">
      <c r="A6" s="2" t="s">
        <v>37</v>
      </c>
      <c r="B6" s="9">
        <v>3.7841402337228733</v>
      </c>
    </row>
    <row r="7" spans="1:5" x14ac:dyDescent="0.35">
      <c r="A7" s="2" t="s">
        <v>56</v>
      </c>
      <c r="B7" s="9">
        <v>3.7120370370370366</v>
      </c>
    </row>
    <row r="8" spans="1:5" x14ac:dyDescent="0.35">
      <c r="A8" s="2" t="s">
        <v>146</v>
      </c>
      <c r="B8">
        <v>3.730871794871808</v>
      </c>
    </row>
    <row r="11" spans="1:5" x14ac:dyDescent="0.35">
      <c r="A11" s="12" t="s">
        <v>205</v>
      </c>
      <c r="B11" s="14">
        <f>AVERAGE('Shopping Data'!K2:K3901)</f>
        <v>3.7308717948717871</v>
      </c>
    </row>
  </sheetData>
  <phoneticPr fontId="19" type="noConversion"/>
  <conditionalFormatting sqref="B11">
    <cfRule type="cellIs" dxfId="8" priority="1" operator="between">
      <formula>4.6</formula>
      <formula>4.7</formula>
    </cfRule>
    <cfRule type="cellIs" dxfId="7" priority="2" operator="lessThan">
      <formula>4.5</formula>
    </cfRule>
    <cfRule type="cellIs" dxfId="6" priority="3" operator="greaterThan">
      <formula>4.8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71C1-46B1-41B3-96A0-C5CD122F324A}">
  <sheetPr>
    <tabColor rgb="FFFFFF00"/>
  </sheetPr>
  <dimension ref="A1:B28"/>
  <sheetViews>
    <sheetView workbookViewId="0"/>
  </sheetViews>
  <sheetFormatPr defaultRowHeight="13.5" x14ac:dyDescent="0.35"/>
  <cols>
    <col min="1" max="1" width="15.9140625" customWidth="1"/>
    <col min="2" max="2" width="10" customWidth="1"/>
  </cols>
  <sheetData>
    <row r="1" spans="1:2" ht="14.5" x14ac:dyDescent="0.35">
      <c r="A1" s="1" t="s">
        <v>173</v>
      </c>
      <c r="B1" t="s">
        <v>174</v>
      </c>
    </row>
    <row r="2" spans="1:2" ht="14.5" x14ac:dyDescent="0.35">
      <c r="A2" s="2">
        <v>2.5</v>
      </c>
      <c r="B2" s="8">
        <v>1.6923076923076923E-2</v>
      </c>
    </row>
    <row r="3" spans="1:2" ht="14.5" x14ac:dyDescent="0.35">
      <c r="A3" s="2">
        <v>2.6</v>
      </c>
      <c r="B3" s="8">
        <v>3.9743589743589741E-2</v>
      </c>
    </row>
    <row r="4" spans="1:2" ht="14.5" x14ac:dyDescent="0.35">
      <c r="A4" s="2">
        <v>2.7</v>
      </c>
      <c r="B4" s="8">
        <v>3.8205128205128204E-2</v>
      </c>
    </row>
    <row r="5" spans="1:2" ht="14.5" x14ac:dyDescent="0.35">
      <c r="A5" s="2">
        <v>2.8</v>
      </c>
      <c r="B5" s="8">
        <v>3.4102564102564105E-2</v>
      </c>
    </row>
    <row r="6" spans="1:2" ht="14.5" x14ac:dyDescent="0.35">
      <c r="A6" s="2">
        <v>2.9</v>
      </c>
      <c r="B6" s="8">
        <v>4.1794871794871798E-2</v>
      </c>
    </row>
    <row r="7" spans="1:2" ht="14.5" x14ac:dyDescent="0.35">
      <c r="A7" s="2">
        <v>3</v>
      </c>
      <c r="B7" s="8">
        <v>4.1282051282051285E-2</v>
      </c>
    </row>
    <row r="8" spans="1:2" ht="14.5" x14ac:dyDescent="0.35">
      <c r="A8" s="2">
        <v>3.1</v>
      </c>
      <c r="B8" s="8">
        <v>6.4102564102564097E-2</v>
      </c>
    </row>
    <row r="9" spans="1:2" ht="14.5" x14ac:dyDescent="0.35">
      <c r="A9" s="2">
        <v>3.2</v>
      </c>
      <c r="B9" s="8">
        <v>3.8205128205128204E-2</v>
      </c>
    </row>
    <row r="10" spans="1:2" ht="14.5" x14ac:dyDescent="0.35">
      <c r="A10" s="2">
        <v>3.3</v>
      </c>
      <c r="B10" s="8">
        <v>3.7948717948717951E-2</v>
      </c>
    </row>
    <row r="11" spans="1:2" ht="14.5" x14ac:dyDescent="0.35">
      <c r="A11" s="2">
        <v>3.4</v>
      </c>
      <c r="B11" s="8">
        <v>4.6410256410256409E-2</v>
      </c>
    </row>
    <row r="12" spans="1:2" ht="14.5" x14ac:dyDescent="0.35">
      <c r="A12" s="2">
        <v>3.5</v>
      </c>
      <c r="B12" s="8">
        <v>3.9487179487179488E-2</v>
      </c>
    </row>
    <row r="13" spans="1:2" ht="14.5" x14ac:dyDescent="0.35">
      <c r="A13" s="2">
        <v>3.6</v>
      </c>
      <c r="B13" s="8">
        <v>3.7435897435897439E-2</v>
      </c>
    </row>
    <row r="14" spans="1:2" ht="14.5" x14ac:dyDescent="0.35">
      <c r="A14" s="2">
        <v>3.7</v>
      </c>
      <c r="B14" s="8">
        <v>3.8717948717948716E-2</v>
      </c>
    </row>
    <row r="15" spans="1:2" ht="14.5" x14ac:dyDescent="0.35">
      <c r="A15" s="2">
        <v>3.8</v>
      </c>
      <c r="B15" s="8">
        <v>3.6153846153846154E-2</v>
      </c>
    </row>
    <row r="16" spans="1:2" ht="14.5" x14ac:dyDescent="0.35">
      <c r="A16" s="2">
        <v>3.9</v>
      </c>
      <c r="B16" s="8">
        <v>4.1282051282051285E-2</v>
      </c>
    </row>
    <row r="17" spans="1:2" ht="14.5" x14ac:dyDescent="0.35">
      <c r="A17" s="2">
        <v>4</v>
      </c>
      <c r="B17" s="8">
        <v>4.5641025641025644E-2</v>
      </c>
    </row>
    <row r="18" spans="1:2" ht="14.5" x14ac:dyDescent="0.35">
      <c r="A18" s="2">
        <v>4.0999999999999996</v>
      </c>
      <c r="B18" s="8">
        <v>3.6410256410256407E-2</v>
      </c>
    </row>
    <row r="19" spans="1:2" ht="14.5" x14ac:dyDescent="0.35">
      <c r="A19" s="2">
        <v>4.2</v>
      </c>
      <c r="B19" s="8">
        <v>4.2564102564102563E-2</v>
      </c>
    </row>
    <row r="20" spans="1:2" ht="14.5" x14ac:dyDescent="0.35">
      <c r="A20" s="2">
        <v>4.3</v>
      </c>
      <c r="B20" s="8">
        <v>3.7692307692307692E-2</v>
      </c>
    </row>
    <row r="21" spans="1:2" ht="14.5" x14ac:dyDescent="0.35">
      <c r="A21" s="2">
        <v>4.4000000000000004</v>
      </c>
      <c r="B21" s="8">
        <v>3.8717948717948716E-2</v>
      </c>
    </row>
    <row r="22" spans="1:2" ht="14.5" x14ac:dyDescent="0.35">
      <c r="A22" s="2">
        <v>4.5</v>
      </c>
      <c r="B22" s="8">
        <v>3.4102564102564105E-2</v>
      </c>
    </row>
    <row r="23" spans="1:2" ht="14.5" x14ac:dyDescent="0.35">
      <c r="A23" s="2">
        <v>4.5999999999999996</v>
      </c>
      <c r="B23" s="8">
        <v>4.230769230769231E-2</v>
      </c>
    </row>
    <row r="24" spans="1:2" ht="14.5" x14ac:dyDescent="0.35">
      <c r="A24" s="2">
        <v>4.7</v>
      </c>
      <c r="B24" s="8">
        <v>3.5384615384615382E-2</v>
      </c>
    </row>
    <row r="25" spans="1:2" ht="14.5" x14ac:dyDescent="0.35">
      <c r="A25" s="2">
        <v>4.8</v>
      </c>
      <c r="B25" s="8">
        <v>3.6153846153846154E-2</v>
      </c>
    </row>
    <row r="26" spans="1:2" ht="14.5" x14ac:dyDescent="0.35">
      <c r="A26" s="2">
        <v>4.9000000000000004</v>
      </c>
      <c r="B26" s="8">
        <v>4.205128205128205E-2</v>
      </c>
    </row>
    <row r="27" spans="1:2" ht="14.5" x14ac:dyDescent="0.35">
      <c r="A27" s="2">
        <v>5</v>
      </c>
      <c r="B27" s="8">
        <v>1.7179487179487179E-2</v>
      </c>
    </row>
    <row r="28" spans="1:2" ht="14.5" x14ac:dyDescent="0.35">
      <c r="A28" s="2" t="s">
        <v>146</v>
      </c>
      <c r="B28" s="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21D4-A6F9-4033-A785-8FDED03373B9}">
  <dimension ref="A1"/>
  <sheetViews>
    <sheetView showGridLines="0" zoomScale="41" workbookViewId="0">
      <selection activeCell="I18" sqref="I18"/>
    </sheetView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71B6-1210-435D-BC82-8E7AAF1AF478}">
  <dimension ref="A3:B10"/>
  <sheetViews>
    <sheetView topLeftCell="I1" workbookViewId="0">
      <selection activeCell="I23" sqref="I23"/>
    </sheetView>
  </sheetViews>
  <sheetFormatPr defaultRowHeight="14.5" x14ac:dyDescent="0.35"/>
  <cols>
    <col min="1" max="1" width="12.83203125" customWidth="1"/>
    <col min="2" max="2" width="24.33203125" customWidth="1"/>
  </cols>
  <sheetData>
    <row r="3" spans="1:2" x14ac:dyDescent="0.35">
      <c r="A3" s="1" t="s">
        <v>145</v>
      </c>
      <c r="B3" t="s">
        <v>169</v>
      </c>
    </row>
    <row r="4" spans="1:2" x14ac:dyDescent="0.35">
      <c r="A4" s="2" t="s">
        <v>40</v>
      </c>
      <c r="B4">
        <v>677</v>
      </c>
    </row>
    <row r="5" spans="1:2" x14ac:dyDescent="0.35">
      <c r="A5" s="2" t="s">
        <v>34</v>
      </c>
      <c r="B5">
        <v>671</v>
      </c>
    </row>
    <row r="6" spans="1:2" x14ac:dyDescent="0.35">
      <c r="A6" s="2" t="s">
        <v>29</v>
      </c>
      <c r="B6">
        <v>670</v>
      </c>
    </row>
    <row r="7" spans="1:2" x14ac:dyDescent="0.35">
      <c r="A7" s="2" t="s">
        <v>77</v>
      </c>
      <c r="B7">
        <v>636</v>
      </c>
    </row>
    <row r="8" spans="1:2" x14ac:dyDescent="0.35">
      <c r="A8" s="2" t="s">
        <v>24</v>
      </c>
      <c r="B8">
        <v>634</v>
      </c>
    </row>
    <row r="9" spans="1:2" x14ac:dyDescent="0.35">
      <c r="A9" s="2" t="s">
        <v>66</v>
      </c>
      <c r="B9">
        <v>612</v>
      </c>
    </row>
    <row r="10" spans="1:2" x14ac:dyDescent="0.35">
      <c r="A10" s="2" t="s">
        <v>146</v>
      </c>
      <c r="B10">
        <v>3900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054E-742F-429A-AAE7-AB702229EDB5}">
  <dimension ref="A1:Q3902"/>
  <sheetViews>
    <sheetView topLeftCell="A611" zoomScale="50" workbookViewId="0">
      <selection activeCell="G39" sqref="G39"/>
    </sheetView>
  </sheetViews>
  <sheetFormatPr defaultRowHeight="13.5" x14ac:dyDescent="0.35"/>
  <cols>
    <col min="1" max="1" width="13.1640625" customWidth="1"/>
    <col min="3" max="3" width="8.83203125" customWidth="1"/>
    <col min="4" max="4" width="15.83203125" customWidth="1"/>
    <col min="5" max="5" width="10.6640625" customWidth="1"/>
    <col min="6" max="6" width="22.75" customWidth="1"/>
    <col min="7" max="7" width="13.58203125" customWidth="1"/>
    <col min="10" max="10" width="9.1640625" customWidth="1"/>
    <col min="11" max="11" width="14.5" customWidth="1"/>
    <col min="12" max="12" width="19.25" customWidth="1"/>
    <col min="13" max="13" width="17.1640625" customWidth="1"/>
    <col min="14" max="14" width="19" customWidth="1"/>
    <col min="15" max="15" width="16.75" customWidth="1"/>
    <col min="16" max="16" width="22.6640625" customWidth="1"/>
    <col min="17" max="17" width="13.25" customWidth="1"/>
  </cols>
  <sheetData>
    <row r="1" spans="1:17" ht="14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155</v>
      </c>
    </row>
    <row r="2" spans="1:17" ht="14.5" x14ac:dyDescent="0.35">
      <c r="A2">
        <v>1</v>
      </c>
      <c r="B2">
        <v>55</v>
      </c>
      <c r="C2" t="s">
        <v>16</v>
      </c>
      <c r="D2" t="s">
        <v>17</v>
      </c>
      <c r="E2" t="s">
        <v>18</v>
      </c>
      <c r="F2">
        <v>53</v>
      </c>
      <c r="G2" t="s">
        <v>19</v>
      </c>
      <c r="H2" t="s">
        <v>20</v>
      </c>
      <c r="I2" t="s">
        <v>21</v>
      </c>
      <c r="J2" t="s">
        <v>22</v>
      </c>
      <c r="K2">
        <v>3.1</v>
      </c>
      <c r="L2" t="s">
        <v>23</v>
      </c>
      <c r="M2" t="s">
        <v>23</v>
      </c>
      <c r="N2">
        <v>14</v>
      </c>
      <c r="O2" t="s">
        <v>24</v>
      </c>
      <c r="P2" t="s">
        <v>25</v>
      </c>
      <c r="Q2" s="4">
        <f xml:space="preserve"> SUM(Table2[Purchase Amount (USD)])</f>
        <v>233081</v>
      </c>
    </row>
    <row r="3" spans="1:17" ht="14.5" x14ac:dyDescent="0.35">
      <c r="A3">
        <v>2</v>
      </c>
      <c r="B3">
        <v>19</v>
      </c>
      <c r="C3" t="s">
        <v>16</v>
      </c>
      <c r="D3" t="s">
        <v>26</v>
      </c>
      <c r="E3" t="s">
        <v>18</v>
      </c>
      <c r="F3">
        <v>64</v>
      </c>
      <c r="G3" t="s">
        <v>27</v>
      </c>
      <c r="H3" t="s">
        <v>20</v>
      </c>
      <c r="I3" t="s">
        <v>28</v>
      </c>
      <c r="J3" t="s">
        <v>22</v>
      </c>
      <c r="K3">
        <v>3.1</v>
      </c>
      <c r="L3" t="s">
        <v>23</v>
      </c>
      <c r="M3" t="s">
        <v>23</v>
      </c>
      <c r="N3">
        <v>2</v>
      </c>
      <c r="O3" t="s">
        <v>29</v>
      </c>
      <c r="P3" t="s">
        <v>25</v>
      </c>
    </row>
    <row r="4" spans="1:17" ht="14.5" x14ac:dyDescent="0.35">
      <c r="A4">
        <v>3</v>
      </c>
      <c r="B4">
        <v>50</v>
      </c>
      <c r="C4" t="s">
        <v>16</v>
      </c>
      <c r="D4" t="s">
        <v>30</v>
      </c>
      <c r="E4" t="s">
        <v>18</v>
      </c>
      <c r="F4">
        <v>73</v>
      </c>
      <c r="G4" t="s">
        <v>31</v>
      </c>
      <c r="H4" t="s">
        <v>32</v>
      </c>
      <c r="I4" t="s">
        <v>28</v>
      </c>
      <c r="J4" t="s">
        <v>33</v>
      </c>
      <c r="K4">
        <v>3.1</v>
      </c>
      <c r="L4" t="s">
        <v>23</v>
      </c>
      <c r="M4" t="s">
        <v>23</v>
      </c>
      <c r="N4">
        <v>23</v>
      </c>
      <c r="O4" t="s">
        <v>34</v>
      </c>
      <c r="P4" t="s">
        <v>35</v>
      </c>
    </row>
    <row r="5" spans="1:17" ht="14.5" x14ac:dyDescent="0.35">
      <c r="A5">
        <v>4</v>
      </c>
      <c r="B5">
        <v>21</v>
      </c>
      <c r="C5" t="s">
        <v>16</v>
      </c>
      <c r="D5" t="s">
        <v>36</v>
      </c>
      <c r="E5" t="s">
        <v>37</v>
      </c>
      <c r="F5">
        <v>90</v>
      </c>
      <c r="G5" t="s">
        <v>38</v>
      </c>
      <c r="H5" t="s">
        <v>39</v>
      </c>
      <c r="I5" t="s">
        <v>28</v>
      </c>
      <c r="J5" t="s">
        <v>33</v>
      </c>
      <c r="K5">
        <v>3.1</v>
      </c>
      <c r="L5" t="s">
        <v>23</v>
      </c>
      <c r="M5" t="s">
        <v>23</v>
      </c>
      <c r="N5">
        <v>49</v>
      </c>
      <c r="O5" t="s">
        <v>40</v>
      </c>
      <c r="P5" t="s">
        <v>35</v>
      </c>
    </row>
    <row r="6" spans="1:17" ht="14.5" x14ac:dyDescent="0.35">
      <c r="A6">
        <v>5</v>
      </c>
      <c r="B6">
        <v>45</v>
      </c>
      <c r="C6" t="s">
        <v>16</v>
      </c>
      <c r="D6" t="s">
        <v>17</v>
      </c>
      <c r="E6" t="s">
        <v>18</v>
      </c>
      <c r="F6">
        <v>49</v>
      </c>
      <c r="G6" t="s">
        <v>41</v>
      </c>
      <c r="H6" t="s">
        <v>39</v>
      </c>
      <c r="I6" t="s">
        <v>42</v>
      </c>
      <c r="J6" t="s">
        <v>33</v>
      </c>
      <c r="K6">
        <v>3.1</v>
      </c>
      <c r="L6" t="s">
        <v>23</v>
      </c>
      <c r="M6" t="s">
        <v>23</v>
      </c>
      <c r="N6">
        <v>31</v>
      </c>
      <c r="O6" t="s">
        <v>40</v>
      </c>
      <c r="P6" t="s">
        <v>43</v>
      </c>
    </row>
    <row r="7" spans="1:17" ht="14.5" x14ac:dyDescent="0.35">
      <c r="A7">
        <v>6</v>
      </c>
      <c r="B7">
        <v>46</v>
      </c>
      <c r="C7" t="s">
        <v>16</v>
      </c>
      <c r="D7" t="s">
        <v>44</v>
      </c>
      <c r="E7" t="s">
        <v>37</v>
      </c>
      <c r="F7">
        <v>20</v>
      </c>
      <c r="G7" t="s">
        <v>45</v>
      </c>
      <c r="H7" t="s">
        <v>39</v>
      </c>
      <c r="I7" t="s">
        <v>46</v>
      </c>
      <c r="J7" t="s">
        <v>47</v>
      </c>
      <c r="K7">
        <v>3.1</v>
      </c>
      <c r="L7" t="s">
        <v>23</v>
      </c>
      <c r="M7" t="s">
        <v>23</v>
      </c>
      <c r="N7">
        <v>14</v>
      </c>
      <c r="O7" t="s">
        <v>24</v>
      </c>
      <c r="P7" t="s">
        <v>35</v>
      </c>
    </row>
    <row r="8" spans="1:17" ht="14.5" x14ac:dyDescent="0.35">
      <c r="A8">
        <v>7</v>
      </c>
      <c r="B8">
        <v>63</v>
      </c>
      <c r="C8" t="s">
        <v>16</v>
      </c>
      <c r="D8" t="s">
        <v>48</v>
      </c>
      <c r="E8" t="s">
        <v>18</v>
      </c>
      <c r="F8">
        <v>85</v>
      </c>
      <c r="G8" t="s">
        <v>49</v>
      </c>
      <c r="H8" t="s">
        <v>39</v>
      </c>
      <c r="I8" t="s">
        <v>21</v>
      </c>
      <c r="J8" t="s">
        <v>50</v>
      </c>
      <c r="K8">
        <v>3.1</v>
      </c>
      <c r="L8" t="s">
        <v>23</v>
      </c>
      <c r="M8" t="s">
        <v>23</v>
      </c>
      <c r="N8">
        <v>49</v>
      </c>
      <c r="O8" t="s">
        <v>29</v>
      </c>
      <c r="P8" t="s">
        <v>51</v>
      </c>
    </row>
    <row r="9" spans="1:17" ht="14.5" x14ac:dyDescent="0.35">
      <c r="A9">
        <v>8</v>
      </c>
      <c r="B9">
        <v>27</v>
      </c>
      <c r="C9" t="s">
        <v>16</v>
      </c>
      <c r="D9" t="s">
        <v>52</v>
      </c>
      <c r="E9" t="s">
        <v>18</v>
      </c>
      <c r="F9">
        <v>34</v>
      </c>
      <c r="G9" t="s">
        <v>53</v>
      </c>
      <c r="H9" t="s">
        <v>20</v>
      </c>
      <c r="I9" t="s">
        <v>54</v>
      </c>
      <c r="J9" t="s">
        <v>22</v>
      </c>
      <c r="K9">
        <v>3.1</v>
      </c>
      <c r="L9" t="s">
        <v>23</v>
      </c>
      <c r="M9" t="s">
        <v>23</v>
      </c>
      <c r="N9">
        <v>19</v>
      </c>
      <c r="O9" t="s">
        <v>34</v>
      </c>
      <c r="P9" t="s">
        <v>35</v>
      </c>
    </row>
    <row r="10" spans="1:17" ht="14.5" x14ac:dyDescent="0.35">
      <c r="A10">
        <v>9</v>
      </c>
      <c r="B10">
        <v>26</v>
      </c>
      <c r="C10" t="s">
        <v>16</v>
      </c>
      <c r="D10" t="s">
        <v>55</v>
      </c>
      <c r="E10" t="s">
        <v>56</v>
      </c>
      <c r="F10">
        <v>97</v>
      </c>
      <c r="G10" t="s">
        <v>57</v>
      </c>
      <c r="H10" t="s">
        <v>20</v>
      </c>
      <c r="I10" t="s">
        <v>58</v>
      </c>
      <c r="J10" t="s">
        <v>47</v>
      </c>
      <c r="K10">
        <v>3.1</v>
      </c>
      <c r="L10" t="s">
        <v>23</v>
      </c>
      <c r="M10" t="s">
        <v>23</v>
      </c>
      <c r="N10">
        <v>8</v>
      </c>
      <c r="O10" t="s">
        <v>24</v>
      </c>
      <c r="P10" t="s">
        <v>43</v>
      </c>
    </row>
    <row r="11" spans="1:17" ht="14.5" x14ac:dyDescent="0.35">
      <c r="A11">
        <v>10</v>
      </c>
      <c r="B11">
        <v>57</v>
      </c>
      <c r="C11" t="s">
        <v>16</v>
      </c>
      <c r="D11" t="s">
        <v>59</v>
      </c>
      <c r="E11" t="s">
        <v>60</v>
      </c>
      <c r="F11">
        <v>31</v>
      </c>
      <c r="G11" t="s">
        <v>61</v>
      </c>
      <c r="H11" t="s">
        <v>39</v>
      </c>
      <c r="I11" t="s">
        <v>62</v>
      </c>
      <c r="J11" t="s">
        <v>33</v>
      </c>
      <c r="K11">
        <v>3.1</v>
      </c>
      <c r="L11" t="s">
        <v>23</v>
      </c>
      <c r="M11" t="s">
        <v>23</v>
      </c>
      <c r="N11">
        <v>4</v>
      </c>
      <c r="O11" t="s">
        <v>29</v>
      </c>
      <c r="P11" t="s">
        <v>51</v>
      </c>
    </row>
    <row r="12" spans="1:17" ht="14.5" x14ac:dyDescent="0.35">
      <c r="A12">
        <v>11</v>
      </c>
      <c r="B12">
        <v>53</v>
      </c>
      <c r="C12" t="s">
        <v>16</v>
      </c>
      <c r="D12" t="s">
        <v>63</v>
      </c>
      <c r="E12" t="s">
        <v>37</v>
      </c>
      <c r="F12">
        <v>34</v>
      </c>
      <c r="G12" t="s">
        <v>64</v>
      </c>
      <c r="H12" t="s">
        <v>20</v>
      </c>
      <c r="I12" t="s">
        <v>65</v>
      </c>
      <c r="J12" t="s">
        <v>50</v>
      </c>
      <c r="K12">
        <v>3.1</v>
      </c>
      <c r="L12" t="s">
        <v>23</v>
      </c>
      <c r="M12" t="s">
        <v>23</v>
      </c>
      <c r="N12">
        <v>26</v>
      </c>
      <c r="O12" t="s">
        <v>66</v>
      </c>
      <c r="P12" t="s">
        <v>67</v>
      </c>
    </row>
    <row r="13" spans="1:17" ht="14.5" x14ac:dyDescent="0.35">
      <c r="A13">
        <v>12</v>
      </c>
      <c r="B13">
        <v>30</v>
      </c>
      <c r="C13" t="s">
        <v>16</v>
      </c>
      <c r="D13" t="s">
        <v>52</v>
      </c>
      <c r="E13" t="s">
        <v>18</v>
      </c>
      <c r="F13">
        <v>68</v>
      </c>
      <c r="G13" t="s">
        <v>68</v>
      </c>
      <c r="H13" t="s">
        <v>32</v>
      </c>
      <c r="I13" t="s">
        <v>69</v>
      </c>
      <c r="J13" t="s">
        <v>22</v>
      </c>
      <c r="K13">
        <v>3.1</v>
      </c>
      <c r="L13" t="s">
        <v>23</v>
      </c>
      <c r="M13" t="s">
        <v>23</v>
      </c>
      <c r="N13">
        <v>10</v>
      </c>
      <c r="O13" t="s">
        <v>66</v>
      </c>
      <c r="P13" t="s">
        <v>25</v>
      </c>
    </row>
    <row r="14" spans="1:17" ht="14.5" x14ac:dyDescent="0.35">
      <c r="A14">
        <v>13</v>
      </c>
      <c r="B14">
        <v>61</v>
      </c>
      <c r="C14" t="s">
        <v>16</v>
      </c>
      <c r="D14" t="s">
        <v>55</v>
      </c>
      <c r="E14" t="s">
        <v>56</v>
      </c>
      <c r="F14">
        <v>72</v>
      </c>
      <c r="G14" t="s">
        <v>70</v>
      </c>
      <c r="H14" t="s">
        <v>39</v>
      </c>
      <c r="I14" t="s">
        <v>71</v>
      </c>
      <c r="J14" t="s">
        <v>22</v>
      </c>
      <c r="K14">
        <v>3.1</v>
      </c>
      <c r="L14" t="s">
        <v>23</v>
      </c>
      <c r="M14" t="s">
        <v>23</v>
      </c>
      <c r="N14">
        <v>37</v>
      </c>
      <c r="O14" t="s">
        <v>24</v>
      </c>
      <c r="P14" t="s">
        <v>25</v>
      </c>
    </row>
    <row r="15" spans="1:17" ht="14.5" x14ac:dyDescent="0.35">
      <c r="A15">
        <v>14</v>
      </c>
      <c r="B15">
        <v>65</v>
      </c>
      <c r="C15" t="s">
        <v>16</v>
      </c>
      <c r="D15" t="s">
        <v>72</v>
      </c>
      <c r="E15" t="s">
        <v>18</v>
      </c>
      <c r="F15">
        <v>51</v>
      </c>
      <c r="G15" t="s">
        <v>73</v>
      </c>
      <c r="H15" t="s">
        <v>39</v>
      </c>
      <c r="I15" t="s">
        <v>74</v>
      </c>
      <c r="J15" t="s">
        <v>33</v>
      </c>
      <c r="K15">
        <v>3.1</v>
      </c>
      <c r="L15" t="s">
        <v>23</v>
      </c>
      <c r="M15" t="s">
        <v>23</v>
      </c>
      <c r="N15">
        <v>31</v>
      </c>
      <c r="O15" t="s">
        <v>40</v>
      </c>
      <c r="P15" t="s">
        <v>35</v>
      </c>
    </row>
    <row r="16" spans="1:17" ht="14.5" x14ac:dyDescent="0.35">
      <c r="A16">
        <v>15</v>
      </c>
      <c r="B16">
        <v>64</v>
      </c>
      <c r="C16" t="s">
        <v>16</v>
      </c>
      <c r="D16" t="s">
        <v>55</v>
      </c>
      <c r="E16" t="s">
        <v>56</v>
      </c>
      <c r="F16">
        <v>53</v>
      </c>
      <c r="G16" t="s">
        <v>75</v>
      </c>
      <c r="H16" t="s">
        <v>20</v>
      </c>
      <c r="I16" t="s">
        <v>76</v>
      </c>
      <c r="J16" t="s">
        <v>22</v>
      </c>
      <c r="K16">
        <v>3.1</v>
      </c>
      <c r="L16" t="s">
        <v>23</v>
      </c>
      <c r="M16" t="s">
        <v>23</v>
      </c>
      <c r="N16">
        <v>34</v>
      </c>
      <c r="O16" t="s">
        <v>77</v>
      </c>
      <c r="P16" t="s">
        <v>35</v>
      </c>
    </row>
    <row r="17" spans="1:16" ht="14.5" x14ac:dyDescent="0.35">
      <c r="A17">
        <v>16</v>
      </c>
      <c r="B17">
        <v>64</v>
      </c>
      <c r="C17" t="s">
        <v>16</v>
      </c>
      <c r="D17" t="s">
        <v>78</v>
      </c>
      <c r="E17" t="s">
        <v>18</v>
      </c>
      <c r="F17">
        <v>81</v>
      </c>
      <c r="G17" t="s">
        <v>38</v>
      </c>
      <c r="H17" t="s">
        <v>39</v>
      </c>
      <c r="I17" t="s">
        <v>76</v>
      </c>
      <c r="J17" t="s">
        <v>22</v>
      </c>
      <c r="K17">
        <v>3.1</v>
      </c>
      <c r="L17" t="s">
        <v>23</v>
      </c>
      <c r="M17" t="s">
        <v>23</v>
      </c>
      <c r="N17">
        <v>8</v>
      </c>
      <c r="O17" t="s">
        <v>40</v>
      </c>
      <c r="P17" t="s">
        <v>79</v>
      </c>
    </row>
    <row r="18" spans="1:16" ht="14.5" x14ac:dyDescent="0.35">
      <c r="A18">
        <v>17</v>
      </c>
      <c r="B18">
        <v>25</v>
      </c>
      <c r="C18" t="s">
        <v>16</v>
      </c>
      <c r="D18" t="s">
        <v>80</v>
      </c>
      <c r="E18" t="s">
        <v>60</v>
      </c>
      <c r="F18">
        <v>36</v>
      </c>
      <c r="G18" t="s">
        <v>81</v>
      </c>
      <c r="H18" t="s">
        <v>32</v>
      </c>
      <c r="I18" t="s">
        <v>21</v>
      </c>
      <c r="J18" t="s">
        <v>33</v>
      </c>
      <c r="K18">
        <v>3.1</v>
      </c>
      <c r="L18" t="s">
        <v>23</v>
      </c>
      <c r="M18" t="s">
        <v>23</v>
      </c>
      <c r="N18">
        <v>44</v>
      </c>
      <c r="O18" t="s">
        <v>77</v>
      </c>
      <c r="P18" t="s">
        <v>67</v>
      </c>
    </row>
    <row r="19" spans="1:16" ht="14.5" x14ac:dyDescent="0.35">
      <c r="A19">
        <v>18</v>
      </c>
      <c r="B19">
        <v>53</v>
      </c>
      <c r="C19" t="s">
        <v>16</v>
      </c>
      <c r="D19" t="s">
        <v>72</v>
      </c>
      <c r="E19" t="s">
        <v>18</v>
      </c>
      <c r="F19">
        <v>38</v>
      </c>
      <c r="G19" t="s">
        <v>82</v>
      </c>
      <c r="H19" t="s">
        <v>83</v>
      </c>
      <c r="I19" t="s">
        <v>84</v>
      </c>
      <c r="J19" t="s">
        <v>22</v>
      </c>
      <c r="K19">
        <v>3.1</v>
      </c>
      <c r="L19" t="s">
        <v>23</v>
      </c>
      <c r="M19" t="s">
        <v>23</v>
      </c>
      <c r="N19">
        <v>36</v>
      </c>
      <c r="O19" t="s">
        <v>24</v>
      </c>
      <c r="P19" t="s">
        <v>51</v>
      </c>
    </row>
    <row r="20" spans="1:16" ht="14.5" x14ac:dyDescent="0.35">
      <c r="A20">
        <v>19</v>
      </c>
      <c r="B20">
        <v>52</v>
      </c>
      <c r="C20" t="s">
        <v>16</v>
      </c>
      <c r="D20" t="s">
        <v>26</v>
      </c>
      <c r="E20" t="s">
        <v>18</v>
      </c>
      <c r="F20">
        <v>48</v>
      </c>
      <c r="G20" t="s">
        <v>49</v>
      </c>
      <c r="H20" t="s">
        <v>32</v>
      </c>
      <c r="I20" t="s">
        <v>85</v>
      </c>
      <c r="J20" t="s">
        <v>47</v>
      </c>
      <c r="K20">
        <v>3.1</v>
      </c>
      <c r="L20" t="s">
        <v>23</v>
      </c>
      <c r="M20" t="s">
        <v>23</v>
      </c>
      <c r="N20">
        <v>17</v>
      </c>
      <c r="O20" t="s">
        <v>29</v>
      </c>
      <c r="P20" t="s">
        <v>35</v>
      </c>
    </row>
    <row r="21" spans="1:16" ht="14.5" x14ac:dyDescent="0.35">
      <c r="A21">
        <v>20</v>
      </c>
      <c r="B21">
        <v>66</v>
      </c>
      <c r="C21" t="s">
        <v>16</v>
      </c>
      <c r="D21" t="s">
        <v>86</v>
      </c>
      <c r="E21" t="s">
        <v>18</v>
      </c>
      <c r="F21">
        <v>90</v>
      </c>
      <c r="G21" t="s">
        <v>38</v>
      </c>
      <c r="H21" t="s">
        <v>39</v>
      </c>
      <c r="I21" t="s">
        <v>87</v>
      </c>
      <c r="J21" t="s">
        <v>47</v>
      </c>
      <c r="K21">
        <v>3.1</v>
      </c>
      <c r="L21" t="s">
        <v>23</v>
      </c>
      <c r="M21" t="s">
        <v>23</v>
      </c>
      <c r="N21">
        <v>46</v>
      </c>
      <c r="O21" t="s">
        <v>77</v>
      </c>
      <c r="P21" t="s">
        <v>67</v>
      </c>
    </row>
    <row r="22" spans="1:16" ht="14.5" x14ac:dyDescent="0.35">
      <c r="A22">
        <v>21</v>
      </c>
      <c r="B22">
        <v>21</v>
      </c>
      <c r="C22" t="s">
        <v>16</v>
      </c>
      <c r="D22" t="s">
        <v>86</v>
      </c>
      <c r="E22" t="s">
        <v>18</v>
      </c>
      <c r="F22">
        <v>51</v>
      </c>
      <c r="G22" t="s">
        <v>53</v>
      </c>
      <c r="H22" t="s">
        <v>39</v>
      </c>
      <c r="I22" t="s">
        <v>85</v>
      </c>
      <c r="J22" t="s">
        <v>22</v>
      </c>
      <c r="K22">
        <v>3.1</v>
      </c>
      <c r="L22" t="s">
        <v>23</v>
      </c>
      <c r="M22" t="s">
        <v>23</v>
      </c>
      <c r="N22">
        <v>50</v>
      </c>
      <c r="O22" t="s">
        <v>29</v>
      </c>
      <c r="P22" t="s">
        <v>88</v>
      </c>
    </row>
    <row r="23" spans="1:16" ht="14.5" x14ac:dyDescent="0.35">
      <c r="A23">
        <v>22</v>
      </c>
      <c r="B23">
        <v>31</v>
      </c>
      <c r="C23" t="s">
        <v>16</v>
      </c>
      <c r="D23" t="s">
        <v>86</v>
      </c>
      <c r="E23" t="s">
        <v>18</v>
      </c>
      <c r="F23">
        <v>62</v>
      </c>
      <c r="G23" t="s">
        <v>89</v>
      </c>
      <c r="H23" t="s">
        <v>39</v>
      </c>
      <c r="I23" t="s">
        <v>54</v>
      </c>
      <c r="J23" t="s">
        <v>22</v>
      </c>
      <c r="K23">
        <v>3.1</v>
      </c>
      <c r="L23" t="s">
        <v>23</v>
      </c>
      <c r="M23" t="s">
        <v>23</v>
      </c>
      <c r="N23">
        <v>22</v>
      </c>
      <c r="O23" t="s">
        <v>77</v>
      </c>
      <c r="P23" t="s">
        <v>51</v>
      </c>
    </row>
    <row r="24" spans="1:16" ht="14.5" x14ac:dyDescent="0.35">
      <c r="A24">
        <v>23</v>
      </c>
      <c r="B24">
        <v>56</v>
      </c>
      <c r="C24" t="s">
        <v>16</v>
      </c>
      <c r="D24" t="s">
        <v>86</v>
      </c>
      <c r="E24" t="s">
        <v>18</v>
      </c>
      <c r="F24">
        <v>37</v>
      </c>
      <c r="G24" t="s">
        <v>90</v>
      </c>
      <c r="H24" t="s">
        <v>39</v>
      </c>
      <c r="I24" t="s">
        <v>91</v>
      </c>
      <c r="J24" t="s">
        <v>47</v>
      </c>
      <c r="K24">
        <v>3.1</v>
      </c>
      <c r="L24" t="s">
        <v>23</v>
      </c>
      <c r="M24" t="s">
        <v>23</v>
      </c>
      <c r="N24">
        <v>32</v>
      </c>
      <c r="O24" t="s">
        <v>77</v>
      </c>
      <c r="P24" t="s">
        <v>43</v>
      </c>
    </row>
    <row r="25" spans="1:16" ht="14.5" x14ac:dyDescent="0.35">
      <c r="A25">
        <v>24</v>
      </c>
      <c r="B25">
        <v>31</v>
      </c>
      <c r="C25" t="s">
        <v>16</v>
      </c>
      <c r="D25" t="s">
        <v>86</v>
      </c>
      <c r="E25" t="s">
        <v>18</v>
      </c>
      <c r="F25">
        <v>88</v>
      </c>
      <c r="G25" t="s">
        <v>92</v>
      </c>
      <c r="H25" t="s">
        <v>83</v>
      </c>
      <c r="I25" t="s">
        <v>46</v>
      </c>
      <c r="J25" t="s">
        <v>22</v>
      </c>
      <c r="K25">
        <v>3.1</v>
      </c>
      <c r="L25" t="s">
        <v>23</v>
      </c>
      <c r="M25" t="s">
        <v>23</v>
      </c>
      <c r="N25">
        <v>40</v>
      </c>
      <c r="O25" t="s">
        <v>34</v>
      </c>
      <c r="P25" t="s">
        <v>35</v>
      </c>
    </row>
    <row r="26" spans="1:16" ht="14.5" x14ac:dyDescent="0.35">
      <c r="A26">
        <v>25</v>
      </c>
      <c r="B26">
        <v>18</v>
      </c>
      <c r="C26" t="s">
        <v>16</v>
      </c>
      <c r="D26" t="s">
        <v>93</v>
      </c>
      <c r="E26" t="s">
        <v>56</v>
      </c>
      <c r="F26">
        <v>22</v>
      </c>
      <c r="G26" t="s">
        <v>94</v>
      </c>
      <c r="H26" t="s">
        <v>39</v>
      </c>
      <c r="I26" t="s">
        <v>87</v>
      </c>
      <c r="J26" t="s">
        <v>50</v>
      </c>
      <c r="K26">
        <v>3.1</v>
      </c>
      <c r="L26" t="s">
        <v>23</v>
      </c>
      <c r="M26" t="s">
        <v>23</v>
      </c>
      <c r="N26">
        <v>16</v>
      </c>
      <c r="O26" t="s">
        <v>77</v>
      </c>
      <c r="P26" t="s">
        <v>35</v>
      </c>
    </row>
    <row r="27" spans="1:16" ht="14.5" x14ac:dyDescent="0.35">
      <c r="A27">
        <v>26</v>
      </c>
      <c r="B27">
        <v>18</v>
      </c>
      <c r="C27" t="s">
        <v>16</v>
      </c>
      <c r="D27" t="s">
        <v>95</v>
      </c>
      <c r="E27" t="s">
        <v>18</v>
      </c>
      <c r="F27">
        <v>25</v>
      </c>
      <c r="G27" t="s">
        <v>96</v>
      </c>
      <c r="H27" t="s">
        <v>39</v>
      </c>
      <c r="I27" t="s">
        <v>58</v>
      </c>
      <c r="J27" t="s">
        <v>47</v>
      </c>
      <c r="K27">
        <v>3.1</v>
      </c>
      <c r="L27" t="s">
        <v>23</v>
      </c>
      <c r="M27" t="s">
        <v>23</v>
      </c>
      <c r="N27">
        <v>14</v>
      </c>
      <c r="O27" t="s">
        <v>40</v>
      </c>
      <c r="P27" t="s">
        <v>43</v>
      </c>
    </row>
    <row r="28" spans="1:16" ht="14.5" x14ac:dyDescent="0.35">
      <c r="A28">
        <v>27</v>
      </c>
      <c r="B28">
        <v>38</v>
      </c>
      <c r="C28" t="s">
        <v>16</v>
      </c>
      <c r="D28" t="s">
        <v>97</v>
      </c>
      <c r="E28" t="s">
        <v>60</v>
      </c>
      <c r="F28">
        <v>20</v>
      </c>
      <c r="G28" t="s">
        <v>98</v>
      </c>
      <c r="H28" t="s">
        <v>39</v>
      </c>
      <c r="I28" t="s">
        <v>99</v>
      </c>
      <c r="J28" t="s">
        <v>33</v>
      </c>
      <c r="K28">
        <v>3.1</v>
      </c>
      <c r="L28" t="s">
        <v>23</v>
      </c>
      <c r="M28" t="s">
        <v>23</v>
      </c>
      <c r="N28">
        <v>13</v>
      </c>
      <c r="O28" t="s">
        <v>34</v>
      </c>
      <c r="P28" t="s">
        <v>43</v>
      </c>
    </row>
    <row r="29" spans="1:16" ht="14.5" x14ac:dyDescent="0.35">
      <c r="A29">
        <v>28</v>
      </c>
      <c r="B29">
        <v>56</v>
      </c>
      <c r="C29" t="s">
        <v>16</v>
      </c>
      <c r="D29" t="s">
        <v>52</v>
      </c>
      <c r="E29" t="s">
        <v>18</v>
      </c>
      <c r="F29">
        <v>56</v>
      </c>
      <c r="G29" t="s">
        <v>19</v>
      </c>
      <c r="H29" t="s">
        <v>20</v>
      </c>
      <c r="I29" t="s">
        <v>100</v>
      </c>
      <c r="J29" t="s">
        <v>47</v>
      </c>
      <c r="K29">
        <v>3.1</v>
      </c>
      <c r="L29" t="s">
        <v>23</v>
      </c>
      <c r="M29" t="s">
        <v>23</v>
      </c>
      <c r="N29">
        <v>7</v>
      </c>
      <c r="O29" t="s">
        <v>66</v>
      </c>
      <c r="P29" t="s">
        <v>88</v>
      </c>
    </row>
    <row r="30" spans="1:16" ht="14.5" x14ac:dyDescent="0.35">
      <c r="A30">
        <v>29</v>
      </c>
      <c r="B30">
        <v>54</v>
      </c>
      <c r="C30" t="s">
        <v>16</v>
      </c>
      <c r="D30" t="s">
        <v>59</v>
      </c>
      <c r="E30" t="s">
        <v>60</v>
      </c>
      <c r="F30">
        <v>94</v>
      </c>
      <c r="G30" t="s">
        <v>89</v>
      </c>
      <c r="H30" t="s">
        <v>39</v>
      </c>
      <c r="I30" t="s">
        <v>21</v>
      </c>
      <c r="J30" t="s">
        <v>50</v>
      </c>
      <c r="K30">
        <v>3.1</v>
      </c>
      <c r="L30" t="s">
        <v>23</v>
      </c>
      <c r="M30" t="s">
        <v>23</v>
      </c>
      <c r="N30">
        <v>41</v>
      </c>
      <c r="O30" t="s">
        <v>40</v>
      </c>
      <c r="P30" t="s">
        <v>88</v>
      </c>
    </row>
    <row r="31" spans="1:16" ht="14.5" x14ac:dyDescent="0.35">
      <c r="A31">
        <v>30</v>
      </c>
      <c r="B31">
        <v>31</v>
      </c>
      <c r="C31" t="s">
        <v>16</v>
      </c>
      <c r="D31" t="s">
        <v>72</v>
      </c>
      <c r="E31" t="s">
        <v>18</v>
      </c>
      <c r="F31">
        <v>48</v>
      </c>
      <c r="G31" t="s">
        <v>45</v>
      </c>
      <c r="H31" t="s">
        <v>32</v>
      </c>
      <c r="I31" t="s">
        <v>85</v>
      </c>
      <c r="J31" t="s">
        <v>50</v>
      </c>
      <c r="K31">
        <v>3.1</v>
      </c>
      <c r="L31" t="s">
        <v>23</v>
      </c>
      <c r="M31" t="s">
        <v>23</v>
      </c>
      <c r="N31">
        <v>14</v>
      </c>
      <c r="O31" t="s">
        <v>34</v>
      </c>
      <c r="P31" t="s">
        <v>35</v>
      </c>
    </row>
    <row r="32" spans="1:16" ht="14.5" x14ac:dyDescent="0.35">
      <c r="A32">
        <v>31</v>
      </c>
      <c r="B32">
        <v>57</v>
      </c>
      <c r="C32" t="s">
        <v>16</v>
      </c>
      <c r="D32" t="s">
        <v>97</v>
      </c>
      <c r="E32" t="s">
        <v>60</v>
      </c>
      <c r="F32">
        <v>31</v>
      </c>
      <c r="G32" t="s">
        <v>89</v>
      </c>
      <c r="H32" t="s">
        <v>20</v>
      </c>
      <c r="I32" t="s">
        <v>85</v>
      </c>
      <c r="J32" t="s">
        <v>22</v>
      </c>
      <c r="K32">
        <v>3.1</v>
      </c>
      <c r="L32" t="s">
        <v>23</v>
      </c>
      <c r="M32" t="s">
        <v>23</v>
      </c>
      <c r="N32">
        <v>16</v>
      </c>
      <c r="O32" t="s">
        <v>34</v>
      </c>
      <c r="P32" t="s">
        <v>79</v>
      </c>
    </row>
    <row r="33" spans="1:16" ht="14.5" x14ac:dyDescent="0.35">
      <c r="A33">
        <v>32</v>
      </c>
      <c r="B33">
        <v>33</v>
      </c>
      <c r="C33" t="s">
        <v>16</v>
      </c>
      <c r="D33" t="s">
        <v>72</v>
      </c>
      <c r="E33" t="s">
        <v>18</v>
      </c>
      <c r="F33">
        <v>79</v>
      </c>
      <c r="G33" t="s">
        <v>57</v>
      </c>
      <c r="H33" t="s">
        <v>20</v>
      </c>
      <c r="I33" t="s">
        <v>101</v>
      </c>
      <c r="J33" t="s">
        <v>22</v>
      </c>
      <c r="K33">
        <v>3.1</v>
      </c>
      <c r="L33" t="s">
        <v>23</v>
      </c>
      <c r="M33" t="s">
        <v>23</v>
      </c>
      <c r="N33">
        <v>45</v>
      </c>
      <c r="O33" t="s">
        <v>24</v>
      </c>
      <c r="P33" t="s">
        <v>79</v>
      </c>
    </row>
    <row r="34" spans="1:16" ht="14.5" x14ac:dyDescent="0.35">
      <c r="A34">
        <v>33</v>
      </c>
      <c r="B34">
        <v>36</v>
      </c>
      <c r="C34" t="s">
        <v>16</v>
      </c>
      <c r="D34" t="s">
        <v>93</v>
      </c>
      <c r="E34" t="s">
        <v>56</v>
      </c>
      <c r="F34">
        <v>67</v>
      </c>
      <c r="G34" t="s">
        <v>102</v>
      </c>
      <c r="H34" t="s">
        <v>39</v>
      </c>
      <c r="I34" t="s">
        <v>58</v>
      </c>
      <c r="J34" t="s">
        <v>47</v>
      </c>
      <c r="K34">
        <v>3.1</v>
      </c>
      <c r="L34" t="s">
        <v>23</v>
      </c>
      <c r="M34" t="s">
        <v>23</v>
      </c>
      <c r="N34">
        <v>37</v>
      </c>
      <c r="O34" t="s">
        <v>24</v>
      </c>
      <c r="P34" t="s">
        <v>43</v>
      </c>
    </row>
    <row r="35" spans="1:16" ht="14.5" x14ac:dyDescent="0.35">
      <c r="A35">
        <v>34</v>
      </c>
      <c r="B35">
        <v>54</v>
      </c>
      <c r="C35" t="s">
        <v>16</v>
      </c>
      <c r="D35" t="s">
        <v>86</v>
      </c>
      <c r="E35" t="s">
        <v>18</v>
      </c>
      <c r="F35">
        <v>38</v>
      </c>
      <c r="G35" t="s">
        <v>103</v>
      </c>
      <c r="H35" t="s">
        <v>20</v>
      </c>
      <c r="I35" t="s">
        <v>87</v>
      </c>
      <c r="J35" t="s">
        <v>47</v>
      </c>
      <c r="K35">
        <v>3.1</v>
      </c>
      <c r="L35" t="s">
        <v>23</v>
      </c>
      <c r="M35" t="s">
        <v>23</v>
      </c>
      <c r="N35">
        <v>45</v>
      </c>
      <c r="O35" t="s">
        <v>29</v>
      </c>
      <c r="P35" t="s">
        <v>51</v>
      </c>
    </row>
    <row r="36" spans="1:16" ht="14.5" x14ac:dyDescent="0.35">
      <c r="A36">
        <v>35</v>
      </c>
      <c r="B36">
        <v>36</v>
      </c>
      <c r="C36" t="s">
        <v>16</v>
      </c>
      <c r="D36" t="s">
        <v>104</v>
      </c>
      <c r="E36" t="s">
        <v>18</v>
      </c>
      <c r="F36">
        <v>91</v>
      </c>
      <c r="G36" t="s">
        <v>105</v>
      </c>
      <c r="H36" t="s">
        <v>20</v>
      </c>
      <c r="I36" t="s">
        <v>74</v>
      </c>
      <c r="J36" t="s">
        <v>33</v>
      </c>
      <c r="K36">
        <v>3.1</v>
      </c>
      <c r="L36" t="s">
        <v>23</v>
      </c>
      <c r="M36" t="s">
        <v>23</v>
      </c>
      <c r="N36">
        <v>38</v>
      </c>
      <c r="O36" t="s">
        <v>40</v>
      </c>
      <c r="P36" t="s">
        <v>51</v>
      </c>
    </row>
    <row r="37" spans="1:16" ht="14.5" x14ac:dyDescent="0.35">
      <c r="A37">
        <v>36</v>
      </c>
      <c r="B37">
        <v>54</v>
      </c>
      <c r="C37" t="s">
        <v>16</v>
      </c>
      <c r="D37" t="s">
        <v>17</v>
      </c>
      <c r="E37" t="s">
        <v>18</v>
      </c>
      <c r="F37">
        <v>33</v>
      </c>
      <c r="G37" t="s">
        <v>31</v>
      </c>
      <c r="H37" t="s">
        <v>39</v>
      </c>
      <c r="I37" t="s">
        <v>100</v>
      </c>
      <c r="J37" t="s">
        <v>47</v>
      </c>
      <c r="K37">
        <v>3.1</v>
      </c>
      <c r="L37" t="s">
        <v>23</v>
      </c>
      <c r="M37" t="s">
        <v>23</v>
      </c>
      <c r="N37">
        <v>48</v>
      </c>
      <c r="O37" t="s">
        <v>34</v>
      </c>
      <c r="P37" t="s">
        <v>67</v>
      </c>
    </row>
    <row r="38" spans="1:16" ht="14.5" x14ac:dyDescent="0.35">
      <c r="A38">
        <v>37</v>
      </c>
      <c r="B38">
        <v>35</v>
      </c>
      <c r="C38" t="s">
        <v>16</v>
      </c>
      <c r="D38" t="s">
        <v>104</v>
      </c>
      <c r="E38" t="s">
        <v>18</v>
      </c>
      <c r="F38">
        <v>69</v>
      </c>
      <c r="G38" t="s">
        <v>106</v>
      </c>
      <c r="H38" t="s">
        <v>39</v>
      </c>
      <c r="I38" t="s">
        <v>28</v>
      </c>
      <c r="J38" t="s">
        <v>22</v>
      </c>
      <c r="K38">
        <v>3.1</v>
      </c>
      <c r="L38" t="s">
        <v>23</v>
      </c>
      <c r="M38" t="s">
        <v>23</v>
      </c>
      <c r="N38">
        <v>44</v>
      </c>
      <c r="O38" t="s">
        <v>40</v>
      </c>
      <c r="P38" t="s">
        <v>25</v>
      </c>
    </row>
    <row r="39" spans="1:16" ht="14.5" x14ac:dyDescent="0.35">
      <c r="A39">
        <v>38</v>
      </c>
      <c r="B39">
        <v>35</v>
      </c>
      <c r="C39" t="s">
        <v>16</v>
      </c>
      <c r="D39" t="s">
        <v>30</v>
      </c>
      <c r="E39" t="s">
        <v>18</v>
      </c>
      <c r="F39">
        <v>45</v>
      </c>
      <c r="G39" t="s">
        <v>107</v>
      </c>
      <c r="H39" t="s">
        <v>32</v>
      </c>
      <c r="I39" t="s">
        <v>100</v>
      </c>
      <c r="J39" t="s">
        <v>47</v>
      </c>
      <c r="K39">
        <v>3.1</v>
      </c>
      <c r="L39" t="s">
        <v>23</v>
      </c>
      <c r="M39" t="s">
        <v>23</v>
      </c>
      <c r="N39">
        <v>10</v>
      </c>
      <c r="O39" t="s">
        <v>40</v>
      </c>
      <c r="P39" t="s">
        <v>35</v>
      </c>
    </row>
    <row r="40" spans="1:16" ht="14.5" x14ac:dyDescent="0.35">
      <c r="A40">
        <v>39</v>
      </c>
      <c r="B40">
        <v>29</v>
      </c>
      <c r="C40" t="s">
        <v>16</v>
      </c>
      <c r="D40" t="s">
        <v>72</v>
      </c>
      <c r="E40" t="s">
        <v>18</v>
      </c>
      <c r="F40">
        <v>37</v>
      </c>
      <c r="G40" t="s">
        <v>94</v>
      </c>
      <c r="H40" t="s">
        <v>39</v>
      </c>
      <c r="I40" t="s">
        <v>99</v>
      </c>
      <c r="J40" t="s">
        <v>22</v>
      </c>
      <c r="K40">
        <v>3.1</v>
      </c>
      <c r="L40" t="s">
        <v>23</v>
      </c>
      <c r="M40" t="s">
        <v>23</v>
      </c>
      <c r="N40">
        <v>44</v>
      </c>
      <c r="O40" t="s">
        <v>24</v>
      </c>
      <c r="P40" t="s">
        <v>88</v>
      </c>
    </row>
    <row r="41" spans="1:16" ht="14.5" x14ac:dyDescent="0.35">
      <c r="A41">
        <v>40</v>
      </c>
      <c r="B41">
        <v>70</v>
      </c>
      <c r="C41" t="s">
        <v>16</v>
      </c>
      <c r="D41" t="s">
        <v>86</v>
      </c>
      <c r="E41" t="s">
        <v>18</v>
      </c>
      <c r="F41">
        <v>60</v>
      </c>
      <c r="G41" t="s">
        <v>108</v>
      </c>
      <c r="H41" t="s">
        <v>32</v>
      </c>
      <c r="I41" t="s">
        <v>42</v>
      </c>
      <c r="J41" t="s">
        <v>47</v>
      </c>
      <c r="K41">
        <v>3.1</v>
      </c>
      <c r="L41" t="s">
        <v>23</v>
      </c>
      <c r="M41" t="s">
        <v>23</v>
      </c>
      <c r="N41">
        <v>18</v>
      </c>
      <c r="O41" t="s">
        <v>34</v>
      </c>
      <c r="P41" t="s">
        <v>79</v>
      </c>
    </row>
    <row r="42" spans="1:16" ht="14.5" x14ac:dyDescent="0.35">
      <c r="A42">
        <v>41</v>
      </c>
      <c r="B42">
        <v>69</v>
      </c>
      <c r="C42" t="s">
        <v>16</v>
      </c>
      <c r="D42" t="s">
        <v>59</v>
      </c>
      <c r="E42" t="s">
        <v>60</v>
      </c>
      <c r="F42">
        <v>76</v>
      </c>
      <c r="G42" t="s">
        <v>53</v>
      </c>
      <c r="H42" t="s">
        <v>20</v>
      </c>
      <c r="I42" t="s">
        <v>109</v>
      </c>
      <c r="J42" t="s">
        <v>22</v>
      </c>
      <c r="K42">
        <v>3.1</v>
      </c>
      <c r="L42" t="s">
        <v>23</v>
      </c>
      <c r="M42" t="s">
        <v>23</v>
      </c>
      <c r="N42">
        <v>31</v>
      </c>
      <c r="O42" t="s">
        <v>77</v>
      </c>
      <c r="P42" t="s">
        <v>51</v>
      </c>
    </row>
    <row r="43" spans="1:16" ht="14.5" x14ac:dyDescent="0.35">
      <c r="A43">
        <v>42</v>
      </c>
      <c r="B43">
        <v>67</v>
      </c>
      <c r="C43" t="s">
        <v>16</v>
      </c>
      <c r="D43" t="s">
        <v>110</v>
      </c>
      <c r="E43" t="s">
        <v>60</v>
      </c>
      <c r="F43">
        <v>39</v>
      </c>
      <c r="G43" t="s">
        <v>111</v>
      </c>
      <c r="H43" t="s">
        <v>39</v>
      </c>
      <c r="I43" t="s">
        <v>112</v>
      </c>
      <c r="J43" t="s">
        <v>33</v>
      </c>
      <c r="K43">
        <v>3.1</v>
      </c>
      <c r="L43" t="s">
        <v>23</v>
      </c>
      <c r="M43" t="s">
        <v>23</v>
      </c>
      <c r="N43">
        <v>40</v>
      </c>
      <c r="O43" t="s">
        <v>24</v>
      </c>
      <c r="P43" t="s">
        <v>43</v>
      </c>
    </row>
    <row r="44" spans="1:16" ht="14.5" x14ac:dyDescent="0.35">
      <c r="A44">
        <v>43</v>
      </c>
      <c r="B44">
        <v>20</v>
      </c>
      <c r="C44" t="s">
        <v>16</v>
      </c>
      <c r="D44" t="s">
        <v>55</v>
      </c>
      <c r="E44" t="s">
        <v>56</v>
      </c>
      <c r="F44">
        <v>100</v>
      </c>
      <c r="G44" t="s">
        <v>113</v>
      </c>
      <c r="H44" t="s">
        <v>39</v>
      </c>
      <c r="I44" t="s">
        <v>109</v>
      </c>
      <c r="J44" t="s">
        <v>33</v>
      </c>
      <c r="K44">
        <v>3.1</v>
      </c>
      <c r="L44" t="s">
        <v>23</v>
      </c>
      <c r="M44" t="s">
        <v>23</v>
      </c>
      <c r="N44">
        <v>15</v>
      </c>
      <c r="O44" t="s">
        <v>40</v>
      </c>
      <c r="P44" t="s">
        <v>43</v>
      </c>
    </row>
    <row r="45" spans="1:16" ht="14.5" x14ac:dyDescent="0.35">
      <c r="A45">
        <v>44</v>
      </c>
      <c r="B45">
        <v>25</v>
      </c>
      <c r="C45" t="s">
        <v>16</v>
      </c>
      <c r="D45" t="s">
        <v>110</v>
      </c>
      <c r="E45" t="s">
        <v>60</v>
      </c>
      <c r="F45">
        <v>69</v>
      </c>
      <c r="G45" t="s">
        <v>114</v>
      </c>
      <c r="H45" t="s">
        <v>20</v>
      </c>
      <c r="I45" t="s">
        <v>84</v>
      </c>
      <c r="J45" t="s">
        <v>50</v>
      </c>
      <c r="K45">
        <v>3.1</v>
      </c>
      <c r="L45" t="s">
        <v>23</v>
      </c>
      <c r="M45" t="s">
        <v>23</v>
      </c>
      <c r="N45">
        <v>19</v>
      </c>
      <c r="O45" t="s">
        <v>40</v>
      </c>
      <c r="P45" t="s">
        <v>25</v>
      </c>
    </row>
    <row r="46" spans="1:16" ht="14.5" x14ac:dyDescent="0.35">
      <c r="A46">
        <v>45</v>
      </c>
      <c r="B46">
        <v>39</v>
      </c>
      <c r="C46" t="s">
        <v>16</v>
      </c>
      <c r="D46" t="s">
        <v>115</v>
      </c>
      <c r="E46" t="s">
        <v>60</v>
      </c>
      <c r="F46">
        <v>53</v>
      </c>
      <c r="G46" t="s">
        <v>19</v>
      </c>
      <c r="H46" t="s">
        <v>32</v>
      </c>
      <c r="I46" t="s">
        <v>58</v>
      </c>
      <c r="J46" t="s">
        <v>47</v>
      </c>
      <c r="K46">
        <v>3.1</v>
      </c>
      <c r="L46" t="s">
        <v>23</v>
      </c>
      <c r="M46" t="s">
        <v>23</v>
      </c>
      <c r="N46">
        <v>45</v>
      </c>
      <c r="O46" t="s">
        <v>40</v>
      </c>
      <c r="P46" t="s">
        <v>35</v>
      </c>
    </row>
    <row r="47" spans="1:16" ht="14.5" x14ac:dyDescent="0.35">
      <c r="A47">
        <v>46</v>
      </c>
      <c r="B47">
        <v>50</v>
      </c>
      <c r="C47" t="s">
        <v>16</v>
      </c>
      <c r="D47" t="s">
        <v>116</v>
      </c>
      <c r="E47" t="s">
        <v>18</v>
      </c>
      <c r="F47">
        <v>21</v>
      </c>
      <c r="G47" t="s">
        <v>113</v>
      </c>
      <c r="H47" t="s">
        <v>83</v>
      </c>
      <c r="I47" t="s">
        <v>117</v>
      </c>
      <c r="J47" t="s">
        <v>50</v>
      </c>
      <c r="K47">
        <v>3.1</v>
      </c>
      <c r="L47" t="s">
        <v>23</v>
      </c>
      <c r="M47" t="s">
        <v>23</v>
      </c>
      <c r="N47">
        <v>25</v>
      </c>
      <c r="O47" t="s">
        <v>40</v>
      </c>
      <c r="P47" t="s">
        <v>43</v>
      </c>
    </row>
    <row r="48" spans="1:16" ht="14.5" x14ac:dyDescent="0.35">
      <c r="A48">
        <v>47</v>
      </c>
      <c r="B48">
        <v>57</v>
      </c>
      <c r="C48" t="s">
        <v>16</v>
      </c>
      <c r="D48" t="s">
        <v>48</v>
      </c>
      <c r="E48" t="s">
        <v>18</v>
      </c>
      <c r="F48">
        <v>43</v>
      </c>
      <c r="G48" t="s">
        <v>90</v>
      </c>
      <c r="H48" t="s">
        <v>20</v>
      </c>
      <c r="I48" t="s">
        <v>46</v>
      </c>
      <c r="J48" t="s">
        <v>47</v>
      </c>
      <c r="K48">
        <v>3.1</v>
      </c>
      <c r="L48" t="s">
        <v>23</v>
      </c>
      <c r="M48" t="s">
        <v>23</v>
      </c>
      <c r="N48">
        <v>45</v>
      </c>
      <c r="O48" t="s">
        <v>29</v>
      </c>
      <c r="P48" t="s">
        <v>51</v>
      </c>
    </row>
    <row r="49" spans="1:16" ht="14.5" x14ac:dyDescent="0.35">
      <c r="A49">
        <v>48</v>
      </c>
      <c r="B49">
        <v>55</v>
      </c>
      <c r="C49" t="s">
        <v>16</v>
      </c>
      <c r="D49" t="s">
        <v>97</v>
      </c>
      <c r="E49" t="s">
        <v>60</v>
      </c>
      <c r="F49">
        <v>54</v>
      </c>
      <c r="G49" t="s">
        <v>49</v>
      </c>
      <c r="H49" t="s">
        <v>39</v>
      </c>
      <c r="I49" t="s">
        <v>54</v>
      </c>
      <c r="J49" t="s">
        <v>22</v>
      </c>
      <c r="K49">
        <v>3.1</v>
      </c>
      <c r="L49" t="s">
        <v>23</v>
      </c>
      <c r="M49" t="s">
        <v>23</v>
      </c>
      <c r="N49">
        <v>36</v>
      </c>
      <c r="O49" t="s">
        <v>29</v>
      </c>
      <c r="P49" t="s">
        <v>35</v>
      </c>
    </row>
    <row r="50" spans="1:16" ht="14.5" x14ac:dyDescent="0.35">
      <c r="A50">
        <v>49</v>
      </c>
      <c r="B50">
        <v>42</v>
      </c>
      <c r="C50" t="s">
        <v>16</v>
      </c>
      <c r="D50" t="s">
        <v>48</v>
      </c>
      <c r="E50" t="s">
        <v>18</v>
      </c>
      <c r="F50">
        <v>55</v>
      </c>
      <c r="G50" t="s">
        <v>98</v>
      </c>
      <c r="H50" t="s">
        <v>39</v>
      </c>
      <c r="I50" t="s">
        <v>112</v>
      </c>
      <c r="J50" t="s">
        <v>47</v>
      </c>
      <c r="K50">
        <v>3.1</v>
      </c>
      <c r="L50" t="s">
        <v>23</v>
      </c>
      <c r="M50" t="s">
        <v>23</v>
      </c>
      <c r="N50">
        <v>38</v>
      </c>
      <c r="O50" t="s">
        <v>29</v>
      </c>
      <c r="P50" t="s">
        <v>79</v>
      </c>
    </row>
    <row r="51" spans="1:16" ht="14.5" x14ac:dyDescent="0.35">
      <c r="A51">
        <v>50</v>
      </c>
      <c r="B51">
        <v>68</v>
      </c>
      <c r="C51" t="s">
        <v>16</v>
      </c>
      <c r="D51" t="s">
        <v>95</v>
      </c>
      <c r="E51" t="s">
        <v>18</v>
      </c>
      <c r="F51">
        <v>30</v>
      </c>
      <c r="G51" t="s">
        <v>118</v>
      </c>
      <c r="H51" t="s">
        <v>32</v>
      </c>
      <c r="I51" t="s">
        <v>117</v>
      </c>
      <c r="J51" t="s">
        <v>33</v>
      </c>
      <c r="K51">
        <v>3.1</v>
      </c>
      <c r="L51" t="s">
        <v>23</v>
      </c>
      <c r="M51" t="s">
        <v>23</v>
      </c>
      <c r="N51">
        <v>34</v>
      </c>
      <c r="O51" t="s">
        <v>77</v>
      </c>
      <c r="P51" t="s">
        <v>67</v>
      </c>
    </row>
    <row r="52" spans="1:16" ht="14.5" x14ac:dyDescent="0.35">
      <c r="A52">
        <v>51</v>
      </c>
      <c r="B52">
        <v>49</v>
      </c>
      <c r="C52" t="s">
        <v>16</v>
      </c>
      <c r="D52" t="s">
        <v>17</v>
      </c>
      <c r="E52" t="s">
        <v>18</v>
      </c>
      <c r="F52">
        <v>28</v>
      </c>
      <c r="G52" t="s">
        <v>119</v>
      </c>
      <c r="H52" t="s">
        <v>39</v>
      </c>
      <c r="I52" t="s">
        <v>99</v>
      </c>
      <c r="J52" t="s">
        <v>33</v>
      </c>
      <c r="K52">
        <v>3.1</v>
      </c>
      <c r="L52" t="s">
        <v>23</v>
      </c>
      <c r="M52" t="s">
        <v>23</v>
      </c>
      <c r="N52">
        <v>39</v>
      </c>
      <c r="O52" t="s">
        <v>77</v>
      </c>
      <c r="P52" t="s">
        <v>67</v>
      </c>
    </row>
    <row r="53" spans="1:16" ht="14.5" x14ac:dyDescent="0.35">
      <c r="A53">
        <v>52</v>
      </c>
      <c r="B53">
        <v>59</v>
      </c>
      <c r="C53" t="s">
        <v>16</v>
      </c>
      <c r="D53" t="s">
        <v>78</v>
      </c>
      <c r="E53" t="s">
        <v>18</v>
      </c>
      <c r="F53">
        <v>59</v>
      </c>
      <c r="G53" t="s">
        <v>120</v>
      </c>
      <c r="H53" t="s">
        <v>83</v>
      </c>
      <c r="I53" t="s">
        <v>21</v>
      </c>
      <c r="J53" t="s">
        <v>22</v>
      </c>
      <c r="K53">
        <v>3.1</v>
      </c>
      <c r="L53" t="s">
        <v>23</v>
      </c>
      <c r="M53" t="s">
        <v>23</v>
      </c>
      <c r="N53">
        <v>7</v>
      </c>
      <c r="O53" t="s">
        <v>34</v>
      </c>
      <c r="P53" t="s">
        <v>51</v>
      </c>
    </row>
    <row r="54" spans="1:16" ht="14.5" x14ac:dyDescent="0.35">
      <c r="A54">
        <v>53</v>
      </c>
      <c r="B54">
        <v>42</v>
      </c>
      <c r="C54" t="s">
        <v>16</v>
      </c>
      <c r="D54" t="s">
        <v>104</v>
      </c>
      <c r="E54" t="s">
        <v>18</v>
      </c>
      <c r="F54">
        <v>20</v>
      </c>
      <c r="G54" t="s">
        <v>111</v>
      </c>
      <c r="H54" t="s">
        <v>39</v>
      </c>
      <c r="I54" t="s">
        <v>87</v>
      </c>
      <c r="J54" t="s">
        <v>47</v>
      </c>
      <c r="K54">
        <v>3.1</v>
      </c>
      <c r="L54" t="s">
        <v>23</v>
      </c>
      <c r="M54" t="s">
        <v>23</v>
      </c>
      <c r="N54">
        <v>26</v>
      </c>
      <c r="O54" t="s">
        <v>34</v>
      </c>
      <c r="P54" t="s">
        <v>35</v>
      </c>
    </row>
    <row r="55" spans="1:16" ht="14.5" x14ac:dyDescent="0.35">
      <c r="A55">
        <v>54</v>
      </c>
      <c r="B55">
        <v>29</v>
      </c>
      <c r="C55" t="s">
        <v>16</v>
      </c>
      <c r="D55" t="s">
        <v>78</v>
      </c>
      <c r="E55" t="s">
        <v>18</v>
      </c>
      <c r="F55">
        <v>24</v>
      </c>
      <c r="G55" t="s">
        <v>82</v>
      </c>
      <c r="H55" t="s">
        <v>32</v>
      </c>
      <c r="I55" t="s">
        <v>91</v>
      </c>
      <c r="J55" t="s">
        <v>22</v>
      </c>
      <c r="K55">
        <v>3.1</v>
      </c>
      <c r="L55" t="s">
        <v>23</v>
      </c>
      <c r="M55" t="s">
        <v>23</v>
      </c>
      <c r="N55">
        <v>35</v>
      </c>
      <c r="O55" t="s">
        <v>34</v>
      </c>
      <c r="P55" t="s">
        <v>35</v>
      </c>
    </row>
    <row r="56" spans="1:16" ht="14.5" x14ac:dyDescent="0.35">
      <c r="A56">
        <v>55</v>
      </c>
      <c r="B56">
        <v>47</v>
      </c>
      <c r="C56" t="s">
        <v>16</v>
      </c>
      <c r="D56" t="s">
        <v>55</v>
      </c>
      <c r="E56" t="s">
        <v>56</v>
      </c>
      <c r="F56">
        <v>94</v>
      </c>
      <c r="G56" t="s">
        <v>121</v>
      </c>
      <c r="H56" t="s">
        <v>39</v>
      </c>
      <c r="I56" t="s">
        <v>101</v>
      </c>
      <c r="J56" t="s">
        <v>47</v>
      </c>
      <c r="K56">
        <v>3.1</v>
      </c>
      <c r="L56" t="s">
        <v>23</v>
      </c>
      <c r="M56" t="s">
        <v>23</v>
      </c>
      <c r="N56">
        <v>35</v>
      </c>
      <c r="O56" t="s">
        <v>77</v>
      </c>
      <c r="P56" t="s">
        <v>67</v>
      </c>
    </row>
    <row r="57" spans="1:16" ht="14.5" x14ac:dyDescent="0.35">
      <c r="A57">
        <v>56</v>
      </c>
      <c r="B57">
        <v>40</v>
      </c>
      <c r="C57" t="s">
        <v>16</v>
      </c>
      <c r="D57" t="s">
        <v>93</v>
      </c>
      <c r="E57" t="s">
        <v>56</v>
      </c>
      <c r="F57">
        <v>28</v>
      </c>
      <c r="G57" t="s">
        <v>122</v>
      </c>
      <c r="H57" t="s">
        <v>39</v>
      </c>
      <c r="I57" t="s">
        <v>84</v>
      </c>
      <c r="J57" t="s">
        <v>22</v>
      </c>
      <c r="K57">
        <v>3.1</v>
      </c>
      <c r="L57" t="s">
        <v>23</v>
      </c>
      <c r="M57" t="s">
        <v>23</v>
      </c>
      <c r="N57">
        <v>49</v>
      </c>
      <c r="O57" t="s">
        <v>34</v>
      </c>
      <c r="P57" t="s">
        <v>43</v>
      </c>
    </row>
    <row r="58" spans="1:16" ht="14.5" x14ac:dyDescent="0.35">
      <c r="A58">
        <v>57</v>
      </c>
      <c r="B58">
        <v>41</v>
      </c>
      <c r="C58" t="s">
        <v>16</v>
      </c>
      <c r="D58" t="s">
        <v>123</v>
      </c>
      <c r="E58" t="s">
        <v>60</v>
      </c>
      <c r="F58">
        <v>73</v>
      </c>
      <c r="G58" t="s">
        <v>82</v>
      </c>
      <c r="H58" t="s">
        <v>83</v>
      </c>
      <c r="I58" t="s">
        <v>101</v>
      </c>
      <c r="J58" t="s">
        <v>47</v>
      </c>
      <c r="K58">
        <v>3.1</v>
      </c>
      <c r="L58" t="s">
        <v>23</v>
      </c>
      <c r="M58" t="s">
        <v>23</v>
      </c>
      <c r="N58">
        <v>46</v>
      </c>
      <c r="O58" t="s">
        <v>34</v>
      </c>
      <c r="P58" t="s">
        <v>35</v>
      </c>
    </row>
    <row r="59" spans="1:16" ht="14.5" x14ac:dyDescent="0.35">
      <c r="A59">
        <v>58</v>
      </c>
      <c r="B59">
        <v>21</v>
      </c>
      <c r="C59" t="s">
        <v>16</v>
      </c>
      <c r="D59" t="s">
        <v>55</v>
      </c>
      <c r="E59" t="s">
        <v>56</v>
      </c>
      <c r="F59">
        <v>64</v>
      </c>
      <c r="G59" t="s">
        <v>57</v>
      </c>
      <c r="H59" t="s">
        <v>39</v>
      </c>
      <c r="I59" t="s">
        <v>46</v>
      </c>
      <c r="J59" t="s">
        <v>47</v>
      </c>
      <c r="K59">
        <v>3.1</v>
      </c>
      <c r="L59" t="s">
        <v>23</v>
      </c>
      <c r="M59" t="s">
        <v>23</v>
      </c>
      <c r="N59">
        <v>17</v>
      </c>
      <c r="O59" t="s">
        <v>77</v>
      </c>
      <c r="P59" t="s">
        <v>25</v>
      </c>
    </row>
    <row r="60" spans="1:16" ht="14.5" x14ac:dyDescent="0.35">
      <c r="A60">
        <v>59</v>
      </c>
      <c r="B60">
        <v>69</v>
      </c>
      <c r="C60" t="s">
        <v>16</v>
      </c>
      <c r="D60" t="s">
        <v>95</v>
      </c>
      <c r="E60" t="s">
        <v>18</v>
      </c>
      <c r="F60">
        <v>54</v>
      </c>
      <c r="G60" t="s">
        <v>61</v>
      </c>
      <c r="H60" t="s">
        <v>39</v>
      </c>
      <c r="I60" t="s">
        <v>54</v>
      </c>
      <c r="J60" t="s">
        <v>47</v>
      </c>
      <c r="K60">
        <v>3.1</v>
      </c>
      <c r="L60" t="s">
        <v>23</v>
      </c>
      <c r="M60" t="s">
        <v>23</v>
      </c>
      <c r="N60">
        <v>29</v>
      </c>
      <c r="O60" t="s">
        <v>24</v>
      </c>
      <c r="P60" t="s">
        <v>79</v>
      </c>
    </row>
    <row r="61" spans="1:16" ht="14.5" x14ac:dyDescent="0.35">
      <c r="A61">
        <v>60</v>
      </c>
      <c r="B61">
        <v>63</v>
      </c>
      <c r="C61" t="s">
        <v>16</v>
      </c>
      <c r="D61" t="s">
        <v>124</v>
      </c>
      <c r="E61" t="s">
        <v>60</v>
      </c>
      <c r="F61">
        <v>79</v>
      </c>
      <c r="G61" t="s">
        <v>53</v>
      </c>
      <c r="H61" t="s">
        <v>20</v>
      </c>
      <c r="I61" t="s">
        <v>125</v>
      </c>
      <c r="J61" t="s">
        <v>33</v>
      </c>
      <c r="K61">
        <v>3.1</v>
      </c>
      <c r="L61" t="s">
        <v>23</v>
      </c>
      <c r="M61" t="s">
        <v>23</v>
      </c>
      <c r="N61">
        <v>4</v>
      </c>
      <c r="O61" t="s">
        <v>77</v>
      </c>
      <c r="P61" t="s">
        <v>35</v>
      </c>
    </row>
    <row r="62" spans="1:16" ht="14.5" x14ac:dyDescent="0.35">
      <c r="A62">
        <v>61</v>
      </c>
      <c r="B62">
        <v>50</v>
      </c>
      <c r="C62" t="s">
        <v>16</v>
      </c>
      <c r="D62" t="s">
        <v>26</v>
      </c>
      <c r="E62" t="s">
        <v>18</v>
      </c>
      <c r="F62">
        <v>37</v>
      </c>
      <c r="G62" t="s">
        <v>126</v>
      </c>
      <c r="H62" t="s">
        <v>20</v>
      </c>
      <c r="I62" t="s">
        <v>101</v>
      </c>
      <c r="J62" t="s">
        <v>47</v>
      </c>
      <c r="K62">
        <v>3.1</v>
      </c>
      <c r="L62" t="s">
        <v>23</v>
      </c>
      <c r="M62" t="s">
        <v>23</v>
      </c>
      <c r="N62">
        <v>17</v>
      </c>
      <c r="O62" t="s">
        <v>29</v>
      </c>
      <c r="P62" t="s">
        <v>35</v>
      </c>
    </row>
    <row r="63" spans="1:16" ht="14.5" x14ac:dyDescent="0.35">
      <c r="A63">
        <v>62</v>
      </c>
      <c r="B63">
        <v>55</v>
      </c>
      <c r="C63" t="s">
        <v>16</v>
      </c>
      <c r="D63" t="s">
        <v>110</v>
      </c>
      <c r="E63" t="s">
        <v>60</v>
      </c>
      <c r="F63">
        <v>68</v>
      </c>
      <c r="G63" t="s">
        <v>96</v>
      </c>
      <c r="H63" t="s">
        <v>39</v>
      </c>
      <c r="I63" t="s">
        <v>112</v>
      </c>
      <c r="J63" t="s">
        <v>22</v>
      </c>
      <c r="K63">
        <v>3.1</v>
      </c>
      <c r="L63" t="s">
        <v>23</v>
      </c>
      <c r="M63" t="s">
        <v>23</v>
      </c>
      <c r="N63">
        <v>21</v>
      </c>
      <c r="O63" t="s">
        <v>34</v>
      </c>
      <c r="P63" t="s">
        <v>88</v>
      </c>
    </row>
    <row r="64" spans="1:16" ht="14.5" x14ac:dyDescent="0.35">
      <c r="A64">
        <v>63</v>
      </c>
      <c r="B64">
        <v>30</v>
      </c>
      <c r="C64" t="s">
        <v>16</v>
      </c>
      <c r="D64" t="s">
        <v>44</v>
      </c>
      <c r="E64" t="s">
        <v>37</v>
      </c>
      <c r="F64">
        <v>21</v>
      </c>
      <c r="G64" t="s">
        <v>82</v>
      </c>
      <c r="H64" t="s">
        <v>32</v>
      </c>
      <c r="I64" t="s">
        <v>127</v>
      </c>
      <c r="J64" t="s">
        <v>33</v>
      </c>
      <c r="K64">
        <v>3.1</v>
      </c>
      <c r="L64" t="s">
        <v>23</v>
      </c>
      <c r="M64" t="s">
        <v>23</v>
      </c>
      <c r="N64">
        <v>31</v>
      </c>
      <c r="O64" t="s">
        <v>34</v>
      </c>
      <c r="P64" t="s">
        <v>25</v>
      </c>
    </row>
    <row r="65" spans="1:16" ht="14.5" x14ac:dyDescent="0.35">
      <c r="A65">
        <v>64</v>
      </c>
      <c r="B65">
        <v>33</v>
      </c>
      <c r="C65" t="s">
        <v>16</v>
      </c>
      <c r="D65" t="s">
        <v>80</v>
      </c>
      <c r="E65" t="s">
        <v>60</v>
      </c>
      <c r="F65">
        <v>79</v>
      </c>
      <c r="G65" t="s">
        <v>108</v>
      </c>
      <c r="H65" t="s">
        <v>20</v>
      </c>
      <c r="I65" t="s">
        <v>84</v>
      </c>
      <c r="J65" t="s">
        <v>22</v>
      </c>
      <c r="K65">
        <v>3.1</v>
      </c>
      <c r="L65" t="s">
        <v>23</v>
      </c>
      <c r="M65" t="s">
        <v>23</v>
      </c>
      <c r="N65">
        <v>43</v>
      </c>
      <c r="O65" t="s">
        <v>34</v>
      </c>
      <c r="P65" t="s">
        <v>35</v>
      </c>
    </row>
    <row r="66" spans="1:16" ht="14.5" x14ac:dyDescent="0.35">
      <c r="A66">
        <v>65</v>
      </c>
      <c r="B66">
        <v>65</v>
      </c>
      <c r="C66" t="s">
        <v>16</v>
      </c>
      <c r="D66" t="s">
        <v>128</v>
      </c>
      <c r="E66" t="s">
        <v>37</v>
      </c>
      <c r="F66">
        <v>83</v>
      </c>
      <c r="G66" t="s">
        <v>81</v>
      </c>
      <c r="H66" t="s">
        <v>32</v>
      </c>
      <c r="I66" t="s">
        <v>87</v>
      </c>
      <c r="J66" t="s">
        <v>50</v>
      </c>
      <c r="K66">
        <v>3.1</v>
      </c>
      <c r="L66" t="s">
        <v>23</v>
      </c>
      <c r="M66" t="s">
        <v>23</v>
      </c>
      <c r="N66">
        <v>18</v>
      </c>
      <c r="O66" t="s">
        <v>77</v>
      </c>
      <c r="P66" t="s">
        <v>25</v>
      </c>
    </row>
    <row r="67" spans="1:16" ht="14.5" x14ac:dyDescent="0.35">
      <c r="A67">
        <v>66</v>
      </c>
      <c r="B67">
        <v>65</v>
      </c>
      <c r="C67" t="s">
        <v>16</v>
      </c>
      <c r="D67" t="s">
        <v>123</v>
      </c>
      <c r="E67" t="s">
        <v>60</v>
      </c>
      <c r="F67">
        <v>36</v>
      </c>
      <c r="G67" t="s">
        <v>118</v>
      </c>
      <c r="H67" t="s">
        <v>39</v>
      </c>
      <c r="I67" t="s">
        <v>65</v>
      </c>
      <c r="J67" t="s">
        <v>33</v>
      </c>
      <c r="K67">
        <v>3.1</v>
      </c>
      <c r="L67" t="s">
        <v>23</v>
      </c>
      <c r="M67" t="s">
        <v>23</v>
      </c>
      <c r="N67">
        <v>44</v>
      </c>
      <c r="O67" t="s">
        <v>24</v>
      </c>
      <c r="P67" t="s">
        <v>88</v>
      </c>
    </row>
    <row r="68" spans="1:16" ht="14.5" x14ac:dyDescent="0.35">
      <c r="A68">
        <v>67</v>
      </c>
      <c r="B68">
        <v>31</v>
      </c>
      <c r="C68" t="s">
        <v>16</v>
      </c>
      <c r="D68" t="s">
        <v>17</v>
      </c>
      <c r="E68" t="s">
        <v>18</v>
      </c>
      <c r="F68">
        <v>94</v>
      </c>
      <c r="G68" t="s">
        <v>129</v>
      </c>
      <c r="H68" t="s">
        <v>32</v>
      </c>
      <c r="I68" t="s">
        <v>127</v>
      </c>
      <c r="J68" t="s">
        <v>22</v>
      </c>
      <c r="K68">
        <v>3.1</v>
      </c>
      <c r="L68" t="s">
        <v>23</v>
      </c>
      <c r="M68" t="s">
        <v>23</v>
      </c>
      <c r="N68">
        <v>3</v>
      </c>
      <c r="O68" t="s">
        <v>24</v>
      </c>
      <c r="P68" t="s">
        <v>88</v>
      </c>
    </row>
    <row r="69" spans="1:16" ht="14.5" x14ac:dyDescent="0.35">
      <c r="A69">
        <v>68</v>
      </c>
      <c r="B69">
        <v>45</v>
      </c>
      <c r="C69" t="s">
        <v>16</v>
      </c>
      <c r="D69" t="s">
        <v>55</v>
      </c>
      <c r="E69" t="s">
        <v>56</v>
      </c>
      <c r="F69">
        <v>33</v>
      </c>
      <c r="G69" t="s">
        <v>130</v>
      </c>
      <c r="H69" t="s">
        <v>20</v>
      </c>
      <c r="I69" t="s">
        <v>21</v>
      </c>
      <c r="J69" t="s">
        <v>22</v>
      </c>
      <c r="K69">
        <v>3.1</v>
      </c>
      <c r="L69" t="s">
        <v>23</v>
      </c>
      <c r="M69" t="s">
        <v>23</v>
      </c>
      <c r="N69">
        <v>49</v>
      </c>
      <c r="O69" t="s">
        <v>77</v>
      </c>
      <c r="P69" t="s">
        <v>79</v>
      </c>
    </row>
    <row r="70" spans="1:16" ht="14.5" x14ac:dyDescent="0.35">
      <c r="A70">
        <v>69</v>
      </c>
      <c r="B70">
        <v>57</v>
      </c>
      <c r="C70" t="s">
        <v>16</v>
      </c>
      <c r="D70" t="s">
        <v>59</v>
      </c>
      <c r="E70" t="s">
        <v>60</v>
      </c>
      <c r="F70">
        <v>46</v>
      </c>
      <c r="G70" t="s">
        <v>131</v>
      </c>
      <c r="H70" t="s">
        <v>20</v>
      </c>
      <c r="I70" t="s">
        <v>58</v>
      </c>
      <c r="J70" t="s">
        <v>47</v>
      </c>
      <c r="K70">
        <v>3.1</v>
      </c>
      <c r="L70" t="s">
        <v>23</v>
      </c>
      <c r="M70" t="s">
        <v>23</v>
      </c>
      <c r="N70">
        <v>21</v>
      </c>
      <c r="O70" t="s">
        <v>29</v>
      </c>
      <c r="P70" t="s">
        <v>88</v>
      </c>
    </row>
    <row r="71" spans="1:16" ht="14.5" x14ac:dyDescent="0.35">
      <c r="A71">
        <v>70</v>
      </c>
      <c r="B71">
        <v>48</v>
      </c>
      <c r="C71" t="s">
        <v>16</v>
      </c>
      <c r="D71" t="s">
        <v>124</v>
      </c>
      <c r="E71" t="s">
        <v>60</v>
      </c>
      <c r="F71">
        <v>70</v>
      </c>
      <c r="G71" t="s">
        <v>113</v>
      </c>
      <c r="H71" t="s">
        <v>32</v>
      </c>
      <c r="I71" t="s">
        <v>100</v>
      </c>
      <c r="J71" t="s">
        <v>47</v>
      </c>
      <c r="K71">
        <v>3.1</v>
      </c>
      <c r="L71" t="s">
        <v>23</v>
      </c>
      <c r="M71" t="s">
        <v>23</v>
      </c>
      <c r="N71">
        <v>5</v>
      </c>
      <c r="O71" t="s">
        <v>29</v>
      </c>
      <c r="P71" t="s">
        <v>35</v>
      </c>
    </row>
    <row r="72" spans="1:16" ht="14.5" x14ac:dyDescent="0.35">
      <c r="A72">
        <v>71</v>
      </c>
      <c r="B72">
        <v>22</v>
      </c>
      <c r="C72" t="s">
        <v>16</v>
      </c>
      <c r="D72" t="s">
        <v>124</v>
      </c>
      <c r="E72" t="s">
        <v>60</v>
      </c>
      <c r="F72">
        <v>29</v>
      </c>
      <c r="G72" t="s">
        <v>81</v>
      </c>
      <c r="H72" t="s">
        <v>39</v>
      </c>
      <c r="I72" t="s">
        <v>127</v>
      </c>
      <c r="J72" t="s">
        <v>50</v>
      </c>
      <c r="K72">
        <v>3.1</v>
      </c>
      <c r="L72" t="s">
        <v>23</v>
      </c>
      <c r="M72" t="s">
        <v>23</v>
      </c>
      <c r="N72">
        <v>32</v>
      </c>
      <c r="O72" t="s">
        <v>77</v>
      </c>
      <c r="P72" t="s">
        <v>88</v>
      </c>
    </row>
    <row r="73" spans="1:16" ht="14.5" x14ac:dyDescent="0.35">
      <c r="A73">
        <v>72</v>
      </c>
      <c r="B73">
        <v>36</v>
      </c>
      <c r="C73" t="s">
        <v>16</v>
      </c>
      <c r="D73" t="s">
        <v>72</v>
      </c>
      <c r="E73" t="s">
        <v>18</v>
      </c>
      <c r="F73">
        <v>48</v>
      </c>
      <c r="G73" t="s">
        <v>132</v>
      </c>
      <c r="H73" t="s">
        <v>20</v>
      </c>
      <c r="I73" t="s">
        <v>71</v>
      </c>
      <c r="J73" t="s">
        <v>47</v>
      </c>
      <c r="K73">
        <v>3.1</v>
      </c>
      <c r="L73" t="s">
        <v>23</v>
      </c>
      <c r="M73" t="s">
        <v>23</v>
      </c>
      <c r="N73">
        <v>34</v>
      </c>
      <c r="O73" t="s">
        <v>66</v>
      </c>
      <c r="P73" t="s">
        <v>43</v>
      </c>
    </row>
    <row r="74" spans="1:16" ht="14.5" x14ac:dyDescent="0.35">
      <c r="A74">
        <v>73</v>
      </c>
      <c r="B74">
        <v>18</v>
      </c>
      <c r="C74" t="s">
        <v>16</v>
      </c>
      <c r="D74" t="s">
        <v>72</v>
      </c>
      <c r="E74" t="s">
        <v>18</v>
      </c>
      <c r="F74">
        <v>26</v>
      </c>
      <c r="G74" t="s">
        <v>133</v>
      </c>
      <c r="H74" t="s">
        <v>39</v>
      </c>
      <c r="I74" t="s">
        <v>69</v>
      </c>
      <c r="J74" t="s">
        <v>22</v>
      </c>
      <c r="K74">
        <v>3.1</v>
      </c>
      <c r="L74" t="s">
        <v>23</v>
      </c>
      <c r="M74" t="s">
        <v>23</v>
      </c>
      <c r="N74">
        <v>21</v>
      </c>
      <c r="O74" t="s">
        <v>66</v>
      </c>
      <c r="P74" t="s">
        <v>88</v>
      </c>
    </row>
    <row r="75" spans="1:16" ht="14.5" x14ac:dyDescent="0.35">
      <c r="A75">
        <v>74</v>
      </c>
      <c r="B75">
        <v>48</v>
      </c>
      <c r="C75" t="s">
        <v>16</v>
      </c>
      <c r="D75" t="s">
        <v>86</v>
      </c>
      <c r="E75" t="s">
        <v>18</v>
      </c>
      <c r="F75">
        <v>85</v>
      </c>
      <c r="G75" t="s">
        <v>68</v>
      </c>
      <c r="H75" t="s">
        <v>39</v>
      </c>
      <c r="I75" t="s">
        <v>76</v>
      </c>
      <c r="J75" t="s">
        <v>33</v>
      </c>
      <c r="K75">
        <v>3.1</v>
      </c>
      <c r="L75" t="s">
        <v>23</v>
      </c>
      <c r="M75" t="s">
        <v>23</v>
      </c>
      <c r="N75">
        <v>43</v>
      </c>
      <c r="O75" t="s">
        <v>66</v>
      </c>
      <c r="P75" t="s">
        <v>67</v>
      </c>
    </row>
    <row r="76" spans="1:16" ht="14.5" x14ac:dyDescent="0.35">
      <c r="A76">
        <v>75</v>
      </c>
      <c r="B76">
        <v>49</v>
      </c>
      <c r="C76" t="s">
        <v>16</v>
      </c>
      <c r="D76" t="s">
        <v>134</v>
      </c>
      <c r="E76" t="s">
        <v>60</v>
      </c>
      <c r="F76">
        <v>58</v>
      </c>
      <c r="G76" t="s">
        <v>107</v>
      </c>
      <c r="H76" t="s">
        <v>20</v>
      </c>
      <c r="I76" t="s">
        <v>74</v>
      </c>
      <c r="J76" t="s">
        <v>33</v>
      </c>
      <c r="K76">
        <v>3.1</v>
      </c>
      <c r="L76" t="s">
        <v>23</v>
      </c>
      <c r="M76" t="s">
        <v>23</v>
      </c>
      <c r="N76">
        <v>3</v>
      </c>
      <c r="O76" t="s">
        <v>29</v>
      </c>
      <c r="P76" t="s">
        <v>79</v>
      </c>
    </row>
    <row r="77" spans="1:16" ht="14.5" x14ac:dyDescent="0.35">
      <c r="A77">
        <v>76</v>
      </c>
      <c r="B77">
        <v>64</v>
      </c>
      <c r="C77" t="s">
        <v>16</v>
      </c>
      <c r="D77" t="s">
        <v>110</v>
      </c>
      <c r="E77" t="s">
        <v>60</v>
      </c>
      <c r="F77">
        <v>85</v>
      </c>
      <c r="G77" t="s">
        <v>131</v>
      </c>
      <c r="H77" t="s">
        <v>39</v>
      </c>
      <c r="I77" t="s">
        <v>135</v>
      </c>
      <c r="J77" t="s">
        <v>47</v>
      </c>
      <c r="K77">
        <v>3.1</v>
      </c>
      <c r="L77" t="s">
        <v>23</v>
      </c>
      <c r="M77" t="s">
        <v>23</v>
      </c>
      <c r="N77">
        <v>21</v>
      </c>
      <c r="O77" t="s">
        <v>34</v>
      </c>
      <c r="P77" t="s">
        <v>43</v>
      </c>
    </row>
    <row r="78" spans="1:16" ht="14.5" x14ac:dyDescent="0.35">
      <c r="A78">
        <v>77</v>
      </c>
      <c r="B78">
        <v>50</v>
      </c>
      <c r="C78" t="s">
        <v>16</v>
      </c>
      <c r="D78" t="s">
        <v>115</v>
      </c>
      <c r="E78" t="s">
        <v>60</v>
      </c>
      <c r="F78">
        <v>43</v>
      </c>
      <c r="G78" t="s">
        <v>70</v>
      </c>
      <c r="H78" t="s">
        <v>32</v>
      </c>
      <c r="I78" t="s">
        <v>76</v>
      </c>
      <c r="J78" t="s">
        <v>47</v>
      </c>
      <c r="K78">
        <v>3.1</v>
      </c>
      <c r="L78" t="s">
        <v>23</v>
      </c>
      <c r="M78" t="s">
        <v>23</v>
      </c>
      <c r="N78">
        <v>32</v>
      </c>
      <c r="O78" t="s">
        <v>24</v>
      </c>
      <c r="P78" t="s">
        <v>79</v>
      </c>
    </row>
    <row r="79" spans="1:16" ht="14.5" x14ac:dyDescent="0.35">
      <c r="A79">
        <v>78</v>
      </c>
      <c r="B79">
        <v>22</v>
      </c>
      <c r="C79" t="s">
        <v>16</v>
      </c>
      <c r="D79" t="s">
        <v>72</v>
      </c>
      <c r="E79" t="s">
        <v>18</v>
      </c>
      <c r="F79">
        <v>53</v>
      </c>
      <c r="G79" t="s">
        <v>70</v>
      </c>
      <c r="H79" t="s">
        <v>20</v>
      </c>
      <c r="I79" t="s">
        <v>71</v>
      </c>
      <c r="J79" t="s">
        <v>47</v>
      </c>
      <c r="K79">
        <v>3.1</v>
      </c>
      <c r="L79" t="s">
        <v>23</v>
      </c>
      <c r="M79" t="s">
        <v>23</v>
      </c>
      <c r="N79">
        <v>36</v>
      </c>
      <c r="O79" t="s">
        <v>77</v>
      </c>
      <c r="P79" t="s">
        <v>25</v>
      </c>
    </row>
    <row r="80" spans="1:16" ht="14.5" x14ac:dyDescent="0.35">
      <c r="A80">
        <v>79</v>
      </c>
      <c r="B80">
        <v>50</v>
      </c>
      <c r="C80" t="s">
        <v>16</v>
      </c>
      <c r="D80" t="s">
        <v>78</v>
      </c>
      <c r="E80" t="s">
        <v>18</v>
      </c>
      <c r="F80">
        <v>91</v>
      </c>
      <c r="G80" t="s">
        <v>136</v>
      </c>
      <c r="H80" t="s">
        <v>39</v>
      </c>
      <c r="I80" t="s">
        <v>28</v>
      </c>
      <c r="J80" t="s">
        <v>33</v>
      </c>
      <c r="K80">
        <v>3.1</v>
      </c>
      <c r="L80" t="s">
        <v>23</v>
      </c>
      <c r="M80" t="s">
        <v>23</v>
      </c>
      <c r="N80">
        <v>50</v>
      </c>
      <c r="O80" t="s">
        <v>24</v>
      </c>
      <c r="P80" t="s">
        <v>25</v>
      </c>
    </row>
    <row r="81" spans="1:16" ht="14.5" x14ac:dyDescent="0.35">
      <c r="A81">
        <v>80</v>
      </c>
      <c r="B81">
        <v>38</v>
      </c>
      <c r="C81" t="s">
        <v>16</v>
      </c>
      <c r="D81" t="s">
        <v>93</v>
      </c>
      <c r="E81" t="s">
        <v>56</v>
      </c>
      <c r="F81">
        <v>96</v>
      </c>
      <c r="G81" t="s">
        <v>137</v>
      </c>
      <c r="H81" t="s">
        <v>39</v>
      </c>
      <c r="I81" t="s">
        <v>69</v>
      </c>
      <c r="J81" t="s">
        <v>22</v>
      </c>
      <c r="K81">
        <v>3.1</v>
      </c>
      <c r="L81" t="s">
        <v>23</v>
      </c>
      <c r="M81" t="s">
        <v>23</v>
      </c>
      <c r="N81">
        <v>43</v>
      </c>
      <c r="O81" t="s">
        <v>66</v>
      </c>
      <c r="P81" t="s">
        <v>88</v>
      </c>
    </row>
    <row r="82" spans="1:16" ht="14.5" x14ac:dyDescent="0.35">
      <c r="A82">
        <v>81</v>
      </c>
      <c r="B82">
        <v>19</v>
      </c>
      <c r="C82" t="s">
        <v>16</v>
      </c>
      <c r="D82" t="s">
        <v>36</v>
      </c>
      <c r="E82" t="s">
        <v>37</v>
      </c>
      <c r="F82">
        <v>72</v>
      </c>
      <c r="G82" t="s">
        <v>75</v>
      </c>
      <c r="H82" t="s">
        <v>83</v>
      </c>
      <c r="I82" t="s">
        <v>135</v>
      </c>
      <c r="J82" t="s">
        <v>47</v>
      </c>
      <c r="K82">
        <v>3.1</v>
      </c>
      <c r="L82" t="s">
        <v>23</v>
      </c>
      <c r="M82" t="s">
        <v>23</v>
      </c>
      <c r="N82">
        <v>24</v>
      </c>
      <c r="O82" t="s">
        <v>34</v>
      </c>
      <c r="P82" t="s">
        <v>88</v>
      </c>
    </row>
    <row r="83" spans="1:16" ht="14.5" x14ac:dyDescent="0.35">
      <c r="A83">
        <v>82</v>
      </c>
      <c r="B83">
        <v>67</v>
      </c>
      <c r="C83" t="s">
        <v>16</v>
      </c>
      <c r="D83" t="s">
        <v>63</v>
      </c>
      <c r="E83" t="s">
        <v>37</v>
      </c>
      <c r="F83">
        <v>96</v>
      </c>
      <c r="G83" t="s">
        <v>132</v>
      </c>
      <c r="H83" t="s">
        <v>20</v>
      </c>
      <c r="I83" t="s">
        <v>28</v>
      </c>
      <c r="J83" t="s">
        <v>47</v>
      </c>
      <c r="K83">
        <v>3.1</v>
      </c>
      <c r="L83" t="s">
        <v>23</v>
      </c>
      <c r="M83" t="s">
        <v>23</v>
      </c>
      <c r="N83">
        <v>36</v>
      </c>
      <c r="O83" t="s">
        <v>34</v>
      </c>
      <c r="P83" t="s">
        <v>88</v>
      </c>
    </row>
    <row r="84" spans="1:16" ht="14.5" x14ac:dyDescent="0.35">
      <c r="A84">
        <v>83</v>
      </c>
      <c r="B84">
        <v>19</v>
      </c>
      <c r="C84" t="s">
        <v>16</v>
      </c>
      <c r="D84" t="s">
        <v>86</v>
      </c>
      <c r="E84" t="s">
        <v>18</v>
      </c>
      <c r="F84">
        <v>28</v>
      </c>
      <c r="G84" t="s">
        <v>133</v>
      </c>
      <c r="H84" t="s">
        <v>32</v>
      </c>
      <c r="I84" t="s">
        <v>69</v>
      </c>
      <c r="J84" t="s">
        <v>33</v>
      </c>
      <c r="K84">
        <v>3.1</v>
      </c>
      <c r="L84" t="s">
        <v>23</v>
      </c>
      <c r="M84" t="s">
        <v>23</v>
      </c>
      <c r="N84">
        <v>21</v>
      </c>
      <c r="O84" t="s">
        <v>34</v>
      </c>
      <c r="P84" t="s">
        <v>88</v>
      </c>
    </row>
    <row r="85" spans="1:16" ht="14.5" x14ac:dyDescent="0.35">
      <c r="A85">
        <v>84</v>
      </c>
      <c r="B85">
        <v>36</v>
      </c>
      <c r="C85" t="s">
        <v>16</v>
      </c>
      <c r="D85" t="s">
        <v>72</v>
      </c>
      <c r="E85" t="s">
        <v>18</v>
      </c>
      <c r="F85">
        <v>40</v>
      </c>
      <c r="G85" t="s">
        <v>96</v>
      </c>
      <c r="H85" t="s">
        <v>39</v>
      </c>
      <c r="I85" t="s">
        <v>42</v>
      </c>
      <c r="J85" t="s">
        <v>47</v>
      </c>
      <c r="K85">
        <v>3.1</v>
      </c>
      <c r="L85" t="s">
        <v>23</v>
      </c>
      <c r="M85" t="s">
        <v>23</v>
      </c>
      <c r="N85">
        <v>34</v>
      </c>
      <c r="O85" t="s">
        <v>66</v>
      </c>
      <c r="P85" t="s">
        <v>35</v>
      </c>
    </row>
    <row r="86" spans="1:16" ht="14.5" x14ac:dyDescent="0.35">
      <c r="A86">
        <v>85</v>
      </c>
      <c r="B86">
        <v>52</v>
      </c>
      <c r="C86" t="s">
        <v>16</v>
      </c>
      <c r="D86" t="s">
        <v>55</v>
      </c>
      <c r="E86" t="s">
        <v>56</v>
      </c>
      <c r="F86">
        <v>32</v>
      </c>
      <c r="G86" t="s">
        <v>108</v>
      </c>
      <c r="H86" t="s">
        <v>32</v>
      </c>
      <c r="I86" t="s">
        <v>91</v>
      </c>
      <c r="J86" t="s">
        <v>33</v>
      </c>
      <c r="K86">
        <v>3.1</v>
      </c>
      <c r="L86" t="s">
        <v>23</v>
      </c>
      <c r="M86" t="s">
        <v>23</v>
      </c>
      <c r="N86">
        <v>42</v>
      </c>
      <c r="O86" t="s">
        <v>66</v>
      </c>
      <c r="P86" t="s">
        <v>88</v>
      </c>
    </row>
    <row r="87" spans="1:16" ht="14.5" x14ac:dyDescent="0.35">
      <c r="A87">
        <v>86</v>
      </c>
      <c r="B87">
        <v>53</v>
      </c>
      <c r="C87" t="s">
        <v>16</v>
      </c>
      <c r="D87" t="s">
        <v>80</v>
      </c>
      <c r="E87" t="s">
        <v>60</v>
      </c>
      <c r="F87">
        <v>95</v>
      </c>
      <c r="G87" t="s">
        <v>121</v>
      </c>
      <c r="H87" t="s">
        <v>39</v>
      </c>
      <c r="I87" t="s">
        <v>54</v>
      </c>
      <c r="J87" t="s">
        <v>22</v>
      </c>
      <c r="K87">
        <v>3.1</v>
      </c>
      <c r="L87" t="s">
        <v>23</v>
      </c>
      <c r="M87" t="s">
        <v>23</v>
      </c>
      <c r="N87">
        <v>2</v>
      </c>
      <c r="O87" t="s">
        <v>77</v>
      </c>
      <c r="P87" t="s">
        <v>67</v>
      </c>
    </row>
    <row r="88" spans="1:16" ht="14.5" x14ac:dyDescent="0.35">
      <c r="A88">
        <v>87</v>
      </c>
      <c r="B88">
        <v>24</v>
      </c>
      <c r="C88" t="s">
        <v>16</v>
      </c>
      <c r="D88" t="s">
        <v>95</v>
      </c>
      <c r="E88" t="s">
        <v>18</v>
      </c>
      <c r="F88">
        <v>41</v>
      </c>
      <c r="G88" t="s">
        <v>98</v>
      </c>
      <c r="H88" t="s">
        <v>20</v>
      </c>
      <c r="I88" t="s">
        <v>62</v>
      </c>
      <c r="J88" t="s">
        <v>33</v>
      </c>
      <c r="K88">
        <v>3.1</v>
      </c>
      <c r="L88" t="s">
        <v>23</v>
      </c>
      <c r="M88" t="s">
        <v>23</v>
      </c>
      <c r="N88">
        <v>47</v>
      </c>
      <c r="O88" t="s">
        <v>29</v>
      </c>
      <c r="P88" t="s">
        <v>67</v>
      </c>
    </row>
    <row r="89" spans="1:16" ht="14.5" x14ac:dyDescent="0.35">
      <c r="A89">
        <v>88</v>
      </c>
      <c r="B89">
        <v>52</v>
      </c>
      <c r="C89" t="s">
        <v>16</v>
      </c>
      <c r="D89" t="s">
        <v>63</v>
      </c>
      <c r="E89" t="s">
        <v>37</v>
      </c>
      <c r="F89">
        <v>53</v>
      </c>
      <c r="G89" t="s">
        <v>114</v>
      </c>
      <c r="H89" t="s">
        <v>39</v>
      </c>
      <c r="I89" t="s">
        <v>87</v>
      </c>
      <c r="J89" t="s">
        <v>50</v>
      </c>
      <c r="K89">
        <v>3.1</v>
      </c>
      <c r="L89" t="s">
        <v>23</v>
      </c>
      <c r="M89" t="s">
        <v>23</v>
      </c>
      <c r="N89">
        <v>44</v>
      </c>
      <c r="O89" t="s">
        <v>77</v>
      </c>
      <c r="P89" t="s">
        <v>25</v>
      </c>
    </row>
    <row r="90" spans="1:16" ht="14.5" x14ac:dyDescent="0.35">
      <c r="A90">
        <v>89</v>
      </c>
      <c r="B90">
        <v>33</v>
      </c>
      <c r="C90" t="s">
        <v>16</v>
      </c>
      <c r="D90" t="s">
        <v>104</v>
      </c>
      <c r="E90" t="s">
        <v>18</v>
      </c>
      <c r="F90">
        <v>47</v>
      </c>
      <c r="G90" t="s">
        <v>45</v>
      </c>
      <c r="H90" t="s">
        <v>39</v>
      </c>
      <c r="I90" t="s">
        <v>112</v>
      </c>
      <c r="J90" t="s">
        <v>50</v>
      </c>
      <c r="K90">
        <v>3.1</v>
      </c>
      <c r="L90" t="s">
        <v>23</v>
      </c>
      <c r="M90" t="s">
        <v>23</v>
      </c>
      <c r="N90">
        <v>35</v>
      </c>
      <c r="O90" t="s">
        <v>34</v>
      </c>
      <c r="P90" t="s">
        <v>79</v>
      </c>
    </row>
    <row r="91" spans="1:16" ht="14.5" x14ac:dyDescent="0.35">
      <c r="A91">
        <v>90</v>
      </c>
      <c r="B91">
        <v>47</v>
      </c>
      <c r="C91" t="s">
        <v>16</v>
      </c>
      <c r="D91" t="s">
        <v>93</v>
      </c>
      <c r="E91" t="s">
        <v>56</v>
      </c>
      <c r="F91">
        <v>83</v>
      </c>
      <c r="G91" t="s">
        <v>90</v>
      </c>
      <c r="H91" t="s">
        <v>83</v>
      </c>
      <c r="I91" t="s">
        <v>62</v>
      </c>
      <c r="J91" t="s">
        <v>50</v>
      </c>
      <c r="K91">
        <v>3.1</v>
      </c>
      <c r="L91" t="s">
        <v>23</v>
      </c>
      <c r="M91" t="s">
        <v>23</v>
      </c>
      <c r="N91">
        <v>15</v>
      </c>
      <c r="O91" t="s">
        <v>29</v>
      </c>
      <c r="P91" t="s">
        <v>51</v>
      </c>
    </row>
    <row r="92" spans="1:16" ht="14.5" x14ac:dyDescent="0.35">
      <c r="A92">
        <v>91</v>
      </c>
      <c r="B92">
        <v>25</v>
      </c>
      <c r="C92" t="s">
        <v>16</v>
      </c>
      <c r="D92" t="s">
        <v>115</v>
      </c>
      <c r="E92" t="s">
        <v>60</v>
      </c>
      <c r="F92">
        <v>48</v>
      </c>
      <c r="G92" t="s">
        <v>122</v>
      </c>
      <c r="H92" t="s">
        <v>20</v>
      </c>
      <c r="I92" t="s">
        <v>74</v>
      </c>
      <c r="J92" t="s">
        <v>47</v>
      </c>
      <c r="K92">
        <v>3.1</v>
      </c>
      <c r="L92" t="s">
        <v>23</v>
      </c>
      <c r="M92" t="s">
        <v>23</v>
      </c>
      <c r="N92">
        <v>29</v>
      </c>
      <c r="O92" t="s">
        <v>34</v>
      </c>
      <c r="P92" t="s">
        <v>79</v>
      </c>
    </row>
    <row r="93" spans="1:16" ht="14.5" x14ac:dyDescent="0.35">
      <c r="A93">
        <v>92</v>
      </c>
      <c r="B93">
        <v>44</v>
      </c>
      <c r="C93" t="s">
        <v>16</v>
      </c>
      <c r="D93" t="s">
        <v>110</v>
      </c>
      <c r="E93" t="s">
        <v>60</v>
      </c>
      <c r="F93">
        <v>99</v>
      </c>
      <c r="G93" t="s">
        <v>122</v>
      </c>
      <c r="H93" t="s">
        <v>32</v>
      </c>
      <c r="I93" t="s">
        <v>87</v>
      </c>
      <c r="J93" t="s">
        <v>22</v>
      </c>
      <c r="K93">
        <v>3.1</v>
      </c>
      <c r="L93" t="s">
        <v>23</v>
      </c>
      <c r="M93" t="s">
        <v>23</v>
      </c>
      <c r="N93">
        <v>18</v>
      </c>
      <c r="O93" t="s">
        <v>34</v>
      </c>
      <c r="P93" t="s">
        <v>88</v>
      </c>
    </row>
    <row r="94" spans="1:16" ht="14.5" x14ac:dyDescent="0.35">
      <c r="A94">
        <v>93</v>
      </c>
      <c r="B94">
        <v>61</v>
      </c>
      <c r="C94" t="s">
        <v>16</v>
      </c>
      <c r="D94" t="s">
        <v>93</v>
      </c>
      <c r="E94" t="s">
        <v>56</v>
      </c>
      <c r="F94">
        <v>87</v>
      </c>
      <c r="G94" t="s">
        <v>96</v>
      </c>
      <c r="H94" t="s">
        <v>39</v>
      </c>
      <c r="I94" t="s">
        <v>69</v>
      </c>
      <c r="J94" t="s">
        <v>22</v>
      </c>
      <c r="K94">
        <v>3.1</v>
      </c>
      <c r="L94" t="s">
        <v>23</v>
      </c>
      <c r="M94" t="s">
        <v>23</v>
      </c>
      <c r="N94">
        <v>13</v>
      </c>
      <c r="O94" t="s">
        <v>24</v>
      </c>
      <c r="P94" t="s">
        <v>88</v>
      </c>
    </row>
    <row r="95" spans="1:16" ht="14.5" x14ac:dyDescent="0.35">
      <c r="A95">
        <v>94</v>
      </c>
      <c r="B95">
        <v>37</v>
      </c>
      <c r="C95" t="s">
        <v>16</v>
      </c>
      <c r="D95" t="s">
        <v>26</v>
      </c>
      <c r="E95" t="s">
        <v>18</v>
      </c>
      <c r="F95">
        <v>62</v>
      </c>
      <c r="G95" t="s">
        <v>94</v>
      </c>
      <c r="H95" t="s">
        <v>39</v>
      </c>
      <c r="I95" t="s">
        <v>65</v>
      </c>
      <c r="J95" t="s">
        <v>50</v>
      </c>
      <c r="K95">
        <v>3.1</v>
      </c>
      <c r="L95" t="s">
        <v>23</v>
      </c>
      <c r="M95" t="s">
        <v>23</v>
      </c>
      <c r="N95">
        <v>46</v>
      </c>
      <c r="O95" t="s">
        <v>34</v>
      </c>
      <c r="P95" t="s">
        <v>35</v>
      </c>
    </row>
    <row r="96" spans="1:16" ht="14.5" x14ac:dyDescent="0.35">
      <c r="A96">
        <v>95</v>
      </c>
      <c r="B96">
        <v>58</v>
      </c>
      <c r="C96" t="s">
        <v>16</v>
      </c>
      <c r="D96" t="s">
        <v>78</v>
      </c>
      <c r="E96" t="s">
        <v>18</v>
      </c>
      <c r="F96">
        <v>76</v>
      </c>
      <c r="G96" t="s">
        <v>98</v>
      </c>
      <c r="H96" t="s">
        <v>32</v>
      </c>
      <c r="I96" t="s">
        <v>58</v>
      </c>
      <c r="J96" t="s">
        <v>33</v>
      </c>
      <c r="K96">
        <v>3.1</v>
      </c>
      <c r="L96" t="s">
        <v>23</v>
      </c>
      <c r="M96" t="s">
        <v>23</v>
      </c>
      <c r="N96">
        <v>28</v>
      </c>
      <c r="O96" t="s">
        <v>34</v>
      </c>
      <c r="P96" t="s">
        <v>35</v>
      </c>
    </row>
    <row r="97" spans="1:16" ht="14.5" x14ac:dyDescent="0.35">
      <c r="A97">
        <v>96</v>
      </c>
      <c r="B97">
        <v>37</v>
      </c>
      <c r="C97" t="s">
        <v>16</v>
      </c>
      <c r="D97" t="s">
        <v>44</v>
      </c>
      <c r="E97" t="s">
        <v>37</v>
      </c>
      <c r="F97">
        <v>100</v>
      </c>
      <c r="G97" t="s">
        <v>61</v>
      </c>
      <c r="H97" t="s">
        <v>20</v>
      </c>
      <c r="I97" t="s">
        <v>62</v>
      </c>
      <c r="J97" t="s">
        <v>50</v>
      </c>
      <c r="K97">
        <v>3.8</v>
      </c>
      <c r="L97" t="s">
        <v>23</v>
      </c>
      <c r="M97" t="s">
        <v>23</v>
      </c>
      <c r="N97">
        <v>48</v>
      </c>
      <c r="O97" t="s">
        <v>40</v>
      </c>
      <c r="P97" t="s">
        <v>79</v>
      </c>
    </row>
    <row r="98" spans="1:16" ht="14.5" x14ac:dyDescent="0.35">
      <c r="A98">
        <v>97</v>
      </c>
      <c r="B98">
        <v>32</v>
      </c>
      <c r="C98" t="s">
        <v>16</v>
      </c>
      <c r="D98" t="s">
        <v>134</v>
      </c>
      <c r="E98" t="s">
        <v>60</v>
      </c>
      <c r="F98">
        <v>73</v>
      </c>
      <c r="G98" t="s">
        <v>70</v>
      </c>
      <c r="H98" t="s">
        <v>32</v>
      </c>
      <c r="I98" t="s">
        <v>71</v>
      </c>
      <c r="J98" t="s">
        <v>33</v>
      </c>
      <c r="K98">
        <v>3.6</v>
      </c>
      <c r="L98" t="s">
        <v>23</v>
      </c>
      <c r="M98" t="s">
        <v>23</v>
      </c>
      <c r="N98">
        <v>43</v>
      </c>
      <c r="O98" t="s">
        <v>24</v>
      </c>
      <c r="P98" t="s">
        <v>88</v>
      </c>
    </row>
    <row r="99" spans="1:16" ht="14.5" x14ac:dyDescent="0.35">
      <c r="A99">
        <v>98</v>
      </c>
      <c r="B99">
        <v>21</v>
      </c>
      <c r="C99" t="s">
        <v>16</v>
      </c>
      <c r="D99" t="s">
        <v>63</v>
      </c>
      <c r="E99" t="s">
        <v>37</v>
      </c>
      <c r="F99">
        <v>92</v>
      </c>
      <c r="G99" t="s">
        <v>132</v>
      </c>
      <c r="H99" t="s">
        <v>39</v>
      </c>
      <c r="I99" t="s">
        <v>76</v>
      </c>
      <c r="J99" t="s">
        <v>22</v>
      </c>
      <c r="K99">
        <v>4.8</v>
      </c>
      <c r="L99" t="s">
        <v>23</v>
      </c>
      <c r="M99" t="s">
        <v>23</v>
      </c>
      <c r="N99">
        <v>37</v>
      </c>
      <c r="O99" t="s">
        <v>29</v>
      </c>
      <c r="P99" t="s">
        <v>43</v>
      </c>
    </row>
    <row r="100" spans="1:16" ht="14.5" x14ac:dyDescent="0.35">
      <c r="A100">
        <v>99</v>
      </c>
      <c r="B100">
        <v>20</v>
      </c>
      <c r="C100" t="s">
        <v>16</v>
      </c>
      <c r="D100" t="s">
        <v>30</v>
      </c>
      <c r="E100" t="s">
        <v>18</v>
      </c>
      <c r="F100">
        <v>67</v>
      </c>
      <c r="G100" t="s">
        <v>75</v>
      </c>
      <c r="H100" t="s">
        <v>83</v>
      </c>
      <c r="I100" t="s">
        <v>76</v>
      </c>
      <c r="J100" t="s">
        <v>33</v>
      </c>
      <c r="K100">
        <v>2.6</v>
      </c>
      <c r="L100" t="s">
        <v>23</v>
      </c>
      <c r="M100" t="s">
        <v>23</v>
      </c>
      <c r="N100">
        <v>20</v>
      </c>
      <c r="O100" t="s">
        <v>66</v>
      </c>
      <c r="P100" t="s">
        <v>43</v>
      </c>
    </row>
    <row r="101" spans="1:16" ht="14.5" x14ac:dyDescent="0.35">
      <c r="A101">
        <v>100</v>
      </c>
      <c r="B101">
        <v>26</v>
      </c>
      <c r="C101" t="s">
        <v>16</v>
      </c>
      <c r="D101" t="s">
        <v>95</v>
      </c>
      <c r="E101" t="s">
        <v>18</v>
      </c>
      <c r="F101">
        <v>40</v>
      </c>
      <c r="G101" t="s">
        <v>61</v>
      </c>
      <c r="H101" t="s">
        <v>83</v>
      </c>
      <c r="I101" t="s">
        <v>117</v>
      </c>
      <c r="J101" t="s">
        <v>47</v>
      </c>
      <c r="K101">
        <v>3.7</v>
      </c>
      <c r="L101" t="s">
        <v>23</v>
      </c>
      <c r="M101" t="s">
        <v>23</v>
      </c>
      <c r="N101">
        <v>33</v>
      </c>
      <c r="O101" t="s">
        <v>77</v>
      </c>
      <c r="P101" t="s">
        <v>51</v>
      </c>
    </row>
    <row r="102" spans="1:16" ht="14.5" x14ac:dyDescent="0.35">
      <c r="A102">
        <v>101</v>
      </c>
      <c r="B102">
        <v>62</v>
      </c>
      <c r="C102" t="s">
        <v>16</v>
      </c>
      <c r="D102" t="s">
        <v>80</v>
      </c>
      <c r="E102" t="s">
        <v>60</v>
      </c>
      <c r="F102">
        <v>98</v>
      </c>
      <c r="G102" t="s">
        <v>138</v>
      </c>
      <c r="H102" t="s">
        <v>39</v>
      </c>
      <c r="I102" t="s">
        <v>28</v>
      </c>
      <c r="J102" t="s">
        <v>50</v>
      </c>
      <c r="K102">
        <v>2.7</v>
      </c>
      <c r="L102" t="s">
        <v>23</v>
      </c>
      <c r="M102" t="s">
        <v>23</v>
      </c>
      <c r="N102">
        <v>31</v>
      </c>
      <c r="O102" t="s">
        <v>29</v>
      </c>
      <c r="P102" t="s">
        <v>25</v>
      </c>
    </row>
    <row r="103" spans="1:16" ht="14.5" x14ac:dyDescent="0.35">
      <c r="A103">
        <v>102</v>
      </c>
      <c r="B103">
        <v>27</v>
      </c>
      <c r="C103" t="s">
        <v>16</v>
      </c>
      <c r="D103" t="s">
        <v>55</v>
      </c>
      <c r="E103" t="s">
        <v>56</v>
      </c>
      <c r="F103">
        <v>85</v>
      </c>
      <c r="G103" t="s">
        <v>105</v>
      </c>
      <c r="H103" t="s">
        <v>83</v>
      </c>
      <c r="I103" t="s">
        <v>46</v>
      </c>
      <c r="J103" t="s">
        <v>33</v>
      </c>
      <c r="K103">
        <v>4.5999999999999996</v>
      </c>
      <c r="L103" t="s">
        <v>23</v>
      </c>
      <c r="M103" t="s">
        <v>23</v>
      </c>
      <c r="N103">
        <v>50</v>
      </c>
      <c r="O103" t="s">
        <v>34</v>
      </c>
      <c r="P103" t="s">
        <v>67</v>
      </c>
    </row>
    <row r="104" spans="1:16" ht="14.5" x14ac:dyDescent="0.35">
      <c r="A104">
        <v>103</v>
      </c>
      <c r="B104">
        <v>51</v>
      </c>
      <c r="C104" t="s">
        <v>16</v>
      </c>
      <c r="D104" t="s">
        <v>116</v>
      </c>
      <c r="E104" t="s">
        <v>18</v>
      </c>
      <c r="F104">
        <v>67</v>
      </c>
      <c r="G104" t="s">
        <v>92</v>
      </c>
      <c r="H104" t="s">
        <v>20</v>
      </c>
      <c r="I104" t="s">
        <v>74</v>
      </c>
      <c r="J104" t="s">
        <v>22</v>
      </c>
      <c r="K104">
        <v>4.8</v>
      </c>
      <c r="L104" t="s">
        <v>23</v>
      </c>
      <c r="M104" t="s">
        <v>23</v>
      </c>
      <c r="N104">
        <v>35</v>
      </c>
      <c r="O104" t="s">
        <v>34</v>
      </c>
      <c r="P104" t="s">
        <v>51</v>
      </c>
    </row>
    <row r="105" spans="1:16" ht="14.5" x14ac:dyDescent="0.35">
      <c r="A105">
        <v>104</v>
      </c>
      <c r="B105">
        <v>54</v>
      </c>
      <c r="C105" t="s">
        <v>16</v>
      </c>
      <c r="D105" t="s">
        <v>128</v>
      </c>
      <c r="E105" t="s">
        <v>37</v>
      </c>
      <c r="F105">
        <v>89</v>
      </c>
      <c r="G105" t="s">
        <v>57</v>
      </c>
      <c r="H105" t="s">
        <v>20</v>
      </c>
      <c r="I105" t="s">
        <v>99</v>
      </c>
      <c r="J105" t="s">
        <v>22</v>
      </c>
      <c r="K105">
        <v>4</v>
      </c>
      <c r="L105" t="s">
        <v>23</v>
      </c>
      <c r="M105" t="s">
        <v>23</v>
      </c>
      <c r="N105">
        <v>22</v>
      </c>
      <c r="O105" t="s">
        <v>24</v>
      </c>
      <c r="P105" t="s">
        <v>67</v>
      </c>
    </row>
    <row r="106" spans="1:16" ht="14.5" x14ac:dyDescent="0.35">
      <c r="A106">
        <v>105</v>
      </c>
      <c r="B106">
        <v>55</v>
      </c>
      <c r="C106" t="s">
        <v>16</v>
      </c>
      <c r="D106" t="s">
        <v>80</v>
      </c>
      <c r="E106" t="s">
        <v>60</v>
      </c>
      <c r="F106">
        <v>24</v>
      </c>
      <c r="G106" t="s">
        <v>73</v>
      </c>
      <c r="H106" t="s">
        <v>20</v>
      </c>
      <c r="I106" t="s">
        <v>62</v>
      </c>
      <c r="J106" t="s">
        <v>33</v>
      </c>
      <c r="K106">
        <v>4.4000000000000004</v>
      </c>
      <c r="L106" t="s">
        <v>23</v>
      </c>
      <c r="M106" t="s">
        <v>23</v>
      </c>
      <c r="N106">
        <v>1</v>
      </c>
      <c r="O106" t="s">
        <v>40</v>
      </c>
      <c r="P106" t="s">
        <v>79</v>
      </c>
    </row>
    <row r="107" spans="1:16" ht="14.5" x14ac:dyDescent="0.35">
      <c r="A107">
        <v>106</v>
      </c>
      <c r="B107">
        <v>69</v>
      </c>
      <c r="C107" t="s">
        <v>16</v>
      </c>
      <c r="D107" t="s">
        <v>123</v>
      </c>
      <c r="E107" t="s">
        <v>60</v>
      </c>
      <c r="F107">
        <v>96</v>
      </c>
      <c r="G107" t="s">
        <v>75</v>
      </c>
      <c r="H107" t="s">
        <v>39</v>
      </c>
      <c r="I107" t="s">
        <v>54</v>
      </c>
      <c r="J107" t="s">
        <v>50</v>
      </c>
      <c r="K107">
        <v>3.6</v>
      </c>
      <c r="L107" t="s">
        <v>23</v>
      </c>
      <c r="M107" t="s">
        <v>23</v>
      </c>
      <c r="N107">
        <v>4</v>
      </c>
      <c r="O107" t="s">
        <v>66</v>
      </c>
      <c r="P107" t="s">
        <v>43</v>
      </c>
    </row>
    <row r="108" spans="1:16" ht="14.5" x14ac:dyDescent="0.35">
      <c r="A108">
        <v>107</v>
      </c>
      <c r="B108">
        <v>64</v>
      </c>
      <c r="C108" t="s">
        <v>16</v>
      </c>
      <c r="D108" t="s">
        <v>93</v>
      </c>
      <c r="E108" t="s">
        <v>56</v>
      </c>
      <c r="F108">
        <v>35</v>
      </c>
      <c r="G108" t="s">
        <v>139</v>
      </c>
      <c r="H108" t="s">
        <v>20</v>
      </c>
      <c r="I108" t="s">
        <v>46</v>
      </c>
      <c r="J108" t="s">
        <v>47</v>
      </c>
      <c r="K108">
        <v>3.7</v>
      </c>
      <c r="L108" t="s">
        <v>23</v>
      </c>
      <c r="M108" t="s">
        <v>23</v>
      </c>
      <c r="N108">
        <v>31</v>
      </c>
      <c r="O108" t="s">
        <v>34</v>
      </c>
      <c r="P108" t="s">
        <v>79</v>
      </c>
    </row>
    <row r="109" spans="1:16" ht="14.5" x14ac:dyDescent="0.35">
      <c r="A109">
        <v>108</v>
      </c>
      <c r="B109">
        <v>28</v>
      </c>
      <c r="C109" t="s">
        <v>16</v>
      </c>
      <c r="D109" t="s">
        <v>44</v>
      </c>
      <c r="E109" t="s">
        <v>37</v>
      </c>
      <c r="F109">
        <v>67</v>
      </c>
      <c r="G109" t="s">
        <v>119</v>
      </c>
      <c r="H109" t="s">
        <v>20</v>
      </c>
      <c r="I109" t="s">
        <v>69</v>
      </c>
      <c r="J109" t="s">
        <v>22</v>
      </c>
      <c r="K109">
        <v>3.1</v>
      </c>
      <c r="L109" t="s">
        <v>23</v>
      </c>
      <c r="M109" t="s">
        <v>23</v>
      </c>
      <c r="N109">
        <v>46</v>
      </c>
      <c r="O109" t="s">
        <v>40</v>
      </c>
      <c r="P109" t="s">
        <v>25</v>
      </c>
    </row>
    <row r="110" spans="1:16" ht="14.5" x14ac:dyDescent="0.35">
      <c r="A110">
        <v>109</v>
      </c>
      <c r="B110">
        <v>70</v>
      </c>
      <c r="C110" t="s">
        <v>16</v>
      </c>
      <c r="D110" t="s">
        <v>116</v>
      </c>
      <c r="E110" t="s">
        <v>18</v>
      </c>
      <c r="F110">
        <v>79</v>
      </c>
      <c r="G110" t="s">
        <v>49</v>
      </c>
      <c r="H110" t="s">
        <v>20</v>
      </c>
      <c r="I110" t="s">
        <v>65</v>
      </c>
      <c r="J110" t="s">
        <v>33</v>
      </c>
      <c r="K110">
        <v>3.4</v>
      </c>
      <c r="L110" t="s">
        <v>23</v>
      </c>
      <c r="M110" t="s">
        <v>23</v>
      </c>
      <c r="N110">
        <v>32</v>
      </c>
      <c r="O110" t="s">
        <v>66</v>
      </c>
      <c r="P110" t="s">
        <v>67</v>
      </c>
    </row>
    <row r="111" spans="1:16" ht="14.5" x14ac:dyDescent="0.35">
      <c r="A111">
        <v>110</v>
      </c>
      <c r="B111">
        <v>58</v>
      </c>
      <c r="C111" t="s">
        <v>16</v>
      </c>
      <c r="D111" t="s">
        <v>104</v>
      </c>
      <c r="E111" t="s">
        <v>18</v>
      </c>
      <c r="F111">
        <v>85</v>
      </c>
      <c r="G111" t="s">
        <v>81</v>
      </c>
      <c r="H111" t="s">
        <v>39</v>
      </c>
      <c r="I111" t="s">
        <v>74</v>
      </c>
      <c r="J111" t="s">
        <v>33</v>
      </c>
      <c r="K111">
        <v>2.6</v>
      </c>
      <c r="L111" t="s">
        <v>23</v>
      </c>
      <c r="M111" t="s">
        <v>23</v>
      </c>
      <c r="N111">
        <v>43</v>
      </c>
      <c r="O111" t="s">
        <v>66</v>
      </c>
      <c r="P111" t="s">
        <v>25</v>
      </c>
    </row>
    <row r="112" spans="1:16" ht="14.5" x14ac:dyDescent="0.35">
      <c r="A112">
        <v>111</v>
      </c>
      <c r="B112">
        <v>56</v>
      </c>
      <c r="C112" t="s">
        <v>16</v>
      </c>
      <c r="D112" t="s">
        <v>123</v>
      </c>
      <c r="E112" t="s">
        <v>60</v>
      </c>
      <c r="F112">
        <v>26</v>
      </c>
      <c r="G112" t="s">
        <v>75</v>
      </c>
      <c r="H112" t="s">
        <v>39</v>
      </c>
      <c r="I112" t="s">
        <v>85</v>
      </c>
      <c r="J112" t="s">
        <v>47</v>
      </c>
      <c r="K112">
        <v>4</v>
      </c>
      <c r="L112" t="s">
        <v>23</v>
      </c>
      <c r="M112" t="s">
        <v>23</v>
      </c>
      <c r="N112">
        <v>26</v>
      </c>
      <c r="O112" t="s">
        <v>24</v>
      </c>
      <c r="P112" t="s">
        <v>25</v>
      </c>
    </row>
    <row r="113" spans="1:16" ht="14.5" x14ac:dyDescent="0.35">
      <c r="A113">
        <v>112</v>
      </c>
      <c r="B113">
        <v>26</v>
      </c>
      <c r="C113" t="s">
        <v>16</v>
      </c>
      <c r="D113" t="s">
        <v>124</v>
      </c>
      <c r="E113" t="s">
        <v>60</v>
      </c>
      <c r="F113">
        <v>75</v>
      </c>
      <c r="G113" t="s">
        <v>31</v>
      </c>
      <c r="H113" t="s">
        <v>20</v>
      </c>
      <c r="I113" t="s">
        <v>65</v>
      </c>
      <c r="J113" t="s">
        <v>47</v>
      </c>
      <c r="K113">
        <v>5</v>
      </c>
      <c r="L113" t="s">
        <v>23</v>
      </c>
      <c r="M113" t="s">
        <v>23</v>
      </c>
      <c r="N113">
        <v>9</v>
      </c>
      <c r="O113" t="s">
        <v>34</v>
      </c>
      <c r="P113" t="s">
        <v>43</v>
      </c>
    </row>
    <row r="114" spans="1:16" ht="14.5" x14ac:dyDescent="0.35">
      <c r="A114">
        <v>113</v>
      </c>
      <c r="B114">
        <v>37</v>
      </c>
      <c r="C114" t="s">
        <v>16</v>
      </c>
      <c r="D114" t="s">
        <v>134</v>
      </c>
      <c r="E114" t="s">
        <v>60</v>
      </c>
      <c r="F114">
        <v>65</v>
      </c>
      <c r="G114" t="s">
        <v>94</v>
      </c>
      <c r="H114" t="s">
        <v>39</v>
      </c>
      <c r="I114" t="s">
        <v>99</v>
      </c>
      <c r="J114" t="s">
        <v>33</v>
      </c>
      <c r="K114">
        <v>4.3</v>
      </c>
      <c r="L114" t="s">
        <v>23</v>
      </c>
      <c r="M114" t="s">
        <v>23</v>
      </c>
      <c r="N114">
        <v>28</v>
      </c>
      <c r="O114" t="s">
        <v>40</v>
      </c>
      <c r="P114" t="s">
        <v>67</v>
      </c>
    </row>
    <row r="115" spans="1:16" ht="14.5" x14ac:dyDescent="0.35">
      <c r="A115">
        <v>114</v>
      </c>
      <c r="B115">
        <v>44</v>
      </c>
      <c r="C115" t="s">
        <v>16</v>
      </c>
      <c r="D115" t="s">
        <v>115</v>
      </c>
      <c r="E115" t="s">
        <v>60</v>
      </c>
      <c r="F115">
        <v>54</v>
      </c>
      <c r="G115" t="s">
        <v>118</v>
      </c>
      <c r="H115" t="s">
        <v>20</v>
      </c>
      <c r="I115" t="s">
        <v>28</v>
      </c>
      <c r="J115" t="s">
        <v>22</v>
      </c>
      <c r="K115">
        <v>3.1</v>
      </c>
      <c r="L115" t="s">
        <v>23</v>
      </c>
      <c r="M115" t="s">
        <v>23</v>
      </c>
      <c r="N115">
        <v>20</v>
      </c>
      <c r="O115" t="s">
        <v>40</v>
      </c>
      <c r="P115" t="s">
        <v>51</v>
      </c>
    </row>
    <row r="116" spans="1:16" ht="14.5" x14ac:dyDescent="0.35">
      <c r="A116">
        <v>115</v>
      </c>
      <c r="B116">
        <v>70</v>
      </c>
      <c r="C116" t="s">
        <v>16</v>
      </c>
      <c r="D116" t="s">
        <v>55</v>
      </c>
      <c r="E116" t="s">
        <v>56</v>
      </c>
      <c r="F116">
        <v>95</v>
      </c>
      <c r="G116" t="s">
        <v>31</v>
      </c>
      <c r="H116" t="s">
        <v>32</v>
      </c>
      <c r="I116" t="s">
        <v>135</v>
      </c>
      <c r="J116" t="s">
        <v>47</v>
      </c>
      <c r="K116">
        <v>3.7</v>
      </c>
      <c r="L116" t="s">
        <v>23</v>
      </c>
      <c r="M116" t="s">
        <v>23</v>
      </c>
      <c r="N116">
        <v>9</v>
      </c>
      <c r="O116" t="s">
        <v>29</v>
      </c>
      <c r="P116" t="s">
        <v>35</v>
      </c>
    </row>
    <row r="117" spans="1:16" ht="14.5" x14ac:dyDescent="0.35">
      <c r="A117">
        <v>116</v>
      </c>
      <c r="B117">
        <v>53</v>
      </c>
      <c r="C117" t="s">
        <v>16</v>
      </c>
      <c r="D117" t="s">
        <v>78</v>
      </c>
      <c r="E117" t="s">
        <v>18</v>
      </c>
      <c r="F117">
        <v>94</v>
      </c>
      <c r="G117" t="s">
        <v>45</v>
      </c>
      <c r="H117" t="s">
        <v>39</v>
      </c>
      <c r="I117" t="s">
        <v>21</v>
      </c>
      <c r="J117" t="s">
        <v>33</v>
      </c>
      <c r="K117">
        <v>3.8</v>
      </c>
      <c r="L117" t="s">
        <v>23</v>
      </c>
      <c r="M117" t="s">
        <v>23</v>
      </c>
      <c r="N117">
        <v>48</v>
      </c>
      <c r="O117" t="s">
        <v>77</v>
      </c>
      <c r="P117" t="s">
        <v>88</v>
      </c>
    </row>
    <row r="118" spans="1:16" ht="14.5" x14ac:dyDescent="0.35">
      <c r="A118">
        <v>117</v>
      </c>
      <c r="B118">
        <v>55</v>
      </c>
      <c r="C118" t="s">
        <v>16</v>
      </c>
      <c r="D118" t="s">
        <v>63</v>
      </c>
      <c r="E118" t="s">
        <v>37</v>
      </c>
      <c r="F118">
        <v>86</v>
      </c>
      <c r="G118" t="s">
        <v>132</v>
      </c>
      <c r="H118" t="s">
        <v>32</v>
      </c>
      <c r="I118" t="s">
        <v>135</v>
      </c>
      <c r="J118" t="s">
        <v>33</v>
      </c>
      <c r="K118">
        <v>3.4</v>
      </c>
      <c r="L118" t="s">
        <v>23</v>
      </c>
      <c r="M118" t="s">
        <v>23</v>
      </c>
      <c r="N118">
        <v>12</v>
      </c>
      <c r="O118" t="s">
        <v>24</v>
      </c>
      <c r="P118" t="s">
        <v>43</v>
      </c>
    </row>
    <row r="119" spans="1:16" ht="14.5" x14ac:dyDescent="0.35">
      <c r="A119">
        <v>118</v>
      </c>
      <c r="B119">
        <v>50</v>
      </c>
      <c r="C119" t="s">
        <v>16</v>
      </c>
      <c r="D119" t="s">
        <v>36</v>
      </c>
      <c r="E119" t="s">
        <v>37</v>
      </c>
      <c r="F119">
        <v>32</v>
      </c>
      <c r="G119" t="s">
        <v>138</v>
      </c>
      <c r="H119" t="s">
        <v>20</v>
      </c>
      <c r="I119" t="s">
        <v>125</v>
      </c>
      <c r="J119" t="s">
        <v>47</v>
      </c>
      <c r="K119">
        <v>4.5999999999999996</v>
      </c>
      <c r="L119" t="s">
        <v>23</v>
      </c>
      <c r="M119" t="s">
        <v>23</v>
      </c>
      <c r="N119">
        <v>29</v>
      </c>
      <c r="O119" t="s">
        <v>29</v>
      </c>
      <c r="P119" t="s">
        <v>25</v>
      </c>
    </row>
    <row r="120" spans="1:16" ht="14.5" x14ac:dyDescent="0.35">
      <c r="A120">
        <v>119</v>
      </c>
      <c r="B120">
        <v>50</v>
      </c>
      <c r="C120" t="s">
        <v>16</v>
      </c>
      <c r="D120" t="s">
        <v>26</v>
      </c>
      <c r="E120" t="s">
        <v>18</v>
      </c>
      <c r="F120">
        <v>45</v>
      </c>
      <c r="G120" t="s">
        <v>19</v>
      </c>
      <c r="H120" t="s">
        <v>20</v>
      </c>
      <c r="I120" t="s">
        <v>112</v>
      </c>
      <c r="J120" t="s">
        <v>50</v>
      </c>
      <c r="K120">
        <v>4.8</v>
      </c>
      <c r="L120" t="s">
        <v>23</v>
      </c>
      <c r="M120" t="s">
        <v>23</v>
      </c>
      <c r="N120">
        <v>27</v>
      </c>
      <c r="O120" t="s">
        <v>29</v>
      </c>
      <c r="P120" t="s">
        <v>67</v>
      </c>
    </row>
    <row r="121" spans="1:16" ht="14.5" x14ac:dyDescent="0.35">
      <c r="A121">
        <v>120</v>
      </c>
      <c r="B121">
        <v>38</v>
      </c>
      <c r="C121" t="s">
        <v>16</v>
      </c>
      <c r="D121" t="s">
        <v>55</v>
      </c>
      <c r="E121" t="s">
        <v>56</v>
      </c>
      <c r="F121">
        <v>76</v>
      </c>
      <c r="G121" t="s">
        <v>45</v>
      </c>
      <c r="H121" t="s">
        <v>39</v>
      </c>
      <c r="I121" t="s">
        <v>112</v>
      </c>
      <c r="J121" t="s">
        <v>50</v>
      </c>
      <c r="K121">
        <v>4.3</v>
      </c>
      <c r="L121" t="s">
        <v>23</v>
      </c>
      <c r="M121" t="s">
        <v>23</v>
      </c>
      <c r="N121">
        <v>44</v>
      </c>
      <c r="O121" t="s">
        <v>29</v>
      </c>
      <c r="P121" t="s">
        <v>43</v>
      </c>
    </row>
    <row r="122" spans="1:16" ht="14.5" x14ac:dyDescent="0.35">
      <c r="A122">
        <v>121</v>
      </c>
      <c r="B122">
        <v>64</v>
      </c>
      <c r="C122" t="s">
        <v>16</v>
      </c>
      <c r="D122" t="s">
        <v>115</v>
      </c>
      <c r="E122" t="s">
        <v>60</v>
      </c>
      <c r="F122">
        <v>84</v>
      </c>
      <c r="G122" t="s">
        <v>57</v>
      </c>
      <c r="H122" t="s">
        <v>20</v>
      </c>
      <c r="I122" t="s">
        <v>99</v>
      </c>
      <c r="J122" t="s">
        <v>47</v>
      </c>
      <c r="K122">
        <v>4</v>
      </c>
      <c r="L122" t="s">
        <v>23</v>
      </c>
      <c r="M122" t="s">
        <v>23</v>
      </c>
      <c r="N122">
        <v>32</v>
      </c>
      <c r="O122" t="s">
        <v>66</v>
      </c>
      <c r="P122" t="s">
        <v>43</v>
      </c>
    </row>
    <row r="123" spans="1:16" ht="14.5" x14ac:dyDescent="0.35">
      <c r="A123">
        <v>122</v>
      </c>
      <c r="B123">
        <v>19</v>
      </c>
      <c r="C123" t="s">
        <v>16</v>
      </c>
      <c r="D123" t="s">
        <v>52</v>
      </c>
      <c r="E123" t="s">
        <v>18</v>
      </c>
      <c r="F123">
        <v>72</v>
      </c>
      <c r="G123" t="s">
        <v>132</v>
      </c>
      <c r="H123" t="s">
        <v>39</v>
      </c>
      <c r="I123" t="s">
        <v>69</v>
      </c>
      <c r="J123" t="s">
        <v>22</v>
      </c>
      <c r="K123">
        <v>4.2</v>
      </c>
      <c r="L123" t="s">
        <v>23</v>
      </c>
      <c r="M123" t="s">
        <v>23</v>
      </c>
      <c r="N123">
        <v>11</v>
      </c>
      <c r="O123" t="s">
        <v>29</v>
      </c>
      <c r="P123" t="s">
        <v>25</v>
      </c>
    </row>
    <row r="124" spans="1:16" ht="14.5" x14ac:dyDescent="0.35">
      <c r="A124">
        <v>123</v>
      </c>
      <c r="B124">
        <v>40</v>
      </c>
      <c r="C124" t="s">
        <v>16</v>
      </c>
      <c r="D124" t="s">
        <v>123</v>
      </c>
      <c r="E124" t="s">
        <v>60</v>
      </c>
      <c r="F124">
        <v>40</v>
      </c>
      <c r="G124" t="s">
        <v>140</v>
      </c>
      <c r="H124" t="s">
        <v>20</v>
      </c>
      <c r="I124" t="s">
        <v>101</v>
      </c>
      <c r="J124" t="s">
        <v>33</v>
      </c>
      <c r="K124">
        <v>4.8</v>
      </c>
      <c r="L124" t="s">
        <v>23</v>
      </c>
      <c r="M124" t="s">
        <v>23</v>
      </c>
      <c r="N124">
        <v>44</v>
      </c>
      <c r="O124" t="s">
        <v>29</v>
      </c>
      <c r="P124" t="s">
        <v>25</v>
      </c>
    </row>
    <row r="125" spans="1:16" ht="14.5" x14ac:dyDescent="0.35">
      <c r="A125">
        <v>124</v>
      </c>
      <c r="B125">
        <v>57</v>
      </c>
      <c r="C125" t="s">
        <v>16</v>
      </c>
      <c r="D125" t="s">
        <v>26</v>
      </c>
      <c r="E125" t="s">
        <v>18</v>
      </c>
      <c r="F125">
        <v>89</v>
      </c>
      <c r="G125" t="s">
        <v>53</v>
      </c>
      <c r="H125" t="s">
        <v>20</v>
      </c>
      <c r="I125" t="s">
        <v>101</v>
      </c>
      <c r="J125" t="s">
        <v>50</v>
      </c>
      <c r="K125">
        <v>3.1</v>
      </c>
      <c r="L125" t="s">
        <v>23</v>
      </c>
      <c r="M125" t="s">
        <v>23</v>
      </c>
      <c r="N125">
        <v>46</v>
      </c>
      <c r="O125" t="s">
        <v>29</v>
      </c>
      <c r="P125" t="s">
        <v>35</v>
      </c>
    </row>
    <row r="126" spans="1:16" ht="14.5" x14ac:dyDescent="0.35">
      <c r="A126">
        <v>125</v>
      </c>
      <c r="B126">
        <v>44</v>
      </c>
      <c r="C126" t="s">
        <v>16</v>
      </c>
      <c r="D126" t="s">
        <v>26</v>
      </c>
      <c r="E126" t="s">
        <v>18</v>
      </c>
      <c r="F126">
        <v>86</v>
      </c>
      <c r="G126" t="s">
        <v>98</v>
      </c>
      <c r="H126" t="s">
        <v>39</v>
      </c>
      <c r="I126" t="s">
        <v>21</v>
      </c>
      <c r="J126" t="s">
        <v>33</v>
      </c>
      <c r="K126">
        <v>3.1</v>
      </c>
      <c r="L126" t="s">
        <v>23</v>
      </c>
      <c r="M126" t="s">
        <v>23</v>
      </c>
      <c r="N126">
        <v>50</v>
      </c>
      <c r="O126" t="s">
        <v>40</v>
      </c>
      <c r="P126" t="s">
        <v>43</v>
      </c>
    </row>
    <row r="127" spans="1:16" ht="14.5" x14ac:dyDescent="0.35">
      <c r="A127">
        <v>126</v>
      </c>
      <c r="B127">
        <v>49</v>
      </c>
      <c r="C127" t="s">
        <v>16</v>
      </c>
      <c r="D127" t="s">
        <v>52</v>
      </c>
      <c r="E127" t="s">
        <v>18</v>
      </c>
      <c r="F127">
        <v>54</v>
      </c>
      <c r="G127" t="s">
        <v>90</v>
      </c>
      <c r="H127" t="s">
        <v>39</v>
      </c>
      <c r="I127" t="s">
        <v>117</v>
      </c>
      <c r="J127" t="s">
        <v>22</v>
      </c>
      <c r="K127">
        <v>3.6</v>
      </c>
      <c r="L127" t="s">
        <v>23</v>
      </c>
      <c r="M127" t="s">
        <v>23</v>
      </c>
      <c r="N127">
        <v>45</v>
      </c>
      <c r="O127" t="s">
        <v>24</v>
      </c>
      <c r="P127" t="s">
        <v>88</v>
      </c>
    </row>
    <row r="128" spans="1:16" ht="14.5" x14ac:dyDescent="0.35">
      <c r="A128">
        <v>127</v>
      </c>
      <c r="B128">
        <v>43</v>
      </c>
      <c r="C128" t="s">
        <v>16</v>
      </c>
      <c r="D128" t="s">
        <v>52</v>
      </c>
      <c r="E128" t="s">
        <v>18</v>
      </c>
      <c r="F128">
        <v>36</v>
      </c>
      <c r="G128" t="s">
        <v>82</v>
      </c>
      <c r="H128" t="s">
        <v>20</v>
      </c>
      <c r="I128" t="s">
        <v>62</v>
      </c>
      <c r="J128" t="s">
        <v>33</v>
      </c>
      <c r="K128">
        <v>3.9</v>
      </c>
      <c r="L128" t="s">
        <v>23</v>
      </c>
      <c r="M128" t="s">
        <v>23</v>
      </c>
      <c r="N128">
        <v>48</v>
      </c>
      <c r="O128" t="s">
        <v>29</v>
      </c>
      <c r="P128" t="s">
        <v>88</v>
      </c>
    </row>
    <row r="129" spans="1:16" ht="14.5" x14ac:dyDescent="0.35">
      <c r="A129">
        <v>128</v>
      </c>
      <c r="B129">
        <v>24</v>
      </c>
      <c r="C129" t="s">
        <v>16</v>
      </c>
      <c r="D129" t="s">
        <v>26</v>
      </c>
      <c r="E129" t="s">
        <v>18</v>
      </c>
      <c r="F129">
        <v>89</v>
      </c>
      <c r="G129" t="s">
        <v>82</v>
      </c>
      <c r="H129" t="s">
        <v>39</v>
      </c>
      <c r="I129" t="s">
        <v>21</v>
      </c>
      <c r="J129" t="s">
        <v>22</v>
      </c>
      <c r="K129">
        <v>4.8</v>
      </c>
      <c r="L129" t="s">
        <v>23</v>
      </c>
      <c r="M129" t="s">
        <v>23</v>
      </c>
      <c r="N129">
        <v>26</v>
      </c>
      <c r="O129" t="s">
        <v>34</v>
      </c>
      <c r="P129" t="s">
        <v>35</v>
      </c>
    </row>
    <row r="130" spans="1:16" ht="14.5" x14ac:dyDescent="0.35">
      <c r="A130">
        <v>129</v>
      </c>
      <c r="B130">
        <v>20</v>
      </c>
      <c r="C130" t="s">
        <v>16</v>
      </c>
      <c r="D130" t="s">
        <v>110</v>
      </c>
      <c r="E130" t="s">
        <v>60</v>
      </c>
      <c r="F130">
        <v>32</v>
      </c>
      <c r="G130" t="s">
        <v>90</v>
      </c>
      <c r="H130" t="s">
        <v>39</v>
      </c>
      <c r="I130" t="s">
        <v>71</v>
      </c>
      <c r="J130" t="s">
        <v>33</v>
      </c>
      <c r="K130">
        <v>4.7</v>
      </c>
      <c r="L130" t="s">
        <v>23</v>
      </c>
      <c r="M130" t="s">
        <v>23</v>
      </c>
      <c r="N130">
        <v>21</v>
      </c>
      <c r="O130" t="s">
        <v>34</v>
      </c>
      <c r="P130" t="s">
        <v>25</v>
      </c>
    </row>
    <row r="131" spans="1:16" ht="14.5" x14ac:dyDescent="0.35">
      <c r="A131">
        <v>130</v>
      </c>
      <c r="B131">
        <v>24</v>
      </c>
      <c r="C131" t="s">
        <v>16</v>
      </c>
      <c r="D131" t="s">
        <v>72</v>
      </c>
      <c r="E131" t="s">
        <v>18</v>
      </c>
      <c r="F131">
        <v>67</v>
      </c>
      <c r="G131" t="s">
        <v>129</v>
      </c>
      <c r="H131" t="s">
        <v>83</v>
      </c>
      <c r="I131" t="s">
        <v>69</v>
      </c>
      <c r="J131" t="s">
        <v>47</v>
      </c>
      <c r="K131">
        <v>4.2</v>
      </c>
      <c r="L131" t="s">
        <v>23</v>
      </c>
      <c r="M131" t="s">
        <v>23</v>
      </c>
      <c r="N131">
        <v>49</v>
      </c>
      <c r="O131" t="s">
        <v>40</v>
      </c>
      <c r="P131" t="s">
        <v>67</v>
      </c>
    </row>
    <row r="132" spans="1:16" ht="14.5" x14ac:dyDescent="0.35">
      <c r="A132">
        <v>131</v>
      </c>
      <c r="B132">
        <v>44</v>
      </c>
      <c r="C132" t="s">
        <v>16</v>
      </c>
      <c r="D132" t="s">
        <v>110</v>
      </c>
      <c r="E132" t="s">
        <v>60</v>
      </c>
      <c r="F132">
        <v>39</v>
      </c>
      <c r="G132" t="s">
        <v>19</v>
      </c>
      <c r="H132" t="s">
        <v>20</v>
      </c>
      <c r="I132" t="s">
        <v>74</v>
      </c>
      <c r="J132" t="s">
        <v>50</v>
      </c>
      <c r="K132">
        <v>3.7</v>
      </c>
      <c r="L132" t="s">
        <v>23</v>
      </c>
      <c r="M132" t="s">
        <v>23</v>
      </c>
      <c r="N132">
        <v>13</v>
      </c>
      <c r="O132" t="s">
        <v>40</v>
      </c>
      <c r="P132" t="s">
        <v>25</v>
      </c>
    </row>
    <row r="133" spans="1:16" ht="14.5" x14ac:dyDescent="0.35">
      <c r="A133">
        <v>132</v>
      </c>
      <c r="B133">
        <v>28</v>
      </c>
      <c r="C133" t="s">
        <v>16</v>
      </c>
      <c r="D133" t="s">
        <v>78</v>
      </c>
      <c r="E133" t="s">
        <v>18</v>
      </c>
      <c r="F133">
        <v>29</v>
      </c>
      <c r="G133" t="s">
        <v>27</v>
      </c>
      <c r="H133" t="s">
        <v>20</v>
      </c>
      <c r="I133" t="s">
        <v>117</v>
      </c>
      <c r="J133" t="s">
        <v>47</v>
      </c>
      <c r="K133">
        <v>3.9</v>
      </c>
      <c r="L133" t="s">
        <v>23</v>
      </c>
      <c r="M133" t="s">
        <v>23</v>
      </c>
      <c r="N133">
        <v>46</v>
      </c>
      <c r="O133" t="s">
        <v>34</v>
      </c>
      <c r="P133" t="s">
        <v>35</v>
      </c>
    </row>
    <row r="134" spans="1:16" ht="14.5" x14ac:dyDescent="0.35">
      <c r="A134">
        <v>133</v>
      </c>
      <c r="B134">
        <v>30</v>
      </c>
      <c r="C134" t="s">
        <v>16</v>
      </c>
      <c r="D134" t="s">
        <v>123</v>
      </c>
      <c r="E134" t="s">
        <v>60</v>
      </c>
      <c r="F134">
        <v>58</v>
      </c>
      <c r="G134" t="s">
        <v>121</v>
      </c>
      <c r="H134" t="s">
        <v>39</v>
      </c>
      <c r="I134" t="s">
        <v>112</v>
      </c>
      <c r="J134" t="s">
        <v>50</v>
      </c>
      <c r="K134">
        <v>4.7</v>
      </c>
      <c r="L134" t="s">
        <v>23</v>
      </c>
      <c r="M134" t="s">
        <v>23</v>
      </c>
      <c r="N134">
        <v>42</v>
      </c>
      <c r="O134" t="s">
        <v>40</v>
      </c>
      <c r="P134" t="s">
        <v>35</v>
      </c>
    </row>
    <row r="135" spans="1:16" ht="14.5" x14ac:dyDescent="0.35">
      <c r="A135">
        <v>134</v>
      </c>
      <c r="B135">
        <v>52</v>
      </c>
      <c r="C135" t="s">
        <v>16</v>
      </c>
      <c r="D135" t="s">
        <v>26</v>
      </c>
      <c r="E135" t="s">
        <v>18</v>
      </c>
      <c r="F135">
        <v>65</v>
      </c>
      <c r="G135" t="s">
        <v>49</v>
      </c>
      <c r="H135" t="s">
        <v>39</v>
      </c>
      <c r="I135" t="s">
        <v>74</v>
      </c>
      <c r="J135" t="s">
        <v>22</v>
      </c>
      <c r="K135">
        <v>2.5</v>
      </c>
      <c r="L135" t="s">
        <v>23</v>
      </c>
      <c r="M135" t="s">
        <v>23</v>
      </c>
      <c r="N135">
        <v>25</v>
      </c>
      <c r="O135" t="s">
        <v>24</v>
      </c>
      <c r="P135" t="s">
        <v>43</v>
      </c>
    </row>
    <row r="136" spans="1:16" ht="14.5" x14ac:dyDescent="0.35">
      <c r="A136">
        <v>135</v>
      </c>
      <c r="B136">
        <v>43</v>
      </c>
      <c r="C136" t="s">
        <v>16</v>
      </c>
      <c r="D136" t="s">
        <v>115</v>
      </c>
      <c r="E136" t="s">
        <v>60</v>
      </c>
      <c r="F136">
        <v>94</v>
      </c>
      <c r="G136" t="s">
        <v>96</v>
      </c>
      <c r="H136" t="s">
        <v>20</v>
      </c>
      <c r="I136" t="s">
        <v>21</v>
      </c>
      <c r="J136" t="s">
        <v>50</v>
      </c>
      <c r="K136">
        <v>4.9000000000000004</v>
      </c>
      <c r="L136" t="s">
        <v>23</v>
      </c>
      <c r="M136" t="s">
        <v>23</v>
      </c>
      <c r="N136">
        <v>25</v>
      </c>
      <c r="O136" t="s">
        <v>29</v>
      </c>
      <c r="P136" t="s">
        <v>79</v>
      </c>
    </row>
    <row r="137" spans="1:16" ht="14.5" x14ac:dyDescent="0.35">
      <c r="A137">
        <v>136</v>
      </c>
      <c r="B137">
        <v>43</v>
      </c>
      <c r="C137" t="s">
        <v>16</v>
      </c>
      <c r="D137" t="s">
        <v>36</v>
      </c>
      <c r="E137" t="s">
        <v>37</v>
      </c>
      <c r="F137">
        <v>81</v>
      </c>
      <c r="G137" t="s">
        <v>102</v>
      </c>
      <c r="H137" t="s">
        <v>39</v>
      </c>
      <c r="I137" t="s">
        <v>65</v>
      </c>
      <c r="J137" t="s">
        <v>50</v>
      </c>
      <c r="K137">
        <v>4.0999999999999996</v>
      </c>
      <c r="L137" t="s">
        <v>23</v>
      </c>
      <c r="M137" t="s">
        <v>23</v>
      </c>
      <c r="N137">
        <v>12</v>
      </c>
      <c r="O137" t="s">
        <v>40</v>
      </c>
      <c r="P137" t="s">
        <v>51</v>
      </c>
    </row>
    <row r="138" spans="1:16" ht="14.5" x14ac:dyDescent="0.35">
      <c r="A138">
        <v>137</v>
      </c>
      <c r="B138">
        <v>39</v>
      </c>
      <c r="C138" t="s">
        <v>16</v>
      </c>
      <c r="D138" t="s">
        <v>17</v>
      </c>
      <c r="E138" t="s">
        <v>18</v>
      </c>
      <c r="F138">
        <v>86</v>
      </c>
      <c r="G138" t="s">
        <v>122</v>
      </c>
      <c r="H138" t="s">
        <v>39</v>
      </c>
      <c r="I138" t="s">
        <v>46</v>
      </c>
      <c r="J138" t="s">
        <v>22</v>
      </c>
      <c r="K138">
        <v>3.3</v>
      </c>
      <c r="L138" t="s">
        <v>23</v>
      </c>
      <c r="M138" t="s">
        <v>23</v>
      </c>
      <c r="N138">
        <v>4</v>
      </c>
      <c r="O138" t="s">
        <v>77</v>
      </c>
      <c r="P138" t="s">
        <v>51</v>
      </c>
    </row>
    <row r="139" spans="1:16" ht="14.5" x14ac:dyDescent="0.35">
      <c r="A139">
        <v>138</v>
      </c>
      <c r="B139">
        <v>68</v>
      </c>
      <c r="C139" t="s">
        <v>16</v>
      </c>
      <c r="D139" t="s">
        <v>44</v>
      </c>
      <c r="E139" t="s">
        <v>37</v>
      </c>
      <c r="F139">
        <v>43</v>
      </c>
      <c r="G139" t="s">
        <v>103</v>
      </c>
      <c r="H139" t="s">
        <v>39</v>
      </c>
      <c r="I139" t="s">
        <v>42</v>
      </c>
      <c r="J139" t="s">
        <v>33</v>
      </c>
      <c r="K139">
        <v>4.7</v>
      </c>
      <c r="L139" t="s">
        <v>23</v>
      </c>
      <c r="M139" t="s">
        <v>23</v>
      </c>
      <c r="N139">
        <v>38</v>
      </c>
      <c r="O139" t="s">
        <v>40</v>
      </c>
      <c r="P139" t="s">
        <v>35</v>
      </c>
    </row>
    <row r="140" spans="1:16" ht="14.5" x14ac:dyDescent="0.35">
      <c r="A140">
        <v>139</v>
      </c>
      <c r="B140">
        <v>68</v>
      </c>
      <c r="C140" t="s">
        <v>16</v>
      </c>
      <c r="D140" t="s">
        <v>78</v>
      </c>
      <c r="E140" t="s">
        <v>18</v>
      </c>
      <c r="F140">
        <v>29</v>
      </c>
      <c r="G140" t="s">
        <v>133</v>
      </c>
      <c r="H140" t="s">
        <v>39</v>
      </c>
      <c r="I140" t="s">
        <v>28</v>
      </c>
      <c r="J140" t="s">
        <v>22</v>
      </c>
      <c r="K140">
        <v>4.4000000000000004</v>
      </c>
      <c r="L140" t="s">
        <v>23</v>
      </c>
      <c r="M140" t="s">
        <v>23</v>
      </c>
      <c r="N140">
        <v>42</v>
      </c>
      <c r="O140" t="s">
        <v>66</v>
      </c>
      <c r="P140" t="s">
        <v>35</v>
      </c>
    </row>
    <row r="141" spans="1:16" ht="14.5" x14ac:dyDescent="0.35">
      <c r="A141">
        <v>140</v>
      </c>
      <c r="B141">
        <v>49</v>
      </c>
      <c r="C141" t="s">
        <v>16</v>
      </c>
      <c r="D141" t="s">
        <v>55</v>
      </c>
      <c r="E141" t="s">
        <v>56</v>
      </c>
      <c r="F141">
        <v>95</v>
      </c>
      <c r="G141" t="s">
        <v>94</v>
      </c>
      <c r="H141" t="s">
        <v>39</v>
      </c>
      <c r="I141" t="s">
        <v>46</v>
      </c>
      <c r="J141" t="s">
        <v>50</v>
      </c>
      <c r="K141">
        <v>3.8</v>
      </c>
      <c r="L141" t="s">
        <v>23</v>
      </c>
      <c r="M141" t="s">
        <v>23</v>
      </c>
      <c r="N141">
        <v>30</v>
      </c>
      <c r="O141" t="s">
        <v>24</v>
      </c>
      <c r="P141" t="s">
        <v>43</v>
      </c>
    </row>
    <row r="142" spans="1:16" ht="14.5" x14ac:dyDescent="0.35">
      <c r="A142">
        <v>141</v>
      </c>
      <c r="B142">
        <v>63</v>
      </c>
      <c r="C142" t="s">
        <v>16</v>
      </c>
      <c r="D142" t="s">
        <v>48</v>
      </c>
      <c r="E142" t="s">
        <v>18</v>
      </c>
      <c r="F142">
        <v>28</v>
      </c>
      <c r="G142" t="s">
        <v>89</v>
      </c>
      <c r="H142" t="s">
        <v>20</v>
      </c>
      <c r="I142" t="s">
        <v>125</v>
      </c>
      <c r="J142" t="s">
        <v>50</v>
      </c>
      <c r="K142">
        <v>3.9</v>
      </c>
      <c r="L142" t="s">
        <v>23</v>
      </c>
      <c r="M142" t="s">
        <v>23</v>
      </c>
      <c r="N142">
        <v>50</v>
      </c>
      <c r="O142" t="s">
        <v>34</v>
      </c>
      <c r="P142" t="s">
        <v>35</v>
      </c>
    </row>
    <row r="143" spans="1:16" ht="14.5" x14ac:dyDescent="0.35">
      <c r="A143">
        <v>142</v>
      </c>
      <c r="B143">
        <v>56</v>
      </c>
      <c r="C143" t="s">
        <v>16</v>
      </c>
      <c r="D143" t="s">
        <v>134</v>
      </c>
      <c r="E143" t="s">
        <v>60</v>
      </c>
      <c r="F143">
        <v>46</v>
      </c>
      <c r="G143" t="s">
        <v>132</v>
      </c>
      <c r="H143" t="s">
        <v>39</v>
      </c>
      <c r="I143" t="s">
        <v>42</v>
      </c>
      <c r="J143" t="s">
        <v>50</v>
      </c>
      <c r="K143">
        <v>4.9000000000000004</v>
      </c>
      <c r="L143" t="s">
        <v>23</v>
      </c>
      <c r="M143" t="s">
        <v>23</v>
      </c>
      <c r="N143">
        <v>45</v>
      </c>
      <c r="O143" t="s">
        <v>40</v>
      </c>
      <c r="P143" t="s">
        <v>35</v>
      </c>
    </row>
    <row r="144" spans="1:16" ht="14.5" x14ac:dyDescent="0.35">
      <c r="A144">
        <v>143</v>
      </c>
      <c r="B144">
        <v>37</v>
      </c>
      <c r="C144" t="s">
        <v>16</v>
      </c>
      <c r="D144" t="s">
        <v>93</v>
      </c>
      <c r="E144" t="s">
        <v>56</v>
      </c>
      <c r="F144">
        <v>58</v>
      </c>
      <c r="G144" t="s">
        <v>136</v>
      </c>
      <c r="H144" t="s">
        <v>20</v>
      </c>
      <c r="I144" t="s">
        <v>74</v>
      </c>
      <c r="J144" t="s">
        <v>50</v>
      </c>
      <c r="K144">
        <v>3.1</v>
      </c>
      <c r="L144" t="s">
        <v>23</v>
      </c>
      <c r="M144" t="s">
        <v>23</v>
      </c>
      <c r="N144">
        <v>33</v>
      </c>
      <c r="O144" t="s">
        <v>34</v>
      </c>
      <c r="P144" t="s">
        <v>25</v>
      </c>
    </row>
    <row r="145" spans="1:16" ht="14.5" x14ac:dyDescent="0.35">
      <c r="A145">
        <v>144</v>
      </c>
      <c r="B145">
        <v>30</v>
      </c>
      <c r="C145" t="s">
        <v>16</v>
      </c>
      <c r="D145" t="s">
        <v>55</v>
      </c>
      <c r="E145" t="s">
        <v>56</v>
      </c>
      <c r="F145">
        <v>48</v>
      </c>
      <c r="G145" t="s">
        <v>61</v>
      </c>
      <c r="H145" t="s">
        <v>39</v>
      </c>
      <c r="I145" t="s">
        <v>109</v>
      </c>
      <c r="J145" t="s">
        <v>50</v>
      </c>
      <c r="K145">
        <v>2.7</v>
      </c>
      <c r="L145" t="s">
        <v>23</v>
      </c>
      <c r="M145" t="s">
        <v>23</v>
      </c>
      <c r="N145">
        <v>25</v>
      </c>
      <c r="O145" t="s">
        <v>40</v>
      </c>
      <c r="P145" t="s">
        <v>51</v>
      </c>
    </row>
    <row r="146" spans="1:16" ht="14.5" x14ac:dyDescent="0.35">
      <c r="A146">
        <v>145</v>
      </c>
      <c r="B146">
        <v>19</v>
      </c>
      <c r="C146" t="s">
        <v>16</v>
      </c>
      <c r="D146" t="s">
        <v>63</v>
      </c>
      <c r="E146" t="s">
        <v>37</v>
      </c>
      <c r="F146">
        <v>43</v>
      </c>
      <c r="G146" t="s">
        <v>118</v>
      </c>
      <c r="H146" t="s">
        <v>39</v>
      </c>
      <c r="I146" t="s">
        <v>58</v>
      </c>
      <c r="J146" t="s">
        <v>50</v>
      </c>
      <c r="K146">
        <v>3.2</v>
      </c>
      <c r="L146" t="s">
        <v>23</v>
      </c>
      <c r="M146" t="s">
        <v>23</v>
      </c>
      <c r="N146">
        <v>25</v>
      </c>
      <c r="O146" t="s">
        <v>29</v>
      </c>
      <c r="P146" t="s">
        <v>79</v>
      </c>
    </row>
    <row r="147" spans="1:16" ht="14.5" x14ac:dyDescent="0.35">
      <c r="A147">
        <v>146</v>
      </c>
      <c r="B147">
        <v>24</v>
      </c>
      <c r="C147" t="s">
        <v>16</v>
      </c>
      <c r="D147" t="s">
        <v>97</v>
      </c>
      <c r="E147" t="s">
        <v>60</v>
      </c>
      <c r="F147">
        <v>95</v>
      </c>
      <c r="G147" t="s">
        <v>61</v>
      </c>
      <c r="H147" t="s">
        <v>39</v>
      </c>
      <c r="I147" t="s">
        <v>76</v>
      </c>
      <c r="J147" t="s">
        <v>50</v>
      </c>
      <c r="K147">
        <v>4.5</v>
      </c>
      <c r="L147" t="s">
        <v>23</v>
      </c>
      <c r="M147" t="s">
        <v>23</v>
      </c>
      <c r="N147">
        <v>44</v>
      </c>
      <c r="O147" t="s">
        <v>77</v>
      </c>
      <c r="P147" t="s">
        <v>51</v>
      </c>
    </row>
    <row r="148" spans="1:16" ht="14.5" x14ac:dyDescent="0.35">
      <c r="A148">
        <v>147</v>
      </c>
      <c r="B148">
        <v>52</v>
      </c>
      <c r="C148" t="s">
        <v>16</v>
      </c>
      <c r="D148" t="s">
        <v>78</v>
      </c>
      <c r="E148" t="s">
        <v>18</v>
      </c>
      <c r="F148">
        <v>30</v>
      </c>
      <c r="G148" t="s">
        <v>103</v>
      </c>
      <c r="H148" t="s">
        <v>32</v>
      </c>
      <c r="I148" t="s">
        <v>85</v>
      </c>
      <c r="J148" t="s">
        <v>50</v>
      </c>
      <c r="K148">
        <v>4</v>
      </c>
      <c r="L148" t="s">
        <v>23</v>
      </c>
      <c r="M148" t="s">
        <v>23</v>
      </c>
      <c r="N148">
        <v>21</v>
      </c>
      <c r="O148" t="s">
        <v>24</v>
      </c>
      <c r="P148" t="s">
        <v>25</v>
      </c>
    </row>
    <row r="149" spans="1:16" ht="14.5" x14ac:dyDescent="0.35">
      <c r="A149">
        <v>148</v>
      </c>
      <c r="B149">
        <v>63</v>
      </c>
      <c r="C149" t="s">
        <v>16</v>
      </c>
      <c r="D149" t="s">
        <v>63</v>
      </c>
      <c r="E149" t="s">
        <v>37</v>
      </c>
      <c r="F149">
        <v>64</v>
      </c>
      <c r="G149" t="s">
        <v>126</v>
      </c>
      <c r="H149" t="s">
        <v>39</v>
      </c>
      <c r="I149" t="s">
        <v>65</v>
      </c>
      <c r="J149" t="s">
        <v>47</v>
      </c>
      <c r="K149">
        <v>3.5</v>
      </c>
      <c r="L149" t="s">
        <v>23</v>
      </c>
      <c r="M149" t="s">
        <v>23</v>
      </c>
      <c r="N149">
        <v>31</v>
      </c>
      <c r="O149" t="s">
        <v>66</v>
      </c>
      <c r="P149" t="s">
        <v>25</v>
      </c>
    </row>
    <row r="150" spans="1:16" ht="14.5" x14ac:dyDescent="0.35">
      <c r="A150">
        <v>149</v>
      </c>
      <c r="B150">
        <v>37</v>
      </c>
      <c r="C150" t="s">
        <v>16</v>
      </c>
      <c r="D150" t="s">
        <v>134</v>
      </c>
      <c r="E150" t="s">
        <v>60</v>
      </c>
      <c r="F150">
        <v>90</v>
      </c>
      <c r="G150" t="s">
        <v>45</v>
      </c>
      <c r="H150" t="s">
        <v>39</v>
      </c>
      <c r="I150" t="s">
        <v>21</v>
      </c>
      <c r="J150" t="s">
        <v>50</v>
      </c>
      <c r="K150">
        <v>2.6</v>
      </c>
      <c r="L150" t="s">
        <v>23</v>
      </c>
      <c r="M150" t="s">
        <v>23</v>
      </c>
      <c r="N150">
        <v>47</v>
      </c>
      <c r="O150" t="s">
        <v>77</v>
      </c>
      <c r="P150" t="s">
        <v>43</v>
      </c>
    </row>
    <row r="151" spans="1:16" ht="14.5" x14ac:dyDescent="0.35">
      <c r="A151">
        <v>150</v>
      </c>
      <c r="B151">
        <v>38</v>
      </c>
      <c r="C151" t="s">
        <v>16</v>
      </c>
      <c r="D151" t="s">
        <v>86</v>
      </c>
      <c r="E151" t="s">
        <v>18</v>
      </c>
      <c r="F151">
        <v>76</v>
      </c>
      <c r="G151" t="s">
        <v>70</v>
      </c>
      <c r="H151" t="s">
        <v>39</v>
      </c>
      <c r="I151" t="s">
        <v>46</v>
      </c>
      <c r="J151" t="s">
        <v>47</v>
      </c>
      <c r="K151">
        <v>3.2</v>
      </c>
      <c r="L151" t="s">
        <v>23</v>
      </c>
      <c r="M151" t="s">
        <v>23</v>
      </c>
      <c r="N151">
        <v>14</v>
      </c>
      <c r="O151" t="s">
        <v>40</v>
      </c>
      <c r="P151" t="s">
        <v>79</v>
      </c>
    </row>
    <row r="152" spans="1:16" ht="14.5" x14ac:dyDescent="0.35">
      <c r="A152">
        <v>151</v>
      </c>
      <c r="B152">
        <v>35</v>
      </c>
      <c r="C152" t="s">
        <v>16</v>
      </c>
      <c r="D152" t="s">
        <v>128</v>
      </c>
      <c r="E152" t="s">
        <v>37</v>
      </c>
      <c r="F152">
        <v>96</v>
      </c>
      <c r="G152" t="s">
        <v>90</v>
      </c>
      <c r="H152" t="s">
        <v>20</v>
      </c>
      <c r="I152" t="s">
        <v>100</v>
      </c>
      <c r="J152" t="s">
        <v>50</v>
      </c>
      <c r="K152">
        <v>4.9000000000000004</v>
      </c>
      <c r="L152" t="s">
        <v>23</v>
      </c>
      <c r="M152" t="s">
        <v>23</v>
      </c>
      <c r="N152">
        <v>17</v>
      </c>
      <c r="O152" t="s">
        <v>77</v>
      </c>
      <c r="P152" t="s">
        <v>88</v>
      </c>
    </row>
    <row r="153" spans="1:16" ht="14.5" x14ac:dyDescent="0.35">
      <c r="A153">
        <v>152</v>
      </c>
      <c r="B153">
        <v>28</v>
      </c>
      <c r="C153" t="s">
        <v>16</v>
      </c>
      <c r="D153" t="s">
        <v>80</v>
      </c>
      <c r="E153" t="s">
        <v>60</v>
      </c>
      <c r="F153">
        <v>47</v>
      </c>
      <c r="G153" t="s">
        <v>105</v>
      </c>
      <c r="H153" t="s">
        <v>20</v>
      </c>
      <c r="I153" t="s">
        <v>42</v>
      </c>
      <c r="J153" t="s">
        <v>50</v>
      </c>
      <c r="K153">
        <v>4.5</v>
      </c>
      <c r="L153" t="s">
        <v>23</v>
      </c>
      <c r="M153" t="s">
        <v>23</v>
      </c>
      <c r="N153">
        <v>3</v>
      </c>
      <c r="O153" t="s">
        <v>24</v>
      </c>
      <c r="P153" t="s">
        <v>43</v>
      </c>
    </row>
    <row r="154" spans="1:16" ht="14.5" x14ac:dyDescent="0.35">
      <c r="A154">
        <v>153</v>
      </c>
      <c r="B154">
        <v>30</v>
      </c>
      <c r="C154" t="s">
        <v>16</v>
      </c>
      <c r="D154" t="s">
        <v>48</v>
      </c>
      <c r="E154" t="s">
        <v>18</v>
      </c>
      <c r="F154">
        <v>85</v>
      </c>
      <c r="G154" t="s">
        <v>122</v>
      </c>
      <c r="H154" t="s">
        <v>32</v>
      </c>
      <c r="I154" t="s">
        <v>101</v>
      </c>
      <c r="J154" t="s">
        <v>47</v>
      </c>
      <c r="K154">
        <v>4.3</v>
      </c>
      <c r="L154" t="s">
        <v>23</v>
      </c>
      <c r="M154" t="s">
        <v>23</v>
      </c>
      <c r="N154">
        <v>42</v>
      </c>
      <c r="O154" t="s">
        <v>24</v>
      </c>
      <c r="P154" t="s">
        <v>43</v>
      </c>
    </row>
    <row r="155" spans="1:16" ht="14.5" x14ac:dyDescent="0.35">
      <c r="A155">
        <v>154</v>
      </c>
      <c r="B155">
        <v>69</v>
      </c>
      <c r="C155" t="s">
        <v>16</v>
      </c>
      <c r="D155" t="s">
        <v>95</v>
      </c>
      <c r="E155" t="s">
        <v>18</v>
      </c>
      <c r="F155">
        <v>55</v>
      </c>
      <c r="G155" t="s">
        <v>89</v>
      </c>
      <c r="H155" t="s">
        <v>39</v>
      </c>
      <c r="I155" t="s">
        <v>28</v>
      </c>
      <c r="J155" t="s">
        <v>22</v>
      </c>
      <c r="K155">
        <v>3.2</v>
      </c>
      <c r="L155" t="s">
        <v>23</v>
      </c>
      <c r="M155" t="s">
        <v>23</v>
      </c>
      <c r="N155">
        <v>22</v>
      </c>
      <c r="O155" t="s">
        <v>77</v>
      </c>
      <c r="P155" t="s">
        <v>43</v>
      </c>
    </row>
    <row r="156" spans="1:16" ht="14.5" x14ac:dyDescent="0.35">
      <c r="A156">
        <v>155</v>
      </c>
      <c r="B156">
        <v>41</v>
      </c>
      <c r="C156" t="s">
        <v>16</v>
      </c>
      <c r="D156" t="s">
        <v>72</v>
      </c>
      <c r="E156" t="s">
        <v>18</v>
      </c>
      <c r="F156">
        <v>98</v>
      </c>
      <c r="G156" t="s">
        <v>92</v>
      </c>
      <c r="H156" t="s">
        <v>39</v>
      </c>
      <c r="I156" t="s">
        <v>54</v>
      </c>
      <c r="J156" t="s">
        <v>50</v>
      </c>
      <c r="K156">
        <v>3.6</v>
      </c>
      <c r="L156" t="s">
        <v>23</v>
      </c>
      <c r="M156" t="s">
        <v>23</v>
      </c>
      <c r="N156">
        <v>21</v>
      </c>
      <c r="O156" t="s">
        <v>24</v>
      </c>
      <c r="P156" t="s">
        <v>51</v>
      </c>
    </row>
    <row r="157" spans="1:16" ht="14.5" x14ac:dyDescent="0.35">
      <c r="A157">
        <v>156</v>
      </c>
      <c r="B157">
        <v>63</v>
      </c>
      <c r="C157" t="s">
        <v>16</v>
      </c>
      <c r="D157" t="s">
        <v>116</v>
      </c>
      <c r="E157" t="s">
        <v>18</v>
      </c>
      <c r="F157">
        <v>77</v>
      </c>
      <c r="G157" t="s">
        <v>27</v>
      </c>
      <c r="H157" t="s">
        <v>32</v>
      </c>
      <c r="I157" t="s">
        <v>69</v>
      </c>
      <c r="J157" t="s">
        <v>33</v>
      </c>
      <c r="K157">
        <v>4.3</v>
      </c>
      <c r="L157" t="s">
        <v>23</v>
      </c>
      <c r="M157" t="s">
        <v>23</v>
      </c>
      <c r="N157">
        <v>21</v>
      </c>
      <c r="O157" t="s">
        <v>66</v>
      </c>
      <c r="P157" t="s">
        <v>51</v>
      </c>
    </row>
    <row r="158" spans="1:16" ht="14.5" x14ac:dyDescent="0.35">
      <c r="A158">
        <v>157</v>
      </c>
      <c r="B158">
        <v>35</v>
      </c>
      <c r="C158" t="s">
        <v>16</v>
      </c>
      <c r="D158" t="s">
        <v>52</v>
      </c>
      <c r="E158" t="s">
        <v>18</v>
      </c>
      <c r="F158">
        <v>26</v>
      </c>
      <c r="G158" t="s">
        <v>61</v>
      </c>
      <c r="H158" t="s">
        <v>39</v>
      </c>
      <c r="I158" t="s">
        <v>84</v>
      </c>
      <c r="J158" t="s">
        <v>50</v>
      </c>
      <c r="K158">
        <v>4</v>
      </c>
      <c r="L158" t="s">
        <v>23</v>
      </c>
      <c r="M158" t="s">
        <v>23</v>
      </c>
      <c r="N158">
        <v>40</v>
      </c>
      <c r="O158" t="s">
        <v>77</v>
      </c>
      <c r="P158" t="s">
        <v>43</v>
      </c>
    </row>
    <row r="159" spans="1:16" ht="14.5" x14ac:dyDescent="0.35">
      <c r="A159">
        <v>158</v>
      </c>
      <c r="B159">
        <v>36</v>
      </c>
      <c r="C159" t="s">
        <v>16</v>
      </c>
      <c r="D159" t="s">
        <v>115</v>
      </c>
      <c r="E159" t="s">
        <v>60</v>
      </c>
      <c r="F159">
        <v>68</v>
      </c>
      <c r="G159" t="s">
        <v>120</v>
      </c>
      <c r="H159" t="s">
        <v>32</v>
      </c>
      <c r="I159" t="s">
        <v>125</v>
      </c>
      <c r="J159" t="s">
        <v>50</v>
      </c>
      <c r="K159">
        <v>3</v>
      </c>
      <c r="L159" t="s">
        <v>23</v>
      </c>
      <c r="M159" t="s">
        <v>23</v>
      </c>
      <c r="N159">
        <v>1</v>
      </c>
      <c r="O159" t="s">
        <v>66</v>
      </c>
      <c r="P159" t="s">
        <v>25</v>
      </c>
    </row>
    <row r="160" spans="1:16" ht="14.5" x14ac:dyDescent="0.35">
      <c r="A160">
        <v>159</v>
      </c>
      <c r="B160">
        <v>25</v>
      </c>
      <c r="C160" t="s">
        <v>16</v>
      </c>
      <c r="D160" t="s">
        <v>48</v>
      </c>
      <c r="E160" t="s">
        <v>18</v>
      </c>
      <c r="F160">
        <v>73</v>
      </c>
      <c r="G160" t="s">
        <v>130</v>
      </c>
      <c r="H160" t="s">
        <v>83</v>
      </c>
      <c r="I160" t="s">
        <v>76</v>
      </c>
      <c r="J160" t="s">
        <v>50</v>
      </c>
      <c r="K160">
        <v>4.0999999999999996</v>
      </c>
      <c r="L160" t="s">
        <v>23</v>
      </c>
      <c r="M160" t="s">
        <v>23</v>
      </c>
      <c r="N160">
        <v>50</v>
      </c>
      <c r="O160" t="s">
        <v>66</v>
      </c>
      <c r="P160" t="s">
        <v>79</v>
      </c>
    </row>
    <row r="161" spans="1:16" ht="14.5" x14ac:dyDescent="0.35">
      <c r="A161">
        <v>160</v>
      </c>
      <c r="B161">
        <v>58</v>
      </c>
      <c r="C161" t="s">
        <v>16</v>
      </c>
      <c r="D161" t="s">
        <v>134</v>
      </c>
      <c r="E161" t="s">
        <v>60</v>
      </c>
      <c r="F161">
        <v>27</v>
      </c>
      <c r="G161" t="s">
        <v>73</v>
      </c>
      <c r="H161" t="s">
        <v>39</v>
      </c>
      <c r="I161" t="s">
        <v>54</v>
      </c>
      <c r="J161" t="s">
        <v>50</v>
      </c>
      <c r="K161">
        <v>3.8</v>
      </c>
      <c r="L161" t="s">
        <v>23</v>
      </c>
      <c r="M161" t="s">
        <v>23</v>
      </c>
      <c r="N161">
        <v>39</v>
      </c>
      <c r="O161" t="s">
        <v>66</v>
      </c>
      <c r="P161" t="s">
        <v>88</v>
      </c>
    </row>
    <row r="162" spans="1:16" ht="14.5" x14ac:dyDescent="0.35">
      <c r="A162">
        <v>161</v>
      </c>
      <c r="B162">
        <v>27</v>
      </c>
      <c r="C162" t="s">
        <v>16</v>
      </c>
      <c r="D162" t="s">
        <v>134</v>
      </c>
      <c r="E162" t="s">
        <v>60</v>
      </c>
      <c r="F162">
        <v>23</v>
      </c>
      <c r="G162" t="s">
        <v>96</v>
      </c>
      <c r="H162" t="s">
        <v>39</v>
      </c>
      <c r="I162" t="s">
        <v>112</v>
      </c>
      <c r="J162" t="s">
        <v>47</v>
      </c>
      <c r="K162">
        <v>4.5999999999999996</v>
      </c>
      <c r="L162" t="s">
        <v>23</v>
      </c>
      <c r="M162" t="s">
        <v>23</v>
      </c>
      <c r="N162">
        <v>34</v>
      </c>
      <c r="O162" t="s">
        <v>24</v>
      </c>
      <c r="P162" t="s">
        <v>79</v>
      </c>
    </row>
    <row r="163" spans="1:16" ht="14.5" x14ac:dyDescent="0.35">
      <c r="A163">
        <v>162</v>
      </c>
      <c r="B163">
        <v>65</v>
      </c>
      <c r="C163" t="s">
        <v>16</v>
      </c>
      <c r="D163" t="s">
        <v>123</v>
      </c>
      <c r="E163" t="s">
        <v>60</v>
      </c>
      <c r="F163">
        <v>49</v>
      </c>
      <c r="G163" t="s">
        <v>105</v>
      </c>
      <c r="H163" t="s">
        <v>39</v>
      </c>
      <c r="I163" t="s">
        <v>69</v>
      </c>
      <c r="J163" t="s">
        <v>50</v>
      </c>
      <c r="K163">
        <v>3</v>
      </c>
      <c r="L163" t="s">
        <v>23</v>
      </c>
      <c r="M163" t="s">
        <v>23</v>
      </c>
      <c r="N163">
        <v>29</v>
      </c>
      <c r="O163" t="s">
        <v>24</v>
      </c>
      <c r="P163" t="s">
        <v>25</v>
      </c>
    </row>
    <row r="164" spans="1:16" ht="14.5" x14ac:dyDescent="0.35">
      <c r="A164">
        <v>163</v>
      </c>
      <c r="B164">
        <v>54</v>
      </c>
      <c r="C164" t="s">
        <v>16</v>
      </c>
      <c r="D164" t="s">
        <v>80</v>
      </c>
      <c r="E164" t="s">
        <v>60</v>
      </c>
      <c r="F164">
        <v>74</v>
      </c>
      <c r="G164" t="s">
        <v>90</v>
      </c>
      <c r="H164" t="s">
        <v>39</v>
      </c>
      <c r="I164" t="s">
        <v>42</v>
      </c>
      <c r="J164" t="s">
        <v>47</v>
      </c>
      <c r="K164">
        <v>3</v>
      </c>
      <c r="L164" t="s">
        <v>23</v>
      </c>
      <c r="M164" t="s">
        <v>23</v>
      </c>
      <c r="N164">
        <v>31</v>
      </c>
      <c r="O164" t="s">
        <v>40</v>
      </c>
      <c r="P164" t="s">
        <v>67</v>
      </c>
    </row>
    <row r="165" spans="1:16" ht="14.5" x14ac:dyDescent="0.35">
      <c r="A165">
        <v>164</v>
      </c>
      <c r="B165">
        <v>54</v>
      </c>
      <c r="C165" t="s">
        <v>16</v>
      </c>
      <c r="D165" t="s">
        <v>78</v>
      </c>
      <c r="E165" t="s">
        <v>18</v>
      </c>
      <c r="F165">
        <v>67</v>
      </c>
      <c r="G165" t="s">
        <v>132</v>
      </c>
      <c r="H165" t="s">
        <v>39</v>
      </c>
      <c r="I165" t="s">
        <v>65</v>
      </c>
      <c r="J165" t="s">
        <v>47</v>
      </c>
      <c r="K165">
        <v>3.4</v>
      </c>
      <c r="L165" t="s">
        <v>23</v>
      </c>
      <c r="M165" t="s">
        <v>23</v>
      </c>
      <c r="N165">
        <v>8</v>
      </c>
      <c r="O165" t="s">
        <v>77</v>
      </c>
      <c r="P165" t="s">
        <v>35</v>
      </c>
    </row>
    <row r="166" spans="1:16" ht="14.5" x14ac:dyDescent="0.35">
      <c r="A166">
        <v>165</v>
      </c>
      <c r="B166">
        <v>59</v>
      </c>
      <c r="C166" t="s">
        <v>16</v>
      </c>
      <c r="D166" t="s">
        <v>59</v>
      </c>
      <c r="E166" t="s">
        <v>60</v>
      </c>
      <c r="F166">
        <v>65</v>
      </c>
      <c r="G166" t="s">
        <v>70</v>
      </c>
      <c r="H166" t="s">
        <v>32</v>
      </c>
      <c r="I166" t="s">
        <v>65</v>
      </c>
      <c r="J166" t="s">
        <v>33</v>
      </c>
      <c r="K166">
        <v>2.6</v>
      </c>
      <c r="L166" t="s">
        <v>23</v>
      </c>
      <c r="M166" t="s">
        <v>23</v>
      </c>
      <c r="N166">
        <v>5</v>
      </c>
      <c r="O166" t="s">
        <v>34</v>
      </c>
      <c r="P166" t="s">
        <v>25</v>
      </c>
    </row>
    <row r="167" spans="1:16" ht="14.5" x14ac:dyDescent="0.35">
      <c r="A167">
        <v>166</v>
      </c>
      <c r="B167">
        <v>42</v>
      </c>
      <c r="C167" t="s">
        <v>16</v>
      </c>
      <c r="D167" t="s">
        <v>59</v>
      </c>
      <c r="E167" t="s">
        <v>60</v>
      </c>
      <c r="F167">
        <v>60</v>
      </c>
      <c r="G167" t="s">
        <v>19</v>
      </c>
      <c r="H167" t="s">
        <v>32</v>
      </c>
      <c r="I167" t="s">
        <v>125</v>
      </c>
      <c r="J167" t="s">
        <v>22</v>
      </c>
      <c r="K167">
        <v>2.8</v>
      </c>
      <c r="L167" t="s">
        <v>23</v>
      </c>
      <c r="M167" t="s">
        <v>23</v>
      </c>
      <c r="N167">
        <v>7</v>
      </c>
      <c r="O167" t="s">
        <v>29</v>
      </c>
      <c r="P167" t="s">
        <v>79</v>
      </c>
    </row>
    <row r="168" spans="1:16" ht="14.5" x14ac:dyDescent="0.35">
      <c r="A168">
        <v>167</v>
      </c>
      <c r="B168">
        <v>46</v>
      </c>
      <c r="C168" t="s">
        <v>16</v>
      </c>
      <c r="D168" t="s">
        <v>44</v>
      </c>
      <c r="E168" t="s">
        <v>37</v>
      </c>
      <c r="F168">
        <v>31</v>
      </c>
      <c r="G168" t="s">
        <v>70</v>
      </c>
      <c r="H168" t="s">
        <v>83</v>
      </c>
      <c r="I168" t="s">
        <v>117</v>
      </c>
      <c r="J168" t="s">
        <v>50</v>
      </c>
      <c r="K168">
        <v>4</v>
      </c>
      <c r="L168" t="s">
        <v>23</v>
      </c>
      <c r="M168" t="s">
        <v>23</v>
      </c>
      <c r="N168">
        <v>30</v>
      </c>
      <c r="O168" t="s">
        <v>29</v>
      </c>
      <c r="P168" t="s">
        <v>79</v>
      </c>
    </row>
    <row r="169" spans="1:16" ht="14.5" x14ac:dyDescent="0.35">
      <c r="A169">
        <v>168</v>
      </c>
      <c r="B169">
        <v>33</v>
      </c>
      <c r="C169" t="s">
        <v>16</v>
      </c>
      <c r="D169" t="s">
        <v>134</v>
      </c>
      <c r="E169" t="s">
        <v>60</v>
      </c>
      <c r="F169">
        <v>27</v>
      </c>
      <c r="G169" t="s">
        <v>64</v>
      </c>
      <c r="H169" t="s">
        <v>39</v>
      </c>
      <c r="I169" t="s">
        <v>87</v>
      </c>
      <c r="J169" t="s">
        <v>50</v>
      </c>
      <c r="K169">
        <v>4</v>
      </c>
      <c r="L169" t="s">
        <v>23</v>
      </c>
      <c r="M169" t="s">
        <v>23</v>
      </c>
      <c r="N169">
        <v>14</v>
      </c>
      <c r="O169" t="s">
        <v>34</v>
      </c>
      <c r="P169" t="s">
        <v>88</v>
      </c>
    </row>
    <row r="170" spans="1:16" ht="14.5" x14ac:dyDescent="0.35">
      <c r="A170">
        <v>169</v>
      </c>
      <c r="B170">
        <v>34</v>
      </c>
      <c r="C170" t="s">
        <v>16</v>
      </c>
      <c r="D170" t="s">
        <v>63</v>
      </c>
      <c r="E170" t="s">
        <v>37</v>
      </c>
      <c r="F170">
        <v>80</v>
      </c>
      <c r="G170" t="s">
        <v>53</v>
      </c>
      <c r="H170" t="s">
        <v>39</v>
      </c>
      <c r="I170" t="s">
        <v>127</v>
      </c>
      <c r="J170" t="s">
        <v>47</v>
      </c>
      <c r="K170">
        <v>3</v>
      </c>
      <c r="L170" t="s">
        <v>23</v>
      </c>
      <c r="M170" t="s">
        <v>23</v>
      </c>
      <c r="N170">
        <v>5</v>
      </c>
      <c r="O170" t="s">
        <v>29</v>
      </c>
      <c r="P170" t="s">
        <v>25</v>
      </c>
    </row>
    <row r="171" spans="1:16" ht="14.5" x14ac:dyDescent="0.35">
      <c r="A171">
        <v>170</v>
      </c>
      <c r="B171">
        <v>27</v>
      </c>
      <c r="C171" t="s">
        <v>16</v>
      </c>
      <c r="D171" t="s">
        <v>93</v>
      </c>
      <c r="E171" t="s">
        <v>56</v>
      </c>
      <c r="F171">
        <v>30</v>
      </c>
      <c r="G171" t="s">
        <v>98</v>
      </c>
      <c r="H171" t="s">
        <v>32</v>
      </c>
      <c r="I171" t="s">
        <v>71</v>
      </c>
      <c r="J171" t="s">
        <v>47</v>
      </c>
      <c r="K171">
        <v>3.3</v>
      </c>
      <c r="L171" t="s">
        <v>23</v>
      </c>
      <c r="M171" t="s">
        <v>23</v>
      </c>
      <c r="N171">
        <v>3</v>
      </c>
      <c r="O171" t="s">
        <v>40</v>
      </c>
      <c r="P171" t="s">
        <v>88</v>
      </c>
    </row>
    <row r="172" spans="1:16" ht="14.5" x14ac:dyDescent="0.35">
      <c r="A172">
        <v>171</v>
      </c>
      <c r="B172">
        <v>52</v>
      </c>
      <c r="C172" t="s">
        <v>16</v>
      </c>
      <c r="D172" t="s">
        <v>48</v>
      </c>
      <c r="E172" t="s">
        <v>18</v>
      </c>
      <c r="F172">
        <v>25</v>
      </c>
      <c r="G172" t="s">
        <v>45</v>
      </c>
      <c r="H172" t="s">
        <v>39</v>
      </c>
      <c r="I172" t="s">
        <v>28</v>
      </c>
      <c r="J172" t="s">
        <v>50</v>
      </c>
      <c r="K172">
        <v>2.6</v>
      </c>
      <c r="L172" t="s">
        <v>23</v>
      </c>
      <c r="M172" t="s">
        <v>23</v>
      </c>
      <c r="N172">
        <v>46</v>
      </c>
      <c r="O172" t="s">
        <v>24</v>
      </c>
      <c r="P172" t="s">
        <v>67</v>
      </c>
    </row>
    <row r="173" spans="1:16" ht="14.5" x14ac:dyDescent="0.35">
      <c r="A173">
        <v>172</v>
      </c>
      <c r="B173">
        <v>29</v>
      </c>
      <c r="C173" t="s">
        <v>16</v>
      </c>
      <c r="D173" t="s">
        <v>52</v>
      </c>
      <c r="E173" t="s">
        <v>18</v>
      </c>
      <c r="F173">
        <v>35</v>
      </c>
      <c r="G173" t="s">
        <v>132</v>
      </c>
      <c r="H173" t="s">
        <v>39</v>
      </c>
      <c r="I173" t="s">
        <v>135</v>
      </c>
      <c r="J173" t="s">
        <v>47</v>
      </c>
      <c r="K173">
        <v>3.6</v>
      </c>
      <c r="L173" t="s">
        <v>23</v>
      </c>
      <c r="M173" t="s">
        <v>23</v>
      </c>
      <c r="N173">
        <v>4</v>
      </c>
      <c r="O173" t="s">
        <v>34</v>
      </c>
      <c r="P173" t="s">
        <v>35</v>
      </c>
    </row>
    <row r="174" spans="1:16" ht="14.5" x14ac:dyDescent="0.35">
      <c r="A174">
        <v>173</v>
      </c>
      <c r="B174">
        <v>54</v>
      </c>
      <c r="C174" t="s">
        <v>16</v>
      </c>
      <c r="D174" t="s">
        <v>97</v>
      </c>
      <c r="E174" t="s">
        <v>60</v>
      </c>
      <c r="F174">
        <v>67</v>
      </c>
      <c r="G174" t="s">
        <v>136</v>
      </c>
      <c r="H174" t="s">
        <v>39</v>
      </c>
      <c r="I174" t="s">
        <v>74</v>
      </c>
      <c r="J174" t="s">
        <v>47</v>
      </c>
      <c r="K174">
        <v>3.9</v>
      </c>
      <c r="L174" t="s">
        <v>23</v>
      </c>
      <c r="M174" t="s">
        <v>23</v>
      </c>
      <c r="N174">
        <v>42</v>
      </c>
      <c r="O174" t="s">
        <v>34</v>
      </c>
      <c r="P174" t="s">
        <v>67</v>
      </c>
    </row>
    <row r="175" spans="1:16" ht="14.5" x14ac:dyDescent="0.35">
      <c r="A175">
        <v>174</v>
      </c>
      <c r="B175">
        <v>25</v>
      </c>
      <c r="C175" t="s">
        <v>16</v>
      </c>
      <c r="D175" t="s">
        <v>115</v>
      </c>
      <c r="E175" t="s">
        <v>60</v>
      </c>
      <c r="F175">
        <v>46</v>
      </c>
      <c r="G175" t="s">
        <v>68</v>
      </c>
      <c r="H175" t="s">
        <v>39</v>
      </c>
      <c r="I175" t="s">
        <v>42</v>
      </c>
      <c r="J175" t="s">
        <v>50</v>
      </c>
      <c r="K175">
        <v>3.1</v>
      </c>
      <c r="L175" t="s">
        <v>23</v>
      </c>
      <c r="M175" t="s">
        <v>23</v>
      </c>
      <c r="N175">
        <v>30</v>
      </c>
      <c r="O175" t="s">
        <v>29</v>
      </c>
      <c r="P175" t="s">
        <v>43</v>
      </c>
    </row>
    <row r="176" spans="1:16" ht="14.5" x14ac:dyDescent="0.35">
      <c r="A176">
        <v>175</v>
      </c>
      <c r="B176">
        <v>41</v>
      </c>
      <c r="C176" t="s">
        <v>16</v>
      </c>
      <c r="D176" t="s">
        <v>63</v>
      </c>
      <c r="E176" t="s">
        <v>37</v>
      </c>
      <c r="F176">
        <v>35</v>
      </c>
      <c r="G176" t="s">
        <v>120</v>
      </c>
      <c r="H176" t="s">
        <v>20</v>
      </c>
      <c r="I176" t="s">
        <v>101</v>
      </c>
      <c r="J176" t="s">
        <v>22</v>
      </c>
      <c r="K176">
        <v>3.5</v>
      </c>
      <c r="L176" t="s">
        <v>23</v>
      </c>
      <c r="M176" t="s">
        <v>23</v>
      </c>
      <c r="N176">
        <v>37</v>
      </c>
      <c r="O176" t="s">
        <v>24</v>
      </c>
      <c r="P176" t="s">
        <v>43</v>
      </c>
    </row>
    <row r="177" spans="1:16" ht="14.5" x14ac:dyDescent="0.35">
      <c r="A177">
        <v>176</v>
      </c>
      <c r="B177">
        <v>53</v>
      </c>
      <c r="C177" t="s">
        <v>16</v>
      </c>
      <c r="D177" t="s">
        <v>55</v>
      </c>
      <c r="E177" t="s">
        <v>56</v>
      </c>
      <c r="F177">
        <v>86</v>
      </c>
      <c r="G177" t="s">
        <v>92</v>
      </c>
      <c r="H177" t="s">
        <v>20</v>
      </c>
      <c r="I177" t="s">
        <v>74</v>
      </c>
      <c r="J177" t="s">
        <v>50</v>
      </c>
      <c r="K177">
        <v>2.8</v>
      </c>
      <c r="L177" t="s">
        <v>23</v>
      </c>
      <c r="M177" t="s">
        <v>23</v>
      </c>
      <c r="N177">
        <v>2</v>
      </c>
      <c r="O177" t="s">
        <v>66</v>
      </c>
      <c r="P177" t="s">
        <v>43</v>
      </c>
    </row>
    <row r="178" spans="1:16" ht="14.5" x14ac:dyDescent="0.35">
      <c r="A178">
        <v>177</v>
      </c>
      <c r="B178">
        <v>53</v>
      </c>
      <c r="C178" t="s">
        <v>16</v>
      </c>
      <c r="D178" t="s">
        <v>123</v>
      </c>
      <c r="E178" t="s">
        <v>60</v>
      </c>
      <c r="F178">
        <v>81</v>
      </c>
      <c r="G178" t="s">
        <v>73</v>
      </c>
      <c r="H178" t="s">
        <v>20</v>
      </c>
      <c r="I178" t="s">
        <v>85</v>
      </c>
      <c r="J178" t="s">
        <v>33</v>
      </c>
      <c r="K178">
        <v>2.7</v>
      </c>
      <c r="L178" t="s">
        <v>23</v>
      </c>
      <c r="M178" t="s">
        <v>23</v>
      </c>
      <c r="N178">
        <v>30</v>
      </c>
      <c r="O178" t="s">
        <v>34</v>
      </c>
      <c r="P178" t="s">
        <v>51</v>
      </c>
    </row>
    <row r="179" spans="1:16" ht="14.5" x14ac:dyDescent="0.35">
      <c r="A179">
        <v>178</v>
      </c>
      <c r="B179">
        <v>21</v>
      </c>
      <c r="C179" t="s">
        <v>16</v>
      </c>
      <c r="D179" t="s">
        <v>95</v>
      </c>
      <c r="E179" t="s">
        <v>18</v>
      </c>
      <c r="F179">
        <v>42</v>
      </c>
      <c r="G179" t="s">
        <v>102</v>
      </c>
      <c r="H179" t="s">
        <v>20</v>
      </c>
      <c r="I179" t="s">
        <v>127</v>
      </c>
      <c r="J179" t="s">
        <v>50</v>
      </c>
      <c r="K179">
        <v>3.7</v>
      </c>
      <c r="L179" t="s">
        <v>23</v>
      </c>
      <c r="M179" t="s">
        <v>23</v>
      </c>
      <c r="N179">
        <v>47</v>
      </c>
      <c r="O179" t="s">
        <v>66</v>
      </c>
      <c r="P179" t="s">
        <v>79</v>
      </c>
    </row>
    <row r="180" spans="1:16" ht="14.5" x14ac:dyDescent="0.35">
      <c r="A180">
        <v>179</v>
      </c>
      <c r="B180">
        <v>61</v>
      </c>
      <c r="C180" t="s">
        <v>16</v>
      </c>
      <c r="D180" t="s">
        <v>78</v>
      </c>
      <c r="E180" t="s">
        <v>18</v>
      </c>
      <c r="F180">
        <v>43</v>
      </c>
      <c r="G180" t="s">
        <v>126</v>
      </c>
      <c r="H180" t="s">
        <v>20</v>
      </c>
      <c r="I180" t="s">
        <v>84</v>
      </c>
      <c r="J180" t="s">
        <v>50</v>
      </c>
      <c r="K180">
        <v>4.3</v>
      </c>
      <c r="L180" t="s">
        <v>23</v>
      </c>
      <c r="M180" t="s">
        <v>23</v>
      </c>
      <c r="N180">
        <v>21</v>
      </c>
      <c r="O180" t="s">
        <v>40</v>
      </c>
      <c r="P180" t="s">
        <v>51</v>
      </c>
    </row>
    <row r="181" spans="1:16" ht="14.5" x14ac:dyDescent="0.35">
      <c r="A181">
        <v>180</v>
      </c>
      <c r="B181">
        <v>64</v>
      </c>
      <c r="C181" t="s">
        <v>16</v>
      </c>
      <c r="D181" t="s">
        <v>128</v>
      </c>
      <c r="E181" t="s">
        <v>37</v>
      </c>
      <c r="F181">
        <v>31</v>
      </c>
      <c r="G181" t="s">
        <v>106</v>
      </c>
      <c r="H181" t="s">
        <v>39</v>
      </c>
      <c r="I181" t="s">
        <v>74</v>
      </c>
      <c r="J181" t="s">
        <v>50</v>
      </c>
      <c r="K181">
        <v>4.9000000000000004</v>
      </c>
      <c r="L181" t="s">
        <v>23</v>
      </c>
      <c r="M181" t="s">
        <v>23</v>
      </c>
      <c r="N181">
        <v>9</v>
      </c>
      <c r="O181" t="s">
        <v>66</v>
      </c>
      <c r="P181" t="s">
        <v>25</v>
      </c>
    </row>
    <row r="182" spans="1:16" ht="14.5" x14ac:dyDescent="0.35">
      <c r="A182">
        <v>181</v>
      </c>
      <c r="B182">
        <v>51</v>
      </c>
      <c r="C182" t="s">
        <v>16</v>
      </c>
      <c r="D182" t="s">
        <v>36</v>
      </c>
      <c r="E182" t="s">
        <v>37</v>
      </c>
      <c r="F182">
        <v>81</v>
      </c>
      <c r="G182" t="s">
        <v>138</v>
      </c>
      <c r="H182" t="s">
        <v>20</v>
      </c>
      <c r="I182" t="s">
        <v>87</v>
      </c>
      <c r="J182" t="s">
        <v>50</v>
      </c>
      <c r="K182">
        <v>3.3</v>
      </c>
      <c r="L182" t="s">
        <v>23</v>
      </c>
      <c r="M182" t="s">
        <v>23</v>
      </c>
      <c r="N182">
        <v>12</v>
      </c>
      <c r="O182" t="s">
        <v>77</v>
      </c>
      <c r="P182" t="s">
        <v>25</v>
      </c>
    </row>
    <row r="183" spans="1:16" ht="14.5" x14ac:dyDescent="0.35">
      <c r="A183">
        <v>182</v>
      </c>
      <c r="B183">
        <v>32</v>
      </c>
      <c r="C183" t="s">
        <v>16</v>
      </c>
      <c r="D183" t="s">
        <v>86</v>
      </c>
      <c r="E183" t="s">
        <v>18</v>
      </c>
      <c r="F183">
        <v>61</v>
      </c>
      <c r="G183" t="s">
        <v>31</v>
      </c>
      <c r="H183" t="s">
        <v>39</v>
      </c>
      <c r="I183" t="s">
        <v>109</v>
      </c>
      <c r="J183" t="s">
        <v>47</v>
      </c>
      <c r="K183">
        <v>4.7</v>
      </c>
      <c r="L183" t="s">
        <v>23</v>
      </c>
      <c r="M183" t="s">
        <v>23</v>
      </c>
      <c r="N183">
        <v>4</v>
      </c>
      <c r="O183" t="s">
        <v>66</v>
      </c>
      <c r="P183" t="s">
        <v>35</v>
      </c>
    </row>
    <row r="184" spans="1:16" ht="14.5" x14ac:dyDescent="0.35">
      <c r="A184">
        <v>183</v>
      </c>
      <c r="B184">
        <v>38</v>
      </c>
      <c r="C184" t="s">
        <v>16</v>
      </c>
      <c r="D184" t="s">
        <v>134</v>
      </c>
      <c r="E184" t="s">
        <v>60</v>
      </c>
      <c r="F184">
        <v>96</v>
      </c>
      <c r="G184" t="s">
        <v>81</v>
      </c>
      <c r="H184" t="s">
        <v>83</v>
      </c>
      <c r="I184" t="s">
        <v>65</v>
      </c>
      <c r="J184" t="s">
        <v>47</v>
      </c>
      <c r="K184">
        <v>2.8</v>
      </c>
      <c r="L184" t="s">
        <v>23</v>
      </c>
      <c r="M184" t="s">
        <v>23</v>
      </c>
      <c r="N184">
        <v>10</v>
      </c>
      <c r="O184" t="s">
        <v>77</v>
      </c>
      <c r="P184" t="s">
        <v>43</v>
      </c>
    </row>
    <row r="185" spans="1:16" ht="14.5" x14ac:dyDescent="0.35">
      <c r="A185">
        <v>184</v>
      </c>
      <c r="B185">
        <v>58</v>
      </c>
      <c r="C185" t="s">
        <v>16</v>
      </c>
      <c r="D185" t="s">
        <v>78</v>
      </c>
      <c r="E185" t="s">
        <v>18</v>
      </c>
      <c r="F185">
        <v>29</v>
      </c>
      <c r="G185" t="s">
        <v>114</v>
      </c>
      <c r="H185" t="s">
        <v>83</v>
      </c>
      <c r="I185" t="s">
        <v>109</v>
      </c>
      <c r="J185" t="s">
        <v>33</v>
      </c>
      <c r="K185">
        <v>3.6</v>
      </c>
      <c r="L185" t="s">
        <v>23</v>
      </c>
      <c r="M185" t="s">
        <v>23</v>
      </c>
      <c r="N185">
        <v>26</v>
      </c>
      <c r="O185" t="s">
        <v>34</v>
      </c>
      <c r="P185" t="s">
        <v>35</v>
      </c>
    </row>
    <row r="186" spans="1:16" ht="14.5" x14ac:dyDescent="0.35">
      <c r="A186">
        <v>185</v>
      </c>
      <c r="B186">
        <v>32</v>
      </c>
      <c r="C186" t="s">
        <v>16</v>
      </c>
      <c r="D186" t="s">
        <v>44</v>
      </c>
      <c r="E186" t="s">
        <v>37</v>
      </c>
      <c r="F186">
        <v>33</v>
      </c>
      <c r="G186" t="s">
        <v>68</v>
      </c>
      <c r="H186" t="s">
        <v>20</v>
      </c>
      <c r="I186" t="s">
        <v>100</v>
      </c>
      <c r="J186" t="s">
        <v>33</v>
      </c>
      <c r="K186">
        <v>3</v>
      </c>
      <c r="L186" t="s">
        <v>23</v>
      </c>
      <c r="M186" t="s">
        <v>23</v>
      </c>
      <c r="N186">
        <v>40</v>
      </c>
      <c r="O186" t="s">
        <v>29</v>
      </c>
      <c r="P186" t="s">
        <v>25</v>
      </c>
    </row>
    <row r="187" spans="1:16" ht="14.5" x14ac:dyDescent="0.35">
      <c r="A187">
        <v>186</v>
      </c>
      <c r="B187">
        <v>46</v>
      </c>
      <c r="C187" t="s">
        <v>16</v>
      </c>
      <c r="D187" t="s">
        <v>104</v>
      </c>
      <c r="E187" t="s">
        <v>18</v>
      </c>
      <c r="F187">
        <v>32</v>
      </c>
      <c r="G187" t="s">
        <v>141</v>
      </c>
      <c r="H187" t="s">
        <v>83</v>
      </c>
      <c r="I187" t="s">
        <v>58</v>
      </c>
      <c r="J187" t="s">
        <v>47</v>
      </c>
      <c r="K187">
        <v>4.5</v>
      </c>
      <c r="L187" t="s">
        <v>23</v>
      </c>
      <c r="M187" t="s">
        <v>23</v>
      </c>
      <c r="N187">
        <v>34</v>
      </c>
      <c r="O187" t="s">
        <v>66</v>
      </c>
      <c r="P187" t="s">
        <v>25</v>
      </c>
    </row>
    <row r="188" spans="1:16" ht="14.5" x14ac:dyDescent="0.35">
      <c r="A188">
        <v>187</v>
      </c>
      <c r="B188">
        <v>39</v>
      </c>
      <c r="C188" t="s">
        <v>16</v>
      </c>
      <c r="D188" t="s">
        <v>123</v>
      </c>
      <c r="E188" t="s">
        <v>60</v>
      </c>
      <c r="F188">
        <v>56</v>
      </c>
      <c r="G188" t="s">
        <v>139</v>
      </c>
      <c r="H188" t="s">
        <v>32</v>
      </c>
      <c r="I188" t="s">
        <v>84</v>
      </c>
      <c r="J188" t="s">
        <v>47</v>
      </c>
      <c r="K188">
        <v>2.9</v>
      </c>
      <c r="L188" t="s">
        <v>23</v>
      </c>
      <c r="M188" t="s">
        <v>23</v>
      </c>
      <c r="N188">
        <v>31</v>
      </c>
      <c r="O188" t="s">
        <v>77</v>
      </c>
      <c r="P188" t="s">
        <v>43</v>
      </c>
    </row>
    <row r="189" spans="1:16" ht="14.5" x14ac:dyDescent="0.35">
      <c r="A189">
        <v>188</v>
      </c>
      <c r="B189">
        <v>19</v>
      </c>
      <c r="C189" t="s">
        <v>16</v>
      </c>
      <c r="D189" t="s">
        <v>63</v>
      </c>
      <c r="E189" t="s">
        <v>37</v>
      </c>
      <c r="F189">
        <v>94</v>
      </c>
      <c r="G189" t="s">
        <v>133</v>
      </c>
      <c r="H189" t="s">
        <v>32</v>
      </c>
      <c r="I189" t="s">
        <v>65</v>
      </c>
      <c r="J189" t="s">
        <v>33</v>
      </c>
      <c r="K189">
        <v>3.3</v>
      </c>
      <c r="L189" t="s">
        <v>23</v>
      </c>
      <c r="M189" t="s">
        <v>23</v>
      </c>
      <c r="N189">
        <v>1</v>
      </c>
      <c r="O189" t="s">
        <v>66</v>
      </c>
      <c r="P189" t="s">
        <v>67</v>
      </c>
    </row>
    <row r="190" spans="1:16" ht="14.5" x14ac:dyDescent="0.35">
      <c r="A190">
        <v>189</v>
      </c>
      <c r="B190">
        <v>50</v>
      </c>
      <c r="C190" t="s">
        <v>16</v>
      </c>
      <c r="D190" t="s">
        <v>95</v>
      </c>
      <c r="E190" t="s">
        <v>18</v>
      </c>
      <c r="F190">
        <v>53</v>
      </c>
      <c r="G190" t="s">
        <v>64</v>
      </c>
      <c r="H190" t="s">
        <v>39</v>
      </c>
      <c r="I190" t="s">
        <v>62</v>
      </c>
      <c r="J190" t="s">
        <v>33</v>
      </c>
      <c r="K190">
        <v>3.1</v>
      </c>
      <c r="L190" t="s">
        <v>23</v>
      </c>
      <c r="M190" t="s">
        <v>23</v>
      </c>
      <c r="N190">
        <v>5</v>
      </c>
      <c r="O190" t="s">
        <v>66</v>
      </c>
      <c r="P190" t="s">
        <v>67</v>
      </c>
    </row>
    <row r="191" spans="1:16" ht="14.5" x14ac:dyDescent="0.35">
      <c r="A191">
        <v>190</v>
      </c>
      <c r="B191">
        <v>36</v>
      </c>
      <c r="C191" t="s">
        <v>16</v>
      </c>
      <c r="D191" t="s">
        <v>17</v>
      </c>
      <c r="E191" t="s">
        <v>18</v>
      </c>
      <c r="F191">
        <v>82</v>
      </c>
      <c r="G191" t="s">
        <v>57</v>
      </c>
      <c r="H191" t="s">
        <v>39</v>
      </c>
      <c r="I191" t="s">
        <v>28</v>
      </c>
      <c r="J191" t="s">
        <v>50</v>
      </c>
      <c r="K191">
        <v>4.4000000000000004</v>
      </c>
      <c r="L191" t="s">
        <v>23</v>
      </c>
      <c r="M191" t="s">
        <v>23</v>
      </c>
      <c r="N191">
        <v>4</v>
      </c>
      <c r="O191" t="s">
        <v>34</v>
      </c>
      <c r="P191" t="s">
        <v>35</v>
      </c>
    </row>
    <row r="192" spans="1:16" ht="14.5" x14ac:dyDescent="0.35">
      <c r="A192">
        <v>191</v>
      </c>
      <c r="B192">
        <v>65</v>
      </c>
      <c r="C192" t="s">
        <v>16</v>
      </c>
      <c r="D192" t="s">
        <v>55</v>
      </c>
      <c r="E192" t="s">
        <v>56</v>
      </c>
      <c r="F192">
        <v>70</v>
      </c>
      <c r="G192" t="s">
        <v>107</v>
      </c>
      <c r="H192" t="s">
        <v>83</v>
      </c>
      <c r="I192" t="s">
        <v>109</v>
      </c>
      <c r="J192" t="s">
        <v>50</v>
      </c>
      <c r="K192">
        <v>3</v>
      </c>
      <c r="L192" t="s">
        <v>23</v>
      </c>
      <c r="M192" t="s">
        <v>23</v>
      </c>
      <c r="N192">
        <v>48</v>
      </c>
      <c r="O192" t="s">
        <v>24</v>
      </c>
      <c r="P192" t="s">
        <v>51</v>
      </c>
    </row>
    <row r="193" spans="1:16" ht="14.5" x14ac:dyDescent="0.35">
      <c r="A193">
        <v>192</v>
      </c>
      <c r="B193">
        <v>64</v>
      </c>
      <c r="C193" t="s">
        <v>16</v>
      </c>
      <c r="D193" t="s">
        <v>115</v>
      </c>
      <c r="E193" t="s">
        <v>60</v>
      </c>
      <c r="F193">
        <v>76</v>
      </c>
      <c r="G193" t="s">
        <v>131</v>
      </c>
      <c r="H193" t="s">
        <v>39</v>
      </c>
      <c r="I193" t="s">
        <v>21</v>
      </c>
      <c r="J193" t="s">
        <v>50</v>
      </c>
      <c r="K193">
        <v>3.9</v>
      </c>
      <c r="L193" t="s">
        <v>23</v>
      </c>
      <c r="M193" t="s">
        <v>23</v>
      </c>
      <c r="N193">
        <v>29</v>
      </c>
      <c r="O193" t="s">
        <v>29</v>
      </c>
      <c r="P193" t="s">
        <v>88</v>
      </c>
    </row>
    <row r="194" spans="1:16" ht="14.5" x14ac:dyDescent="0.35">
      <c r="A194">
        <v>193</v>
      </c>
      <c r="B194">
        <v>46</v>
      </c>
      <c r="C194" t="s">
        <v>16</v>
      </c>
      <c r="D194" t="s">
        <v>63</v>
      </c>
      <c r="E194" t="s">
        <v>37</v>
      </c>
      <c r="F194">
        <v>29</v>
      </c>
      <c r="G194" t="s">
        <v>136</v>
      </c>
      <c r="H194" t="s">
        <v>20</v>
      </c>
      <c r="I194" t="s">
        <v>42</v>
      </c>
      <c r="J194" t="s">
        <v>47</v>
      </c>
      <c r="K194">
        <v>2.9</v>
      </c>
      <c r="L194" t="s">
        <v>23</v>
      </c>
      <c r="M194" t="s">
        <v>23</v>
      </c>
      <c r="N194">
        <v>12</v>
      </c>
      <c r="O194" t="s">
        <v>40</v>
      </c>
      <c r="P194" t="s">
        <v>67</v>
      </c>
    </row>
    <row r="195" spans="1:16" ht="14.5" x14ac:dyDescent="0.35">
      <c r="A195">
        <v>194</v>
      </c>
      <c r="B195">
        <v>36</v>
      </c>
      <c r="C195" t="s">
        <v>16</v>
      </c>
      <c r="D195" t="s">
        <v>124</v>
      </c>
      <c r="E195" t="s">
        <v>60</v>
      </c>
      <c r="F195">
        <v>100</v>
      </c>
      <c r="G195" t="s">
        <v>105</v>
      </c>
      <c r="H195" t="s">
        <v>32</v>
      </c>
      <c r="I195" t="s">
        <v>58</v>
      </c>
      <c r="J195" t="s">
        <v>50</v>
      </c>
      <c r="K195">
        <v>3</v>
      </c>
      <c r="L195" t="s">
        <v>23</v>
      </c>
      <c r="M195" t="s">
        <v>23</v>
      </c>
      <c r="N195">
        <v>29</v>
      </c>
      <c r="O195" t="s">
        <v>24</v>
      </c>
      <c r="P195" t="s">
        <v>43</v>
      </c>
    </row>
    <row r="196" spans="1:16" ht="14.5" x14ac:dyDescent="0.35">
      <c r="A196">
        <v>195</v>
      </c>
      <c r="B196">
        <v>51</v>
      </c>
      <c r="C196" t="s">
        <v>16</v>
      </c>
      <c r="D196" t="s">
        <v>123</v>
      </c>
      <c r="E196" t="s">
        <v>60</v>
      </c>
      <c r="F196">
        <v>94</v>
      </c>
      <c r="G196" t="s">
        <v>61</v>
      </c>
      <c r="H196" t="s">
        <v>39</v>
      </c>
      <c r="I196" t="s">
        <v>69</v>
      </c>
      <c r="J196" t="s">
        <v>33</v>
      </c>
      <c r="K196">
        <v>3.1</v>
      </c>
      <c r="L196" t="s">
        <v>23</v>
      </c>
      <c r="M196" t="s">
        <v>23</v>
      </c>
      <c r="N196">
        <v>15</v>
      </c>
      <c r="O196" t="s">
        <v>77</v>
      </c>
      <c r="P196" t="s">
        <v>51</v>
      </c>
    </row>
    <row r="197" spans="1:16" ht="14.5" x14ac:dyDescent="0.35">
      <c r="A197">
        <v>196</v>
      </c>
      <c r="B197">
        <v>51</v>
      </c>
      <c r="C197" t="s">
        <v>16</v>
      </c>
      <c r="D197" t="s">
        <v>93</v>
      </c>
      <c r="E197" t="s">
        <v>56</v>
      </c>
      <c r="F197">
        <v>25</v>
      </c>
      <c r="G197" t="s">
        <v>75</v>
      </c>
      <c r="H197" t="s">
        <v>39</v>
      </c>
      <c r="I197" t="s">
        <v>127</v>
      </c>
      <c r="J197" t="s">
        <v>50</v>
      </c>
      <c r="K197">
        <v>4.3</v>
      </c>
      <c r="L197" t="s">
        <v>23</v>
      </c>
      <c r="M197" t="s">
        <v>23</v>
      </c>
      <c r="N197">
        <v>34</v>
      </c>
      <c r="O197" t="s">
        <v>34</v>
      </c>
      <c r="P197" t="s">
        <v>79</v>
      </c>
    </row>
    <row r="198" spans="1:16" ht="14.5" x14ac:dyDescent="0.35">
      <c r="A198">
        <v>197</v>
      </c>
      <c r="B198">
        <v>38</v>
      </c>
      <c r="C198" t="s">
        <v>16</v>
      </c>
      <c r="D198" t="s">
        <v>128</v>
      </c>
      <c r="E198" t="s">
        <v>37</v>
      </c>
      <c r="F198">
        <v>88</v>
      </c>
      <c r="G198" t="s">
        <v>140</v>
      </c>
      <c r="H198" t="s">
        <v>39</v>
      </c>
      <c r="I198" t="s">
        <v>84</v>
      </c>
      <c r="J198" t="s">
        <v>47</v>
      </c>
      <c r="K198">
        <v>3.9</v>
      </c>
      <c r="L198" t="s">
        <v>23</v>
      </c>
      <c r="M198" t="s">
        <v>23</v>
      </c>
      <c r="N198">
        <v>41</v>
      </c>
      <c r="O198" t="s">
        <v>34</v>
      </c>
      <c r="P198" t="s">
        <v>25</v>
      </c>
    </row>
    <row r="199" spans="1:16" ht="14.5" x14ac:dyDescent="0.35">
      <c r="A199">
        <v>198</v>
      </c>
      <c r="B199">
        <v>59</v>
      </c>
      <c r="C199" t="s">
        <v>16</v>
      </c>
      <c r="D199" t="s">
        <v>110</v>
      </c>
      <c r="E199" t="s">
        <v>60</v>
      </c>
      <c r="F199">
        <v>78</v>
      </c>
      <c r="G199" t="s">
        <v>122</v>
      </c>
      <c r="H199" t="s">
        <v>39</v>
      </c>
      <c r="I199" t="s">
        <v>85</v>
      </c>
      <c r="J199" t="s">
        <v>50</v>
      </c>
      <c r="K199">
        <v>3.2</v>
      </c>
      <c r="L199" t="s">
        <v>23</v>
      </c>
      <c r="M199" t="s">
        <v>23</v>
      </c>
      <c r="N199">
        <v>41</v>
      </c>
      <c r="O199" t="s">
        <v>34</v>
      </c>
      <c r="P199" t="s">
        <v>79</v>
      </c>
    </row>
    <row r="200" spans="1:16" ht="14.5" x14ac:dyDescent="0.35">
      <c r="A200">
        <v>199</v>
      </c>
      <c r="B200">
        <v>57</v>
      </c>
      <c r="C200" t="s">
        <v>16</v>
      </c>
      <c r="D200" t="s">
        <v>97</v>
      </c>
      <c r="E200" t="s">
        <v>60</v>
      </c>
      <c r="F200">
        <v>45</v>
      </c>
      <c r="G200" t="s">
        <v>131</v>
      </c>
      <c r="H200" t="s">
        <v>39</v>
      </c>
      <c r="I200" t="s">
        <v>42</v>
      </c>
      <c r="J200" t="s">
        <v>22</v>
      </c>
      <c r="K200">
        <v>4.8</v>
      </c>
      <c r="L200" t="s">
        <v>23</v>
      </c>
      <c r="M200" t="s">
        <v>23</v>
      </c>
      <c r="N200">
        <v>39</v>
      </c>
      <c r="O200" t="s">
        <v>34</v>
      </c>
      <c r="P200" t="s">
        <v>25</v>
      </c>
    </row>
    <row r="201" spans="1:16" ht="14.5" x14ac:dyDescent="0.35">
      <c r="A201">
        <v>200</v>
      </c>
      <c r="B201">
        <v>54</v>
      </c>
      <c r="C201" t="s">
        <v>16</v>
      </c>
      <c r="D201" t="s">
        <v>115</v>
      </c>
      <c r="E201" t="s">
        <v>60</v>
      </c>
      <c r="F201">
        <v>73</v>
      </c>
      <c r="G201" t="s">
        <v>126</v>
      </c>
      <c r="H201" t="s">
        <v>83</v>
      </c>
      <c r="I201" t="s">
        <v>87</v>
      </c>
      <c r="J201" t="s">
        <v>47</v>
      </c>
      <c r="K201">
        <v>3.8</v>
      </c>
      <c r="L201" t="s">
        <v>23</v>
      </c>
      <c r="M201" t="s">
        <v>23</v>
      </c>
      <c r="N201">
        <v>32</v>
      </c>
      <c r="O201" t="s">
        <v>29</v>
      </c>
      <c r="P201" t="s">
        <v>35</v>
      </c>
    </row>
    <row r="202" spans="1:16" ht="14.5" x14ac:dyDescent="0.35">
      <c r="A202">
        <v>201</v>
      </c>
      <c r="B202">
        <v>25</v>
      </c>
      <c r="C202" t="s">
        <v>16</v>
      </c>
      <c r="D202" t="s">
        <v>72</v>
      </c>
      <c r="E202" t="s">
        <v>18</v>
      </c>
      <c r="F202">
        <v>61</v>
      </c>
      <c r="G202" t="s">
        <v>129</v>
      </c>
      <c r="H202" t="s">
        <v>32</v>
      </c>
      <c r="I202" t="s">
        <v>76</v>
      </c>
      <c r="J202" t="s">
        <v>47</v>
      </c>
      <c r="K202">
        <v>3.3</v>
      </c>
      <c r="L202" t="s">
        <v>23</v>
      </c>
      <c r="M202" t="s">
        <v>23</v>
      </c>
      <c r="N202">
        <v>29</v>
      </c>
      <c r="O202" t="s">
        <v>24</v>
      </c>
      <c r="P202" t="s">
        <v>79</v>
      </c>
    </row>
    <row r="203" spans="1:16" ht="14.5" x14ac:dyDescent="0.35">
      <c r="A203">
        <v>202</v>
      </c>
      <c r="B203">
        <v>69</v>
      </c>
      <c r="C203" t="s">
        <v>16</v>
      </c>
      <c r="D203" t="s">
        <v>17</v>
      </c>
      <c r="E203" t="s">
        <v>18</v>
      </c>
      <c r="F203">
        <v>22</v>
      </c>
      <c r="G203" t="s">
        <v>61</v>
      </c>
      <c r="H203" t="s">
        <v>32</v>
      </c>
      <c r="I203" t="s">
        <v>109</v>
      </c>
      <c r="J203" t="s">
        <v>50</v>
      </c>
      <c r="K203">
        <v>4.3</v>
      </c>
      <c r="L203" t="s">
        <v>23</v>
      </c>
      <c r="M203" t="s">
        <v>23</v>
      </c>
      <c r="N203">
        <v>15</v>
      </c>
      <c r="O203" t="s">
        <v>66</v>
      </c>
      <c r="P203" t="s">
        <v>43</v>
      </c>
    </row>
    <row r="204" spans="1:16" ht="14.5" x14ac:dyDescent="0.35">
      <c r="A204">
        <v>203</v>
      </c>
      <c r="B204">
        <v>57</v>
      </c>
      <c r="C204" t="s">
        <v>16</v>
      </c>
      <c r="D204" t="s">
        <v>115</v>
      </c>
      <c r="E204" t="s">
        <v>60</v>
      </c>
      <c r="F204">
        <v>38</v>
      </c>
      <c r="G204" t="s">
        <v>136</v>
      </c>
      <c r="H204" t="s">
        <v>20</v>
      </c>
      <c r="I204" t="s">
        <v>127</v>
      </c>
      <c r="J204" t="s">
        <v>33</v>
      </c>
      <c r="K204">
        <v>2.7</v>
      </c>
      <c r="L204" t="s">
        <v>23</v>
      </c>
      <c r="M204" t="s">
        <v>23</v>
      </c>
      <c r="N204">
        <v>33</v>
      </c>
      <c r="O204" t="s">
        <v>24</v>
      </c>
      <c r="P204" t="s">
        <v>43</v>
      </c>
    </row>
    <row r="205" spans="1:16" ht="14.5" x14ac:dyDescent="0.35">
      <c r="A205">
        <v>204</v>
      </c>
      <c r="B205">
        <v>70</v>
      </c>
      <c r="C205" t="s">
        <v>16</v>
      </c>
      <c r="D205" t="s">
        <v>110</v>
      </c>
      <c r="E205" t="s">
        <v>60</v>
      </c>
      <c r="F205">
        <v>38</v>
      </c>
      <c r="G205" t="s">
        <v>107</v>
      </c>
      <c r="H205" t="s">
        <v>32</v>
      </c>
      <c r="I205" t="s">
        <v>125</v>
      </c>
      <c r="J205" t="s">
        <v>50</v>
      </c>
      <c r="K205">
        <v>3.2</v>
      </c>
      <c r="L205" t="s">
        <v>23</v>
      </c>
      <c r="M205" t="s">
        <v>23</v>
      </c>
      <c r="N205">
        <v>18</v>
      </c>
      <c r="O205" t="s">
        <v>66</v>
      </c>
      <c r="P205" t="s">
        <v>35</v>
      </c>
    </row>
    <row r="206" spans="1:16" ht="14.5" x14ac:dyDescent="0.35">
      <c r="A206">
        <v>205</v>
      </c>
      <c r="B206">
        <v>24</v>
      </c>
      <c r="C206" t="s">
        <v>16</v>
      </c>
      <c r="D206" t="s">
        <v>44</v>
      </c>
      <c r="E206" t="s">
        <v>37</v>
      </c>
      <c r="F206">
        <v>100</v>
      </c>
      <c r="G206" t="s">
        <v>108</v>
      </c>
      <c r="H206" t="s">
        <v>39</v>
      </c>
      <c r="I206" t="s">
        <v>125</v>
      </c>
      <c r="J206" t="s">
        <v>50</v>
      </c>
      <c r="K206">
        <v>4</v>
      </c>
      <c r="L206" t="s">
        <v>23</v>
      </c>
      <c r="M206" t="s">
        <v>23</v>
      </c>
      <c r="N206">
        <v>35</v>
      </c>
      <c r="O206" t="s">
        <v>29</v>
      </c>
      <c r="P206" t="s">
        <v>67</v>
      </c>
    </row>
    <row r="207" spans="1:16" ht="14.5" x14ac:dyDescent="0.35">
      <c r="A207">
        <v>206</v>
      </c>
      <c r="B207">
        <v>67</v>
      </c>
      <c r="C207" t="s">
        <v>16</v>
      </c>
      <c r="D207" t="s">
        <v>48</v>
      </c>
      <c r="E207" t="s">
        <v>18</v>
      </c>
      <c r="F207">
        <v>64</v>
      </c>
      <c r="G207" t="s">
        <v>68</v>
      </c>
      <c r="H207" t="s">
        <v>39</v>
      </c>
      <c r="I207" t="s">
        <v>58</v>
      </c>
      <c r="J207" t="s">
        <v>22</v>
      </c>
      <c r="K207">
        <v>3</v>
      </c>
      <c r="L207" t="s">
        <v>23</v>
      </c>
      <c r="M207" t="s">
        <v>23</v>
      </c>
      <c r="N207">
        <v>25</v>
      </c>
      <c r="O207" t="s">
        <v>40</v>
      </c>
      <c r="P207" t="s">
        <v>35</v>
      </c>
    </row>
    <row r="208" spans="1:16" ht="14.5" x14ac:dyDescent="0.35">
      <c r="A208">
        <v>207</v>
      </c>
      <c r="B208">
        <v>24</v>
      </c>
      <c r="C208" t="s">
        <v>16</v>
      </c>
      <c r="D208" t="s">
        <v>104</v>
      </c>
      <c r="E208" t="s">
        <v>18</v>
      </c>
      <c r="F208">
        <v>55</v>
      </c>
      <c r="G208" t="s">
        <v>141</v>
      </c>
      <c r="H208" t="s">
        <v>20</v>
      </c>
      <c r="I208" t="s">
        <v>58</v>
      </c>
      <c r="J208" t="s">
        <v>47</v>
      </c>
      <c r="K208">
        <v>4.2</v>
      </c>
      <c r="L208" t="s">
        <v>23</v>
      </c>
      <c r="M208" t="s">
        <v>23</v>
      </c>
      <c r="N208">
        <v>6</v>
      </c>
      <c r="O208" t="s">
        <v>24</v>
      </c>
      <c r="P208" t="s">
        <v>25</v>
      </c>
    </row>
    <row r="209" spans="1:16" ht="14.5" x14ac:dyDescent="0.35">
      <c r="A209">
        <v>208</v>
      </c>
      <c r="B209">
        <v>62</v>
      </c>
      <c r="C209" t="s">
        <v>16</v>
      </c>
      <c r="D209" t="s">
        <v>134</v>
      </c>
      <c r="E209" t="s">
        <v>60</v>
      </c>
      <c r="F209">
        <v>91</v>
      </c>
      <c r="G209" t="s">
        <v>38</v>
      </c>
      <c r="H209" t="s">
        <v>39</v>
      </c>
      <c r="I209" t="s">
        <v>58</v>
      </c>
      <c r="J209" t="s">
        <v>47</v>
      </c>
      <c r="K209">
        <v>2.9</v>
      </c>
      <c r="L209" t="s">
        <v>23</v>
      </c>
      <c r="M209" t="s">
        <v>23</v>
      </c>
      <c r="N209">
        <v>17</v>
      </c>
      <c r="O209" t="s">
        <v>66</v>
      </c>
      <c r="P209" t="s">
        <v>67</v>
      </c>
    </row>
    <row r="210" spans="1:16" ht="14.5" x14ac:dyDescent="0.35">
      <c r="A210">
        <v>209</v>
      </c>
      <c r="B210">
        <v>57</v>
      </c>
      <c r="C210" t="s">
        <v>16</v>
      </c>
      <c r="D210" t="s">
        <v>78</v>
      </c>
      <c r="E210" t="s">
        <v>18</v>
      </c>
      <c r="F210">
        <v>38</v>
      </c>
      <c r="G210" t="s">
        <v>141</v>
      </c>
      <c r="H210" t="s">
        <v>39</v>
      </c>
      <c r="I210" t="s">
        <v>71</v>
      </c>
      <c r="J210" t="s">
        <v>33</v>
      </c>
      <c r="K210">
        <v>4.0999999999999996</v>
      </c>
      <c r="L210" t="s">
        <v>23</v>
      </c>
      <c r="M210" t="s">
        <v>23</v>
      </c>
      <c r="N210">
        <v>17</v>
      </c>
      <c r="O210" t="s">
        <v>34</v>
      </c>
      <c r="P210" t="s">
        <v>79</v>
      </c>
    </row>
    <row r="211" spans="1:16" ht="14.5" x14ac:dyDescent="0.35">
      <c r="A211">
        <v>210</v>
      </c>
      <c r="B211">
        <v>55</v>
      </c>
      <c r="C211" t="s">
        <v>16</v>
      </c>
      <c r="D211" t="s">
        <v>36</v>
      </c>
      <c r="E211" t="s">
        <v>37</v>
      </c>
      <c r="F211">
        <v>97</v>
      </c>
      <c r="G211" t="s">
        <v>139</v>
      </c>
      <c r="H211" t="s">
        <v>32</v>
      </c>
      <c r="I211" t="s">
        <v>69</v>
      </c>
      <c r="J211" t="s">
        <v>22</v>
      </c>
      <c r="K211">
        <v>3.2</v>
      </c>
      <c r="L211" t="s">
        <v>23</v>
      </c>
      <c r="M211" t="s">
        <v>23</v>
      </c>
      <c r="N211">
        <v>44</v>
      </c>
      <c r="O211" t="s">
        <v>29</v>
      </c>
      <c r="P211" t="s">
        <v>88</v>
      </c>
    </row>
    <row r="212" spans="1:16" ht="14.5" x14ac:dyDescent="0.35">
      <c r="A212">
        <v>211</v>
      </c>
      <c r="B212">
        <v>45</v>
      </c>
      <c r="C212" t="s">
        <v>16</v>
      </c>
      <c r="D212" t="s">
        <v>93</v>
      </c>
      <c r="E212" t="s">
        <v>56</v>
      </c>
      <c r="F212">
        <v>22</v>
      </c>
      <c r="G212" t="s">
        <v>120</v>
      </c>
      <c r="H212" t="s">
        <v>20</v>
      </c>
      <c r="I212" t="s">
        <v>76</v>
      </c>
      <c r="J212" t="s">
        <v>50</v>
      </c>
      <c r="K212">
        <v>3</v>
      </c>
      <c r="L212" t="s">
        <v>23</v>
      </c>
      <c r="M212" t="s">
        <v>23</v>
      </c>
      <c r="N212">
        <v>6</v>
      </c>
      <c r="O212" t="s">
        <v>40</v>
      </c>
      <c r="P212" t="s">
        <v>25</v>
      </c>
    </row>
    <row r="213" spans="1:16" ht="14.5" x14ac:dyDescent="0.35">
      <c r="A213">
        <v>212</v>
      </c>
      <c r="B213">
        <v>69</v>
      </c>
      <c r="C213" t="s">
        <v>16</v>
      </c>
      <c r="D213" t="s">
        <v>78</v>
      </c>
      <c r="E213" t="s">
        <v>18</v>
      </c>
      <c r="F213">
        <v>92</v>
      </c>
      <c r="G213" t="s">
        <v>138</v>
      </c>
      <c r="H213" t="s">
        <v>20</v>
      </c>
      <c r="I213" t="s">
        <v>28</v>
      </c>
      <c r="J213" t="s">
        <v>50</v>
      </c>
      <c r="K213">
        <v>4.2</v>
      </c>
      <c r="L213" t="s">
        <v>23</v>
      </c>
      <c r="M213" t="s">
        <v>23</v>
      </c>
      <c r="N213">
        <v>45</v>
      </c>
      <c r="O213" t="s">
        <v>77</v>
      </c>
      <c r="P213" t="s">
        <v>25</v>
      </c>
    </row>
    <row r="214" spans="1:16" ht="14.5" x14ac:dyDescent="0.35">
      <c r="A214">
        <v>213</v>
      </c>
      <c r="B214">
        <v>67</v>
      </c>
      <c r="C214" t="s">
        <v>16</v>
      </c>
      <c r="D214" t="s">
        <v>59</v>
      </c>
      <c r="E214" t="s">
        <v>60</v>
      </c>
      <c r="F214">
        <v>84</v>
      </c>
      <c r="G214" t="s">
        <v>132</v>
      </c>
      <c r="H214" t="s">
        <v>20</v>
      </c>
      <c r="I214" t="s">
        <v>135</v>
      </c>
      <c r="J214" t="s">
        <v>50</v>
      </c>
      <c r="K214">
        <v>4.2</v>
      </c>
      <c r="L214" t="s">
        <v>23</v>
      </c>
      <c r="M214" t="s">
        <v>23</v>
      </c>
      <c r="N214">
        <v>7</v>
      </c>
      <c r="O214" t="s">
        <v>77</v>
      </c>
      <c r="P214" t="s">
        <v>43</v>
      </c>
    </row>
    <row r="215" spans="1:16" ht="14.5" x14ac:dyDescent="0.35">
      <c r="A215">
        <v>214</v>
      </c>
      <c r="B215">
        <v>30</v>
      </c>
      <c r="C215" t="s">
        <v>16</v>
      </c>
      <c r="D215" t="s">
        <v>59</v>
      </c>
      <c r="E215" t="s">
        <v>60</v>
      </c>
      <c r="F215">
        <v>93</v>
      </c>
      <c r="G215" t="s">
        <v>98</v>
      </c>
      <c r="H215" t="s">
        <v>20</v>
      </c>
      <c r="I215" t="s">
        <v>91</v>
      </c>
      <c r="J215" t="s">
        <v>50</v>
      </c>
      <c r="K215">
        <v>4.4000000000000004</v>
      </c>
      <c r="L215" t="s">
        <v>23</v>
      </c>
      <c r="M215" t="s">
        <v>23</v>
      </c>
      <c r="N215">
        <v>11</v>
      </c>
      <c r="O215" t="s">
        <v>77</v>
      </c>
      <c r="P215" t="s">
        <v>88</v>
      </c>
    </row>
    <row r="216" spans="1:16" ht="14.5" x14ac:dyDescent="0.35">
      <c r="A216">
        <v>215</v>
      </c>
      <c r="B216">
        <v>24</v>
      </c>
      <c r="C216" t="s">
        <v>16</v>
      </c>
      <c r="D216" t="s">
        <v>93</v>
      </c>
      <c r="E216" t="s">
        <v>56</v>
      </c>
      <c r="F216">
        <v>50</v>
      </c>
      <c r="G216" t="s">
        <v>68</v>
      </c>
      <c r="H216" t="s">
        <v>20</v>
      </c>
      <c r="I216" t="s">
        <v>135</v>
      </c>
      <c r="J216" t="s">
        <v>47</v>
      </c>
      <c r="K216">
        <v>4.2</v>
      </c>
      <c r="L216" t="s">
        <v>23</v>
      </c>
      <c r="M216" t="s">
        <v>23</v>
      </c>
      <c r="N216">
        <v>41</v>
      </c>
      <c r="O216" t="s">
        <v>29</v>
      </c>
      <c r="P216" t="s">
        <v>88</v>
      </c>
    </row>
    <row r="217" spans="1:16" ht="14.5" x14ac:dyDescent="0.35">
      <c r="A217">
        <v>216</v>
      </c>
      <c r="B217">
        <v>62</v>
      </c>
      <c r="C217" t="s">
        <v>16</v>
      </c>
      <c r="D217" t="s">
        <v>110</v>
      </c>
      <c r="E217" t="s">
        <v>60</v>
      </c>
      <c r="F217">
        <v>64</v>
      </c>
      <c r="G217" t="s">
        <v>118</v>
      </c>
      <c r="H217" t="s">
        <v>32</v>
      </c>
      <c r="I217" t="s">
        <v>112</v>
      </c>
      <c r="J217" t="s">
        <v>33</v>
      </c>
      <c r="K217">
        <v>2.8</v>
      </c>
      <c r="L217" t="s">
        <v>23</v>
      </c>
      <c r="M217" t="s">
        <v>23</v>
      </c>
      <c r="N217">
        <v>24</v>
      </c>
      <c r="O217" t="s">
        <v>40</v>
      </c>
      <c r="P217" t="s">
        <v>67</v>
      </c>
    </row>
    <row r="218" spans="1:16" ht="14.5" x14ac:dyDescent="0.35">
      <c r="A218">
        <v>217</v>
      </c>
      <c r="B218">
        <v>43</v>
      </c>
      <c r="C218" t="s">
        <v>16</v>
      </c>
      <c r="D218" t="s">
        <v>52</v>
      </c>
      <c r="E218" t="s">
        <v>18</v>
      </c>
      <c r="F218">
        <v>61</v>
      </c>
      <c r="G218" t="s">
        <v>31</v>
      </c>
      <c r="H218" t="s">
        <v>20</v>
      </c>
      <c r="I218" t="s">
        <v>125</v>
      </c>
      <c r="J218" t="s">
        <v>33</v>
      </c>
      <c r="K218">
        <v>3.7</v>
      </c>
      <c r="L218" t="s">
        <v>23</v>
      </c>
      <c r="M218" t="s">
        <v>23</v>
      </c>
      <c r="N218">
        <v>21</v>
      </c>
      <c r="O218" t="s">
        <v>24</v>
      </c>
      <c r="P218" t="s">
        <v>35</v>
      </c>
    </row>
    <row r="219" spans="1:16" ht="14.5" x14ac:dyDescent="0.35">
      <c r="A219">
        <v>218</v>
      </c>
      <c r="B219">
        <v>35</v>
      </c>
      <c r="C219" t="s">
        <v>16</v>
      </c>
      <c r="D219" t="s">
        <v>80</v>
      </c>
      <c r="E219" t="s">
        <v>60</v>
      </c>
      <c r="F219">
        <v>48</v>
      </c>
      <c r="G219" t="s">
        <v>92</v>
      </c>
      <c r="H219" t="s">
        <v>39</v>
      </c>
      <c r="I219" t="s">
        <v>65</v>
      </c>
      <c r="J219" t="s">
        <v>22</v>
      </c>
      <c r="K219">
        <v>3.5</v>
      </c>
      <c r="L219" t="s">
        <v>23</v>
      </c>
      <c r="M219" t="s">
        <v>23</v>
      </c>
      <c r="N219">
        <v>24</v>
      </c>
      <c r="O219" t="s">
        <v>66</v>
      </c>
      <c r="P219" t="s">
        <v>43</v>
      </c>
    </row>
    <row r="220" spans="1:16" ht="14.5" x14ac:dyDescent="0.35">
      <c r="A220">
        <v>219</v>
      </c>
      <c r="B220">
        <v>28</v>
      </c>
      <c r="C220" t="s">
        <v>16</v>
      </c>
      <c r="D220" t="s">
        <v>104</v>
      </c>
      <c r="E220" t="s">
        <v>18</v>
      </c>
      <c r="F220">
        <v>45</v>
      </c>
      <c r="G220" t="s">
        <v>90</v>
      </c>
      <c r="H220" t="s">
        <v>32</v>
      </c>
      <c r="I220" t="s">
        <v>127</v>
      </c>
      <c r="J220" t="s">
        <v>33</v>
      </c>
      <c r="K220">
        <v>2.9</v>
      </c>
      <c r="L220" t="s">
        <v>23</v>
      </c>
      <c r="M220" t="s">
        <v>23</v>
      </c>
      <c r="N220">
        <v>8</v>
      </c>
      <c r="O220" t="s">
        <v>34</v>
      </c>
      <c r="P220" t="s">
        <v>51</v>
      </c>
    </row>
    <row r="221" spans="1:16" ht="14.5" x14ac:dyDescent="0.35">
      <c r="A221">
        <v>220</v>
      </c>
      <c r="B221">
        <v>32</v>
      </c>
      <c r="C221" t="s">
        <v>16</v>
      </c>
      <c r="D221" t="s">
        <v>124</v>
      </c>
      <c r="E221" t="s">
        <v>60</v>
      </c>
      <c r="F221">
        <v>88</v>
      </c>
      <c r="G221" t="s">
        <v>98</v>
      </c>
      <c r="H221" t="s">
        <v>39</v>
      </c>
      <c r="I221" t="s">
        <v>100</v>
      </c>
      <c r="J221" t="s">
        <v>33</v>
      </c>
      <c r="K221">
        <v>3</v>
      </c>
      <c r="L221" t="s">
        <v>23</v>
      </c>
      <c r="M221" t="s">
        <v>23</v>
      </c>
      <c r="N221">
        <v>12</v>
      </c>
      <c r="O221" t="s">
        <v>29</v>
      </c>
      <c r="P221" t="s">
        <v>25</v>
      </c>
    </row>
    <row r="222" spans="1:16" ht="14.5" x14ac:dyDescent="0.35">
      <c r="A222">
        <v>221</v>
      </c>
      <c r="B222">
        <v>39</v>
      </c>
      <c r="C222" t="s">
        <v>16</v>
      </c>
      <c r="D222" t="s">
        <v>44</v>
      </c>
      <c r="E222" t="s">
        <v>37</v>
      </c>
      <c r="F222">
        <v>57</v>
      </c>
      <c r="G222" t="s">
        <v>108</v>
      </c>
      <c r="H222" t="s">
        <v>32</v>
      </c>
      <c r="I222" t="s">
        <v>117</v>
      </c>
      <c r="J222" t="s">
        <v>33</v>
      </c>
      <c r="K222">
        <v>3.7</v>
      </c>
      <c r="L222" t="s">
        <v>23</v>
      </c>
      <c r="M222" t="s">
        <v>23</v>
      </c>
      <c r="N222">
        <v>48</v>
      </c>
      <c r="O222" t="s">
        <v>77</v>
      </c>
      <c r="P222" t="s">
        <v>25</v>
      </c>
    </row>
    <row r="223" spans="1:16" ht="14.5" x14ac:dyDescent="0.35">
      <c r="A223">
        <v>222</v>
      </c>
      <c r="B223">
        <v>28</v>
      </c>
      <c r="C223" t="s">
        <v>16</v>
      </c>
      <c r="D223" t="s">
        <v>115</v>
      </c>
      <c r="E223" t="s">
        <v>60</v>
      </c>
      <c r="F223">
        <v>68</v>
      </c>
      <c r="G223" t="s">
        <v>89</v>
      </c>
      <c r="H223" t="s">
        <v>83</v>
      </c>
      <c r="I223" t="s">
        <v>127</v>
      </c>
      <c r="J223" t="s">
        <v>47</v>
      </c>
      <c r="K223">
        <v>4.4000000000000004</v>
      </c>
      <c r="L223" t="s">
        <v>23</v>
      </c>
      <c r="M223" t="s">
        <v>23</v>
      </c>
      <c r="N223">
        <v>6</v>
      </c>
      <c r="O223" t="s">
        <v>66</v>
      </c>
      <c r="P223" t="s">
        <v>51</v>
      </c>
    </row>
    <row r="224" spans="1:16" ht="14.5" x14ac:dyDescent="0.35">
      <c r="A224">
        <v>223</v>
      </c>
      <c r="B224">
        <v>47</v>
      </c>
      <c r="C224" t="s">
        <v>16</v>
      </c>
      <c r="D224" t="s">
        <v>134</v>
      </c>
      <c r="E224" t="s">
        <v>60</v>
      </c>
      <c r="F224">
        <v>94</v>
      </c>
      <c r="G224" t="s">
        <v>75</v>
      </c>
      <c r="H224" t="s">
        <v>83</v>
      </c>
      <c r="I224" t="s">
        <v>21</v>
      </c>
      <c r="J224" t="s">
        <v>33</v>
      </c>
      <c r="K224">
        <v>4.5</v>
      </c>
      <c r="L224" t="s">
        <v>23</v>
      </c>
      <c r="M224" t="s">
        <v>23</v>
      </c>
      <c r="N224">
        <v>14</v>
      </c>
      <c r="O224" t="s">
        <v>40</v>
      </c>
      <c r="P224" t="s">
        <v>25</v>
      </c>
    </row>
    <row r="225" spans="1:16" ht="14.5" x14ac:dyDescent="0.35">
      <c r="A225">
        <v>224</v>
      </c>
      <c r="B225">
        <v>20</v>
      </c>
      <c r="C225" t="s">
        <v>16</v>
      </c>
      <c r="D225" t="s">
        <v>86</v>
      </c>
      <c r="E225" t="s">
        <v>18</v>
      </c>
      <c r="F225">
        <v>41</v>
      </c>
      <c r="G225" t="s">
        <v>45</v>
      </c>
      <c r="H225" t="s">
        <v>39</v>
      </c>
      <c r="I225" t="s">
        <v>42</v>
      </c>
      <c r="J225" t="s">
        <v>33</v>
      </c>
      <c r="K225">
        <v>4.8</v>
      </c>
      <c r="L225" t="s">
        <v>23</v>
      </c>
      <c r="M225" t="s">
        <v>23</v>
      </c>
      <c r="N225">
        <v>34</v>
      </c>
      <c r="O225" t="s">
        <v>40</v>
      </c>
      <c r="P225" t="s">
        <v>43</v>
      </c>
    </row>
    <row r="226" spans="1:16" ht="14.5" x14ac:dyDescent="0.35">
      <c r="A226">
        <v>225</v>
      </c>
      <c r="B226">
        <v>63</v>
      </c>
      <c r="C226" t="s">
        <v>16</v>
      </c>
      <c r="D226" t="s">
        <v>116</v>
      </c>
      <c r="E226" t="s">
        <v>18</v>
      </c>
      <c r="F226">
        <v>83</v>
      </c>
      <c r="G226" t="s">
        <v>138</v>
      </c>
      <c r="H226" t="s">
        <v>32</v>
      </c>
      <c r="I226" t="s">
        <v>109</v>
      </c>
      <c r="J226" t="s">
        <v>47</v>
      </c>
      <c r="K226">
        <v>2.9</v>
      </c>
      <c r="L226" t="s">
        <v>23</v>
      </c>
      <c r="M226" t="s">
        <v>23</v>
      </c>
      <c r="N226">
        <v>12</v>
      </c>
      <c r="O226" t="s">
        <v>29</v>
      </c>
      <c r="P226" t="s">
        <v>88</v>
      </c>
    </row>
    <row r="227" spans="1:16" ht="14.5" x14ac:dyDescent="0.35">
      <c r="A227">
        <v>226</v>
      </c>
      <c r="B227">
        <v>25</v>
      </c>
      <c r="C227" t="s">
        <v>16</v>
      </c>
      <c r="D227" t="s">
        <v>93</v>
      </c>
      <c r="E227" t="s">
        <v>56</v>
      </c>
      <c r="F227">
        <v>22</v>
      </c>
      <c r="G227" t="s">
        <v>64</v>
      </c>
      <c r="H227" t="s">
        <v>39</v>
      </c>
      <c r="I227" t="s">
        <v>69</v>
      </c>
      <c r="J227" t="s">
        <v>33</v>
      </c>
      <c r="K227">
        <v>3.2</v>
      </c>
      <c r="L227" t="s">
        <v>23</v>
      </c>
      <c r="M227" t="s">
        <v>23</v>
      </c>
      <c r="N227">
        <v>11</v>
      </c>
      <c r="O227" t="s">
        <v>66</v>
      </c>
      <c r="P227" t="s">
        <v>43</v>
      </c>
    </row>
    <row r="228" spans="1:16" ht="14.5" x14ac:dyDescent="0.35">
      <c r="A228">
        <v>227</v>
      </c>
      <c r="B228">
        <v>29</v>
      </c>
      <c r="C228" t="s">
        <v>16</v>
      </c>
      <c r="D228" t="s">
        <v>63</v>
      </c>
      <c r="E228" t="s">
        <v>37</v>
      </c>
      <c r="F228">
        <v>74</v>
      </c>
      <c r="G228" t="s">
        <v>96</v>
      </c>
      <c r="H228" t="s">
        <v>20</v>
      </c>
      <c r="I228" t="s">
        <v>74</v>
      </c>
      <c r="J228" t="s">
        <v>33</v>
      </c>
      <c r="K228">
        <v>3.3</v>
      </c>
      <c r="L228" t="s">
        <v>23</v>
      </c>
      <c r="M228" t="s">
        <v>23</v>
      </c>
      <c r="N228">
        <v>5</v>
      </c>
      <c r="O228" t="s">
        <v>40</v>
      </c>
      <c r="P228" t="s">
        <v>79</v>
      </c>
    </row>
    <row r="229" spans="1:16" ht="14.5" x14ac:dyDescent="0.35">
      <c r="A229">
        <v>228</v>
      </c>
      <c r="B229">
        <v>50</v>
      </c>
      <c r="C229" t="s">
        <v>16</v>
      </c>
      <c r="D229" t="s">
        <v>30</v>
      </c>
      <c r="E229" t="s">
        <v>18</v>
      </c>
      <c r="F229">
        <v>90</v>
      </c>
      <c r="G229" t="s">
        <v>38</v>
      </c>
      <c r="H229" t="s">
        <v>39</v>
      </c>
      <c r="I229" t="s">
        <v>42</v>
      </c>
      <c r="J229" t="s">
        <v>22</v>
      </c>
      <c r="K229">
        <v>4.2</v>
      </c>
      <c r="L229" t="s">
        <v>23</v>
      </c>
      <c r="M229" t="s">
        <v>23</v>
      </c>
      <c r="N229">
        <v>25</v>
      </c>
      <c r="O229" t="s">
        <v>24</v>
      </c>
      <c r="P229" t="s">
        <v>25</v>
      </c>
    </row>
    <row r="230" spans="1:16" ht="14.5" x14ac:dyDescent="0.35">
      <c r="A230">
        <v>229</v>
      </c>
      <c r="B230">
        <v>18</v>
      </c>
      <c r="C230" t="s">
        <v>16</v>
      </c>
      <c r="D230" t="s">
        <v>116</v>
      </c>
      <c r="E230" t="s">
        <v>18</v>
      </c>
      <c r="F230">
        <v>79</v>
      </c>
      <c r="G230" t="s">
        <v>73</v>
      </c>
      <c r="H230" t="s">
        <v>39</v>
      </c>
      <c r="I230" t="s">
        <v>46</v>
      </c>
      <c r="J230" t="s">
        <v>33</v>
      </c>
      <c r="K230">
        <v>2.9</v>
      </c>
      <c r="L230" t="s">
        <v>23</v>
      </c>
      <c r="M230" t="s">
        <v>23</v>
      </c>
      <c r="N230">
        <v>11</v>
      </c>
      <c r="O230" t="s">
        <v>34</v>
      </c>
      <c r="P230" t="s">
        <v>43</v>
      </c>
    </row>
    <row r="231" spans="1:16" ht="14.5" x14ac:dyDescent="0.35">
      <c r="A231">
        <v>230</v>
      </c>
      <c r="B231">
        <v>70</v>
      </c>
      <c r="C231" t="s">
        <v>16</v>
      </c>
      <c r="D231" t="s">
        <v>36</v>
      </c>
      <c r="E231" t="s">
        <v>37</v>
      </c>
      <c r="F231">
        <v>28</v>
      </c>
      <c r="G231" t="s">
        <v>114</v>
      </c>
      <c r="H231" t="s">
        <v>32</v>
      </c>
      <c r="I231" t="s">
        <v>58</v>
      </c>
      <c r="J231" t="s">
        <v>33</v>
      </c>
      <c r="K231">
        <v>4.5999999999999996</v>
      </c>
      <c r="L231" t="s">
        <v>23</v>
      </c>
      <c r="M231" t="s">
        <v>23</v>
      </c>
      <c r="N231">
        <v>27</v>
      </c>
      <c r="O231" t="s">
        <v>40</v>
      </c>
      <c r="P231" t="s">
        <v>88</v>
      </c>
    </row>
    <row r="232" spans="1:16" ht="14.5" x14ac:dyDescent="0.35">
      <c r="A232">
        <v>231</v>
      </c>
      <c r="B232">
        <v>66</v>
      </c>
      <c r="C232" t="s">
        <v>16</v>
      </c>
      <c r="D232" t="s">
        <v>110</v>
      </c>
      <c r="E232" t="s">
        <v>60</v>
      </c>
      <c r="F232">
        <v>88</v>
      </c>
      <c r="G232" t="s">
        <v>131</v>
      </c>
      <c r="H232" t="s">
        <v>20</v>
      </c>
      <c r="I232" t="s">
        <v>69</v>
      </c>
      <c r="J232" t="s">
        <v>50</v>
      </c>
      <c r="K232">
        <v>4.0999999999999996</v>
      </c>
      <c r="L232" t="s">
        <v>23</v>
      </c>
      <c r="M232" t="s">
        <v>23</v>
      </c>
      <c r="N232">
        <v>43</v>
      </c>
      <c r="O232" t="s">
        <v>34</v>
      </c>
      <c r="P232" t="s">
        <v>43</v>
      </c>
    </row>
    <row r="233" spans="1:16" ht="14.5" x14ac:dyDescent="0.35">
      <c r="A233">
        <v>232</v>
      </c>
      <c r="B233">
        <v>28</v>
      </c>
      <c r="C233" t="s">
        <v>16</v>
      </c>
      <c r="D233" t="s">
        <v>17</v>
      </c>
      <c r="E233" t="s">
        <v>18</v>
      </c>
      <c r="F233">
        <v>26</v>
      </c>
      <c r="G233" t="s">
        <v>113</v>
      </c>
      <c r="H233" t="s">
        <v>39</v>
      </c>
      <c r="I233" t="s">
        <v>135</v>
      </c>
      <c r="J233" t="s">
        <v>33</v>
      </c>
      <c r="K233">
        <v>3.1</v>
      </c>
      <c r="L233" t="s">
        <v>23</v>
      </c>
      <c r="M233" t="s">
        <v>23</v>
      </c>
      <c r="N233">
        <v>18</v>
      </c>
      <c r="O233" t="s">
        <v>77</v>
      </c>
      <c r="P233" t="s">
        <v>88</v>
      </c>
    </row>
    <row r="234" spans="1:16" ht="14.5" x14ac:dyDescent="0.35">
      <c r="A234">
        <v>233</v>
      </c>
      <c r="B234">
        <v>54</v>
      </c>
      <c r="C234" t="s">
        <v>16</v>
      </c>
      <c r="D234" t="s">
        <v>97</v>
      </c>
      <c r="E234" t="s">
        <v>60</v>
      </c>
      <c r="F234">
        <v>27</v>
      </c>
      <c r="G234" t="s">
        <v>68</v>
      </c>
      <c r="H234" t="s">
        <v>20</v>
      </c>
      <c r="I234" t="s">
        <v>65</v>
      </c>
      <c r="J234" t="s">
        <v>22</v>
      </c>
      <c r="K234">
        <v>4.2</v>
      </c>
      <c r="L234" t="s">
        <v>23</v>
      </c>
      <c r="M234" t="s">
        <v>23</v>
      </c>
      <c r="N234">
        <v>32</v>
      </c>
      <c r="O234" t="s">
        <v>66</v>
      </c>
      <c r="P234" t="s">
        <v>67</v>
      </c>
    </row>
    <row r="235" spans="1:16" ht="14.5" x14ac:dyDescent="0.35">
      <c r="A235">
        <v>234</v>
      </c>
      <c r="B235">
        <v>19</v>
      </c>
      <c r="C235" t="s">
        <v>16</v>
      </c>
      <c r="D235" t="s">
        <v>26</v>
      </c>
      <c r="E235" t="s">
        <v>18</v>
      </c>
      <c r="F235">
        <v>83</v>
      </c>
      <c r="G235" t="s">
        <v>108</v>
      </c>
      <c r="H235" t="s">
        <v>83</v>
      </c>
      <c r="I235" t="s">
        <v>125</v>
      </c>
      <c r="J235" t="s">
        <v>50</v>
      </c>
      <c r="K235">
        <v>4.5</v>
      </c>
      <c r="L235" t="s">
        <v>23</v>
      </c>
      <c r="M235" t="s">
        <v>23</v>
      </c>
      <c r="N235">
        <v>27</v>
      </c>
      <c r="O235" t="s">
        <v>66</v>
      </c>
      <c r="P235" t="s">
        <v>88</v>
      </c>
    </row>
    <row r="236" spans="1:16" ht="14.5" x14ac:dyDescent="0.35">
      <c r="A236">
        <v>235</v>
      </c>
      <c r="B236">
        <v>20</v>
      </c>
      <c r="C236" t="s">
        <v>16</v>
      </c>
      <c r="D236" t="s">
        <v>134</v>
      </c>
      <c r="E236" t="s">
        <v>60</v>
      </c>
      <c r="F236">
        <v>39</v>
      </c>
      <c r="G236" t="s">
        <v>138</v>
      </c>
      <c r="H236" t="s">
        <v>32</v>
      </c>
      <c r="I236" t="s">
        <v>58</v>
      </c>
      <c r="J236" t="s">
        <v>47</v>
      </c>
      <c r="K236">
        <v>3.7</v>
      </c>
      <c r="L236" t="s">
        <v>23</v>
      </c>
      <c r="M236" t="s">
        <v>23</v>
      </c>
      <c r="N236">
        <v>24</v>
      </c>
      <c r="O236" t="s">
        <v>34</v>
      </c>
      <c r="P236" t="s">
        <v>35</v>
      </c>
    </row>
    <row r="237" spans="1:16" ht="14.5" x14ac:dyDescent="0.35">
      <c r="A237">
        <v>236</v>
      </c>
      <c r="B237">
        <v>43</v>
      </c>
      <c r="C237" t="s">
        <v>16</v>
      </c>
      <c r="D237" t="s">
        <v>80</v>
      </c>
      <c r="E237" t="s">
        <v>60</v>
      </c>
      <c r="F237">
        <v>89</v>
      </c>
      <c r="G237" t="s">
        <v>118</v>
      </c>
      <c r="H237" t="s">
        <v>39</v>
      </c>
      <c r="I237" t="s">
        <v>100</v>
      </c>
      <c r="J237" t="s">
        <v>22</v>
      </c>
      <c r="K237">
        <v>3.7</v>
      </c>
      <c r="L237" t="s">
        <v>23</v>
      </c>
      <c r="M237" t="s">
        <v>23</v>
      </c>
      <c r="N237">
        <v>31</v>
      </c>
      <c r="O237" t="s">
        <v>77</v>
      </c>
      <c r="P237" t="s">
        <v>51</v>
      </c>
    </row>
    <row r="238" spans="1:16" ht="14.5" x14ac:dyDescent="0.35">
      <c r="A238">
        <v>237</v>
      </c>
      <c r="B238">
        <v>38</v>
      </c>
      <c r="C238" t="s">
        <v>16</v>
      </c>
      <c r="D238" t="s">
        <v>55</v>
      </c>
      <c r="E238" t="s">
        <v>56</v>
      </c>
      <c r="F238">
        <v>68</v>
      </c>
      <c r="G238" t="s">
        <v>105</v>
      </c>
      <c r="H238" t="s">
        <v>20</v>
      </c>
      <c r="I238" t="s">
        <v>87</v>
      </c>
      <c r="J238" t="s">
        <v>22</v>
      </c>
      <c r="K238">
        <v>3.4</v>
      </c>
      <c r="L238" t="s">
        <v>23</v>
      </c>
      <c r="M238" t="s">
        <v>23</v>
      </c>
      <c r="N238">
        <v>39</v>
      </c>
      <c r="O238" t="s">
        <v>40</v>
      </c>
      <c r="P238" t="s">
        <v>25</v>
      </c>
    </row>
    <row r="239" spans="1:16" ht="14.5" x14ac:dyDescent="0.35">
      <c r="A239">
        <v>238</v>
      </c>
      <c r="B239">
        <v>50</v>
      </c>
      <c r="C239" t="s">
        <v>16</v>
      </c>
      <c r="D239" t="s">
        <v>72</v>
      </c>
      <c r="E239" t="s">
        <v>18</v>
      </c>
      <c r="F239">
        <v>90</v>
      </c>
      <c r="G239" t="s">
        <v>137</v>
      </c>
      <c r="H239" t="s">
        <v>39</v>
      </c>
      <c r="I239" t="s">
        <v>109</v>
      </c>
      <c r="J239" t="s">
        <v>47</v>
      </c>
      <c r="K239">
        <v>3</v>
      </c>
      <c r="L239" t="s">
        <v>23</v>
      </c>
      <c r="M239" t="s">
        <v>23</v>
      </c>
      <c r="N239">
        <v>36</v>
      </c>
      <c r="O239" t="s">
        <v>77</v>
      </c>
      <c r="P239" t="s">
        <v>25</v>
      </c>
    </row>
    <row r="240" spans="1:16" ht="14.5" x14ac:dyDescent="0.35">
      <c r="A240">
        <v>239</v>
      </c>
      <c r="B240">
        <v>64</v>
      </c>
      <c r="C240" t="s">
        <v>16</v>
      </c>
      <c r="D240" t="s">
        <v>78</v>
      </c>
      <c r="E240" t="s">
        <v>18</v>
      </c>
      <c r="F240">
        <v>34</v>
      </c>
      <c r="G240" t="s">
        <v>114</v>
      </c>
      <c r="H240" t="s">
        <v>39</v>
      </c>
      <c r="I240" t="s">
        <v>91</v>
      </c>
      <c r="J240" t="s">
        <v>50</v>
      </c>
      <c r="K240">
        <v>4.2</v>
      </c>
      <c r="L240" t="s">
        <v>23</v>
      </c>
      <c r="M240" t="s">
        <v>23</v>
      </c>
      <c r="N240">
        <v>5</v>
      </c>
      <c r="O240" t="s">
        <v>29</v>
      </c>
      <c r="P240" t="s">
        <v>43</v>
      </c>
    </row>
    <row r="241" spans="1:16" ht="14.5" x14ac:dyDescent="0.35">
      <c r="A241">
        <v>240</v>
      </c>
      <c r="B241">
        <v>49</v>
      </c>
      <c r="C241" t="s">
        <v>16</v>
      </c>
      <c r="D241" t="s">
        <v>86</v>
      </c>
      <c r="E241" t="s">
        <v>18</v>
      </c>
      <c r="F241">
        <v>51</v>
      </c>
      <c r="G241" t="s">
        <v>120</v>
      </c>
      <c r="H241" t="s">
        <v>20</v>
      </c>
      <c r="I241" t="s">
        <v>125</v>
      </c>
      <c r="J241" t="s">
        <v>47</v>
      </c>
      <c r="K241">
        <v>2.9</v>
      </c>
      <c r="L241" t="s">
        <v>23</v>
      </c>
      <c r="M241" t="s">
        <v>23</v>
      </c>
      <c r="N241">
        <v>47</v>
      </c>
      <c r="O241" t="s">
        <v>34</v>
      </c>
      <c r="P241" t="s">
        <v>67</v>
      </c>
    </row>
    <row r="242" spans="1:16" ht="14.5" x14ac:dyDescent="0.35">
      <c r="A242">
        <v>241</v>
      </c>
      <c r="B242">
        <v>47</v>
      </c>
      <c r="C242" t="s">
        <v>16</v>
      </c>
      <c r="D242" t="s">
        <v>26</v>
      </c>
      <c r="E242" t="s">
        <v>18</v>
      </c>
      <c r="F242">
        <v>45</v>
      </c>
      <c r="G242" t="s">
        <v>49</v>
      </c>
      <c r="H242" t="s">
        <v>83</v>
      </c>
      <c r="I242" t="s">
        <v>42</v>
      </c>
      <c r="J242" t="s">
        <v>22</v>
      </c>
      <c r="K242">
        <v>3.5</v>
      </c>
      <c r="L242" t="s">
        <v>23</v>
      </c>
      <c r="M242" t="s">
        <v>23</v>
      </c>
      <c r="N242">
        <v>29</v>
      </c>
      <c r="O242" t="s">
        <v>66</v>
      </c>
      <c r="P242" t="s">
        <v>25</v>
      </c>
    </row>
    <row r="243" spans="1:16" ht="14.5" x14ac:dyDescent="0.35">
      <c r="A243">
        <v>242</v>
      </c>
      <c r="B243">
        <v>36</v>
      </c>
      <c r="C243" t="s">
        <v>16</v>
      </c>
      <c r="D243" t="s">
        <v>95</v>
      </c>
      <c r="E243" t="s">
        <v>18</v>
      </c>
      <c r="F243">
        <v>88</v>
      </c>
      <c r="G243" t="s">
        <v>70</v>
      </c>
      <c r="H243" t="s">
        <v>39</v>
      </c>
      <c r="I243" t="s">
        <v>91</v>
      </c>
      <c r="J243" t="s">
        <v>22</v>
      </c>
      <c r="K243">
        <v>4.0999999999999996</v>
      </c>
      <c r="L243" t="s">
        <v>23</v>
      </c>
      <c r="M243" t="s">
        <v>23</v>
      </c>
      <c r="N243">
        <v>43</v>
      </c>
      <c r="O243" t="s">
        <v>24</v>
      </c>
      <c r="P243" t="s">
        <v>67</v>
      </c>
    </row>
    <row r="244" spans="1:16" ht="14.5" x14ac:dyDescent="0.35">
      <c r="A244">
        <v>243</v>
      </c>
      <c r="B244">
        <v>55</v>
      </c>
      <c r="C244" t="s">
        <v>16</v>
      </c>
      <c r="D244" t="s">
        <v>55</v>
      </c>
      <c r="E244" t="s">
        <v>56</v>
      </c>
      <c r="F244">
        <v>85</v>
      </c>
      <c r="G244" t="s">
        <v>75</v>
      </c>
      <c r="H244" t="s">
        <v>20</v>
      </c>
      <c r="I244" t="s">
        <v>21</v>
      </c>
      <c r="J244" t="s">
        <v>47</v>
      </c>
      <c r="K244">
        <v>4.3</v>
      </c>
      <c r="L244" t="s">
        <v>23</v>
      </c>
      <c r="M244" t="s">
        <v>23</v>
      </c>
      <c r="N244">
        <v>40</v>
      </c>
      <c r="O244" t="s">
        <v>77</v>
      </c>
      <c r="P244" t="s">
        <v>88</v>
      </c>
    </row>
    <row r="245" spans="1:16" ht="14.5" x14ac:dyDescent="0.35">
      <c r="A245">
        <v>244</v>
      </c>
      <c r="B245">
        <v>25</v>
      </c>
      <c r="C245" t="s">
        <v>16</v>
      </c>
      <c r="D245" t="s">
        <v>97</v>
      </c>
      <c r="E245" t="s">
        <v>60</v>
      </c>
      <c r="F245">
        <v>100</v>
      </c>
      <c r="G245" t="s">
        <v>19</v>
      </c>
      <c r="H245" t="s">
        <v>39</v>
      </c>
      <c r="I245" t="s">
        <v>69</v>
      </c>
      <c r="J245" t="s">
        <v>22</v>
      </c>
      <c r="K245">
        <v>2.8</v>
      </c>
      <c r="L245" t="s">
        <v>23</v>
      </c>
      <c r="M245" t="s">
        <v>23</v>
      </c>
      <c r="N245">
        <v>4</v>
      </c>
      <c r="O245" t="s">
        <v>77</v>
      </c>
      <c r="P245" t="s">
        <v>79</v>
      </c>
    </row>
    <row r="246" spans="1:16" ht="14.5" x14ac:dyDescent="0.35">
      <c r="A246">
        <v>245</v>
      </c>
      <c r="B246">
        <v>53</v>
      </c>
      <c r="C246" t="s">
        <v>16</v>
      </c>
      <c r="D246" t="s">
        <v>124</v>
      </c>
      <c r="E246" t="s">
        <v>60</v>
      </c>
      <c r="F246">
        <v>42</v>
      </c>
      <c r="G246" t="s">
        <v>41</v>
      </c>
      <c r="H246" t="s">
        <v>32</v>
      </c>
      <c r="I246" t="s">
        <v>117</v>
      </c>
      <c r="J246" t="s">
        <v>33</v>
      </c>
      <c r="K246">
        <v>4.9000000000000004</v>
      </c>
      <c r="L246" t="s">
        <v>23</v>
      </c>
      <c r="M246" t="s">
        <v>23</v>
      </c>
      <c r="N246">
        <v>39</v>
      </c>
      <c r="O246" t="s">
        <v>40</v>
      </c>
      <c r="P246" t="s">
        <v>35</v>
      </c>
    </row>
    <row r="247" spans="1:16" ht="14.5" x14ac:dyDescent="0.35">
      <c r="A247">
        <v>246</v>
      </c>
      <c r="B247">
        <v>49</v>
      </c>
      <c r="C247" t="s">
        <v>16</v>
      </c>
      <c r="D247" t="s">
        <v>36</v>
      </c>
      <c r="E247" t="s">
        <v>37</v>
      </c>
      <c r="F247">
        <v>53</v>
      </c>
      <c r="G247" t="s">
        <v>38</v>
      </c>
      <c r="H247" t="s">
        <v>20</v>
      </c>
      <c r="I247" t="s">
        <v>54</v>
      </c>
      <c r="J247" t="s">
        <v>47</v>
      </c>
      <c r="K247">
        <v>3.3</v>
      </c>
      <c r="L247" t="s">
        <v>23</v>
      </c>
      <c r="M247" t="s">
        <v>23</v>
      </c>
      <c r="N247">
        <v>45</v>
      </c>
      <c r="O247" t="s">
        <v>24</v>
      </c>
      <c r="P247" t="s">
        <v>25</v>
      </c>
    </row>
    <row r="248" spans="1:16" ht="14.5" x14ac:dyDescent="0.35">
      <c r="A248">
        <v>247</v>
      </c>
      <c r="B248">
        <v>35</v>
      </c>
      <c r="C248" t="s">
        <v>16</v>
      </c>
      <c r="D248" t="s">
        <v>80</v>
      </c>
      <c r="E248" t="s">
        <v>60</v>
      </c>
      <c r="F248">
        <v>86</v>
      </c>
      <c r="G248" t="s">
        <v>98</v>
      </c>
      <c r="H248" t="s">
        <v>83</v>
      </c>
      <c r="I248" t="s">
        <v>109</v>
      </c>
      <c r="J248" t="s">
        <v>33</v>
      </c>
      <c r="K248">
        <v>3.2</v>
      </c>
      <c r="L248" t="s">
        <v>23</v>
      </c>
      <c r="M248" t="s">
        <v>23</v>
      </c>
      <c r="N248">
        <v>20</v>
      </c>
      <c r="O248" t="s">
        <v>24</v>
      </c>
      <c r="P248" t="s">
        <v>67</v>
      </c>
    </row>
    <row r="249" spans="1:16" ht="14.5" x14ac:dyDescent="0.35">
      <c r="A249">
        <v>248</v>
      </c>
      <c r="B249">
        <v>29</v>
      </c>
      <c r="C249" t="s">
        <v>16</v>
      </c>
      <c r="D249" t="s">
        <v>26</v>
      </c>
      <c r="E249" t="s">
        <v>18</v>
      </c>
      <c r="F249">
        <v>66</v>
      </c>
      <c r="G249" t="s">
        <v>49</v>
      </c>
      <c r="H249" t="s">
        <v>83</v>
      </c>
      <c r="I249" t="s">
        <v>101</v>
      </c>
      <c r="J249" t="s">
        <v>33</v>
      </c>
      <c r="K249">
        <v>4.4000000000000004</v>
      </c>
      <c r="L249" t="s">
        <v>23</v>
      </c>
      <c r="M249" t="s">
        <v>23</v>
      </c>
      <c r="N249">
        <v>14</v>
      </c>
      <c r="O249" t="s">
        <v>77</v>
      </c>
      <c r="P249" t="s">
        <v>35</v>
      </c>
    </row>
    <row r="250" spans="1:16" ht="14.5" x14ac:dyDescent="0.35">
      <c r="A250">
        <v>249</v>
      </c>
      <c r="B250">
        <v>47</v>
      </c>
      <c r="C250" t="s">
        <v>16</v>
      </c>
      <c r="D250" t="s">
        <v>124</v>
      </c>
      <c r="E250" t="s">
        <v>60</v>
      </c>
      <c r="F250">
        <v>100</v>
      </c>
      <c r="G250" t="s">
        <v>129</v>
      </c>
      <c r="H250" t="s">
        <v>39</v>
      </c>
      <c r="I250" t="s">
        <v>135</v>
      </c>
      <c r="J250" t="s">
        <v>22</v>
      </c>
      <c r="K250">
        <v>4.8</v>
      </c>
      <c r="L250" t="s">
        <v>23</v>
      </c>
      <c r="M250" t="s">
        <v>23</v>
      </c>
      <c r="N250">
        <v>33</v>
      </c>
      <c r="O250" t="s">
        <v>40</v>
      </c>
      <c r="P250" t="s">
        <v>35</v>
      </c>
    </row>
    <row r="251" spans="1:16" ht="14.5" x14ac:dyDescent="0.35">
      <c r="A251">
        <v>250</v>
      </c>
      <c r="B251">
        <v>53</v>
      </c>
      <c r="C251" t="s">
        <v>16</v>
      </c>
      <c r="D251" t="s">
        <v>59</v>
      </c>
      <c r="E251" t="s">
        <v>60</v>
      </c>
      <c r="F251">
        <v>47</v>
      </c>
      <c r="G251" t="s">
        <v>111</v>
      </c>
      <c r="H251" t="s">
        <v>32</v>
      </c>
      <c r="I251" t="s">
        <v>76</v>
      </c>
      <c r="J251" t="s">
        <v>50</v>
      </c>
      <c r="K251">
        <v>4.2</v>
      </c>
      <c r="L251" t="s">
        <v>23</v>
      </c>
      <c r="M251" t="s">
        <v>23</v>
      </c>
      <c r="N251">
        <v>18</v>
      </c>
      <c r="O251" t="s">
        <v>34</v>
      </c>
      <c r="P251" t="s">
        <v>43</v>
      </c>
    </row>
    <row r="252" spans="1:16" ht="14.5" x14ac:dyDescent="0.35">
      <c r="A252">
        <v>251</v>
      </c>
      <c r="B252">
        <v>33</v>
      </c>
      <c r="C252" t="s">
        <v>16</v>
      </c>
      <c r="D252" t="s">
        <v>78</v>
      </c>
      <c r="E252" t="s">
        <v>18</v>
      </c>
      <c r="F252">
        <v>25</v>
      </c>
      <c r="G252" t="s">
        <v>82</v>
      </c>
      <c r="H252" t="s">
        <v>20</v>
      </c>
      <c r="I252" t="s">
        <v>85</v>
      </c>
      <c r="J252" t="s">
        <v>50</v>
      </c>
      <c r="K252">
        <v>4</v>
      </c>
      <c r="L252" t="s">
        <v>23</v>
      </c>
      <c r="M252" t="s">
        <v>23</v>
      </c>
      <c r="N252">
        <v>9</v>
      </c>
      <c r="O252" t="s">
        <v>66</v>
      </c>
      <c r="P252" t="s">
        <v>35</v>
      </c>
    </row>
    <row r="253" spans="1:16" ht="14.5" x14ac:dyDescent="0.35">
      <c r="A253">
        <v>252</v>
      </c>
      <c r="B253">
        <v>21</v>
      </c>
      <c r="C253" t="s">
        <v>16</v>
      </c>
      <c r="D253" t="s">
        <v>59</v>
      </c>
      <c r="E253" t="s">
        <v>60</v>
      </c>
      <c r="F253">
        <v>51</v>
      </c>
      <c r="G253" t="s">
        <v>45</v>
      </c>
      <c r="H253" t="s">
        <v>83</v>
      </c>
      <c r="I253" t="s">
        <v>71</v>
      </c>
      <c r="J253" t="s">
        <v>22</v>
      </c>
      <c r="K253">
        <v>2.5</v>
      </c>
      <c r="L253" t="s">
        <v>23</v>
      </c>
      <c r="M253" t="s">
        <v>23</v>
      </c>
      <c r="N253">
        <v>34</v>
      </c>
      <c r="O253" t="s">
        <v>40</v>
      </c>
      <c r="P253" t="s">
        <v>43</v>
      </c>
    </row>
    <row r="254" spans="1:16" ht="14.5" x14ac:dyDescent="0.35">
      <c r="A254">
        <v>253</v>
      </c>
      <c r="B254">
        <v>32</v>
      </c>
      <c r="C254" t="s">
        <v>16</v>
      </c>
      <c r="D254" t="s">
        <v>52</v>
      </c>
      <c r="E254" t="s">
        <v>18</v>
      </c>
      <c r="F254">
        <v>41</v>
      </c>
      <c r="G254" t="s">
        <v>70</v>
      </c>
      <c r="H254" t="s">
        <v>39</v>
      </c>
      <c r="I254" t="s">
        <v>74</v>
      </c>
      <c r="J254" t="s">
        <v>47</v>
      </c>
      <c r="K254">
        <v>3.9</v>
      </c>
      <c r="L254" t="s">
        <v>23</v>
      </c>
      <c r="M254" t="s">
        <v>23</v>
      </c>
      <c r="N254">
        <v>33</v>
      </c>
      <c r="O254" t="s">
        <v>24</v>
      </c>
      <c r="P254" t="s">
        <v>25</v>
      </c>
    </row>
    <row r="255" spans="1:16" ht="14.5" x14ac:dyDescent="0.35">
      <c r="A255">
        <v>254</v>
      </c>
      <c r="B255">
        <v>52</v>
      </c>
      <c r="C255" t="s">
        <v>16</v>
      </c>
      <c r="D255" t="s">
        <v>128</v>
      </c>
      <c r="E255" t="s">
        <v>37</v>
      </c>
      <c r="F255">
        <v>73</v>
      </c>
      <c r="G255" t="s">
        <v>92</v>
      </c>
      <c r="H255" t="s">
        <v>20</v>
      </c>
      <c r="I255" t="s">
        <v>100</v>
      </c>
      <c r="J255" t="s">
        <v>22</v>
      </c>
      <c r="K255">
        <v>4.9000000000000004</v>
      </c>
      <c r="L255" t="s">
        <v>23</v>
      </c>
      <c r="M255" t="s">
        <v>23</v>
      </c>
      <c r="N255">
        <v>15</v>
      </c>
      <c r="O255" t="s">
        <v>66</v>
      </c>
      <c r="P255" t="s">
        <v>67</v>
      </c>
    </row>
    <row r="256" spans="1:16" ht="14.5" x14ac:dyDescent="0.35">
      <c r="A256">
        <v>255</v>
      </c>
      <c r="B256">
        <v>67</v>
      </c>
      <c r="C256" t="s">
        <v>16</v>
      </c>
      <c r="D256" t="s">
        <v>80</v>
      </c>
      <c r="E256" t="s">
        <v>60</v>
      </c>
      <c r="F256">
        <v>42</v>
      </c>
      <c r="G256" t="s">
        <v>107</v>
      </c>
      <c r="H256" t="s">
        <v>39</v>
      </c>
      <c r="I256" t="s">
        <v>46</v>
      </c>
      <c r="J256" t="s">
        <v>22</v>
      </c>
      <c r="K256">
        <v>3.5</v>
      </c>
      <c r="L256" t="s">
        <v>23</v>
      </c>
      <c r="M256" t="s">
        <v>23</v>
      </c>
      <c r="N256">
        <v>4</v>
      </c>
      <c r="O256" t="s">
        <v>40</v>
      </c>
      <c r="P256" t="s">
        <v>67</v>
      </c>
    </row>
    <row r="257" spans="1:16" ht="14.5" x14ac:dyDescent="0.35">
      <c r="A257">
        <v>256</v>
      </c>
      <c r="B257">
        <v>43</v>
      </c>
      <c r="C257" t="s">
        <v>16</v>
      </c>
      <c r="D257" t="s">
        <v>110</v>
      </c>
      <c r="E257" t="s">
        <v>60</v>
      </c>
      <c r="F257">
        <v>20</v>
      </c>
      <c r="G257" t="s">
        <v>119</v>
      </c>
      <c r="H257" t="s">
        <v>39</v>
      </c>
      <c r="I257" t="s">
        <v>54</v>
      </c>
      <c r="J257" t="s">
        <v>33</v>
      </c>
      <c r="K257">
        <v>4.2</v>
      </c>
      <c r="L257" t="s">
        <v>23</v>
      </c>
      <c r="M257" t="s">
        <v>23</v>
      </c>
      <c r="N257">
        <v>25</v>
      </c>
      <c r="O257" t="s">
        <v>77</v>
      </c>
      <c r="P257" t="s">
        <v>43</v>
      </c>
    </row>
    <row r="258" spans="1:16" ht="14.5" x14ac:dyDescent="0.35">
      <c r="A258">
        <v>257</v>
      </c>
      <c r="B258">
        <v>58</v>
      </c>
      <c r="C258" t="s">
        <v>16</v>
      </c>
      <c r="D258" t="s">
        <v>97</v>
      </c>
      <c r="E258" t="s">
        <v>60</v>
      </c>
      <c r="F258">
        <v>30</v>
      </c>
      <c r="G258" t="s">
        <v>138</v>
      </c>
      <c r="H258" t="s">
        <v>83</v>
      </c>
      <c r="I258" t="s">
        <v>74</v>
      </c>
      <c r="J258" t="s">
        <v>33</v>
      </c>
      <c r="K258">
        <v>4.7</v>
      </c>
      <c r="L258" t="s">
        <v>23</v>
      </c>
      <c r="M258" t="s">
        <v>23</v>
      </c>
      <c r="N258">
        <v>20</v>
      </c>
      <c r="O258" t="s">
        <v>34</v>
      </c>
      <c r="P258" t="s">
        <v>88</v>
      </c>
    </row>
    <row r="259" spans="1:16" ht="14.5" x14ac:dyDescent="0.35">
      <c r="A259">
        <v>258</v>
      </c>
      <c r="B259">
        <v>20</v>
      </c>
      <c r="C259" t="s">
        <v>16</v>
      </c>
      <c r="D259" t="s">
        <v>59</v>
      </c>
      <c r="E259" t="s">
        <v>60</v>
      </c>
      <c r="F259">
        <v>53</v>
      </c>
      <c r="G259" t="s">
        <v>57</v>
      </c>
      <c r="H259" t="s">
        <v>39</v>
      </c>
      <c r="I259" t="s">
        <v>99</v>
      </c>
      <c r="J259" t="s">
        <v>47</v>
      </c>
      <c r="K259">
        <v>4.5</v>
      </c>
      <c r="L259" t="s">
        <v>23</v>
      </c>
      <c r="M259" t="s">
        <v>23</v>
      </c>
      <c r="N259">
        <v>5</v>
      </c>
      <c r="O259" t="s">
        <v>34</v>
      </c>
      <c r="P259" t="s">
        <v>51</v>
      </c>
    </row>
    <row r="260" spans="1:16" ht="14.5" x14ac:dyDescent="0.35">
      <c r="A260">
        <v>259</v>
      </c>
      <c r="B260">
        <v>61</v>
      </c>
      <c r="C260" t="s">
        <v>16</v>
      </c>
      <c r="D260" t="s">
        <v>134</v>
      </c>
      <c r="E260" t="s">
        <v>60</v>
      </c>
      <c r="F260">
        <v>74</v>
      </c>
      <c r="G260" t="s">
        <v>81</v>
      </c>
      <c r="H260" t="s">
        <v>32</v>
      </c>
      <c r="I260" t="s">
        <v>84</v>
      </c>
      <c r="J260" t="s">
        <v>33</v>
      </c>
      <c r="K260">
        <v>2.8</v>
      </c>
      <c r="L260" t="s">
        <v>23</v>
      </c>
      <c r="M260" t="s">
        <v>23</v>
      </c>
      <c r="N260">
        <v>16</v>
      </c>
      <c r="O260" t="s">
        <v>29</v>
      </c>
      <c r="P260" t="s">
        <v>51</v>
      </c>
    </row>
    <row r="261" spans="1:16" ht="14.5" x14ac:dyDescent="0.35">
      <c r="A261">
        <v>260</v>
      </c>
      <c r="B261">
        <v>32</v>
      </c>
      <c r="C261" t="s">
        <v>16</v>
      </c>
      <c r="D261" t="s">
        <v>30</v>
      </c>
      <c r="E261" t="s">
        <v>18</v>
      </c>
      <c r="F261">
        <v>57</v>
      </c>
      <c r="G261" t="s">
        <v>53</v>
      </c>
      <c r="H261" t="s">
        <v>39</v>
      </c>
      <c r="I261" t="s">
        <v>71</v>
      </c>
      <c r="J261" t="s">
        <v>50</v>
      </c>
      <c r="K261">
        <v>2.9</v>
      </c>
      <c r="L261" t="s">
        <v>23</v>
      </c>
      <c r="M261" t="s">
        <v>23</v>
      </c>
      <c r="N261">
        <v>13</v>
      </c>
      <c r="O261" t="s">
        <v>77</v>
      </c>
      <c r="P261" t="s">
        <v>43</v>
      </c>
    </row>
    <row r="262" spans="1:16" ht="14.5" x14ac:dyDescent="0.35">
      <c r="A262">
        <v>261</v>
      </c>
      <c r="B262">
        <v>38</v>
      </c>
      <c r="C262" t="s">
        <v>16</v>
      </c>
      <c r="D262" t="s">
        <v>115</v>
      </c>
      <c r="E262" t="s">
        <v>60</v>
      </c>
      <c r="F262">
        <v>57</v>
      </c>
      <c r="G262" t="s">
        <v>49</v>
      </c>
      <c r="H262" t="s">
        <v>32</v>
      </c>
      <c r="I262" t="s">
        <v>99</v>
      </c>
      <c r="J262" t="s">
        <v>22</v>
      </c>
      <c r="K262">
        <v>3.2</v>
      </c>
      <c r="L262" t="s">
        <v>23</v>
      </c>
      <c r="M262" t="s">
        <v>23</v>
      </c>
      <c r="N262">
        <v>11</v>
      </c>
      <c r="O262" t="s">
        <v>34</v>
      </c>
      <c r="P262" t="s">
        <v>88</v>
      </c>
    </row>
    <row r="263" spans="1:16" ht="14.5" x14ac:dyDescent="0.35">
      <c r="A263">
        <v>262</v>
      </c>
      <c r="B263">
        <v>21</v>
      </c>
      <c r="C263" t="s">
        <v>16</v>
      </c>
      <c r="D263" t="s">
        <v>30</v>
      </c>
      <c r="E263" t="s">
        <v>18</v>
      </c>
      <c r="F263">
        <v>77</v>
      </c>
      <c r="G263" t="s">
        <v>90</v>
      </c>
      <c r="H263" t="s">
        <v>20</v>
      </c>
      <c r="I263" t="s">
        <v>127</v>
      </c>
      <c r="J263" t="s">
        <v>22</v>
      </c>
      <c r="K263">
        <v>4.9000000000000004</v>
      </c>
      <c r="L263" t="s">
        <v>23</v>
      </c>
      <c r="M263" t="s">
        <v>23</v>
      </c>
      <c r="N263">
        <v>21</v>
      </c>
      <c r="O263" t="s">
        <v>34</v>
      </c>
      <c r="P263" t="s">
        <v>43</v>
      </c>
    </row>
    <row r="264" spans="1:16" ht="14.5" x14ac:dyDescent="0.35">
      <c r="A264">
        <v>263</v>
      </c>
      <c r="B264">
        <v>37</v>
      </c>
      <c r="C264" t="s">
        <v>16</v>
      </c>
      <c r="D264" t="s">
        <v>86</v>
      </c>
      <c r="E264" t="s">
        <v>18</v>
      </c>
      <c r="F264">
        <v>40</v>
      </c>
      <c r="G264" t="s">
        <v>68</v>
      </c>
      <c r="H264" t="s">
        <v>39</v>
      </c>
      <c r="I264" t="s">
        <v>76</v>
      </c>
      <c r="J264" t="s">
        <v>47</v>
      </c>
      <c r="K264">
        <v>3.7</v>
      </c>
      <c r="L264" t="s">
        <v>23</v>
      </c>
      <c r="M264" t="s">
        <v>23</v>
      </c>
      <c r="N264">
        <v>6</v>
      </c>
      <c r="O264" t="s">
        <v>77</v>
      </c>
      <c r="P264" t="s">
        <v>43</v>
      </c>
    </row>
    <row r="265" spans="1:16" ht="14.5" x14ac:dyDescent="0.35">
      <c r="A265">
        <v>264</v>
      </c>
      <c r="B265">
        <v>27</v>
      </c>
      <c r="C265" t="s">
        <v>16</v>
      </c>
      <c r="D265" t="s">
        <v>52</v>
      </c>
      <c r="E265" t="s">
        <v>18</v>
      </c>
      <c r="F265">
        <v>46</v>
      </c>
      <c r="G265" t="s">
        <v>137</v>
      </c>
      <c r="H265" t="s">
        <v>39</v>
      </c>
      <c r="I265" t="s">
        <v>65</v>
      </c>
      <c r="J265" t="s">
        <v>47</v>
      </c>
      <c r="K265">
        <v>4.3</v>
      </c>
      <c r="L265" t="s">
        <v>23</v>
      </c>
      <c r="M265" t="s">
        <v>23</v>
      </c>
      <c r="N265">
        <v>29</v>
      </c>
      <c r="O265" t="s">
        <v>24</v>
      </c>
      <c r="P265" t="s">
        <v>79</v>
      </c>
    </row>
    <row r="266" spans="1:16" ht="14.5" x14ac:dyDescent="0.35">
      <c r="A266">
        <v>265</v>
      </c>
      <c r="B266">
        <v>36</v>
      </c>
      <c r="C266" t="s">
        <v>16</v>
      </c>
      <c r="D266" t="s">
        <v>86</v>
      </c>
      <c r="E266" t="s">
        <v>18</v>
      </c>
      <c r="F266">
        <v>78</v>
      </c>
      <c r="G266" t="s">
        <v>103</v>
      </c>
      <c r="H266" t="s">
        <v>32</v>
      </c>
      <c r="I266" t="s">
        <v>54</v>
      </c>
      <c r="J266" t="s">
        <v>50</v>
      </c>
      <c r="K266">
        <v>3.9</v>
      </c>
      <c r="L266" t="s">
        <v>23</v>
      </c>
      <c r="M266" t="s">
        <v>23</v>
      </c>
      <c r="N266">
        <v>15</v>
      </c>
      <c r="O266" t="s">
        <v>29</v>
      </c>
      <c r="P266" t="s">
        <v>43</v>
      </c>
    </row>
    <row r="267" spans="1:16" ht="14.5" x14ac:dyDescent="0.35">
      <c r="A267">
        <v>266</v>
      </c>
      <c r="B267">
        <v>32</v>
      </c>
      <c r="C267" t="s">
        <v>16</v>
      </c>
      <c r="D267" t="s">
        <v>123</v>
      </c>
      <c r="E267" t="s">
        <v>60</v>
      </c>
      <c r="F267">
        <v>59</v>
      </c>
      <c r="G267" t="s">
        <v>142</v>
      </c>
      <c r="H267" t="s">
        <v>39</v>
      </c>
      <c r="I267" t="s">
        <v>21</v>
      </c>
      <c r="J267" t="s">
        <v>33</v>
      </c>
      <c r="K267">
        <v>3.2</v>
      </c>
      <c r="L267" t="s">
        <v>23</v>
      </c>
      <c r="M267" t="s">
        <v>23</v>
      </c>
      <c r="N267">
        <v>17</v>
      </c>
      <c r="O267" t="s">
        <v>66</v>
      </c>
      <c r="P267" t="s">
        <v>67</v>
      </c>
    </row>
    <row r="268" spans="1:16" ht="14.5" x14ac:dyDescent="0.35">
      <c r="A268">
        <v>267</v>
      </c>
      <c r="B268">
        <v>51</v>
      </c>
      <c r="C268" t="s">
        <v>16</v>
      </c>
      <c r="D268" t="s">
        <v>97</v>
      </c>
      <c r="E268" t="s">
        <v>60</v>
      </c>
      <c r="F268">
        <v>75</v>
      </c>
      <c r="G268" t="s">
        <v>53</v>
      </c>
      <c r="H268" t="s">
        <v>20</v>
      </c>
      <c r="I268" t="s">
        <v>46</v>
      </c>
      <c r="J268" t="s">
        <v>47</v>
      </c>
      <c r="K268">
        <v>3.1</v>
      </c>
      <c r="L268" t="s">
        <v>23</v>
      </c>
      <c r="M268" t="s">
        <v>23</v>
      </c>
      <c r="N268">
        <v>32</v>
      </c>
      <c r="O268" t="s">
        <v>34</v>
      </c>
      <c r="P268" t="s">
        <v>35</v>
      </c>
    </row>
    <row r="269" spans="1:16" ht="14.5" x14ac:dyDescent="0.35">
      <c r="A269">
        <v>268</v>
      </c>
      <c r="B269">
        <v>64</v>
      </c>
      <c r="C269" t="s">
        <v>16</v>
      </c>
      <c r="D269" t="s">
        <v>26</v>
      </c>
      <c r="E269" t="s">
        <v>18</v>
      </c>
      <c r="F269">
        <v>54</v>
      </c>
      <c r="G269" t="s">
        <v>119</v>
      </c>
      <c r="H269" t="s">
        <v>39</v>
      </c>
      <c r="I269" t="s">
        <v>69</v>
      </c>
      <c r="J269" t="s">
        <v>33</v>
      </c>
      <c r="K269">
        <v>3.9</v>
      </c>
      <c r="L269" t="s">
        <v>23</v>
      </c>
      <c r="M269" t="s">
        <v>23</v>
      </c>
      <c r="N269">
        <v>42</v>
      </c>
      <c r="O269" t="s">
        <v>24</v>
      </c>
      <c r="P269" t="s">
        <v>43</v>
      </c>
    </row>
    <row r="270" spans="1:16" ht="14.5" x14ac:dyDescent="0.35">
      <c r="A270">
        <v>269</v>
      </c>
      <c r="B270">
        <v>68</v>
      </c>
      <c r="C270" t="s">
        <v>16</v>
      </c>
      <c r="D270" t="s">
        <v>63</v>
      </c>
      <c r="E270" t="s">
        <v>37</v>
      </c>
      <c r="F270">
        <v>42</v>
      </c>
      <c r="G270" t="s">
        <v>133</v>
      </c>
      <c r="H270" t="s">
        <v>39</v>
      </c>
      <c r="I270" t="s">
        <v>54</v>
      </c>
      <c r="J270" t="s">
        <v>33</v>
      </c>
      <c r="K270">
        <v>2.6</v>
      </c>
      <c r="L270" t="s">
        <v>23</v>
      </c>
      <c r="M270" t="s">
        <v>23</v>
      </c>
      <c r="N270">
        <v>21</v>
      </c>
      <c r="O270" t="s">
        <v>29</v>
      </c>
      <c r="P270" t="s">
        <v>79</v>
      </c>
    </row>
    <row r="271" spans="1:16" ht="14.5" x14ac:dyDescent="0.35">
      <c r="A271">
        <v>270</v>
      </c>
      <c r="B271">
        <v>68</v>
      </c>
      <c r="C271" t="s">
        <v>16</v>
      </c>
      <c r="D271" t="s">
        <v>17</v>
      </c>
      <c r="E271" t="s">
        <v>18</v>
      </c>
      <c r="F271">
        <v>44</v>
      </c>
      <c r="G271" t="s">
        <v>133</v>
      </c>
      <c r="H271" t="s">
        <v>39</v>
      </c>
      <c r="I271" t="s">
        <v>54</v>
      </c>
      <c r="J271" t="s">
        <v>22</v>
      </c>
      <c r="K271">
        <v>3.3</v>
      </c>
      <c r="L271" t="s">
        <v>23</v>
      </c>
      <c r="M271" t="s">
        <v>23</v>
      </c>
      <c r="N271">
        <v>9</v>
      </c>
      <c r="O271" t="s">
        <v>29</v>
      </c>
      <c r="P271" t="s">
        <v>67</v>
      </c>
    </row>
    <row r="272" spans="1:16" ht="14.5" x14ac:dyDescent="0.35">
      <c r="A272">
        <v>271</v>
      </c>
      <c r="B272">
        <v>33</v>
      </c>
      <c r="C272" t="s">
        <v>16</v>
      </c>
      <c r="D272" t="s">
        <v>30</v>
      </c>
      <c r="E272" t="s">
        <v>18</v>
      </c>
      <c r="F272">
        <v>52</v>
      </c>
      <c r="G272" t="s">
        <v>105</v>
      </c>
      <c r="H272" t="s">
        <v>83</v>
      </c>
      <c r="I272" t="s">
        <v>112</v>
      </c>
      <c r="J272" t="s">
        <v>50</v>
      </c>
      <c r="K272">
        <v>4.5999999999999996</v>
      </c>
      <c r="L272" t="s">
        <v>23</v>
      </c>
      <c r="M272" t="s">
        <v>23</v>
      </c>
      <c r="N272">
        <v>16</v>
      </c>
      <c r="O272" t="s">
        <v>66</v>
      </c>
      <c r="P272" t="s">
        <v>43</v>
      </c>
    </row>
    <row r="273" spans="1:16" ht="14.5" x14ac:dyDescent="0.35">
      <c r="A273">
        <v>272</v>
      </c>
      <c r="B273">
        <v>65</v>
      </c>
      <c r="C273" t="s">
        <v>16</v>
      </c>
      <c r="D273" t="s">
        <v>80</v>
      </c>
      <c r="E273" t="s">
        <v>60</v>
      </c>
      <c r="F273">
        <v>69</v>
      </c>
      <c r="G273" t="s">
        <v>119</v>
      </c>
      <c r="H273" t="s">
        <v>83</v>
      </c>
      <c r="I273" t="s">
        <v>125</v>
      </c>
      <c r="J273" t="s">
        <v>47</v>
      </c>
      <c r="K273">
        <v>4.5999999999999996</v>
      </c>
      <c r="L273" t="s">
        <v>23</v>
      </c>
      <c r="M273" t="s">
        <v>23</v>
      </c>
      <c r="N273">
        <v>42</v>
      </c>
      <c r="O273" t="s">
        <v>34</v>
      </c>
      <c r="P273" t="s">
        <v>25</v>
      </c>
    </row>
    <row r="274" spans="1:16" ht="14.5" x14ac:dyDescent="0.35">
      <c r="A274">
        <v>273</v>
      </c>
      <c r="B274">
        <v>48</v>
      </c>
      <c r="C274" t="s">
        <v>16</v>
      </c>
      <c r="D274" t="s">
        <v>97</v>
      </c>
      <c r="E274" t="s">
        <v>60</v>
      </c>
      <c r="F274">
        <v>26</v>
      </c>
      <c r="G274" t="s">
        <v>41</v>
      </c>
      <c r="H274" t="s">
        <v>39</v>
      </c>
      <c r="I274" t="s">
        <v>109</v>
      </c>
      <c r="J274" t="s">
        <v>47</v>
      </c>
      <c r="K274">
        <v>4.4000000000000004</v>
      </c>
      <c r="L274" t="s">
        <v>23</v>
      </c>
      <c r="M274" t="s">
        <v>23</v>
      </c>
      <c r="N274">
        <v>37</v>
      </c>
      <c r="O274" t="s">
        <v>77</v>
      </c>
      <c r="P274" t="s">
        <v>67</v>
      </c>
    </row>
    <row r="275" spans="1:16" ht="14.5" x14ac:dyDescent="0.35">
      <c r="A275">
        <v>274</v>
      </c>
      <c r="B275">
        <v>69</v>
      </c>
      <c r="C275" t="s">
        <v>16</v>
      </c>
      <c r="D275" t="s">
        <v>55</v>
      </c>
      <c r="E275" t="s">
        <v>56</v>
      </c>
      <c r="F275">
        <v>33</v>
      </c>
      <c r="G275" t="s">
        <v>105</v>
      </c>
      <c r="H275" t="s">
        <v>32</v>
      </c>
      <c r="I275" t="s">
        <v>58</v>
      </c>
      <c r="J275" t="s">
        <v>33</v>
      </c>
      <c r="K275">
        <v>4.2</v>
      </c>
      <c r="L275" t="s">
        <v>23</v>
      </c>
      <c r="M275" t="s">
        <v>23</v>
      </c>
      <c r="N275">
        <v>32</v>
      </c>
      <c r="O275" t="s">
        <v>77</v>
      </c>
      <c r="P275" t="s">
        <v>51</v>
      </c>
    </row>
    <row r="276" spans="1:16" ht="14.5" x14ac:dyDescent="0.35">
      <c r="A276">
        <v>275</v>
      </c>
      <c r="B276">
        <v>59</v>
      </c>
      <c r="C276" t="s">
        <v>16</v>
      </c>
      <c r="D276" t="s">
        <v>97</v>
      </c>
      <c r="E276" t="s">
        <v>60</v>
      </c>
      <c r="F276">
        <v>32</v>
      </c>
      <c r="G276" t="s">
        <v>119</v>
      </c>
      <c r="H276" t="s">
        <v>39</v>
      </c>
      <c r="I276" t="s">
        <v>117</v>
      </c>
      <c r="J276" t="s">
        <v>33</v>
      </c>
      <c r="K276">
        <v>3</v>
      </c>
      <c r="L276" t="s">
        <v>23</v>
      </c>
      <c r="M276" t="s">
        <v>23</v>
      </c>
      <c r="N276">
        <v>28</v>
      </c>
      <c r="O276" t="s">
        <v>29</v>
      </c>
      <c r="P276" t="s">
        <v>67</v>
      </c>
    </row>
    <row r="277" spans="1:16" ht="14.5" x14ac:dyDescent="0.35">
      <c r="A277">
        <v>276</v>
      </c>
      <c r="B277">
        <v>48</v>
      </c>
      <c r="C277" t="s">
        <v>16</v>
      </c>
      <c r="D277" t="s">
        <v>123</v>
      </c>
      <c r="E277" t="s">
        <v>60</v>
      </c>
      <c r="F277">
        <v>85</v>
      </c>
      <c r="G277" t="s">
        <v>132</v>
      </c>
      <c r="H277" t="s">
        <v>83</v>
      </c>
      <c r="I277" t="s">
        <v>84</v>
      </c>
      <c r="J277" t="s">
        <v>22</v>
      </c>
      <c r="K277">
        <v>4</v>
      </c>
      <c r="L277" t="s">
        <v>23</v>
      </c>
      <c r="M277" t="s">
        <v>23</v>
      </c>
      <c r="N277">
        <v>13</v>
      </c>
      <c r="O277" t="s">
        <v>34</v>
      </c>
      <c r="P277" t="s">
        <v>35</v>
      </c>
    </row>
    <row r="278" spans="1:16" ht="14.5" x14ac:dyDescent="0.35">
      <c r="A278">
        <v>277</v>
      </c>
      <c r="B278">
        <v>25</v>
      </c>
      <c r="C278" t="s">
        <v>16</v>
      </c>
      <c r="D278" t="s">
        <v>78</v>
      </c>
      <c r="E278" t="s">
        <v>18</v>
      </c>
      <c r="F278">
        <v>30</v>
      </c>
      <c r="G278" t="s">
        <v>138</v>
      </c>
      <c r="H278" t="s">
        <v>83</v>
      </c>
      <c r="I278" t="s">
        <v>42</v>
      </c>
      <c r="J278" t="s">
        <v>50</v>
      </c>
      <c r="K278">
        <v>3.5</v>
      </c>
      <c r="L278" t="s">
        <v>23</v>
      </c>
      <c r="M278" t="s">
        <v>23</v>
      </c>
      <c r="N278">
        <v>11</v>
      </c>
      <c r="O278" t="s">
        <v>66</v>
      </c>
      <c r="P278" t="s">
        <v>25</v>
      </c>
    </row>
    <row r="279" spans="1:16" ht="14.5" x14ac:dyDescent="0.35">
      <c r="A279">
        <v>278</v>
      </c>
      <c r="B279">
        <v>29</v>
      </c>
      <c r="C279" t="s">
        <v>16</v>
      </c>
      <c r="D279" t="s">
        <v>48</v>
      </c>
      <c r="E279" t="s">
        <v>18</v>
      </c>
      <c r="F279">
        <v>29</v>
      </c>
      <c r="G279" t="s">
        <v>133</v>
      </c>
      <c r="H279" t="s">
        <v>39</v>
      </c>
      <c r="I279" t="s">
        <v>87</v>
      </c>
      <c r="J279" t="s">
        <v>22</v>
      </c>
      <c r="K279">
        <v>3</v>
      </c>
      <c r="L279" t="s">
        <v>23</v>
      </c>
      <c r="M279" t="s">
        <v>23</v>
      </c>
      <c r="N279">
        <v>36</v>
      </c>
      <c r="O279" t="s">
        <v>66</v>
      </c>
      <c r="P279" t="s">
        <v>67</v>
      </c>
    </row>
    <row r="280" spans="1:16" ht="14.5" x14ac:dyDescent="0.35">
      <c r="A280">
        <v>279</v>
      </c>
      <c r="B280">
        <v>57</v>
      </c>
      <c r="C280" t="s">
        <v>16</v>
      </c>
      <c r="D280" t="s">
        <v>26</v>
      </c>
      <c r="E280" t="s">
        <v>18</v>
      </c>
      <c r="F280">
        <v>95</v>
      </c>
      <c r="G280" t="s">
        <v>68</v>
      </c>
      <c r="H280" t="s">
        <v>39</v>
      </c>
      <c r="I280" t="s">
        <v>112</v>
      </c>
      <c r="J280" t="s">
        <v>33</v>
      </c>
      <c r="K280">
        <v>3.7</v>
      </c>
      <c r="L280" t="s">
        <v>23</v>
      </c>
      <c r="M280" t="s">
        <v>23</v>
      </c>
      <c r="N280">
        <v>23</v>
      </c>
      <c r="O280" t="s">
        <v>77</v>
      </c>
      <c r="P280" t="s">
        <v>43</v>
      </c>
    </row>
    <row r="281" spans="1:16" ht="14.5" x14ac:dyDescent="0.35">
      <c r="A281">
        <v>280</v>
      </c>
      <c r="B281">
        <v>23</v>
      </c>
      <c r="C281" t="s">
        <v>16</v>
      </c>
      <c r="D281" t="s">
        <v>44</v>
      </c>
      <c r="E281" t="s">
        <v>37</v>
      </c>
      <c r="F281">
        <v>69</v>
      </c>
      <c r="G281" t="s">
        <v>64</v>
      </c>
      <c r="H281" t="s">
        <v>20</v>
      </c>
      <c r="I281" t="s">
        <v>42</v>
      </c>
      <c r="J281" t="s">
        <v>47</v>
      </c>
      <c r="K281">
        <v>4</v>
      </c>
      <c r="L281" t="s">
        <v>23</v>
      </c>
      <c r="M281" t="s">
        <v>23</v>
      </c>
      <c r="N281">
        <v>37</v>
      </c>
      <c r="O281" t="s">
        <v>66</v>
      </c>
      <c r="P281" t="s">
        <v>79</v>
      </c>
    </row>
    <row r="282" spans="1:16" ht="14.5" x14ac:dyDescent="0.35">
      <c r="A282">
        <v>281</v>
      </c>
      <c r="B282">
        <v>45</v>
      </c>
      <c r="C282" t="s">
        <v>16</v>
      </c>
      <c r="D282" t="s">
        <v>36</v>
      </c>
      <c r="E282" t="s">
        <v>37</v>
      </c>
      <c r="F282">
        <v>69</v>
      </c>
      <c r="G282" t="s">
        <v>49</v>
      </c>
      <c r="H282" t="s">
        <v>32</v>
      </c>
      <c r="I282" t="s">
        <v>100</v>
      </c>
      <c r="J282" t="s">
        <v>50</v>
      </c>
      <c r="K282">
        <v>4.2</v>
      </c>
      <c r="L282" t="s">
        <v>23</v>
      </c>
      <c r="M282" t="s">
        <v>23</v>
      </c>
      <c r="N282">
        <v>21</v>
      </c>
      <c r="O282" t="s">
        <v>29</v>
      </c>
      <c r="P282" t="s">
        <v>67</v>
      </c>
    </row>
    <row r="283" spans="1:16" ht="14.5" x14ac:dyDescent="0.35">
      <c r="A283">
        <v>282</v>
      </c>
      <c r="B283">
        <v>38</v>
      </c>
      <c r="C283" t="s">
        <v>16</v>
      </c>
      <c r="D283" t="s">
        <v>124</v>
      </c>
      <c r="E283" t="s">
        <v>60</v>
      </c>
      <c r="F283">
        <v>61</v>
      </c>
      <c r="G283" t="s">
        <v>92</v>
      </c>
      <c r="H283" t="s">
        <v>83</v>
      </c>
      <c r="I283" t="s">
        <v>54</v>
      </c>
      <c r="J283" t="s">
        <v>33</v>
      </c>
      <c r="K283">
        <v>2.5</v>
      </c>
      <c r="L283" t="s">
        <v>23</v>
      </c>
      <c r="M283" t="s">
        <v>23</v>
      </c>
      <c r="N283">
        <v>22</v>
      </c>
      <c r="O283" t="s">
        <v>77</v>
      </c>
      <c r="P283" t="s">
        <v>67</v>
      </c>
    </row>
    <row r="284" spans="1:16" ht="14.5" x14ac:dyDescent="0.35">
      <c r="A284">
        <v>283</v>
      </c>
      <c r="B284">
        <v>21</v>
      </c>
      <c r="C284" t="s">
        <v>16</v>
      </c>
      <c r="D284" t="s">
        <v>78</v>
      </c>
      <c r="E284" t="s">
        <v>18</v>
      </c>
      <c r="F284">
        <v>94</v>
      </c>
      <c r="G284" t="s">
        <v>139</v>
      </c>
      <c r="H284" t="s">
        <v>39</v>
      </c>
      <c r="I284" t="s">
        <v>76</v>
      </c>
      <c r="J284" t="s">
        <v>47</v>
      </c>
      <c r="K284">
        <v>3</v>
      </c>
      <c r="L284" t="s">
        <v>23</v>
      </c>
      <c r="M284" t="s">
        <v>23</v>
      </c>
      <c r="N284">
        <v>9</v>
      </c>
      <c r="O284" t="s">
        <v>29</v>
      </c>
      <c r="P284" t="s">
        <v>79</v>
      </c>
    </row>
    <row r="285" spans="1:16" ht="14.5" x14ac:dyDescent="0.35">
      <c r="A285">
        <v>284</v>
      </c>
      <c r="B285">
        <v>32</v>
      </c>
      <c r="C285" t="s">
        <v>16</v>
      </c>
      <c r="D285" t="s">
        <v>26</v>
      </c>
      <c r="E285" t="s">
        <v>18</v>
      </c>
      <c r="F285">
        <v>30</v>
      </c>
      <c r="G285" t="s">
        <v>49</v>
      </c>
      <c r="H285" t="s">
        <v>32</v>
      </c>
      <c r="I285" t="s">
        <v>28</v>
      </c>
      <c r="J285" t="s">
        <v>50</v>
      </c>
      <c r="K285">
        <v>3.2</v>
      </c>
      <c r="L285" t="s">
        <v>23</v>
      </c>
      <c r="M285" t="s">
        <v>23</v>
      </c>
      <c r="N285">
        <v>16</v>
      </c>
      <c r="O285" t="s">
        <v>24</v>
      </c>
      <c r="P285" t="s">
        <v>43</v>
      </c>
    </row>
    <row r="286" spans="1:16" ht="14.5" x14ac:dyDescent="0.35">
      <c r="A286">
        <v>285</v>
      </c>
      <c r="B286">
        <v>63</v>
      </c>
      <c r="C286" t="s">
        <v>16</v>
      </c>
      <c r="D286" t="s">
        <v>78</v>
      </c>
      <c r="E286" t="s">
        <v>18</v>
      </c>
      <c r="F286">
        <v>45</v>
      </c>
      <c r="G286" t="s">
        <v>114</v>
      </c>
      <c r="H286" t="s">
        <v>39</v>
      </c>
      <c r="I286" t="s">
        <v>99</v>
      </c>
      <c r="J286" t="s">
        <v>47</v>
      </c>
      <c r="K286">
        <v>3.5</v>
      </c>
      <c r="L286" t="s">
        <v>23</v>
      </c>
      <c r="M286" t="s">
        <v>23</v>
      </c>
      <c r="N286">
        <v>4</v>
      </c>
      <c r="O286" t="s">
        <v>40</v>
      </c>
      <c r="P286" t="s">
        <v>51</v>
      </c>
    </row>
    <row r="287" spans="1:16" ht="14.5" x14ac:dyDescent="0.35">
      <c r="A287">
        <v>286</v>
      </c>
      <c r="B287">
        <v>29</v>
      </c>
      <c r="C287" t="s">
        <v>16</v>
      </c>
      <c r="D287" t="s">
        <v>59</v>
      </c>
      <c r="E287" t="s">
        <v>60</v>
      </c>
      <c r="F287">
        <v>39</v>
      </c>
      <c r="G287" t="s">
        <v>19</v>
      </c>
      <c r="H287" t="s">
        <v>83</v>
      </c>
      <c r="I287" t="s">
        <v>125</v>
      </c>
      <c r="J287" t="s">
        <v>47</v>
      </c>
      <c r="K287">
        <v>4.8</v>
      </c>
      <c r="L287" t="s">
        <v>23</v>
      </c>
      <c r="M287" t="s">
        <v>23</v>
      </c>
      <c r="N287">
        <v>3</v>
      </c>
      <c r="O287" t="s">
        <v>77</v>
      </c>
      <c r="P287" t="s">
        <v>67</v>
      </c>
    </row>
    <row r="288" spans="1:16" ht="14.5" x14ac:dyDescent="0.35">
      <c r="A288">
        <v>287</v>
      </c>
      <c r="B288">
        <v>27</v>
      </c>
      <c r="C288" t="s">
        <v>16</v>
      </c>
      <c r="D288" t="s">
        <v>97</v>
      </c>
      <c r="E288" t="s">
        <v>60</v>
      </c>
      <c r="F288">
        <v>51</v>
      </c>
      <c r="G288" t="s">
        <v>136</v>
      </c>
      <c r="H288" t="s">
        <v>20</v>
      </c>
      <c r="I288" t="s">
        <v>21</v>
      </c>
      <c r="J288" t="s">
        <v>47</v>
      </c>
      <c r="K288">
        <v>2.6</v>
      </c>
      <c r="L288" t="s">
        <v>23</v>
      </c>
      <c r="M288" t="s">
        <v>23</v>
      </c>
      <c r="N288">
        <v>6</v>
      </c>
      <c r="O288" t="s">
        <v>77</v>
      </c>
      <c r="P288" t="s">
        <v>43</v>
      </c>
    </row>
    <row r="289" spans="1:16" ht="14.5" x14ac:dyDescent="0.35">
      <c r="A289">
        <v>288</v>
      </c>
      <c r="B289">
        <v>56</v>
      </c>
      <c r="C289" t="s">
        <v>16</v>
      </c>
      <c r="D289" t="s">
        <v>110</v>
      </c>
      <c r="E289" t="s">
        <v>60</v>
      </c>
      <c r="F289">
        <v>37</v>
      </c>
      <c r="G289" t="s">
        <v>70</v>
      </c>
      <c r="H289" t="s">
        <v>20</v>
      </c>
      <c r="I289" t="s">
        <v>135</v>
      </c>
      <c r="J289" t="s">
        <v>33</v>
      </c>
      <c r="K289">
        <v>3.4</v>
      </c>
      <c r="L289" t="s">
        <v>23</v>
      </c>
      <c r="M289" t="s">
        <v>23</v>
      </c>
      <c r="N289">
        <v>18</v>
      </c>
      <c r="O289" t="s">
        <v>24</v>
      </c>
      <c r="P289" t="s">
        <v>25</v>
      </c>
    </row>
    <row r="290" spans="1:16" ht="14.5" x14ac:dyDescent="0.35">
      <c r="A290">
        <v>289</v>
      </c>
      <c r="B290">
        <v>30</v>
      </c>
      <c r="C290" t="s">
        <v>16</v>
      </c>
      <c r="D290" t="s">
        <v>104</v>
      </c>
      <c r="E290" t="s">
        <v>18</v>
      </c>
      <c r="F290">
        <v>62</v>
      </c>
      <c r="G290" t="s">
        <v>89</v>
      </c>
      <c r="H290" t="s">
        <v>39</v>
      </c>
      <c r="I290" t="s">
        <v>84</v>
      </c>
      <c r="J290" t="s">
        <v>22</v>
      </c>
      <c r="K290">
        <v>3.7</v>
      </c>
      <c r="L290" t="s">
        <v>23</v>
      </c>
      <c r="M290" t="s">
        <v>23</v>
      </c>
      <c r="N290">
        <v>34</v>
      </c>
      <c r="O290" t="s">
        <v>24</v>
      </c>
      <c r="P290" t="s">
        <v>67</v>
      </c>
    </row>
    <row r="291" spans="1:16" ht="14.5" x14ac:dyDescent="0.35">
      <c r="A291">
        <v>290</v>
      </c>
      <c r="B291">
        <v>49</v>
      </c>
      <c r="C291" t="s">
        <v>16</v>
      </c>
      <c r="D291" t="s">
        <v>55</v>
      </c>
      <c r="E291" t="s">
        <v>56</v>
      </c>
      <c r="F291">
        <v>85</v>
      </c>
      <c r="G291" t="s">
        <v>75</v>
      </c>
      <c r="H291" t="s">
        <v>39</v>
      </c>
      <c r="I291" t="s">
        <v>125</v>
      </c>
      <c r="J291" t="s">
        <v>50</v>
      </c>
      <c r="K291">
        <v>4.5</v>
      </c>
      <c r="L291" t="s">
        <v>23</v>
      </c>
      <c r="M291" t="s">
        <v>23</v>
      </c>
      <c r="N291">
        <v>26</v>
      </c>
      <c r="O291" t="s">
        <v>34</v>
      </c>
      <c r="P291" t="s">
        <v>79</v>
      </c>
    </row>
    <row r="292" spans="1:16" ht="14.5" x14ac:dyDescent="0.35">
      <c r="A292">
        <v>291</v>
      </c>
      <c r="B292">
        <v>58</v>
      </c>
      <c r="C292" t="s">
        <v>16</v>
      </c>
      <c r="D292" t="s">
        <v>104</v>
      </c>
      <c r="E292" t="s">
        <v>18</v>
      </c>
      <c r="F292">
        <v>33</v>
      </c>
      <c r="G292" t="s">
        <v>103</v>
      </c>
      <c r="H292" t="s">
        <v>39</v>
      </c>
      <c r="I292" t="s">
        <v>117</v>
      </c>
      <c r="J292" t="s">
        <v>22</v>
      </c>
      <c r="K292">
        <v>3.7</v>
      </c>
      <c r="L292" t="s">
        <v>23</v>
      </c>
      <c r="M292" t="s">
        <v>23</v>
      </c>
      <c r="N292">
        <v>50</v>
      </c>
      <c r="O292" t="s">
        <v>40</v>
      </c>
      <c r="P292" t="s">
        <v>35</v>
      </c>
    </row>
    <row r="293" spans="1:16" ht="14.5" x14ac:dyDescent="0.35">
      <c r="A293">
        <v>292</v>
      </c>
      <c r="B293">
        <v>57</v>
      </c>
      <c r="C293" t="s">
        <v>16</v>
      </c>
      <c r="D293" t="s">
        <v>72</v>
      </c>
      <c r="E293" t="s">
        <v>18</v>
      </c>
      <c r="F293">
        <v>26</v>
      </c>
      <c r="G293" t="s">
        <v>70</v>
      </c>
      <c r="H293" t="s">
        <v>83</v>
      </c>
      <c r="I293" t="s">
        <v>74</v>
      </c>
      <c r="J293" t="s">
        <v>50</v>
      </c>
      <c r="K293">
        <v>3.3</v>
      </c>
      <c r="L293" t="s">
        <v>23</v>
      </c>
      <c r="M293" t="s">
        <v>23</v>
      </c>
      <c r="N293">
        <v>40</v>
      </c>
      <c r="O293" t="s">
        <v>66</v>
      </c>
      <c r="P293" t="s">
        <v>79</v>
      </c>
    </row>
    <row r="294" spans="1:16" ht="14.5" x14ac:dyDescent="0.35">
      <c r="A294">
        <v>293</v>
      </c>
      <c r="B294">
        <v>60</v>
      </c>
      <c r="C294" t="s">
        <v>16</v>
      </c>
      <c r="D294" t="s">
        <v>63</v>
      </c>
      <c r="E294" t="s">
        <v>37</v>
      </c>
      <c r="F294">
        <v>99</v>
      </c>
      <c r="G294" t="s">
        <v>131</v>
      </c>
      <c r="H294" t="s">
        <v>39</v>
      </c>
      <c r="I294" t="s">
        <v>87</v>
      </c>
      <c r="J294" t="s">
        <v>33</v>
      </c>
      <c r="K294">
        <v>4.7</v>
      </c>
      <c r="L294" t="s">
        <v>23</v>
      </c>
      <c r="M294" t="s">
        <v>23</v>
      </c>
      <c r="N294">
        <v>24</v>
      </c>
      <c r="O294" t="s">
        <v>29</v>
      </c>
      <c r="P294" t="s">
        <v>51</v>
      </c>
    </row>
    <row r="295" spans="1:16" ht="14.5" x14ac:dyDescent="0.35">
      <c r="A295">
        <v>294</v>
      </c>
      <c r="B295">
        <v>69</v>
      </c>
      <c r="C295" t="s">
        <v>16</v>
      </c>
      <c r="D295" t="s">
        <v>59</v>
      </c>
      <c r="E295" t="s">
        <v>60</v>
      </c>
      <c r="F295">
        <v>39</v>
      </c>
      <c r="G295" t="s">
        <v>130</v>
      </c>
      <c r="H295" t="s">
        <v>39</v>
      </c>
      <c r="I295" t="s">
        <v>46</v>
      </c>
      <c r="J295" t="s">
        <v>33</v>
      </c>
      <c r="K295">
        <v>2.7</v>
      </c>
      <c r="L295" t="s">
        <v>23</v>
      </c>
      <c r="M295" t="s">
        <v>23</v>
      </c>
      <c r="N295">
        <v>33</v>
      </c>
      <c r="O295" t="s">
        <v>40</v>
      </c>
      <c r="P295" t="s">
        <v>43</v>
      </c>
    </row>
    <row r="296" spans="1:16" ht="14.5" x14ac:dyDescent="0.35">
      <c r="A296">
        <v>295</v>
      </c>
      <c r="B296">
        <v>70</v>
      </c>
      <c r="C296" t="s">
        <v>16</v>
      </c>
      <c r="D296" t="s">
        <v>78</v>
      </c>
      <c r="E296" t="s">
        <v>18</v>
      </c>
      <c r="F296">
        <v>20</v>
      </c>
      <c r="G296" t="s">
        <v>118</v>
      </c>
      <c r="H296" t="s">
        <v>39</v>
      </c>
      <c r="I296" t="s">
        <v>71</v>
      </c>
      <c r="J296" t="s">
        <v>33</v>
      </c>
      <c r="K296">
        <v>4.5999999999999996</v>
      </c>
      <c r="L296" t="s">
        <v>23</v>
      </c>
      <c r="M296" t="s">
        <v>23</v>
      </c>
      <c r="N296">
        <v>19</v>
      </c>
      <c r="O296" t="s">
        <v>34</v>
      </c>
      <c r="P296" t="s">
        <v>88</v>
      </c>
    </row>
    <row r="297" spans="1:16" ht="14.5" x14ac:dyDescent="0.35">
      <c r="A297">
        <v>296</v>
      </c>
      <c r="B297">
        <v>53</v>
      </c>
      <c r="C297" t="s">
        <v>16</v>
      </c>
      <c r="D297" t="s">
        <v>80</v>
      </c>
      <c r="E297" t="s">
        <v>60</v>
      </c>
      <c r="F297">
        <v>42</v>
      </c>
      <c r="G297" t="s">
        <v>57</v>
      </c>
      <c r="H297" t="s">
        <v>39</v>
      </c>
      <c r="I297" t="s">
        <v>117</v>
      </c>
      <c r="J297" t="s">
        <v>22</v>
      </c>
      <c r="K297">
        <v>2.7</v>
      </c>
      <c r="L297" t="s">
        <v>23</v>
      </c>
      <c r="M297" t="s">
        <v>23</v>
      </c>
      <c r="N297">
        <v>24</v>
      </c>
      <c r="O297" t="s">
        <v>34</v>
      </c>
      <c r="P297" t="s">
        <v>51</v>
      </c>
    </row>
    <row r="298" spans="1:16" ht="14.5" x14ac:dyDescent="0.35">
      <c r="A298">
        <v>297</v>
      </c>
      <c r="B298">
        <v>25</v>
      </c>
      <c r="C298" t="s">
        <v>16</v>
      </c>
      <c r="D298" t="s">
        <v>36</v>
      </c>
      <c r="E298" t="s">
        <v>37</v>
      </c>
      <c r="F298">
        <v>74</v>
      </c>
      <c r="G298" t="s">
        <v>107</v>
      </c>
      <c r="H298" t="s">
        <v>32</v>
      </c>
      <c r="I298" t="s">
        <v>84</v>
      </c>
      <c r="J298" t="s">
        <v>33</v>
      </c>
      <c r="K298">
        <v>4.8</v>
      </c>
      <c r="L298" t="s">
        <v>23</v>
      </c>
      <c r="M298" t="s">
        <v>23</v>
      </c>
      <c r="N298">
        <v>19</v>
      </c>
      <c r="O298" t="s">
        <v>34</v>
      </c>
      <c r="P298" t="s">
        <v>35</v>
      </c>
    </row>
    <row r="299" spans="1:16" ht="14.5" x14ac:dyDescent="0.35">
      <c r="A299">
        <v>298</v>
      </c>
      <c r="B299">
        <v>48</v>
      </c>
      <c r="C299" t="s">
        <v>16</v>
      </c>
      <c r="D299" t="s">
        <v>63</v>
      </c>
      <c r="E299" t="s">
        <v>37</v>
      </c>
      <c r="F299">
        <v>26</v>
      </c>
      <c r="G299" t="s">
        <v>70</v>
      </c>
      <c r="H299" t="s">
        <v>83</v>
      </c>
      <c r="I299" t="s">
        <v>65</v>
      </c>
      <c r="J299" t="s">
        <v>47</v>
      </c>
      <c r="K299">
        <v>4.4000000000000004</v>
      </c>
      <c r="L299" t="s">
        <v>23</v>
      </c>
      <c r="M299" t="s">
        <v>23</v>
      </c>
      <c r="N299">
        <v>4</v>
      </c>
      <c r="O299" t="s">
        <v>34</v>
      </c>
      <c r="P299" t="s">
        <v>67</v>
      </c>
    </row>
    <row r="300" spans="1:16" ht="14.5" x14ac:dyDescent="0.35">
      <c r="A300">
        <v>299</v>
      </c>
      <c r="B300">
        <v>69</v>
      </c>
      <c r="C300" t="s">
        <v>16</v>
      </c>
      <c r="D300" t="s">
        <v>104</v>
      </c>
      <c r="E300" t="s">
        <v>18</v>
      </c>
      <c r="F300">
        <v>53</v>
      </c>
      <c r="G300" t="s">
        <v>119</v>
      </c>
      <c r="H300" t="s">
        <v>39</v>
      </c>
      <c r="I300" t="s">
        <v>84</v>
      </c>
      <c r="J300" t="s">
        <v>22</v>
      </c>
      <c r="K300">
        <v>4</v>
      </c>
      <c r="L300" t="s">
        <v>23</v>
      </c>
      <c r="M300" t="s">
        <v>23</v>
      </c>
      <c r="N300">
        <v>11</v>
      </c>
      <c r="O300" t="s">
        <v>24</v>
      </c>
      <c r="P300" t="s">
        <v>88</v>
      </c>
    </row>
    <row r="301" spans="1:16" ht="14.5" x14ac:dyDescent="0.35">
      <c r="A301">
        <v>300</v>
      </c>
      <c r="B301">
        <v>25</v>
      </c>
      <c r="C301" t="s">
        <v>16</v>
      </c>
      <c r="D301" t="s">
        <v>44</v>
      </c>
      <c r="E301" t="s">
        <v>37</v>
      </c>
      <c r="F301">
        <v>80</v>
      </c>
      <c r="G301" t="s">
        <v>129</v>
      </c>
      <c r="H301" t="s">
        <v>39</v>
      </c>
      <c r="I301" t="s">
        <v>28</v>
      </c>
      <c r="J301" t="s">
        <v>47</v>
      </c>
      <c r="K301">
        <v>3.2</v>
      </c>
      <c r="L301" t="s">
        <v>23</v>
      </c>
      <c r="M301" t="s">
        <v>23</v>
      </c>
      <c r="N301">
        <v>28</v>
      </c>
      <c r="O301" t="s">
        <v>40</v>
      </c>
      <c r="P301" t="s">
        <v>25</v>
      </c>
    </row>
    <row r="302" spans="1:16" ht="14.5" x14ac:dyDescent="0.35">
      <c r="A302">
        <v>301</v>
      </c>
      <c r="B302">
        <v>29</v>
      </c>
      <c r="C302" t="s">
        <v>16</v>
      </c>
      <c r="D302" t="s">
        <v>115</v>
      </c>
      <c r="E302" t="s">
        <v>60</v>
      </c>
      <c r="F302">
        <v>98</v>
      </c>
      <c r="G302" t="s">
        <v>137</v>
      </c>
      <c r="H302" t="s">
        <v>39</v>
      </c>
      <c r="I302" t="s">
        <v>76</v>
      </c>
      <c r="J302" t="s">
        <v>33</v>
      </c>
      <c r="K302">
        <v>4.4000000000000004</v>
      </c>
      <c r="L302" t="s">
        <v>23</v>
      </c>
      <c r="M302" t="s">
        <v>23</v>
      </c>
      <c r="N302">
        <v>24</v>
      </c>
      <c r="O302" t="s">
        <v>40</v>
      </c>
      <c r="P302" t="s">
        <v>35</v>
      </c>
    </row>
    <row r="303" spans="1:16" ht="14.5" x14ac:dyDescent="0.35">
      <c r="A303">
        <v>302</v>
      </c>
      <c r="B303">
        <v>46</v>
      </c>
      <c r="C303" t="s">
        <v>16</v>
      </c>
      <c r="D303" t="s">
        <v>78</v>
      </c>
      <c r="E303" t="s">
        <v>18</v>
      </c>
      <c r="F303">
        <v>95</v>
      </c>
      <c r="G303" t="s">
        <v>129</v>
      </c>
      <c r="H303" t="s">
        <v>39</v>
      </c>
      <c r="I303" t="s">
        <v>87</v>
      </c>
      <c r="J303" t="s">
        <v>33</v>
      </c>
      <c r="K303">
        <v>3.8</v>
      </c>
      <c r="L303" t="s">
        <v>23</v>
      </c>
      <c r="M303" t="s">
        <v>23</v>
      </c>
      <c r="N303">
        <v>25</v>
      </c>
      <c r="O303" t="s">
        <v>34</v>
      </c>
      <c r="P303" t="s">
        <v>88</v>
      </c>
    </row>
    <row r="304" spans="1:16" ht="14.5" x14ac:dyDescent="0.35">
      <c r="A304">
        <v>303</v>
      </c>
      <c r="B304">
        <v>37</v>
      </c>
      <c r="C304" t="s">
        <v>16</v>
      </c>
      <c r="D304" t="s">
        <v>26</v>
      </c>
      <c r="E304" t="s">
        <v>18</v>
      </c>
      <c r="F304">
        <v>44</v>
      </c>
      <c r="G304" t="s">
        <v>70</v>
      </c>
      <c r="H304" t="s">
        <v>20</v>
      </c>
      <c r="I304" t="s">
        <v>69</v>
      </c>
      <c r="J304" t="s">
        <v>47</v>
      </c>
      <c r="K304">
        <v>3.6</v>
      </c>
      <c r="L304" t="s">
        <v>23</v>
      </c>
      <c r="M304" t="s">
        <v>23</v>
      </c>
      <c r="N304">
        <v>27</v>
      </c>
      <c r="O304" t="s">
        <v>66</v>
      </c>
      <c r="P304" t="s">
        <v>88</v>
      </c>
    </row>
    <row r="305" spans="1:16" ht="14.5" x14ac:dyDescent="0.35">
      <c r="A305">
        <v>304</v>
      </c>
      <c r="B305">
        <v>20</v>
      </c>
      <c r="C305" t="s">
        <v>16</v>
      </c>
      <c r="D305" t="s">
        <v>36</v>
      </c>
      <c r="E305" t="s">
        <v>37</v>
      </c>
      <c r="F305">
        <v>60</v>
      </c>
      <c r="G305" t="s">
        <v>41</v>
      </c>
      <c r="H305" t="s">
        <v>39</v>
      </c>
      <c r="I305" t="s">
        <v>42</v>
      </c>
      <c r="J305" t="s">
        <v>47</v>
      </c>
      <c r="K305">
        <v>3.3</v>
      </c>
      <c r="L305" t="s">
        <v>23</v>
      </c>
      <c r="M305" t="s">
        <v>23</v>
      </c>
      <c r="N305">
        <v>49</v>
      </c>
      <c r="O305" t="s">
        <v>24</v>
      </c>
      <c r="P305" t="s">
        <v>35</v>
      </c>
    </row>
    <row r="306" spans="1:16" ht="14.5" x14ac:dyDescent="0.35">
      <c r="A306">
        <v>305</v>
      </c>
      <c r="B306">
        <v>40</v>
      </c>
      <c r="C306" t="s">
        <v>16</v>
      </c>
      <c r="D306" t="s">
        <v>72</v>
      </c>
      <c r="E306" t="s">
        <v>18</v>
      </c>
      <c r="F306">
        <v>84</v>
      </c>
      <c r="G306" t="s">
        <v>41</v>
      </c>
      <c r="H306" t="s">
        <v>39</v>
      </c>
      <c r="I306" t="s">
        <v>87</v>
      </c>
      <c r="J306" t="s">
        <v>22</v>
      </c>
      <c r="K306">
        <v>3.4</v>
      </c>
      <c r="L306" t="s">
        <v>23</v>
      </c>
      <c r="M306" t="s">
        <v>23</v>
      </c>
      <c r="N306">
        <v>45</v>
      </c>
      <c r="O306" t="s">
        <v>34</v>
      </c>
      <c r="P306" t="s">
        <v>67</v>
      </c>
    </row>
    <row r="307" spans="1:16" ht="14.5" x14ac:dyDescent="0.35">
      <c r="A307">
        <v>306</v>
      </c>
      <c r="B307">
        <v>60</v>
      </c>
      <c r="C307" t="s">
        <v>16</v>
      </c>
      <c r="D307" t="s">
        <v>26</v>
      </c>
      <c r="E307" t="s">
        <v>18</v>
      </c>
      <c r="F307">
        <v>59</v>
      </c>
      <c r="G307" t="s">
        <v>131</v>
      </c>
      <c r="H307" t="s">
        <v>39</v>
      </c>
      <c r="I307" t="s">
        <v>76</v>
      </c>
      <c r="J307" t="s">
        <v>50</v>
      </c>
      <c r="K307">
        <v>3.5</v>
      </c>
      <c r="L307" t="s">
        <v>23</v>
      </c>
      <c r="M307" t="s">
        <v>23</v>
      </c>
      <c r="N307">
        <v>26</v>
      </c>
      <c r="O307" t="s">
        <v>40</v>
      </c>
      <c r="P307" t="s">
        <v>43</v>
      </c>
    </row>
    <row r="308" spans="1:16" ht="14.5" x14ac:dyDescent="0.35">
      <c r="A308">
        <v>307</v>
      </c>
      <c r="B308">
        <v>26</v>
      </c>
      <c r="C308" t="s">
        <v>16</v>
      </c>
      <c r="D308" t="s">
        <v>93</v>
      </c>
      <c r="E308" t="s">
        <v>56</v>
      </c>
      <c r="F308">
        <v>49</v>
      </c>
      <c r="G308" t="s">
        <v>105</v>
      </c>
      <c r="H308" t="s">
        <v>32</v>
      </c>
      <c r="I308" t="s">
        <v>46</v>
      </c>
      <c r="J308" t="s">
        <v>47</v>
      </c>
      <c r="K308">
        <v>3.6</v>
      </c>
      <c r="L308" t="s">
        <v>23</v>
      </c>
      <c r="M308" t="s">
        <v>23</v>
      </c>
      <c r="N308">
        <v>4</v>
      </c>
      <c r="O308" t="s">
        <v>29</v>
      </c>
      <c r="P308" t="s">
        <v>43</v>
      </c>
    </row>
    <row r="309" spans="1:16" ht="14.5" x14ac:dyDescent="0.35">
      <c r="A309">
        <v>308</v>
      </c>
      <c r="B309">
        <v>29</v>
      </c>
      <c r="C309" t="s">
        <v>16</v>
      </c>
      <c r="D309" t="s">
        <v>134</v>
      </c>
      <c r="E309" t="s">
        <v>60</v>
      </c>
      <c r="F309">
        <v>32</v>
      </c>
      <c r="G309" t="s">
        <v>94</v>
      </c>
      <c r="H309" t="s">
        <v>39</v>
      </c>
      <c r="I309" t="s">
        <v>112</v>
      </c>
      <c r="J309" t="s">
        <v>22</v>
      </c>
      <c r="K309">
        <v>3.2</v>
      </c>
      <c r="L309" t="s">
        <v>23</v>
      </c>
      <c r="M309" t="s">
        <v>23</v>
      </c>
      <c r="N309">
        <v>3</v>
      </c>
      <c r="O309" t="s">
        <v>34</v>
      </c>
      <c r="P309" t="s">
        <v>88</v>
      </c>
    </row>
    <row r="310" spans="1:16" ht="14.5" x14ac:dyDescent="0.35">
      <c r="A310">
        <v>309</v>
      </c>
      <c r="B310">
        <v>66</v>
      </c>
      <c r="C310" t="s">
        <v>16</v>
      </c>
      <c r="D310" t="s">
        <v>59</v>
      </c>
      <c r="E310" t="s">
        <v>60</v>
      </c>
      <c r="F310">
        <v>29</v>
      </c>
      <c r="G310" t="s">
        <v>119</v>
      </c>
      <c r="H310" t="s">
        <v>39</v>
      </c>
      <c r="I310" t="s">
        <v>109</v>
      </c>
      <c r="J310" t="s">
        <v>50</v>
      </c>
      <c r="K310">
        <v>3.7</v>
      </c>
      <c r="L310" t="s">
        <v>23</v>
      </c>
      <c r="M310" t="s">
        <v>23</v>
      </c>
      <c r="N310">
        <v>45</v>
      </c>
      <c r="O310" t="s">
        <v>24</v>
      </c>
      <c r="P310" t="s">
        <v>67</v>
      </c>
    </row>
    <row r="311" spans="1:16" ht="14.5" x14ac:dyDescent="0.35">
      <c r="A311">
        <v>310</v>
      </c>
      <c r="B311">
        <v>66</v>
      </c>
      <c r="C311" t="s">
        <v>16</v>
      </c>
      <c r="D311" t="s">
        <v>72</v>
      </c>
      <c r="E311" t="s">
        <v>18</v>
      </c>
      <c r="F311">
        <v>22</v>
      </c>
      <c r="G311" t="s">
        <v>139</v>
      </c>
      <c r="H311" t="s">
        <v>39</v>
      </c>
      <c r="I311" t="s">
        <v>125</v>
      </c>
      <c r="J311" t="s">
        <v>33</v>
      </c>
      <c r="K311">
        <v>4.5</v>
      </c>
      <c r="L311" t="s">
        <v>23</v>
      </c>
      <c r="M311" t="s">
        <v>23</v>
      </c>
      <c r="N311">
        <v>21</v>
      </c>
      <c r="O311" t="s">
        <v>29</v>
      </c>
      <c r="P311" t="s">
        <v>25</v>
      </c>
    </row>
    <row r="312" spans="1:16" ht="14.5" x14ac:dyDescent="0.35">
      <c r="A312">
        <v>311</v>
      </c>
      <c r="B312">
        <v>56</v>
      </c>
      <c r="C312" t="s">
        <v>16</v>
      </c>
      <c r="D312" t="s">
        <v>86</v>
      </c>
      <c r="E312" t="s">
        <v>18</v>
      </c>
      <c r="F312">
        <v>85</v>
      </c>
      <c r="G312" t="s">
        <v>49</v>
      </c>
      <c r="H312" t="s">
        <v>39</v>
      </c>
      <c r="I312" t="s">
        <v>54</v>
      </c>
      <c r="J312" t="s">
        <v>22</v>
      </c>
      <c r="K312">
        <v>4.5999999999999996</v>
      </c>
      <c r="L312" t="s">
        <v>23</v>
      </c>
      <c r="M312" t="s">
        <v>23</v>
      </c>
      <c r="N312">
        <v>50</v>
      </c>
      <c r="O312" t="s">
        <v>29</v>
      </c>
      <c r="P312" t="s">
        <v>25</v>
      </c>
    </row>
    <row r="313" spans="1:16" ht="14.5" x14ac:dyDescent="0.35">
      <c r="A313">
        <v>312</v>
      </c>
      <c r="B313">
        <v>69</v>
      </c>
      <c r="C313" t="s">
        <v>16</v>
      </c>
      <c r="D313" t="s">
        <v>30</v>
      </c>
      <c r="E313" t="s">
        <v>18</v>
      </c>
      <c r="F313">
        <v>52</v>
      </c>
      <c r="G313" t="s">
        <v>38</v>
      </c>
      <c r="H313" t="s">
        <v>20</v>
      </c>
      <c r="I313" t="s">
        <v>58</v>
      </c>
      <c r="J313" t="s">
        <v>22</v>
      </c>
      <c r="K313">
        <v>4.0999999999999996</v>
      </c>
      <c r="L313" t="s">
        <v>23</v>
      </c>
      <c r="M313" t="s">
        <v>23</v>
      </c>
      <c r="N313">
        <v>19</v>
      </c>
      <c r="O313" t="s">
        <v>66</v>
      </c>
      <c r="P313" t="s">
        <v>79</v>
      </c>
    </row>
    <row r="314" spans="1:16" ht="14.5" x14ac:dyDescent="0.35">
      <c r="A314">
        <v>313</v>
      </c>
      <c r="B314">
        <v>38</v>
      </c>
      <c r="C314" t="s">
        <v>16</v>
      </c>
      <c r="D314" t="s">
        <v>86</v>
      </c>
      <c r="E314" t="s">
        <v>18</v>
      </c>
      <c r="F314">
        <v>89</v>
      </c>
      <c r="G314" t="s">
        <v>31</v>
      </c>
      <c r="H314" t="s">
        <v>20</v>
      </c>
      <c r="I314" t="s">
        <v>87</v>
      </c>
      <c r="J314" t="s">
        <v>33</v>
      </c>
      <c r="K314">
        <v>3.4</v>
      </c>
      <c r="L314" t="s">
        <v>23</v>
      </c>
      <c r="M314" t="s">
        <v>23</v>
      </c>
      <c r="N314">
        <v>6</v>
      </c>
      <c r="O314" t="s">
        <v>40</v>
      </c>
      <c r="P314" t="s">
        <v>43</v>
      </c>
    </row>
    <row r="315" spans="1:16" ht="14.5" x14ac:dyDescent="0.35">
      <c r="A315">
        <v>314</v>
      </c>
      <c r="B315">
        <v>42</v>
      </c>
      <c r="C315" t="s">
        <v>16</v>
      </c>
      <c r="D315" t="s">
        <v>72</v>
      </c>
      <c r="E315" t="s">
        <v>18</v>
      </c>
      <c r="F315">
        <v>77</v>
      </c>
      <c r="G315" t="s">
        <v>120</v>
      </c>
      <c r="H315" t="s">
        <v>39</v>
      </c>
      <c r="I315" t="s">
        <v>62</v>
      </c>
      <c r="J315" t="s">
        <v>33</v>
      </c>
      <c r="K315">
        <v>3.7</v>
      </c>
      <c r="L315" t="s">
        <v>23</v>
      </c>
      <c r="M315" t="s">
        <v>23</v>
      </c>
      <c r="N315">
        <v>50</v>
      </c>
      <c r="O315" t="s">
        <v>34</v>
      </c>
      <c r="P315" t="s">
        <v>88</v>
      </c>
    </row>
    <row r="316" spans="1:16" ht="14.5" x14ac:dyDescent="0.35">
      <c r="A316">
        <v>315</v>
      </c>
      <c r="B316">
        <v>30</v>
      </c>
      <c r="C316" t="s">
        <v>16</v>
      </c>
      <c r="D316" t="s">
        <v>86</v>
      </c>
      <c r="E316" t="s">
        <v>18</v>
      </c>
      <c r="F316">
        <v>24</v>
      </c>
      <c r="G316" t="s">
        <v>118</v>
      </c>
      <c r="H316" t="s">
        <v>39</v>
      </c>
      <c r="I316" t="s">
        <v>65</v>
      </c>
      <c r="J316" t="s">
        <v>47</v>
      </c>
      <c r="K316">
        <v>3.3</v>
      </c>
      <c r="L316" t="s">
        <v>23</v>
      </c>
      <c r="M316" t="s">
        <v>23</v>
      </c>
      <c r="N316">
        <v>17</v>
      </c>
      <c r="O316" t="s">
        <v>77</v>
      </c>
      <c r="P316" t="s">
        <v>88</v>
      </c>
    </row>
    <row r="317" spans="1:16" ht="14.5" x14ac:dyDescent="0.35">
      <c r="A317">
        <v>316</v>
      </c>
      <c r="B317">
        <v>66</v>
      </c>
      <c r="C317" t="s">
        <v>16</v>
      </c>
      <c r="D317" t="s">
        <v>97</v>
      </c>
      <c r="E317" t="s">
        <v>60</v>
      </c>
      <c r="F317">
        <v>24</v>
      </c>
      <c r="G317" t="s">
        <v>141</v>
      </c>
      <c r="H317" t="s">
        <v>83</v>
      </c>
      <c r="I317" t="s">
        <v>112</v>
      </c>
      <c r="J317" t="s">
        <v>33</v>
      </c>
      <c r="K317">
        <v>4.5</v>
      </c>
      <c r="L317" t="s">
        <v>23</v>
      </c>
      <c r="M317" t="s">
        <v>23</v>
      </c>
      <c r="N317">
        <v>24</v>
      </c>
      <c r="O317" t="s">
        <v>77</v>
      </c>
      <c r="P317" t="s">
        <v>43</v>
      </c>
    </row>
    <row r="318" spans="1:16" ht="14.5" x14ac:dyDescent="0.35">
      <c r="A318">
        <v>317</v>
      </c>
      <c r="B318">
        <v>36</v>
      </c>
      <c r="C318" t="s">
        <v>16</v>
      </c>
      <c r="D318" t="s">
        <v>59</v>
      </c>
      <c r="E318" t="s">
        <v>60</v>
      </c>
      <c r="F318">
        <v>22</v>
      </c>
      <c r="G318" t="s">
        <v>90</v>
      </c>
      <c r="H318" t="s">
        <v>39</v>
      </c>
      <c r="I318" t="s">
        <v>54</v>
      </c>
      <c r="J318" t="s">
        <v>50</v>
      </c>
      <c r="K318">
        <v>3.3</v>
      </c>
      <c r="L318" t="s">
        <v>23</v>
      </c>
      <c r="M318" t="s">
        <v>23</v>
      </c>
      <c r="N318">
        <v>46</v>
      </c>
      <c r="O318" t="s">
        <v>24</v>
      </c>
      <c r="P318" t="s">
        <v>79</v>
      </c>
    </row>
    <row r="319" spans="1:16" ht="14.5" x14ac:dyDescent="0.35">
      <c r="A319">
        <v>318</v>
      </c>
      <c r="B319">
        <v>58</v>
      </c>
      <c r="C319" t="s">
        <v>16</v>
      </c>
      <c r="D319" t="s">
        <v>26</v>
      </c>
      <c r="E319" t="s">
        <v>18</v>
      </c>
      <c r="F319">
        <v>82</v>
      </c>
      <c r="G319" t="s">
        <v>57</v>
      </c>
      <c r="H319" t="s">
        <v>20</v>
      </c>
      <c r="I319" t="s">
        <v>76</v>
      </c>
      <c r="J319" t="s">
        <v>50</v>
      </c>
      <c r="K319">
        <v>4.3</v>
      </c>
      <c r="L319" t="s">
        <v>23</v>
      </c>
      <c r="M319" t="s">
        <v>23</v>
      </c>
      <c r="N319">
        <v>42</v>
      </c>
      <c r="O319" t="s">
        <v>29</v>
      </c>
      <c r="P319" t="s">
        <v>88</v>
      </c>
    </row>
    <row r="320" spans="1:16" ht="14.5" x14ac:dyDescent="0.35">
      <c r="A320">
        <v>319</v>
      </c>
      <c r="B320">
        <v>45</v>
      </c>
      <c r="C320" t="s">
        <v>16</v>
      </c>
      <c r="D320" t="s">
        <v>123</v>
      </c>
      <c r="E320" t="s">
        <v>60</v>
      </c>
      <c r="F320">
        <v>67</v>
      </c>
      <c r="G320" t="s">
        <v>138</v>
      </c>
      <c r="H320" t="s">
        <v>39</v>
      </c>
      <c r="I320" t="s">
        <v>109</v>
      </c>
      <c r="J320" t="s">
        <v>22</v>
      </c>
      <c r="K320">
        <v>2.5</v>
      </c>
      <c r="L320" t="s">
        <v>23</v>
      </c>
      <c r="M320" t="s">
        <v>23</v>
      </c>
      <c r="N320">
        <v>10</v>
      </c>
      <c r="O320" t="s">
        <v>29</v>
      </c>
      <c r="P320" t="s">
        <v>43</v>
      </c>
    </row>
    <row r="321" spans="1:16" ht="14.5" x14ac:dyDescent="0.35">
      <c r="A321">
        <v>320</v>
      </c>
      <c r="B321">
        <v>47</v>
      </c>
      <c r="C321" t="s">
        <v>16</v>
      </c>
      <c r="D321" t="s">
        <v>52</v>
      </c>
      <c r="E321" t="s">
        <v>18</v>
      </c>
      <c r="F321">
        <v>74</v>
      </c>
      <c r="G321" t="s">
        <v>27</v>
      </c>
      <c r="H321" t="s">
        <v>83</v>
      </c>
      <c r="I321" t="s">
        <v>46</v>
      </c>
      <c r="J321" t="s">
        <v>33</v>
      </c>
      <c r="K321">
        <v>2.6</v>
      </c>
      <c r="L321" t="s">
        <v>23</v>
      </c>
      <c r="M321" t="s">
        <v>23</v>
      </c>
      <c r="N321">
        <v>1</v>
      </c>
      <c r="O321" t="s">
        <v>29</v>
      </c>
      <c r="P321" t="s">
        <v>88</v>
      </c>
    </row>
    <row r="322" spans="1:16" ht="14.5" x14ac:dyDescent="0.35">
      <c r="A322">
        <v>321</v>
      </c>
      <c r="B322">
        <v>66</v>
      </c>
      <c r="C322" t="s">
        <v>16</v>
      </c>
      <c r="D322" t="s">
        <v>97</v>
      </c>
      <c r="E322" t="s">
        <v>60</v>
      </c>
      <c r="F322">
        <v>72</v>
      </c>
      <c r="G322" t="s">
        <v>102</v>
      </c>
      <c r="H322" t="s">
        <v>20</v>
      </c>
      <c r="I322" t="s">
        <v>46</v>
      </c>
      <c r="J322" t="s">
        <v>47</v>
      </c>
      <c r="K322">
        <v>4.9000000000000004</v>
      </c>
      <c r="L322" t="s">
        <v>23</v>
      </c>
      <c r="M322" t="s">
        <v>23</v>
      </c>
      <c r="N322">
        <v>28</v>
      </c>
      <c r="O322" t="s">
        <v>77</v>
      </c>
      <c r="P322" t="s">
        <v>51</v>
      </c>
    </row>
    <row r="323" spans="1:16" ht="14.5" x14ac:dyDescent="0.35">
      <c r="A323">
        <v>322</v>
      </c>
      <c r="B323">
        <v>41</v>
      </c>
      <c r="C323" t="s">
        <v>16</v>
      </c>
      <c r="D323" t="s">
        <v>44</v>
      </c>
      <c r="E323" t="s">
        <v>37</v>
      </c>
      <c r="F323">
        <v>36</v>
      </c>
      <c r="G323" t="s">
        <v>120</v>
      </c>
      <c r="H323" t="s">
        <v>20</v>
      </c>
      <c r="I323" t="s">
        <v>112</v>
      </c>
      <c r="J323" t="s">
        <v>47</v>
      </c>
      <c r="K323">
        <v>4.7</v>
      </c>
      <c r="L323" t="s">
        <v>23</v>
      </c>
      <c r="M323" t="s">
        <v>23</v>
      </c>
      <c r="N323">
        <v>48</v>
      </c>
      <c r="O323" t="s">
        <v>77</v>
      </c>
      <c r="P323" t="s">
        <v>51</v>
      </c>
    </row>
    <row r="324" spans="1:16" ht="14.5" x14ac:dyDescent="0.35">
      <c r="A324">
        <v>323</v>
      </c>
      <c r="B324">
        <v>41</v>
      </c>
      <c r="C324" t="s">
        <v>16</v>
      </c>
      <c r="D324" t="s">
        <v>124</v>
      </c>
      <c r="E324" t="s">
        <v>60</v>
      </c>
      <c r="F324">
        <v>95</v>
      </c>
      <c r="G324" t="s">
        <v>113</v>
      </c>
      <c r="H324" t="s">
        <v>32</v>
      </c>
      <c r="I324" t="s">
        <v>100</v>
      </c>
      <c r="J324" t="s">
        <v>22</v>
      </c>
      <c r="K324">
        <v>3</v>
      </c>
      <c r="L324" t="s">
        <v>23</v>
      </c>
      <c r="M324" t="s">
        <v>23</v>
      </c>
      <c r="N324">
        <v>47</v>
      </c>
      <c r="O324" t="s">
        <v>34</v>
      </c>
      <c r="P324" t="s">
        <v>79</v>
      </c>
    </row>
    <row r="325" spans="1:16" ht="14.5" x14ac:dyDescent="0.35">
      <c r="A325">
        <v>324</v>
      </c>
      <c r="B325">
        <v>66</v>
      </c>
      <c r="C325" t="s">
        <v>16</v>
      </c>
      <c r="D325" t="s">
        <v>95</v>
      </c>
      <c r="E325" t="s">
        <v>18</v>
      </c>
      <c r="F325">
        <v>78</v>
      </c>
      <c r="G325" t="s">
        <v>113</v>
      </c>
      <c r="H325" t="s">
        <v>39</v>
      </c>
      <c r="I325" t="s">
        <v>112</v>
      </c>
      <c r="J325" t="s">
        <v>22</v>
      </c>
      <c r="K325">
        <v>3.5</v>
      </c>
      <c r="L325" t="s">
        <v>23</v>
      </c>
      <c r="M325" t="s">
        <v>23</v>
      </c>
      <c r="N325">
        <v>29</v>
      </c>
      <c r="O325" t="s">
        <v>40</v>
      </c>
      <c r="P325" t="s">
        <v>67</v>
      </c>
    </row>
    <row r="326" spans="1:16" ht="14.5" x14ac:dyDescent="0.35">
      <c r="A326">
        <v>325</v>
      </c>
      <c r="B326">
        <v>37</v>
      </c>
      <c r="C326" t="s">
        <v>16</v>
      </c>
      <c r="D326" t="s">
        <v>48</v>
      </c>
      <c r="E326" t="s">
        <v>18</v>
      </c>
      <c r="F326">
        <v>82</v>
      </c>
      <c r="G326" t="s">
        <v>45</v>
      </c>
      <c r="H326" t="s">
        <v>39</v>
      </c>
      <c r="I326" t="s">
        <v>69</v>
      </c>
      <c r="J326" t="s">
        <v>47</v>
      </c>
      <c r="K326">
        <v>4.8</v>
      </c>
      <c r="L326" t="s">
        <v>23</v>
      </c>
      <c r="M326" t="s">
        <v>23</v>
      </c>
      <c r="N326">
        <v>37</v>
      </c>
      <c r="O326" t="s">
        <v>24</v>
      </c>
      <c r="P326" t="s">
        <v>51</v>
      </c>
    </row>
    <row r="327" spans="1:16" ht="14.5" x14ac:dyDescent="0.35">
      <c r="A327">
        <v>326</v>
      </c>
      <c r="B327">
        <v>70</v>
      </c>
      <c r="C327" t="s">
        <v>16</v>
      </c>
      <c r="D327" t="s">
        <v>86</v>
      </c>
      <c r="E327" t="s">
        <v>18</v>
      </c>
      <c r="F327">
        <v>70</v>
      </c>
      <c r="G327" t="s">
        <v>120</v>
      </c>
      <c r="H327" t="s">
        <v>39</v>
      </c>
      <c r="I327" t="s">
        <v>54</v>
      </c>
      <c r="J327" t="s">
        <v>22</v>
      </c>
      <c r="K327">
        <v>4.3</v>
      </c>
      <c r="L327" t="s">
        <v>23</v>
      </c>
      <c r="M327" t="s">
        <v>23</v>
      </c>
      <c r="N327">
        <v>38</v>
      </c>
      <c r="O327" t="s">
        <v>77</v>
      </c>
      <c r="P327" t="s">
        <v>43</v>
      </c>
    </row>
    <row r="328" spans="1:16" ht="14.5" x14ac:dyDescent="0.35">
      <c r="A328">
        <v>327</v>
      </c>
      <c r="B328">
        <v>62</v>
      </c>
      <c r="C328" t="s">
        <v>16</v>
      </c>
      <c r="D328" t="s">
        <v>110</v>
      </c>
      <c r="E328" t="s">
        <v>60</v>
      </c>
      <c r="F328">
        <v>41</v>
      </c>
      <c r="G328" t="s">
        <v>118</v>
      </c>
      <c r="H328" t="s">
        <v>39</v>
      </c>
      <c r="I328" t="s">
        <v>46</v>
      </c>
      <c r="J328" t="s">
        <v>50</v>
      </c>
      <c r="K328">
        <v>3.2</v>
      </c>
      <c r="L328" t="s">
        <v>23</v>
      </c>
      <c r="M328" t="s">
        <v>23</v>
      </c>
      <c r="N328">
        <v>48</v>
      </c>
      <c r="O328" t="s">
        <v>66</v>
      </c>
      <c r="P328" t="s">
        <v>35</v>
      </c>
    </row>
    <row r="329" spans="1:16" ht="14.5" x14ac:dyDescent="0.35">
      <c r="A329">
        <v>328</v>
      </c>
      <c r="B329">
        <v>61</v>
      </c>
      <c r="C329" t="s">
        <v>16</v>
      </c>
      <c r="D329" t="s">
        <v>55</v>
      </c>
      <c r="E329" t="s">
        <v>56</v>
      </c>
      <c r="F329">
        <v>42</v>
      </c>
      <c r="G329" t="s">
        <v>137</v>
      </c>
      <c r="H329" t="s">
        <v>39</v>
      </c>
      <c r="I329" t="s">
        <v>76</v>
      </c>
      <c r="J329" t="s">
        <v>47</v>
      </c>
      <c r="K329">
        <v>3.1</v>
      </c>
      <c r="L329" t="s">
        <v>23</v>
      </c>
      <c r="M329" t="s">
        <v>23</v>
      </c>
      <c r="N329">
        <v>36</v>
      </c>
      <c r="O329" t="s">
        <v>40</v>
      </c>
      <c r="P329" t="s">
        <v>35</v>
      </c>
    </row>
    <row r="330" spans="1:16" ht="14.5" x14ac:dyDescent="0.35">
      <c r="A330">
        <v>329</v>
      </c>
      <c r="B330">
        <v>48</v>
      </c>
      <c r="C330" t="s">
        <v>16</v>
      </c>
      <c r="D330" t="s">
        <v>55</v>
      </c>
      <c r="E330" t="s">
        <v>56</v>
      </c>
      <c r="F330">
        <v>50</v>
      </c>
      <c r="G330" t="s">
        <v>94</v>
      </c>
      <c r="H330" t="s">
        <v>39</v>
      </c>
      <c r="I330" t="s">
        <v>125</v>
      </c>
      <c r="J330" t="s">
        <v>50</v>
      </c>
      <c r="K330">
        <v>2.8</v>
      </c>
      <c r="L330" t="s">
        <v>23</v>
      </c>
      <c r="M330" t="s">
        <v>23</v>
      </c>
      <c r="N330">
        <v>9</v>
      </c>
      <c r="O330" t="s">
        <v>34</v>
      </c>
      <c r="P330" t="s">
        <v>35</v>
      </c>
    </row>
    <row r="331" spans="1:16" ht="14.5" x14ac:dyDescent="0.35">
      <c r="A331">
        <v>330</v>
      </c>
      <c r="B331">
        <v>70</v>
      </c>
      <c r="C331" t="s">
        <v>16</v>
      </c>
      <c r="D331" t="s">
        <v>116</v>
      </c>
      <c r="E331" t="s">
        <v>18</v>
      </c>
      <c r="F331">
        <v>31</v>
      </c>
      <c r="G331" t="s">
        <v>98</v>
      </c>
      <c r="H331" t="s">
        <v>32</v>
      </c>
      <c r="I331" t="s">
        <v>46</v>
      </c>
      <c r="J331" t="s">
        <v>47</v>
      </c>
      <c r="K331">
        <v>2.9</v>
      </c>
      <c r="L331" t="s">
        <v>23</v>
      </c>
      <c r="M331" t="s">
        <v>23</v>
      </c>
      <c r="N331">
        <v>34</v>
      </c>
      <c r="O331" t="s">
        <v>66</v>
      </c>
      <c r="P331" t="s">
        <v>79</v>
      </c>
    </row>
    <row r="332" spans="1:16" ht="14.5" x14ac:dyDescent="0.35">
      <c r="A332">
        <v>331</v>
      </c>
      <c r="B332">
        <v>46</v>
      </c>
      <c r="C332" t="s">
        <v>16</v>
      </c>
      <c r="D332" t="s">
        <v>26</v>
      </c>
      <c r="E332" t="s">
        <v>18</v>
      </c>
      <c r="F332">
        <v>51</v>
      </c>
      <c r="G332" t="s">
        <v>105</v>
      </c>
      <c r="H332" t="s">
        <v>39</v>
      </c>
      <c r="I332" t="s">
        <v>109</v>
      </c>
      <c r="J332" t="s">
        <v>22</v>
      </c>
      <c r="K332">
        <v>3.7</v>
      </c>
      <c r="L332" t="s">
        <v>23</v>
      </c>
      <c r="M332" t="s">
        <v>23</v>
      </c>
      <c r="N332">
        <v>43</v>
      </c>
      <c r="O332" t="s">
        <v>24</v>
      </c>
      <c r="P332" t="s">
        <v>67</v>
      </c>
    </row>
    <row r="333" spans="1:16" ht="14.5" x14ac:dyDescent="0.35">
      <c r="A333">
        <v>332</v>
      </c>
      <c r="B333">
        <v>31</v>
      </c>
      <c r="C333" t="s">
        <v>16</v>
      </c>
      <c r="D333" t="s">
        <v>48</v>
      </c>
      <c r="E333" t="s">
        <v>18</v>
      </c>
      <c r="F333">
        <v>98</v>
      </c>
      <c r="G333" t="s">
        <v>94</v>
      </c>
      <c r="H333" t="s">
        <v>20</v>
      </c>
      <c r="I333" t="s">
        <v>109</v>
      </c>
      <c r="J333" t="s">
        <v>50</v>
      </c>
      <c r="K333">
        <v>3.3</v>
      </c>
      <c r="L333" t="s">
        <v>23</v>
      </c>
      <c r="M333" t="s">
        <v>23</v>
      </c>
      <c r="N333">
        <v>46</v>
      </c>
      <c r="O333" t="s">
        <v>40</v>
      </c>
      <c r="P333" t="s">
        <v>51</v>
      </c>
    </row>
    <row r="334" spans="1:16" ht="14.5" x14ac:dyDescent="0.35">
      <c r="A334">
        <v>333</v>
      </c>
      <c r="B334">
        <v>19</v>
      </c>
      <c r="C334" t="s">
        <v>16</v>
      </c>
      <c r="D334" t="s">
        <v>48</v>
      </c>
      <c r="E334" t="s">
        <v>18</v>
      </c>
      <c r="F334">
        <v>86</v>
      </c>
      <c r="G334" t="s">
        <v>75</v>
      </c>
      <c r="H334" t="s">
        <v>39</v>
      </c>
      <c r="I334" t="s">
        <v>28</v>
      </c>
      <c r="J334" t="s">
        <v>22</v>
      </c>
      <c r="K334">
        <v>2.8</v>
      </c>
      <c r="L334" t="s">
        <v>23</v>
      </c>
      <c r="M334" t="s">
        <v>23</v>
      </c>
      <c r="N334">
        <v>5</v>
      </c>
      <c r="O334" t="s">
        <v>34</v>
      </c>
      <c r="P334" t="s">
        <v>79</v>
      </c>
    </row>
    <row r="335" spans="1:16" ht="14.5" x14ac:dyDescent="0.35">
      <c r="A335">
        <v>334</v>
      </c>
      <c r="B335">
        <v>39</v>
      </c>
      <c r="C335" t="s">
        <v>16</v>
      </c>
      <c r="D335" t="s">
        <v>26</v>
      </c>
      <c r="E335" t="s">
        <v>18</v>
      </c>
      <c r="F335">
        <v>64</v>
      </c>
      <c r="G335" t="s">
        <v>111</v>
      </c>
      <c r="H335" t="s">
        <v>39</v>
      </c>
      <c r="I335" t="s">
        <v>76</v>
      </c>
      <c r="J335" t="s">
        <v>22</v>
      </c>
      <c r="K335">
        <v>4.5</v>
      </c>
      <c r="L335" t="s">
        <v>23</v>
      </c>
      <c r="M335" t="s">
        <v>23</v>
      </c>
      <c r="N335">
        <v>15</v>
      </c>
      <c r="O335" t="s">
        <v>66</v>
      </c>
      <c r="P335" t="s">
        <v>67</v>
      </c>
    </row>
    <row r="336" spans="1:16" ht="14.5" x14ac:dyDescent="0.35">
      <c r="A336">
        <v>335</v>
      </c>
      <c r="B336">
        <v>41</v>
      </c>
      <c r="C336" t="s">
        <v>16</v>
      </c>
      <c r="D336" t="s">
        <v>17</v>
      </c>
      <c r="E336" t="s">
        <v>18</v>
      </c>
      <c r="F336">
        <v>46</v>
      </c>
      <c r="G336" t="s">
        <v>102</v>
      </c>
      <c r="H336" t="s">
        <v>39</v>
      </c>
      <c r="I336" t="s">
        <v>84</v>
      </c>
      <c r="J336" t="s">
        <v>50</v>
      </c>
      <c r="K336">
        <v>2.6</v>
      </c>
      <c r="L336" t="s">
        <v>23</v>
      </c>
      <c r="M336" t="s">
        <v>23</v>
      </c>
      <c r="N336">
        <v>30</v>
      </c>
      <c r="O336" t="s">
        <v>34</v>
      </c>
      <c r="P336" t="s">
        <v>43</v>
      </c>
    </row>
    <row r="337" spans="1:16" ht="14.5" x14ac:dyDescent="0.35">
      <c r="A337">
        <v>336</v>
      </c>
      <c r="B337">
        <v>20</v>
      </c>
      <c r="C337" t="s">
        <v>16</v>
      </c>
      <c r="D337" t="s">
        <v>26</v>
      </c>
      <c r="E337" t="s">
        <v>18</v>
      </c>
      <c r="F337">
        <v>85</v>
      </c>
      <c r="G337" t="s">
        <v>41</v>
      </c>
      <c r="H337" t="s">
        <v>20</v>
      </c>
      <c r="I337" t="s">
        <v>28</v>
      </c>
      <c r="J337" t="s">
        <v>33</v>
      </c>
      <c r="K337">
        <v>3.7</v>
      </c>
      <c r="L337" t="s">
        <v>23</v>
      </c>
      <c r="M337" t="s">
        <v>23</v>
      </c>
      <c r="N337">
        <v>44</v>
      </c>
      <c r="O337" t="s">
        <v>24</v>
      </c>
      <c r="P337" t="s">
        <v>88</v>
      </c>
    </row>
    <row r="338" spans="1:16" ht="14.5" x14ac:dyDescent="0.35">
      <c r="A338">
        <v>337</v>
      </c>
      <c r="B338">
        <v>36</v>
      </c>
      <c r="C338" t="s">
        <v>16</v>
      </c>
      <c r="D338" t="s">
        <v>115</v>
      </c>
      <c r="E338" t="s">
        <v>60</v>
      </c>
      <c r="F338">
        <v>81</v>
      </c>
      <c r="G338" t="s">
        <v>38</v>
      </c>
      <c r="H338" t="s">
        <v>32</v>
      </c>
      <c r="I338" t="s">
        <v>112</v>
      </c>
      <c r="J338" t="s">
        <v>50</v>
      </c>
      <c r="K338">
        <v>4.4000000000000004</v>
      </c>
      <c r="L338" t="s">
        <v>23</v>
      </c>
      <c r="M338" t="s">
        <v>23</v>
      </c>
      <c r="N338">
        <v>16</v>
      </c>
      <c r="O338" t="s">
        <v>40</v>
      </c>
      <c r="P338" t="s">
        <v>43</v>
      </c>
    </row>
    <row r="339" spans="1:16" ht="14.5" x14ac:dyDescent="0.35">
      <c r="A339">
        <v>338</v>
      </c>
      <c r="B339">
        <v>32</v>
      </c>
      <c r="C339" t="s">
        <v>16</v>
      </c>
      <c r="D339" t="s">
        <v>26</v>
      </c>
      <c r="E339" t="s">
        <v>18</v>
      </c>
      <c r="F339">
        <v>59</v>
      </c>
      <c r="G339" t="s">
        <v>121</v>
      </c>
      <c r="H339" t="s">
        <v>39</v>
      </c>
      <c r="I339" t="s">
        <v>100</v>
      </c>
      <c r="J339" t="s">
        <v>22</v>
      </c>
      <c r="K339">
        <v>4.3</v>
      </c>
      <c r="L339" t="s">
        <v>23</v>
      </c>
      <c r="M339" t="s">
        <v>23</v>
      </c>
      <c r="N339">
        <v>16</v>
      </c>
      <c r="O339" t="s">
        <v>66</v>
      </c>
      <c r="P339" t="s">
        <v>43</v>
      </c>
    </row>
    <row r="340" spans="1:16" ht="14.5" x14ac:dyDescent="0.35">
      <c r="A340">
        <v>339</v>
      </c>
      <c r="B340">
        <v>69</v>
      </c>
      <c r="C340" t="s">
        <v>16</v>
      </c>
      <c r="D340" t="s">
        <v>95</v>
      </c>
      <c r="E340" t="s">
        <v>18</v>
      </c>
      <c r="F340">
        <v>79</v>
      </c>
      <c r="G340" t="s">
        <v>31</v>
      </c>
      <c r="H340" t="s">
        <v>39</v>
      </c>
      <c r="I340" t="s">
        <v>58</v>
      </c>
      <c r="J340" t="s">
        <v>22</v>
      </c>
      <c r="K340">
        <v>3.5</v>
      </c>
      <c r="L340" t="s">
        <v>23</v>
      </c>
      <c r="M340" t="s">
        <v>23</v>
      </c>
      <c r="N340">
        <v>16</v>
      </c>
      <c r="O340" t="s">
        <v>29</v>
      </c>
      <c r="P340" t="s">
        <v>35</v>
      </c>
    </row>
    <row r="341" spans="1:16" ht="14.5" x14ac:dyDescent="0.35">
      <c r="A341">
        <v>340</v>
      </c>
      <c r="B341">
        <v>40</v>
      </c>
      <c r="C341" t="s">
        <v>16</v>
      </c>
      <c r="D341" t="s">
        <v>52</v>
      </c>
      <c r="E341" t="s">
        <v>18</v>
      </c>
      <c r="F341">
        <v>33</v>
      </c>
      <c r="G341" t="s">
        <v>129</v>
      </c>
      <c r="H341" t="s">
        <v>39</v>
      </c>
      <c r="I341" t="s">
        <v>76</v>
      </c>
      <c r="J341" t="s">
        <v>33</v>
      </c>
      <c r="K341">
        <v>3.8</v>
      </c>
      <c r="L341" t="s">
        <v>23</v>
      </c>
      <c r="M341" t="s">
        <v>23</v>
      </c>
      <c r="N341">
        <v>21</v>
      </c>
      <c r="O341" t="s">
        <v>34</v>
      </c>
      <c r="P341" t="s">
        <v>88</v>
      </c>
    </row>
    <row r="342" spans="1:16" ht="14.5" x14ac:dyDescent="0.35">
      <c r="A342">
        <v>341</v>
      </c>
      <c r="B342">
        <v>40</v>
      </c>
      <c r="C342" t="s">
        <v>16</v>
      </c>
      <c r="D342" t="s">
        <v>52</v>
      </c>
      <c r="E342" t="s">
        <v>18</v>
      </c>
      <c r="F342">
        <v>47</v>
      </c>
      <c r="G342" t="s">
        <v>118</v>
      </c>
      <c r="H342" t="s">
        <v>20</v>
      </c>
      <c r="I342" t="s">
        <v>135</v>
      </c>
      <c r="J342" t="s">
        <v>47</v>
      </c>
      <c r="K342">
        <v>3.5</v>
      </c>
      <c r="L342" t="s">
        <v>23</v>
      </c>
      <c r="M342" t="s">
        <v>23</v>
      </c>
      <c r="N342">
        <v>39</v>
      </c>
      <c r="O342" t="s">
        <v>24</v>
      </c>
      <c r="P342" t="s">
        <v>88</v>
      </c>
    </row>
    <row r="343" spans="1:16" ht="14.5" x14ac:dyDescent="0.35">
      <c r="A343">
        <v>342</v>
      </c>
      <c r="B343">
        <v>20</v>
      </c>
      <c r="C343" t="s">
        <v>16</v>
      </c>
      <c r="D343" t="s">
        <v>115</v>
      </c>
      <c r="E343" t="s">
        <v>60</v>
      </c>
      <c r="F343">
        <v>20</v>
      </c>
      <c r="G343" t="s">
        <v>131</v>
      </c>
      <c r="H343" t="s">
        <v>32</v>
      </c>
      <c r="I343" t="s">
        <v>135</v>
      </c>
      <c r="J343" t="s">
        <v>47</v>
      </c>
      <c r="K343">
        <v>4.5999999999999996</v>
      </c>
      <c r="L343" t="s">
        <v>23</v>
      </c>
      <c r="M343" t="s">
        <v>23</v>
      </c>
      <c r="N343">
        <v>40</v>
      </c>
      <c r="O343" t="s">
        <v>77</v>
      </c>
      <c r="P343" t="s">
        <v>67</v>
      </c>
    </row>
    <row r="344" spans="1:16" ht="14.5" x14ac:dyDescent="0.35">
      <c r="A344">
        <v>343</v>
      </c>
      <c r="B344">
        <v>64</v>
      </c>
      <c r="C344" t="s">
        <v>16</v>
      </c>
      <c r="D344" t="s">
        <v>55</v>
      </c>
      <c r="E344" t="s">
        <v>56</v>
      </c>
      <c r="F344">
        <v>36</v>
      </c>
      <c r="G344" t="s">
        <v>19</v>
      </c>
      <c r="H344" t="s">
        <v>39</v>
      </c>
      <c r="I344" t="s">
        <v>69</v>
      </c>
      <c r="J344" t="s">
        <v>33</v>
      </c>
      <c r="K344">
        <v>2.6</v>
      </c>
      <c r="L344" t="s">
        <v>23</v>
      </c>
      <c r="M344" t="s">
        <v>23</v>
      </c>
      <c r="N344">
        <v>48</v>
      </c>
      <c r="O344" t="s">
        <v>34</v>
      </c>
      <c r="P344" t="s">
        <v>88</v>
      </c>
    </row>
    <row r="345" spans="1:16" ht="14.5" x14ac:dyDescent="0.35">
      <c r="A345">
        <v>344</v>
      </c>
      <c r="B345">
        <v>27</v>
      </c>
      <c r="C345" t="s">
        <v>16</v>
      </c>
      <c r="D345" t="s">
        <v>36</v>
      </c>
      <c r="E345" t="s">
        <v>37</v>
      </c>
      <c r="F345">
        <v>39</v>
      </c>
      <c r="G345" t="s">
        <v>136</v>
      </c>
      <c r="H345" t="s">
        <v>39</v>
      </c>
      <c r="I345" t="s">
        <v>65</v>
      </c>
      <c r="J345" t="s">
        <v>47</v>
      </c>
      <c r="K345">
        <v>4.4000000000000004</v>
      </c>
      <c r="L345" t="s">
        <v>23</v>
      </c>
      <c r="M345" t="s">
        <v>23</v>
      </c>
      <c r="N345">
        <v>26</v>
      </c>
      <c r="O345" t="s">
        <v>24</v>
      </c>
      <c r="P345" t="s">
        <v>79</v>
      </c>
    </row>
    <row r="346" spans="1:16" ht="14.5" x14ac:dyDescent="0.35">
      <c r="A346">
        <v>345</v>
      </c>
      <c r="B346">
        <v>24</v>
      </c>
      <c r="C346" t="s">
        <v>16</v>
      </c>
      <c r="D346" t="s">
        <v>78</v>
      </c>
      <c r="E346" t="s">
        <v>18</v>
      </c>
      <c r="F346">
        <v>71</v>
      </c>
      <c r="G346" t="s">
        <v>132</v>
      </c>
      <c r="H346" t="s">
        <v>39</v>
      </c>
      <c r="I346" t="s">
        <v>54</v>
      </c>
      <c r="J346" t="s">
        <v>22</v>
      </c>
      <c r="K346">
        <v>4</v>
      </c>
      <c r="L346" t="s">
        <v>23</v>
      </c>
      <c r="M346" t="s">
        <v>23</v>
      </c>
      <c r="N346">
        <v>46</v>
      </c>
      <c r="O346" t="s">
        <v>77</v>
      </c>
      <c r="P346" t="s">
        <v>79</v>
      </c>
    </row>
    <row r="347" spans="1:16" ht="14.5" x14ac:dyDescent="0.35">
      <c r="A347">
        <v>346</v>
      </c>
      <c r="B347">
        <v>48</v>
      </c>
      <c r="C347" t="s">
        <v>16</v>
      </c>
      <c r="D347" t="s">
        <v>63</v>
      </c>
      <c r="E347" t="s">
        <v>37</v>
      </c>
      <c r="F347">
        <v>59</v>
      </c>
      <c r="G347" t="s">
        <v>45</v>
      </c>
      <c r="H347" t="s">
        <v>32</v>
      </c>
      <c r="I347" t="s">
        <v>69</v>
      </c>
      <c r="J347" t="s">
        <v>22</v>
      </c>
      <c r="K347">
        <v>4.4000000000000004</v>
      </c>
      <c r="L347" t="s">
        <v>23</v>
      </c>
      <c r="M347" t="s">
        <v>23</v>
      </c>
      <c r="N347">
        <v>27</v>
      </c>
      <c r="O347" t="s">
        <v>66</v>
      </c>
      <c r="P347" t="s">
        <v>43</v>
      </c>
    </row>
    <row r="348" spans="1:16" ht="14.5" x14ac:dyDescent="0.35">
      <c r="A348">
        <v>347</v>
      </c>
      <c r="B348">
        <v>49</v>
      </c>
      <c r="C348" t="s">
        <v>16</v>
      </c>
      <c r="D348" t="s">
        <v>30</v>
      </c>
      <c r="E348" t="s">
        <v>18</v>
      </c>
      <c r="F348">
        <v>50</v>
      </c>
      <c r="G348" t="s">
        <v>121</v>
      </c>
      <c r="H348" t="s">
        <v>20</v>
      </c>
      <c r="I348" t="s">
        <v>74</v>
      </c>
      <c r="J348" t="s">
        <v>33</v>
      </c>
      <c r="K348">
        <v>4.7</v>
      </c>
      <c r="L348" t="s">
        <v>23</v>
      </c>
      <c r="M348" t="s">
        <v>23</v>
      </c>
      <c r="N348">
        <v>5</v>
      </c>
      <c r="O348" t="s">
        <v>29</v>
      </c>
      <c r="P348" t="s">
        <v>35</v>
      </c>
    </row>
    <row r="349" spans="1:16" ht="14.5" x14ac:dyDescent="0.35">
      <c r="A349">
        <v>348</v>
      </c>
      <c r="B349">
        <v>36</v>
      </c>
      <c r="C349" t="s">
        <v>16</v>
      </c>
      <c r="D349" t="s">
        <v>36</v>
      </c>
      <c r="E349" t="s">
        <v>37</v>
      </c>
      <c r="F349">
        <v>41</v>
      </c>
      <c r="G349" t="s">
        <v>41</v>
      </c>
      <c r="H349" t="s">
        <v>20</v>
      </c>
      <c r="I349" t="s">
        <v>99</v>
      </c>
      <c r="J349" t="s">
        <v>50</v>
      </c>
      <c r="K349">
        <v>3.9</v>
      </c>
      <c r="L349" t="s">
        <v>23</v>
      </c>
      <c r="M349" t="s">
        <v>23</v>
      </c>
      <c r="N349">
        <v>43</v>
      </c>
      <c r="O349" t="s">
        <v>40</v>
      </c>
      <c r="P349" t="s">
        <v>25</v>
      </c>
    </row>
    <row r="350" spans="1:16" ht="14.5" x14ac:dyDescent="0.35">
      <c r="A350">
        <v>349</v>
      </c>
      <c r="B350">
        <v>56</v>
      </c>
      <c r="C350" t="s">
        <v>16</v>
      </c>
      <c r="D350" t="s">
        <v>17</v>
      </c>
      <c r="E350" t="s">
        <v>18</v>
      </c>
      <c r="F350">
        <v>59</v>
      </c>
      <c r="G350" t="s">
        <v>122</v>
      </c>
      <c r="H350" t="s">
        <v>39</v>
      </c>
      <c r="I350" t="s">
        <v>109</v>
      </c>
      <c r="J350" t="s">
        <v>50</v>
      </c>
      <c r="K350">
        <v>2.7</v>
      </c>
      <c r="L350" t="s">
        <v>23</v>
      </c>
      <c r="M350" t="s">
        <v>23</v>
      </c>
      <c r="N350">
        <v>17</v>
      </c>
      <c r="O350" t="s">
        <v>40</v>
      </c>
      <c r="P350" t="s">
        <v>25</v>
      </c>
    </row>
    <row r="351" spans="1:16" ht="14.5" x14ac:dyDescent="0.35">
      <c r="A351">
        <v>350</v>
      </c>
      <c r="B351">
        <v>37</v>
      </c>
      <c r="C351" t="s">
        <v>16</v>
      </c>
      <c r="D351" t="s">
        <v>115</v>
      </c>
      <c r="E351" t="s">
        <v>60</v>
      </c>
      <c r="F351">
        <v>87</v>
      </c>
      <c r="G351" t="s">
        <v>108</v>
      </c>
      <c r="H351" t="s">
        <v>39</v>
      </c>
      <c r="I351" t="s">
        <v>87</v>
      </c>
      <c r="J351" t="s">
        <v>22</v>
      </c>
      <c r="K351">
        <v>3.7</v>
      </c>
      <c r="L351" t="s">
        <v>23</v>
      </c>
      <c r="M351" t="s">
        <v>23</v>
      </c>
      <c r="N351">
        <v>3</v>
      </c>
      <c r="O351" t="s">
        <v>66</v>
      </c>
      <c r="P351" t="s">
        <v>67</v>
      </c>
    </row>
    <row r="352" spans="1:16" ht="14.5" x14ac:dyDescent="0.35">
      <c r="A352">
        <v>351</v>
      </c>
      <c r="B352">
        <v>42</v>
      </c>
      <c r="C352" t="s">
        <v>16</v>
      </c>
      <c r="D352" t="s">
        <v>26</v>
      </c>
      <c r="E352" t="s">
        <v>18</v>
      </c>
      <c r="F352">
        <v>68</v>
      </c>
      <c r="G352" t="s">
        <v>19</v>
      </c>
      <c r="H352" t="s">
        <v>39</v>
      </c>
      <c r="I352" t="s">
        <v>74</v>
      </c>
      <c r="J352" t="s">
        <v>33</v>
      </c>
      <c r="K352">
        <v>2.6</v>
      </c>
      <c r="L352" t="s">
        <v>23</v>
      </c>
      <c r="M352" t="s">
        <v>23</v>
      </c>
      <c r="N352">
        <v>47</v>
      </c>
      <c r="O352" t="s">
        <v>66</v>
      </c>
      <c r="P352" t="s">
        <v>25</v>
      </c>
    </row>
    <row r="353" spans="1:16" ht="14.5" x14ac:dyDescent="0.35">
      <c r="A353">
        <v>352</v>
      </c>
      <c r="B353">
        <v>28</v>
      </c>
      <c r="C353" t="s">
        <v>16</v>
      </c>
      <c r="D353" t="s">
        <v>78</v>
      </c>
      <c r="E353" t="s">
        <v>18</v>
      </c>
      <c r="F353">
        <v>90</v>
      </c>
      <c r="G353" t="s">
        <v>75</v>
      </c>
      <c r="H353" t="s">
        <v>39</v>
      </c>
      <c r="I353" t="s">
        <v>76</v>
      </c>
      <c r="J353" t="s">
        <v>22</v>
      </c>
      <c r="K353">
        <v>3.9</v>
      </c>
      <c r="L353" t="s">
        <v>23</v>
      </c>
      <c r="M353" t="s">
        <v>23</v>
      </c>
      <c r="N353">
        <v>24</v>
      </c>
      <c r="O353" t="s">
        <v>77</v>
      </c>
      <c r="P353" t="s">
        <v>67</v>
      </c>
    </row>
    <row r="354" spans="1:16" ht="14.5" x14ac:dyDescent="0.35">
      <c r="A354">
        <v>353</v>
      </c>
      <c r="B354">
        <v>27</v>
      </c>
      <c r="C354" t="s">
        <v>16</v>
      </c>
      <c r="D354" t="s">
        <v>30</v>
      </c>
      <c r="E354" t="s">
        <v>18</v>
      </c>
      <c r="F354">
        <v>71</v>
      </c>
      <c r="G354" t="s">
        <v>96</v>
      </c>
      <c r="H354" t="s">
        <v>83</v>
      </c>
      <c r="I354" t="s">
        <v>125</v>
      </c>
      <c r="J354" t="s">
        <v>50</v>
      </c>
      <c r="K354">
        <v>4.9000000000000004</v>
      </c>
      <c r="L354" t="s">
        <v>23</v>
      </c>
      <c r="M354" t="s">
        <v>23</v>
      </c>
      <c r="N354">
        <v>12</v>
      </c>
      <c r="O354" t="s">
        <v>29</v>
      </c>
      <c r="P354" t="s">
        <v>88</v>
      </c>
    </row>
    <row r="355" spans="1:16" ht="14.5" x14ac:dyDescent="0.35">
      <c r="A355">
        <v>354</v>
      </c>
      <c r="B355">
        <v>63</v>
      </c>
      <c r="C355" t="s">
        <v>16</v>
      </c>
      <c r="D355" t="s">
        <v>44</v>
      </c>
      <c r="E355" t="s">
        <v>37</v>
      </c>
      <c r="F355">
        <v>64</v>
      </c>
      <c r="G355" t="s">
        <v>61</v>
      </c>
      <c r="H355" t="s">
        <v>20</v>
      </c>
      <c r="I355" t="s">
        <v>125</v>
      </c>
      <c r="J355" t="s">
        <v>50</v>
      </c>
      <c r="K355">
        <v>4.0999999999999996</v>
      </c>
      <c r="L355" t="s">
        <v>23</v>
      </c>
      <c r="M355" t="s">
        <v>23</v>
      </c>
      <c r="N355">
        <v>35</v>
      </c>
      <c r="O355" t="s">
        <v>77</v>
      </c>
      <c r="P355" t="s">
        <v>79</v>
      </c>
    </row>
    <row r="356" spans="1:16" ht="14.5" x14ac:dyDescent="0.35">
      <c r="A356">
        <v>355</v>
      </c>
      <c r="B356">
        <v>58</v>
      </c>
      <c r="C356" t="s">
        <v>16</v>
      </c>
      <c r="D356" t="s">
        <v>97</v>
      </c>
      <c r="E356" t="s">
        <v>60</v>
      </c>
      <c r="F356">
        <v>76</v>
      </c>
      <c r="G356" t="s">
        <v>129</v>
      </c>
      <c r="H356" t="s">
        <v>32</v>
      </c>
      <c r="I356" t="s">
        <v>69</v>
      </c>
      <c r="J356" t="s">
        <v>50</v>
      </c>
      <c r="K356">
        <v>3</v>
      </c>
      <c r="L356" t="s">
        <v>23</v>
      </c>
      <c r="M356" t="s">
        <v>23</v>
      </c>
      <c r="N356">
        <v>42</v>
      </c>
      <c r="O356" t="s">
        <v>24</v>
      </c>
      <c r="P356" t="s">
        <v>35</v>
      </c>
    </row>
    <row r="357" spans="1:16" ht="14.5" x14ac:dyDescent="0.35">
      <c r="A357">
        <v>356</v>
      </c>
      <c r="B357">
        <v>37</v>
      </c>
      <c r="C357" t="s">
        <v>16</v>
      </c>
      <c r="D357" t="s">
        <v>97</v>
      </c>
      <c r="E357" t="s">
        <v>60</v>
      </c>
      <c r="F357">
        <v>42</v>
      </c>
      <c r="G357" t="s">
        <v>41</v>
      </c>
      <c r="H357" t="s">
        <v>83</v>
      </c>
      <c r="I357" t="s">
        <v>127</v>
      </c>
      <c r="J357" t="s">
        <v>50</v>
      </c>
      <c r="K357">
        <v>4.0999999999999996</v>
      </c>
      <c r="L357" t="s">
        <v>23</v>
      </c>
      <c r="M357" t="s">
        <v>23</v>
      </c>
      <c r="N357">
        <v>1</v>
      </c>
      <c r="O357" t="s">
        <v>40</v>
      </c>
      <c r="P357" t="s">
        <v>88</v>
      </c>
    </row>
    <row r="358" spans="1:16" ht="14.5" x14ac:dyDescent="0.35">
      <c r="A358">
        <v>357</v>
      </c>
      <c r="B358">
        <v>56</v>
      </c>
      <c r="C358" t="s">
        <v>16</v>
      </c>
      <c r="D358" t="s">
        <v>86</v>
      </c>
      <c r="E358" t="s">
        <v>18</v>
      </c>
      <c r="F358">
        <v>80</v>
      </c>
      <c r="G358" t="s">
        <v>98</v>
      </c>
      <c r="H358" t="s">
        <v>20</v>
      </c>
      <c r="I358" t="s">
        <v>85</v>
      </c>
      <c r="J358" t="s">
        <v>33</v>
      </c>
      <c r="K358">
        <v>3.8</v>
      </c>
      <c r="L358" t="s">
        <v>23</v>
      </c>
      <c r="M358" t="s">
        <v>23</v>
      </c>
      <c r="N358">
        <v>27</v>
      </c>
      <c r="O358" t="s">
        <v>29</v>
      </c>
      <c r="P358" t="s">
        <v>35</v>
      </c>
    </row>
    <row r="359" spans="1:16" ht="14.5" x14ac:dyDescent="0.35">
      <c r="A359">
        <v>358</v>
      </c>
      <c r="B359">
        <v>18</v>
      </c>
      <c r="C359" t="s">
        <v>16</v>
      </c>
      <c r="D359" t="s">
        <v>124</v>
      </c>
      <c r="E359" t="s">
        <v>60</v>
      </c>
      <c r="F359">
        <v>56</v>
      </c>
      <c r="G359" t="s">
        <v>64</v>
      </c>
      <c r="H359" t="s">
        <v>39</v>
      </c>
      <c r="I359" t="s">
        <v>69</v>
      </c>
      <c r="J359" t="s">
        <v>33</v>
      </c>
      <c r="K359">
        <v>4</v>
      </c>
      <c r="L359" t="s">
        <v>23</v>
      </c>
      <c r="M359" t="s">
        <v>23</v>
      </c>
      <c r="N359">
        <v>16</v>
      </c>
      <c r="O359" t="s">
        <v>34</v>
      </c>
      <c r="P359" t="s">
        <v>67</v>
      </c>
    </row>
    <row r="360" spans="1:16" ht="14.5" x14ac:dyDescent="0.35">
      <c r="A360">
        <v>359</v>
      </c>
      <c r="B360">
        <v>48</v>
      </c>
      <c r="C360" t="s">
        <v>16</v>
      </c>
      <c r="D360" t="s">
        <v>115</v>
      </c>
      <c r="E360" t="s">
        <v>60</v>
      </c>
      <c r="F360">
        <v>25</v>
      </c>
      <c r="G360" t="s">
        <v>139</v>
      </c>
      <c r="H360" t="s">
        <v>83</v>
      </c>
      <c r="I360" t="s">
        <v>127</v>
      </c>
      <c r="J360" t="s">
        <v>47</v>
      </c>
      <c r="K360">
        <v>3.6</v>
      </c>
      <c r="L360" t="s">
        <v>23</v>
      </c>
      <c r="M360" t="s">
        <v>23</v>
      </c>
      <c r="N360">
        <v>36</v>
      </c>
      <c r="O360" t="s">
        <v>34</v>
      </c>
      <c r="P360" t="s">
        <v>88</v>
      </c>
    </row>
    <row r="361" spans="1:16" ht="14.5" x14ac:dyDescent="0.35">
      <c r="A361">
        <v>360</v>
      </c>
      <c r="B361">
        <v>31</v>
      </c>
      <c r="C361" t="s">
        <v>16</v>
      </c>
      <c r="D361" t="s">
        <v>44</v>
      </c>
      <c r="E361" t="s">
        <v>37</v>
      </c>
      <c r="F361">
        <v>74</v>
      </c>
      <c r="G361" t="s">
        <v>133</v>
      </c>
      <c r="H361" t="s">
        <v>39</v>
      </c>
      <c r="I361" t="s">
        <v>69</v>
      </c>
      <c r="J361" t="s">
        <v>22</v>
      </c>
      <c r="K361">
        <v>3</v>
      </c>
      <c r="L361" t="s">
        <v>23</v>
      </c>
      <c r="M361" t="s">
        <v>23</v>
      </c>
      <c r="N361">
        <v>30</v>
      </c>
      <c r="O361" t="s">
        <v>34</v>
      </c>
      <c r="P361" t="s">
        <v>88</v>
      </c>
    </row>
    <row r="362" spans="1:16" ht="14.5" x14ac:dyDescent="0.35">
      <c r="A362">
        <v>361</v>
      </c>
      <c r="B362">
        <v>51</v>
      </c>
      <c r="C362" t="s">
        <v>16</v>
      </c>
      <c r="D362" t="s">
        <v>86</v>
      </c>
      <c r="E362" t="s">
        <v>18</v>
      </c>
      <c r="F362">
        <v>30</v>
      </c>
      <c r="G362" t="s">
        <v>38</v>
      </c>
      <c r="H362" t="s">
        <v>39</v>
      </c>
      <c r="I362" t="s">
        <v>76</v>
      </c>
      <c r="J362" t="s">
        <v>47</v>
      </c>
      <c r="K362">
        <v>3</v>
      </c>
      <c r="L362" t="s">
        <v>23</v>
      </c>
      <c r="M362" t="s">
        <v>23</v>
      </c>
      <c r="N362">
        <v>18</v>
      </c>
      <c r="O362" t="s">
        <v>77</v>
      </c>
      <c r="P362" t="s">
        <v>25</v>
      </c>
    </row>
    <row r="363" spans="1:16" ht="14.5" x14ac:dyDescent="0.35">
      <c r="A363">
        <v>362</v>
      </c>
      <c r="B363">
        <v>65</v>
      </c>
      <c r="C363" t="s">
        <v>16</v>
      </c>
      <c r="D363" t="s">
        <v>104</v>
      </c>
      <c r="E363" t="s">
        <v>18</v>
      </c>
      <c r="F363">
        <v>96</v>
      </c>
      <c r="G363" t="s">
        <v>98</v>
      </c>
      <c r="H363" t="s">
        <v>39</v>
      </c>
      <c r="I363" t="s">
        <v>46</v>
      </c>
      <c r="J363" t="s">
        <v>33</v>
      </c>
      <c r="K363">
        <v>2.6</v>
      </c>
      <c r="L363" t="s">
        <v>23</v>
      </c>
      <c r="M363" t="s">
        <v>23</v>
      </c>
      <c r="N363">
        <v>45</v>
      </c>
      <c r="O363" t="s">
        <v>29</v>
      </c>
      <c r="P363" t="s">
        <v>43</v>
      </c>
    </row>
    <row r="364" spans="1:16" ht="14.5" x14ac:dyDescent="0.35">
      <c r="A364">
        <v>363</v>
      </c>
      <c r="B364">
        <v>53</v>
      </c>
      <c r="C364" t="s">
        <v>16</v>
      </c>
      <c r="D364" t="s">
        <v>44</v>
      </c>
      <c r="E364" t="s">
        <v>37</v>
      </c>
      <c r="F364">
        <v>64</v>
      </c>
      <c r="G364" t="s">
        <v>96</v>
      </c>
      <c r="H364" t="s">
        <v>39</v>
      </c>
      <c r="I364" t="s">
        <v>54</v>
      </c>
      <c r="J364" t="s">
        <v>50</v>
      </c>
      <c r="K364">
        <v>3.4</v>
      </c>
      <c r="L364" t="s">
        <v>23</v>
      </c>
      <c r="M364" t="s">
        <v>23</v>
      </c>
      <c r="N364">
        <v>1</v>
      </c>
      <c r="O364" t="s">
        <v>24</v>
      </c>
      <c r="P364" t="s">
        <v>25</v>
      </c>
    </row>
    <row r="365" spans="1:16" ht="14.5" x14ac:dyDescent="0.35">
      <c r="A365">
        <v>364</v>
      </c>
      <c r="B365">
        <v>55</v>
      </c>
      <c r="C365" t="s">
        <v>16</v>
      </c>
      <c r="D365" t="s">
        <v>52</v>
      </c>
      <c r="E365" t="s">
        <v>18</v>
      </c>
      <c r="F365">
        <v>88</v>
      </c>
      <c r="G365" t="s">
        <v>94</v>
      </c>
      <c r="H365" t="s">
        <v>20</v>
      </c>
      <c r="I365" t="s">
        <v>125</v>
      </c>
      <c r="J365" t="s">
        <v>22</v>
      </c>
      <c r="K365">
        <v>3.1</v>
      </c>
      <c r="L365" t="s">
        <v>23</v>
      </c>
      <c r="M365" t="s">
        <v>23</v>
      </c>
      <c r="N365">
        <v>42</v>
      </c>
      <c r="O365" t="s">
        <v>66</v>
      </c>
      <c r="P365" t="s">
        <v>25</v>
      </c>
    </row>
    <row r="366" spans="1:16" ht="14.5" x14ac:dyDescent="0.35">
      <c r="A366">
        <v>365</v>
      </c>
      <c r="B366">
        <v>62</v>
      </c>
      <c r="C366" t="s">
        <v>16</v>
      </c>
      <c r="D366" t="s">
        <v>63</v>
      </c>
      <c r="E366" t="s">
        <v>37</v>
      </c>
      <c r="F366">
        <v>88</v>
      </c>
      <c r="G366" t="s">
        <v>105</v>
      </c>
      <c r="H366" t="s">
        <v>20</v>
      </c>
      <c r="I366" t="s">
        <v>54</v>
      </c>
      <c r="J366" t="s">
        <v>47</v>
      </c>
      <c r="K366">
        <v>3</v>
      </c>
      <c r="L366" t="s">
        <v>23</v>
      </c>
      <c r="M366" t="s">
        <v>23</v>
      </c>
      <c r="N366">
        <v>7</v>
      </c>
      <c r="O366" t="s">
        <v>24</v>
      </c>
      <c r="P366" t="s">
        <v>88</v>
      </c>
    </row>
    <row r="367" spans="1:16" ht="14.5" x14ac:dyDescent="0.35">
      <c r="A367">
        <v>366</v>
      </c>
      <c r="B367">
        <v>55</v>
      </c>
      <c r="C367" t="s">
        <v>16</v>
      </c>
      <c r="D367" t="s">
        <v>134</v>
      </c>
      <c r="E367" t="s">
        <v>60</v>
      </c>
      <c r="F367">
        <v>88</v>
      </c>
      <c r="G367" t="s">
        <v>57</v>
      </c>
      <c r="H367" t="s">
        <v>83</v>
      </c>
      <c r="I367" t="s">
        <v>21</v>
      </c>
      <c r="J367" t="s">
        <v>47</v>
      </c>
      <c r="K367">
        <v>3.7</v>
      </c>
      <c r="L367" t="s">
        <v>23</v>
      </c>
      <c r="M367" t="s">
        <v>23</v>
      </c>
      <c r="N367">
        <v>50</v>
      </c>
      <c r="O367" t="s">
        <v>40</v>
      </c>
      <c r="P367" t="s">
        <v>51</v>
      </c>
    </row>
    <row r="368" spans="1:16" ht="14.5" x14ac:dyDescent="0.35">
      <c r="A368">
        <v>367</v>
      </c>
      <c r="B368">
        <v>64</v>
      </c>
      <c r="C368" t="s">
        <v>16</v>
      </c>
      <c r="D368" t="s">
        <v>116</v>
      </c>
      <c r="E368" t="s">
        <v>18</v>
      </c>
      <c r="F368">
        <v>36</v>
      </c>
      <c r="G368" t="s">
        <v>136</v>
      </c>
      <c r="H368" t="s">
        <v>39</v>
      </c>
      <c r="I368" t="s">
        <v>42</v>
      </c>
      <c r="J368" t="s">
        <v>33</v>
      </c>
      <c r="K368">
        <v>3.5</v>
      </c>
      <c r="L368" t="s">
        <v>23</v>
      </c>
      <c r="M368" t="s">
        <v>23</v>
      </c>
      <c r="N368">
        <v>37</v>
      </c>
      <c r="O368" t="s">
        <v>24</v>
      </c>
      <c r="P368" t="s">
        <v>25</v>
      </c>
    </row>
    <row r="369" spans="1:16" ht="14.5" x14ac:dyDescent="0.35">
      <c r="A369">
        <v>368</v>
      </c>
      <c r="B369">
        <v>52</v>
      </c>
      <c r="C369" t="s">
        <v>16</v>
      </c>
      <c r="D369" t="s">
        <v>72</v>
      </c>
      <c r="E369" t="s">
        <v>18</v>
      </c>
      <c r="F369">
        <v>40</v>
      </c>
      <c r="G369" t="s">
        <v>113</v>
      </c>
      <c r="H369" t="s">
        <v>83</v>
      </c>
      <c r="I369" t="s">
        <v>100</v>
      </c>
      <c r="J369" t="s">
        <v>33</v>
      </c>
      <c r="K369">
        <v>2.8</v>
      </c>
      <c r="L369" t="s">
        <v>23</v>
      </c>
      <c r="M369" t="s">
        <v>23</v>
      </c>
      <c r="N369">
        <v>18</v>
      </c>
      <c r="O369" t="s">
        <v>66</v>
      </c>
      <c r="P369" t="s">
        <v>79</v>
      </c>
    </row>
    <row r="370" spans="1:16" ht="14.5" x14ac:dyDescent="0.35">
      <c r="A370">
        <v>369</v>
      </c>
      <c r="B370">
        <v>24</v>
      </c>
      <c r="C370" t="s">
        <v>16</v>
      </c>
      <c r="D370" t="s">
        <v>59</v>
      </c>
      <c r="E370" t="s">
        <v>60</v>
      </c>
      <c r="F370">
        <v>39</v>
      </c>
      <c r="G370" t="s">
        <v>92</v>
      </c>
      <c r="H370" t="s">
        <v>39</v>
      </c>
      <c r="I370" t="s">
        <v>54</v>
      </c>
      <c r="J370" t="s">
        <v>33</v>
      </c>
      <c r="K370">
        <v>4.5</v>
      </c>
      <c r="L370" t="s">
        <v>23</v>
      </c>
      <c r="M370" t="s">
        <v>23</v>
      </c>
      <c r="N370">
        <v>29</v>
      </c>
      <c r="O370" t="s">
        <v>29</v>
      </c>
      <c r="P370" t="s">
        <v>79</v>
      </c>
    </row>
    <row r="371" spans="1:16" ht="14.5" x14ac:dyDescent="0.35">
      <c r="A371">
        <v>370</v>
      </c>
      <c r="B371">
        <v>38</v>
      </c>
      <c r="C371" t="s">
        <v>16</v>
      </c>
      <c r="D371" t="s">
        <v>124</v>
      </c>
      <c r="E371" t="s">
        <v>60</v>
      </c>
      <c r="F371">
        <v>40</v>
      </c>
      <c r="G371" t="s">
        <v>141</v>
      </c>
      <c r="H371" t="s">
        <v>39</v>
      </c>
      <c r="I371" t="s">
        <v>58</v>
      </c>
      <c r="J371" t="s">
        <v>47</v>
      </c>
      <c r="K371">
        <v>3.3</v>
      </c>
      <c r="L371" t="s">
        <v>23</v>
      </c>
      <c r="M371" t="s">
        <v>23</v>
      </c>
      <c r="N371">
        <v>45</v>
      </c>
      <c r="O371" t="s">
        <v>40</v>
      </c>
      <c r="P371" t="s">
        <v>51</v>
      </c>
    </row>
    <row r="372" spans="1:16" ht="14.5" x14ac:dyDescent="0.35">
      <c r="A372">
        <v>371</v>
      </c>
      <c r="B372">
        <v>59</v>
      </c>
      <c r="C372" t="s">
        <v>16</v>
      </c>
      <c r="D372" t="s">
        <v>110</v>
      </c>
      <c r="E372" t="s">
        <v>60</v>
      </c>
      <c r="F372">
        <v>34</v>
      </c>
      <c r="G372" t="s">
        <v>41</v>
      </c>
      <c r="H372" t="s">
        <v>39</v>
      </c>
      <c r="I372" t="s">
        <v>69</v>
      </c>
      <c r="J372" t="s">
        <v>22</v>
      </c>
      <c r="K372">
        <v>3.4</v>
      </c>
      <c r="L372" t="s">
        <v>23</v>
      </c>
      <c r="M372" t="s">
        <v>23</v>
      </c>
      <c r="N372">
        <v>13</v>
      </c>
      <c r="O372" t="s">
        <v>40</v>
      </c>
      <c r="P372" t="s">
        <v>35</v>
      </c>
    </row>
    <row r="373" spans="1:16" ht="14.5" x14ac:dyDescent="0.35">
      <c r="A373">
        <v>372</v>
      </c>
      <c r="B373">
        <v>27</v>
      </c>
      <c r="C373" t="s">
        <v>16</v>
      </c>
      <c r="D373" t="s">
        <v>44</v>
      </c>
      <c r="E373" t="s">
        <v>37</v>
      </c>
      <c r="F373">
        <v>83</v>
      </c>
      <c r="G373" t="s">
        <v>89</v>
      </c>
      <c r="H373" t="s">
        <v>32</v>
      </c>
      <c r="I373" t="s">
        <v>62</v>
      </c>
      <c r="J373" t="s">
        <v>22</v>
      </c>
      <c r="K373">
        <v>3.2</v>
      </c>
      <c r="L373" t="s">
        <v>23</v>
      </c>
      <c r="M373" t="s">
        <v>23</v>
      </c>
      <c r="N373">
        <v>47</v>
      </c>
      <c r="O373" t="s">
        <v>40</v>
      </c>
      <c r="P373" t="s">
        <v>79</v>
      </c>
    </row>
    <row r="374" spans="1:16" ht="14.5" x14ac:dyDescent="0.35">
      <c r="A374">
        <v>373</v>
      </c>
      <c r="B374">
        <v>24</v>
      </c>
      <c r="C374" t="s">
        <v>16</v>
      </c>
      <c r="D374" t="s">
        <v>26</v>
      </c>
      <c r="E374" t="s">
        <v>18</v>
      </c>
      <c r="F374">
        <v>85</v>
      </c>
      <c r="G374" t="s">
        <v>129</v>
      </c>
      <c r="H374" t="s">
        <v>20</v>
      </c>
      <c r="I374" t="s">
        <v>112</v>
      </c>
      <c r="J374" t="s">
        <v>47</v>
      </c>
      <c r="K374">
        <v>3.7</v>
      </c>
      <c r="L374" t="s">
        <v>23</v>
      </c>
      <c r="M374" t="s">
        <v>23</v>
      </c>
      <c r="N374">
        <v>7</v>
      </c>
      <c r="O374" t="s">
        <v>77</v>
      </c>
      <c r="P374" t="s">
        <v>35</v>
      </c>
    </row>
    <row r="375" spans="1:16" ht="14.5" x14ac:dyDescent="0.35">
      <c r="A375">
        <v>374</v>
      </c>
      <c r="B375">
        <v>23</v>
      </c>
      <c r="C375" t="s">
        <v>16</v>
      </c>
      <c r="D375" t="s">
        <v>55</v>
      </c>
      <c r="E375" t="s">
        <v>56</v>
      </c>
      <c r="F375">
        <v>27</v>
      </c>
      <c r="G375" t="s">
        <v>105</v>
      </c>
      <c r="H375" t="s">
        <v>20</v>
      </c>
      <c r="I375" t="s">
        <v>46</v>
      </c>
      <c r="J375" t="s">
        <v>47</v>
      </c>
      <c r="K375">
        <v>4.5999999999999996</v>
      </c>
      <c r="L375" t="s">
        <v>23</v>
      </c>
      <c r="M375" t="s">
        <v>23</v>
      </c>
      <c r="N375">
        <v>11</v>
      </c>
      <c r="O375" t="s">
        <v>24</v>
      </c>
      <c r="P375" t="s">
        <v>67</v>
      </c>
    </row>
    <row r="376" spans="1:16" ht="14.5" x14ac:dyDescent="0.35">
      <c r="A376">
        <v>375</v>
      </c>
      <c r="B376">
        <v>69</v>
      </c>
      <c r="C376" t="s">
        <v>16</v>
      </c>
      <c r="D376" t="s">
        <v>97</v>
      </c>
      <c r="E376" t="s">
        <v>60</v>
      </c>
      <c r="F376">
        <v>78</v>
      </c>
      <c r="G376" t="s">
        <v>114</v>
      </c>
      <c r="H376" t="s">
        <v>32</v>
      </c>
      <c r="I376" t="s">
        <v>65</v>
      </c>
      <c r="J376" t="s">
        <v>33</v>
      </c>
      <c r="K376">
        <v>5</v>
      </c>
      <c r="L376" t="s">
        <v>23</v>
      </c>
      <c r="M376" t="s">
        <v>23</v>
      </c>
      <c r="N376">
        <v>39</v>
      </c>
      <c r="O376" t="s">
        <v>66</v>
      </c>
      <c r="P376" t="s">
        <v>79</v>
      </c>
    </row>
    <row r="377" spans="1:16" ht="14.5" x14ac:dyDescent="0.35">
      <c r="A377">
        <v>376</v>
      </c>
      <c r="B377">
        <v>59</v>
      </c>
      <c r="C377" t="s">
        <v>16</v>
      </c>
      <c r="D377" t="s">
        <v>80</v>
      </c>
      <c r="E377" t="s">
        <v>60</v>
      </c>
      <c r="F377">
        <v>32</v>
      </c>
      <c r="G377" t="s">
        <v>92</v>
      </c>
      <c r="H377" t="s">
        <v>39</v>
      </c>
      <c r="I377" t="s">
        <v>69</v>
      </c>
      <c r="J377" t="s">
        <v>47</v>
      </c>
      <c r="K377">
        <v>4.4000000000000004</v>
      </c>
      <c r="L377" t="s">
        <v>23</v>
      </c>
      <c r="M377" t="s">
        <v>23</v>
      </c>
      <c r="N377">
        <v>6</v>
      </c>
      <c r="O377" t="s">
        <v>77</v>
      </c>
      <c r="P377" t="s">
        <v>51</v>
      </c>
    </row>
    <row r="378" spans="1:16" ht="14.5" x14ac:dyDescent="0.35">
      <c r="A378">
        <v>377</v>
      </c>
      <c r="B378">
        <v>51</v>
      </c>
      <c r="C378" t="s">
        <v>16</v>
      </c>
      <c r="D378" t="s">
        <v>63</v>
      </c>
      <c r="E378" t="s">
        <v>37</v>
      </c>
      <c r="F378">
        <v>51</v>
      </c>
      <c r="G378" t="s">
        <v>122</v>
      </c>
      <c r="H378" t="s">
        <v>32</v>
      </c>
      <c r="I378" t="s">
        <v>21</v>
      </c>
      <c r="J378" t="s">
        <v>50</v>
      </c>
      <c r="K378">
        <v>4.9000000000000004</v>
      </c>
      <c r="L378" t="s">
        <v>23</v>
      </c>
      <c r="M378" t="s">
        <v>23</v>
      </c>
      <c r="N378">
        <v>2</v>
      </c>
      <c r="O378" t="s">
        <v>24</v>
      </c>
      <c r="P378" t="s">
        <v>67</v>
      </c>
    </row>
    <row r="379" spans="1:16" ht="14.5" x14ac:dyDescent="0.35">
      <c r="A379">
        <v>378</v>
      </c>
      <c r="B379">
        <v>63</v>
      </c>
      <c r="C379" t="s">
        <v>16</v>
      </c>
      <c r="D379" t="s">
        <v>110</v>
      </c>
      <c r="E379" t="s">
        <v>60</v>
      </c>
      <c r="F379">
        <v>32</v>
      </c>
      <c r="G379" t="s">
        <v>27</v>
      </c>
      <c r="H379" t="s">
        <v>39</v>
      </c>
      <c r="I379" t="s">
        <v>58</v>
      </c>
      <c r="J379" t="s">
        <v>33</v>
      </c>
      <c r="K379">
        <v>4.0999999999999996</v>
      </c>
      <c r="L379" t="s">
        <v>23</v>
      </c>
      <c r="M379" t="s">
        <v>23</v>
      </c>
      <c r="N379">
        <v>39</v>
      </c>
      <c r="O379" t="s">
        <v>34</v>
      </c>
      <c r="P379" t="s">
        <v>88</v>
      </c>
    </row>
    <row r="380" spans="1:16" ht="14.5" x14ac:dyDescent="0.35">
      <c r="A380">
        <v>379</v>
      </c>
      <c r="B380">
        <v>54</v>
      </c>
      <c r="C380" t="s">
        <v>16</v>
      </c>
      <c r="D380" t="s">
        <v>72</v>
      </c>
      <c r="E380" t="s">
        <v>18</v>
      </c>
      <c r="F380">
        <v>62</v>
      </c>
      <c r="G380" t="s">
        <v>98</v>
      </c>
      <c r="H380" t="s">
        <v>20</v>
      </c>
      <c r="I380" t="s">
        <v>112</v>
      </c>
      <c r="J380" t="s">
        <v>22</v>
      </c>
      <c r="K380">
        <v>4.9000000000000004</v>
      </c>
      <c r="L380" t="s">
        <v>23</v>
      </c>
      <c r="M380" t="s">
        <v>23</v>
      </c>
      <c r="N380">
        <v>23</v>
      </c>
      <c r="O380" t="s">
        <v>34</v>
      </c>
      <c r="P380" t="s">
        <v>79</v>
      </c>
    </row>
    <row r="381" spans="1:16" ht="14.5" x14ac:dyDescent="0.35">
      <c r="A381">
        <v>380</v>
      </c>
      <c r="B381">
        <v>32</v>
      </c>
      <c r="C381" t="s">
        <v>16</v>
      </c>
      <c r="D381" t="s">
        <v>104</v>
      </c>
      <c r="E381" t="s">
        <v>18</v>
      </c>
      <c r="F381">
        <v>29</v>
      </c>
      <c r="G381" t="s">
        <v>49</v>
      </c>
      <c r="H381" t="s">
        <v>32</v>
      </c>
      <c r="I381" t="s">
        <v>127</v>
      </c>
      <c r="J381" t="s">
        <v>50</v>
      </c>
      <c r="K381">
        <v>4.7</v>
      </c>
      <c r="L381" t="s">
        <v>23</v>
      </c>
      <c r="M381" t="s">
        <v>23</v>
      </c>
      <c r="N381">
        <v>46</v>
      </c>
      <c r="O381" t="s">
        <v>77</v>
      </c>
      <c r="P381" t="s">
        <v>67</v>
      </c>
    </row>
    <row r="382" spans="1:16" ht="14.5" x14ac:dyDescent="0.35">
      <c r="A382">
        <v>381</v>
      </c>
      <c r="B382">
        <v>39</v>
      </c>
      <c r="C382" t="s">
        <v>16</v>
      </c>
      <c r="D382" t="s">
        <v>123</v>
      </c>
      <c r="E382" t="s">
        <v>60</v>
      </c>
      <c r="F382">
        <v>69</v>
      </c>
      <c r="G382" t="s">
        <v>73</v>
      </c>
      <c r="H382" t="s">
        <v>83</v>
      </c>
      <c r="I382" t="s">
        <v>109</v>
      </c>
      <c r="J382" t="s">
        <v>50</v>
      </c>
      <c r="K382">
        <v>3</v>
      </c>
      <c r="L382" t="s">
        <v>23</v>
      </c>
      <c r="M382" t="s">
        <v>23</v>
      </c>
      <c r="N382">
        <v>19</v>
      </c>
      <c r="O382" t="s">
        <v>66</v>
      </c>
      <c r="P382" t="s">
        <v>35</v>
      </c>
    </row>
    <row r="383" spans="1:16" ht="14.5" x14ac:dyDescent="0.35">
      <c r="A383">
        <v>382</v>
      </c>
      <c r="B383">
        <v>66</v>
      </c>
      <c r="C383" t="s">
        <v>16</v>
      </c>
      <c r="D383" t="s">
        <v>97</v>
      </c>
      <c r="E383" t="s">
        <v>60</v>
      </c>
      <c r="F383">
        <v>25</v>
      </c>
      <c r="G383" t="s">
        <v>27</v>
      </c>
      <c r="H383" t="s">
        <v>20</v>
      </c>
      <c r="I383" t="s">
        <v>84</v>
      </c>
      <c r="J383" t="s">
        <v>22</v>
      </c>
      <c r="K383">
        <v>3.4</v>
      </c>
      <c r="L383" t="s">
        <v>23</v>
      </c>
      <c r="M383" t="s">
        <v>23</v>
      </c>
      <c r="N383">
        <v>3</v>
      </c>
      <c r="O383" t="s">
        <v>34</v>
      </c>
      <c r="P383" t="s">
        <v>88</v>
      </c>
    </row>
    <row r="384" spans="1:16" ht="14.5" x14ac:dyDescent="0.35">
      <c r="A384">
        <v>383</v>
      </c>
      <c r="B384">
        <v>28</v>
      </c>
      <c r="C384" t="s">
        <v>16</v>
      </c>
      <c r="D384" t="s">
        <v>30</v>
      </c>
      <c r="E384" t="s">
        <v>18</v>
      </c>
      <c r="F384">
        <v>76</v>
      </c>
      <c r="G384" t="s">
        <v>90</v>
      </c>
      <c r="H384" t="s">
        <v>39</v>
      </c>
      <c r="I384" t="s">
        <v>91</v>
      </c>
      <c r="J384" t="s">
        <v>22</v>
      </c>
      <c r="K384">
        <v>3.2</v>
      </c>
      <c r="L384" t="s">
        <v>23</v>
      </c>
      <c r="M384" t="s">
        <v>23</v>
      </c>
      <c r="N384">
        <v>47</v>
      </c>
      <c r="O384" t="s">
        <v>40</v>
      </c>
      <c r="P384" t="s">
        <v>51</v>
      </c>
    </row>
    <row r="385" spans="1:16" ht="14.5" x14ac:dyDescent="0.35">
      <c r="A385">
        <v>384</v>
      </c>
      <c r="B385">
        <v>50</v>
      </c>
      <c r="C385" t="s">
        <v>16</v>
      </c>
      <c r="D385" t="s">
        <v>80</v>
      </c>
      <c r="E385" t="s">
        <v>60</v>
      </c>
      <c r="F385">
        <v>77</v>
      </c>
      <c r="G385" t="s">
        <v>57</v>
      </c>
      <c r="H385" t="s">
        <v>32</v>
      </c>
      <c r="I385" t="s">
        <v>127</v>
      </c>
      <c r="J385" t="s">
        <v>50</v>
      </c>
      <c r="K385">
        <v>2.9</v>
      </c>
      <c r="L385" t="s">
        <v>23</v>
      </c>
      <c r="M385" t="s">
        <v>23</v>
      </c>
      <c r="N385">
        <v>6</v>
      </c>
      <c r="O385" t="s">
        <v>40</v>
      </c>
      <c r="P385" t="s">
        <v>51</v>
      </c>
    </row>
    <row r="386" spans="1:16" ht="14.5" x14ac:dyDescent="0.35">
      <c r="A386">
        <v>385</v>
      </c>
      <c r="B386">
        <v>70</v>
      </c>
      <c r="C386" t="s">
        <v>16</v>
      </c>
      <c r="D386" t="s">
        <v>26</v>
      </c>
      <c r="E386" t="s">
        <v>18</v>
      </c>
      <c r="F386">
        <v>33</v>
      </c>
      <c r="G386" t="s">
        <v>90</v>
      </c>
      <c r="H386" t="s">
        <v>39</v>
      </c>
      <c r="I386" t="s">
        <v>109</v>
      </c>
      <c r="J386" t="s">
        <v>50</v>
      </c>
      <c r="K386">
        <v>4.5</v>
      </c>
      <c r="L386" t="s">
        <v>23</v>
      </c>
      <c r="M386" t="s">
        <v>23</v>
      </c>
      <c r="N386">
        <v>6</v>
      </c>
      <c r="O386" t="s">
        <v>24</v>
      </c>
      <c r="P386" t="s">
        <v>43</v>
      </c>
    </row>
    <row r="387" spans="1:16" ht="14.5" x14ac:dyDescent="0.35">
      <c r="A387">
        <v>386</v>
      </c>
      <c r="B387">
        <v>67</v>
      </c>
      <c r="C387" t="s">
        <v>16</v>
      </c>
      <c r="D387" t="s">
        <v>52</v>
      </c>
      <c r="E387" t="s">
        <v>18</v>
      </c>
      <c r="F387">
        <v>93</v>
      </c>
      <c r="G387" t="s">
        <v>57</v>
      </c>
      <c r="H387" t="s">
        <v>32</v>
      </c>
      <c r="I387" t="s">
        <v>125</v>
      </c>
      <c r="J387" t="s">
        <v>50</v>
      </c>
      <c r="K387">
        <v>2.7</v>
      </c>
      <c r="L387" t="s">
        <v>23</v>
      </c>
      <c r="M387" t="s">
        <v>23</v>
      </c>
      <c r="N387">
        <v>12</v>
      </c>
      <c r="O387" t="s">
        <v>34</v>
      </c>
      <c r="P387" t="s">
        <v>67</v>
      </c>
    </row>
    <row r="388" spans="1:16" ht="14.5" x14ac:dyDescent="0.35">
      <c r="A388">
        <v>387</v>
      </c>
      <c r="B388">
        <v>64</v>
      </c>
      <c r="C388" t="s">
        <v>16</v>
      </c>
      <c r="D388" t="s">
        <v>97</v>
      </c>
      <c r="E388" t="s">
        <v>60</v>
      </c>
      <c r="F388">
        <v>39</v>
      </c>
      <c r="G388" t="s">
        <v>53</v>
      </c>
      <c r="H388" t="s">
        <v>20</v>
      </c>
      <c r="I388" t="s">
        <v>101</v>
      </c>
      <c r="J388" t="s">
        <v>33</v>
      </c>
      <c r="K388">
        <v>3.4</v>
      </c>
      <c r="L388" t="s">
        <v>23</v>
      </c>
      <c r="M388" t="s">
        <v>23</v>
      </c>
      <c r="N388">
        <v>40</v>
      </c>
      <c r="O388" t="s">
        <v>40</v>
      </c>
      <c r="P388" t="s">
        <v>51</v>
      </c>
    </row>
    <row r="389" spans="1:16" ht="14.5" x14ac:dyDescent="0.35">
      <c r="A389">
        <v>388</v>
      </c>
      <c r="B389">
        <v>45</v>
      </c>
      <c r="C389" t="s">
        <v>16</v>
      </c>
      <c r="D389" t="s">
        <v>55</v>
      </c>
      <c r="E389" t="s">
        <v>56</v>
      </c>
      <c r="F389">
        <v>93</v>
      </c>
      <c r="G389" t="s">
        <v>133</v>
      </c>
      <c r="H389" t="s">
        <v>20</v>
      </c>
      <c r="I389" t="s">
        <v>58</v>
      </c>
      <c r="J389" t="s">
        <v>47</v>
      </c>
      <c r="K389">
        <v>4.5999999999999996</v>
      </c>
      <c r="L389" t="s">
        <v>23</v>
      </c>
      <c r="M389" t="s">
        <v>23</v>
      </c>
      <c r="N389">
        <v>38</v>
      </c>
      <c r="O389" t="s">
        <v>40</v>
      </c>
      <c r="P389" t="s">
        <v>25</v>
      </c>
    </row>
    <row r="390" spans="1:16" ht="14.5" x14ac:dyDescent="0.35">
      <c r="A390">
        <v>389</v>
      </c>
      <c r="B390">
        <v>22</v>
      </c>
      <c r="C390" t="s">
        <v>16</v>
      </c>
      <c r="D390" t="s">
        <v>59</v>
      </c>
      <c r="E390" t="s">
        <v>60</v>
      </c>
      <c r="F390">
        <v>82</v>
      </c>
      <c r="G390" t="s">
        <v>140</v>
      </c>
      <c r="H390" t="s">
        <v>39</v>
      </c>
      <c r="I390" t="s">
        <v>112</v>
      </c>
      <c r="J390" t="s">
        <v>47</v>
      </c>
      <c r="K390">
        <v>2.7</v>
      </c>
      <c r="L390" t="s">
        <v>23</v>
      </c>
      <c r="M390" t="s">
        <v>23</v>
      </c>
      <c r="N390">
        <v>10</v>
      </c>
      <c r="O390" t="s">
        <v>40</v>
      </c>
      <c r="P390" t="s">
        <v>51</v>
      </c>
    </row>
    <row r="391" spans="1:16" ht="14.5" x14ac:dyDescent="0.35">
      <c r="A391">
        <v>390</v>
      </c>
      <c r="B391">
        <v>27</v>
      </c>
      <c r="C391" t="s">
        <v>16</v>
      </c>
      <c r="D391" t="s">
        <v>128</v>
      </c>
      <c r="E391" t="s">
        <v>37</v>
      </c>
      <c r="F391">
        <v>42</v>
      </c>
      <c r="G391" t="s">
        <v>132</v>
      </c>
      <c r="H391" t="s">
        <v>20</v>
      </c>
      <c r="I391" t="s">
        <v>65</v>
      </c>
      <c r="J391" t="s">
        <v>33</v>
      </c>
      <c r="K391">
        <v>4.2</v>
      </c>
      <c r="L391" t="s">
        <v>23</v>
      </c>
      <c r="M391" t="s">
        <v>23</v>
      </c>
      <c r="N391">
        <v>28</v>
      </c>
      <c r="O391" t="s">
        <v>66</v>
      </c>
      <c r="P391" t="s">
        <v>79</v>
      </c>
    </row>
    <row r="392" spans="1:16" ht="14.5" x14ac:dyDescent="0.35">
      <c r="A392">
        <v>391</v>
      </c>
      <c r="B392">
        <v>25</v>
      </c>
      <c r="C392" t="s">
        <v>16</v>
      </c>
      <c r="D392" t="s">
        <v>134</v>
      </c>
      <c r="E392" t="s">
        <v>60</v>
      </c>
      <c r="F392">
        <v>71</v>
      </c>
      <c r="G392" t="s">
        <v>107</v>
      </c>
      <c r="H392" t="s">
        <v>39</v>
      </c>
      <c r="I392" t="s">
        <v>117</v>
      </c>
      <c r="J392" t="s">
        <v>22</v>
      </c>
      <c r="K392">
        <v>3.2</v>
      </c>
      <c r="L392" t="s">
        <v>23</v>
      </c>
      <c r="M392" t="s">
        <v>23</v>
      </c>
      <c r="N392">
        <v>19</v>
      </c>
      <c r="O392" t="s">
        <v>40</v>
      </c>
      <c r="P392" t="s">
        <v>43</v>
      </c>
    </row>
    <row r="393" spans="1:16" ht="14.5" x14ac:dyDescent="0.35">
      <c r="A393">
        <v>392</v>
      </c>
      <c r="B393">
        <v>37</v>
      </c>
      <c r="C393" t="s">
        <v>16</v>
      </c>
      <c r="D393" t="s">
        <v>26</v>
      </c>
      <c r="E393" t="s">
        <v>18</v>
      </c>
      <c r="F393">
        <v>86</v>
      </c>
      <c r="G393" t="s">
        <v>139</v>
      </c>
      <c r="H393" t="s">
        <v>20</v>
      </c>
      <c r="I393" t="s">
        <v>21</v>
      </c>
      <c r="J393" t="s">
        <v>33</v>
      </c>
      <c r="K393">
        <v>4.8</v>
      </c>
      <c r="L393" t="s">
        <v>23</v>
      </c>
      <c r="M393" t="s">
        <v>23</v>
      </c>
      <c r="N393">
        <v>25</v>
      </c>
      <c r="O393" t="s">
        <v>29</v>
      </c>
      <c r="P393" t="s">
        <v>25</v>
      </c>
    </row>
    <row r="394" spans="1:16" ht="14.5" x14ac:dyDescent="0.35">
      <c r="A394">
        <v>393</v>
      </c>
      <c r="B394">
        <v>26</v>
      </c>
      <c r="C394" t="s">
        <v>16</v>
      </c>
      <c r="D394" t="s">
        <v>104</v>
      </c>
      <c r="E394" t="s">
        <v>18</v>
      </c>
      <c r="F394">
        <v>82</v>
      </c>
      <c r="G394" t="s">
        <v>126</v>
      </c>
      <c r="H394" t="s">
        <v>83</v>
      </c>
      <c r="I394" t="s">
        <v>85</v>
      </c>
      <c r="J394" t="s">
        <v>33</v>
      </c>
      <c r="K394">
        <v>3.3</v>
      </c>
      <c r="L394" t="s">
        <v>23</v>
      </c>
      <c r="M394" t="s">
        <v>23</v>
      </c>
      <c r="N394">
        <v>38</v>
      </c>
      <c r="O394" t="s">
        <v>34</v>
      </c>
      <c r="P394" t="s">
        <v>43</v>
      </c>
    </row>
    <row r="395" spans="1:16" ht="14.5" x14ac:dyDescent="0.35">
      <c r="A395">
        <v>394</v>
      </c>
      <c r="B395">
        <v>33</v>
      </c>
      <c r="C395" t="s">
        <v>16</v>
      </c>
      <c r="D395" t="s">
        <v>63</v>
      </c>
      <c r="E395" t="s">
        <v>37</v>
      </c>
      <c r="F395">
        <v>65</v>
      </c>
      <c r="G395" t="s">
        <v>120</v>
      </c>
      <c r="H395" t="s">
        <v>20</v>
      </c>
      <c r="I395" t="s">
        <v>28</v>
      </c>
      <c r="J395" t="s">
        <v>50</v>
      </c>
      <c r="K395">
        <v>4.2</v>
      </c>
      <c r="L395" t="s">
        <v>23</v>
      </c>
      <c r="M395" t="s">
        <v>23</v>
      </c>
      <c r="N395">
        <v>6</v>
      </c>
      <c r="O395" t="s">
        <v>40</v>
      </c>
      <c r="P395" t="s">
        <v>25</v>
      </c>
    </row>
    <row r="396" spans="1:16" ht="14.5" x14ac:dyDescent="0.35">
      <c r="A396">
        <v>395</v>
      </c>
      <c r="B396">
        <v>43</v>
      </c>
      <c r="C396" t="s">
        <v>16</v>
      </c>
      <c r="D396" t="s">
        <v>110</v>
      </c>
      <c r="E396" t="s">
        <v>60</v>
      </c>
      <c r="F396">
        <v>29</v>
      </c>
      <c r="G396" t="s">
        <v>105</v>
      </c>
      <c r="H396" t="s">
        <v>39</v>
      </c>
      <c r="I396" t="s">
        <v>109</v>
      </c>
      <c r="J396" t="s">
        <v>33</v>
      </c>
      <c r="K396">
        <v>4.8</v>
      </c>
      <c r="L396" t="s">
        <v>23</v>
      </c>
      <c r="M396" t="s">
        <v>23</v>
      </c>
      <c r="N396">
        <v>7</v>
      </c>
      <c r="O396" t="s">
        <v>77</v>
      </c>
      <c r="P396" t="s">
        <v>67</v>
      </c>
    </row>
    <row r="397" spans="1:16" ht="14.5" x14ac:dyDescent="0.35">
      <c r="A397">
        <v>396</v>
      </c>
      <c r="B397">
        <v>37</v>
      </c>
      <c r="C397" t="s">
        <v>16</v>
      </c>
      <c r="D397" t="s">
        <v>44</v>
      </c>
      <c r="E397" t="s">
        <v>37</v>
      </c>
      <c r="F397">
        <v>65</v>
      </c>
      <c r="G397" t="s">
        <v>38</v>
      </c>
      <c r="H397" t="s">
        <v>20</v>
      </c>
      <c r="I397" t="s">
        <v>101</v>
      </c>
      <c r="J397" t="s">
        <v>22</v>
      </c>
      <c r="K397">
        <v>4.9000000000000004</v>
      </c>
      <c r="L397" t="s">
        <v>23</v>
      </c>
      <c r="M397" t="s">
        <v>23</v>
      </c>
      <c r="N397">
        <v>2</v>
      </c>
      <c r="O397" t="s">
        <v>40</v>
      </c>
      <c r="P397" t="s">
        <v>43</v>
      </c>
    </row>
    <row r="398" spans="1:16" ht="14.5" x14ac:dyDescent="0.35">
      <c r="A398">
        <v>397</v>
      </c>
      <c r="B398">
        <v>46</v>
      </c>
      <c r="C398" t="s">
        <v>16</v>
      </c>
      <c r="D398" t="s">
        <v>72</v>
      </c>
      <c r="E398" t="s">
        <v>18</v>
      </c>
      <c r="F398">
        <v>88</v>
      </c>
      <c r="G398" t="s">
        <v>122</v>
      </c>
      <c r="H398" t="s">
        <v>32</v>
      </c>
      <c r="I398" t="s">
        <v>85</v>
      </c>
      <c r="J398" t="s">
        <v>50</v>
      </c>
      <c r="K398">
        <v>3.9</v>
      </c>
      <c r="L398" t="s">
        <v>23</v>
      </c>
      <c r="M398" t="s">
        <v>23</v>
      </c>
      <c r="N398">
        <v>24</v>
      </c>
      <c r="O398" t="s">
        <v>66</v>
      </c>
      <c r="P398" t="s">
        <v>43</v>
      </c>
    </row>
    <row r="399" spans="1:16" ht="14.5" x14ac:dyDescent="0.35">
      <c r="A399">
        <v>398</v>
      </c>
      <c r="B399">
        <v>22</v>
      </c>
      <c r="C399" t="s">
        <v>16</v>
      </c>
      <c r="D399" t="s">
        <v>124</v>
      </c>
      <c r="E399" t="s">
        <v>60</v>
      </c>
      <c r="F399">
        <v>46</v>
      </c>
      <c r="G399" t="s">
        <v>82</v>
      </c>
      <c r="H399" t="s">
        <v>39</v>
      </c>
      <c r="I399" t="s">
        <v>117</v>
      </c>
      <c r="J399" t="s">
        <v>50</v>
      </c>
      <c r="K399">
        <v>3</v>
      </c>
      <c r="L399" t="s">
        <v>23</v>
      </c>
      <c r="M399" t="s">
        <v>23</v>
      </c>
      <c r="N399">
        <v>26</v>
      </c>
      <c r="O399" t="s">
        <v>29</v>
      </c>
      <c r="P399" t="s">
        <v>43</v>
      </c>
    </row>
    <row r="400" spans="1:16" ht="14.5" x14ac:dyDescent="0.35">
      <c r="A400">
        <v>399</v>
      </c>
      <c r="B400">
        <v>20</v>
      </c>
      <c r="C400" t="s">
        <v>16</v>
      </c>
      <c r="D400" t="s">
        <v>128</v>
      </c>
      <c r="E400" t="s">
        <v>37</v>
      </c>
      <c r="F400">
        <v>67</v>
      </c>
      <c r="G400" t="s">
        <v>49</v>
      </c>
      <c r="H400" t="s">
        <v>32</v>
      </c>
      <c r="I400" t="s">
        <v>58</v>
      </c>
      <c r="J400" t="s">
        <v>22</v>
      </c>
      <c r="K400">
        <v>4.5999999999999996</v>
      </c>
      <c r="L400" t="s">
        <v>23</v>
      </c>
      <c r="M400" t="s">
        <v>23</v>
      </c>
      <c r="N400">
        <v>25</v>
      </c>
      <c r="O400" t="s">
        <v>77</v>
      </c>
      <c r="P400" t="s">
        <v>88</v>
      </c>
    </row>
    <row r="401" spans="1:16" ht="14.5" x14ac:dyDescent="0.35">
      <c r="A401">
        <v>400</v>
      </c>
      <c r="B401">
        <v>60</v>
      </c>
      <c r="C401" t="s">
        <v>16</v>
      </c>
      <c r="D401" t="s">
        <v>110</v>
      </c>
      <c r="E401" t="s">
        <v>60</v>
      </c>
      <c r="F401">
        <v>35</v>
      </c>
      <c r="G401" t="s">
        <v>126</v>
      </c>
      <c r="H401" t="s">
        <v>20</v>
      </c>
      <c r="I401" t="s">
        <v>135</v>
      </c>
      <c r="J401" t="s">
        <v>50</v>
      </c>
      <c r="K401">
        <v>3.5</v>
      </c>
      <c r="L401" t="s">
        <v>23</v>
      </c>
      <c r="M401" t="s">
        <v>23</v>
      </c>
      <c r="N401">
        <v>10</v>
      </c>
      <c r="O401" t="s">
        <v>77</v>
      </c>
      <c r="P401" t="s">
        <v>79</v>
      </c>
    </row>
    <row r="402" spans="1:16" ht="14.5" x14ac:dyDescent="0.35">
      <c r="A402">
        <v>401</v>
      </c>
      <c r="B402">
        <v>39</v>
      </c>
      <c r="C402" t="s">
        <v>16</v>
      </c>
      <c r="D402" t="s">
        <v>128</v>
      </c>
      <c r="E402" t="s">
        <v>37</v>
      </c>
      <c r="F402">
        <v>66</v>
      </c>
      <c r="G402" t="s">
        <v>131</v>
      </c>
      <c r="H402" t="s">
        <v>39</v>
      </c>
      <c r="I402" t="s">
        <v>87</v>
      </c>
      <c r="J402" t="s">
        <v>22</v>
      </c>
      <c r="K402">
        <v>4.8</v>
      </c>
      <c r="L402" t="s">
        <v>23</v>
      </c>
      <c r="M402" t="s">
        <v>23</v>
      </c>
      <c r="N402">
        <v>14</v>
      </c>
      <c r="O402" t="s">
        <v>40</v>
      </c>
      <c r="P402" t="s">
        <v>25</v>
      </c>
    </row>
    <row r="403" spans="1:16" ht="14.5" x14ac:dyDescent="0.35">
      <c r="A403">
        <v>402</v>
      </c>
      <c r="B403">
        <v>43</v>
      </c>
      <c r="C403" t="s">
        <v>16</v>
      </c>
      <c r="D403" t="s">
        <v>104</v>
      </c>
      <c r="E403" t="s">
        <v>18</v>
      </c>
      <c r="F403">
        <v>91</v>
      </c>
      <c r="G403" t="s">
        <v>92</v>
      </c>
      <c r="H403" t="s">
        <v>20</v>
      </c>
      <c r="I403" t="s">
        <v>112</v>
      </c>
      <c r="J403" t="s">
        <v>50</v>
      </c>
      <c r="K403">
        <v>4.8</v>
      </c>
      <c r="L403" t="s">
        <v>23</v>
      </c>
      <c r="M403" t="s">
        <v>23</v>
      </c>
      <c r="N403">
        <v>21</v>
      </c>
      <c r="O403" t="s">
        <v>29</v>
      </c>
      <c r="P403" t="s">
        <v>51</v>
      </c>
    </row>
    <row r="404" spans="1:16" ht="14.5" x14ac:dyDescent="0.35">
      <c r="A404">
        <v>403</v>
      </c>
      <c r="B404">
        <v>31</v>
      </c>
      <c r="C404" t="s">
        <v>16</v>
      </c>
      <c r="D404" t="s">
        <v>123</v>
      </c>
      <c r="E404" t="s">
        <v>60</v>
      </c>
      <c r="F404">
        <v>78</v>
      </c>
      <c r="G404" t="s">
        <v>90</v>
      </c>
      <c r="H404" t="s">
        <v>20</v>
      </c>
      <c r="I404" t="s">
        <v>100</v>
      </c>
      <c r="J404" t="s">
        <v>50</v>
      </c>
      <c r="K404">
        <v>3</v>
      </c>
      <c r="L404" t="s">
        <v>23</v>
      </c>
      <c r="M404" t="s">
        <v>23</v>
      </c>
      <c r="N404">
        <v>26</v>
      </c>
      <c r="O404" t="s">
        <v>40</v>
      </c>
      <c r="P404" t="s">
        <v>79</v>
      </c>
    </row>
    <row r="405" spans="1:16" ht="14.5" x14ac:dyDescent="0.35">
      <c r="A405">
        <v>404</v>
      </c>
      <c r="B405">
        <v>19</v>
      </c>
      <c r="C405" t="s">
        <v>16</v>
      </c>
      <c r="D405" t="s">
        <v>44</v>
      </c>
      <c r="E405" t="s">
        <v>37</v>
      </c>
      <c r="F405">
        <v>45</v>
      </c>
      <c r="G405" t="s">
        <v>98</v>
      </c>
      <c r="H405" t="s">
        <v>39</v>
      </c>
      <c r="I405" t="s">
        <v>112</v>
      </c>
      <c r="J405" t="s">
        <v>22</v>
      </c>
      <c r="K405">
        <v>4.5</v>
      </c>
      <c r="L405" t="s">
        <v>23</v>
      </c>
      <c r="M405" t="s">
        <v>23</v>
      </c>
      <c r="N405">
        <v>12</v>
      </c>
      <c r="O405" t="s">
        <v>66</v>
      </c>
      <c r="P405" t="s">
        <v>43</v>
      </c>
    </row>
    <row r="406" spans="1:16" ht="14.5" x14ac:dyDescent="0.35">
      <c r="A406">
        <v>405</v>
      </c>
      <c r="B406">
        <v>35</v>
      </c>
      <c r="C406" t="s">
        <v>16</v>
      </c>
      <c r="D406" t="s">
        <v>104</v>
      </c>
      <c r="E406" t="s">
        <v>18</v>
      </c>
      <c r="F406">
        <v>93</v>
      </c>
      <c r="G406" t="s">
        <v>70</v>
      </c>
      <c r="H406" t="s">
        <v>39</v>
      </c>
      <c r="I406" t="s">
        <v>117</v>
      </c>
      <c r="J406" t="s">
        <v>33</v>
      </c>
      <c r="K406">
        <v>4.8</v>
      </c>
      <c r="L406" t="s">
        <v>23</v>
      </c>
      <c r="M406" t="s">
        <v>23</v>
      </c>
      <c r="N406">
        <v>11</v>
      </c>
      <c r="O406" t="s">
        <v>34</v>
      </c>
      <c r="P406" t="s">
        <v>79</v>
      </c>
    </row>
    <row r="407" spans="1:16" ht="14.5" x14ac:dyDescent="0.35">
      <c r="A407">
        <v>406</v>
      </c>
      <c r="B407">
        <v>41</v>
      </c>
      <c r="C407" t="s">
        <v>16</v>
      </c>
      <c r="D407" t="s">
        <v>30</v>
      </c>
      <c r="E407" t="s">
        <v>18</v>
      </c>
      <c r="F407">
        <v>74</v>
      </c>
      <c r="G407" t="s">
        <v>122</v>
      </c>
      <c r="H407" t="s">
        <v>32</v>
      </c>
      <c r="I407" t="s">
        <v>58</v>
      </c>
      <c r="J407" t="s">
        <v>47</v>
      </c>
      <c r="K407">
        <v>3.8</v>
      </c>
      <c r="L407" t="s">
        <v>23</v>
      </c>
      <c r="M407" t="s">
        <v>23</v>
      </c>
      <c r="N407">
        <v>15</v>
      </c>
      <c r="O407" t="s">
        <v>29</v>
      </c>
      <c r="P407" t="s">
        <v>43</v>
      </c>
    </row>
    <row r="408" spans="1:16" ht="14.5" x14ac:dyDescent="0.35">
      <c r="A408">
        <v>407</v>
      </c>
      <c r="B408">
        <v>52</v>
      </c>
      <c r="C408" t="s">
        <v>16</v>
      </c>
      <c r="D408" t="s">
        <v>134</v>
      </c>
      <c r="E408" t="s">
        <v>60</v>
      </c>
      <c r="F408">
        <v>55</v>
      </c>
      <c r="G408" t="s">
        <v>119</v>
      </c>
      <c r="H408" t="s">
        <v>39</v>
      </c>
      <c r="I408" t="s">
        <v>91</v>
      </c>
      <c r="J408" t="s">
        <v>33</v>
      </c>
      <c r="K408">
        <v>4.5999999999999996</v>
      </c>
      <c r="L408" t="s">
        <v>23</v>
      </c>
      <c r="M408" t="s">
        <v>23</v>
      </c>
      <c r="N408">
        <v>13</v>
      </c>
      <c r="O408" t="s">
        <v>29</v>
      </c>
      <c r="P408" t="s">
        <v>79</v>
      </c>
    </row>
    <row r="409" spans="1:16" ht="14.5" x14ac:dyDescent="0.35">
      <c r="A409">
        <v>408</v>
      </c>
      <c r="B409">
        <v>45</v>
      </c>
      <c r="C409" t="s">
        <v>16</v>
      </c>
      <c r="D409" t="s">
        <v>95</v>
      </c>
      <c r="E409" t="s">
        <v>18</v>
      </c>
      <c r="F409">
        <v>76</v>
      </c>
      <c r="G409" t="s">
        <v>89</v>
      </c>
      <c r="H409" t="s">
        <v>83</v>
      </c>
      <c r="I409" t="s">
        <v>76</v>
      </c>
      <c r="J409" t="s">
        <v>33</v>
      </c>
      <c r="K409">
        <v>3.1</v>
      </c>
      <c r="L409" t="s">
        <v>23</v>
      </c>
      <c r="M409" t="s">
        <v>23</v>
      </c>
      <c r="N409">
        <v>5</v>
      </c>
      <c r="O409" t="s">
        <v>34</v>
      </c>
      <c r="P409" t="s">
        <v>67</v>
      </c>
    </row>
    <row r="410" spans="1:16" ht="14.5" x14ac:dyDescent="0.35">
      <c r="A410">
        <v>409</v>
      </c>
      <c r="B410">
        <v>34</v>
      </c>
      <c r="C410" t="s">
        <v>16</v>
      </c>
      <c r="D410" t="s">
        <v>44</v>
      </c>
      <c r="E410" t="s">
        <v>37</v>
      </c>
      <c r="F410">
        <v>66</v>
      </c>
      <c r="G410" t="s">
        <v>81</v>
      </c>
      <c r="H410" t="s">
        <v>20</v>
      </c>
      <c r="I410" t="s">
        <v>46</v>
      </c>
      <c r="J410" t="s">
        <v>33</v>
      </c>
      <c r="K410">
        <v>3.4</v>
      </c>
      <c r="L410" t="s">
        <v>23</v>
      </c>
      <c r="M410" t="s">
        <v>23</v>
      </c>
      <c r="N410">
        <v>36</v>
      </c>
      <c r="O410" t="s">
        <v>29</v>
      </c>
      <c r="P410" t="s">
        <v>25</v>
      </c>
    </row>
    <row r="411" spans="1:16" ht="14.5" x14ac:dyDescent="0.35">
      <c r="A411">
        <v>410</v>
      </c>
      <c r="B411">
        <v>35</v>
      </c>
      <c r="C411" t="s">
        <v>16</v>
      </c>
      <c r="D411" t="s">
        <v>52</v>
      </c>
      <c r="E411" t="s">
        <v>18</v>
      </c>
      <c r="F411">
        <v>51</v>
      </c>
      <c r="G411" t="s">
        <v>139</v>
      </c>
      <c r="H411" t="s">
        <v>39</v>
      </c>
      <c r="I411" t="s">
        <v>101</v>
      </c>
      <c r="J411" t="s">
        <v>22</v>
      </c>
      <c r="K411">
        <v>3.3</v>
      </c>
      <c r="L411" t="s">
        <v>23</v>
      </c>
      <c r="M411" t="s">
        <v>23</v>
      </c>
      <c r="N411">
        <v>32</v>
      </c>
      <c r="O411" t="s">
        <v>66</v>
      </c>
      <c r="P411" t="s">
        <v>79</v>
      </c>
    </row>
    <row r="412" spans="1:16" ht="14.5" x14ac:dyDescent="0.35">
      <c r="A412">
        <v>411</v>
      </c>
      <c r="B412">
        <v>29</v>
      </c>
      <c r="C412" t="s">
        <v>16</v>
      </c>
      <c r="D412" t="s">
        <v>26</v>
      </c>
      <c r="E412" t="s">
        <v>18</v>
      </c>
      <c r="F412">
        <v>26</v>
      </c>
      <c r="G412" t="s">
        <v>132</v>
      </c>
      <c r="H412" t="s">
        <v>20</v>
      </c>
      <c r="I412" t="s">
        <v>84</v>
      </c>
      <c r="J412" t="s">
        <v>33</v>
      </c>
      <c r="K412">
        <v>4.8</v>
      </c>
      <c r="L412" t="s">
        <v>23</v>
      </c>
      <c r="M412" t="s">
        <v>23</v>
      </c>
      <c r="N412">
        <v>1</v>
      </c>
      <c r="O412" t="s">
        <v>34</v>
      </c>
      <c r="P412" t="s">
        <v>51</v>
      </c>
    </row>
    <row r="413" spans="1:16" ht="14.5" x14ac:dyDescent="0.35">
      <c r="A413">
        <v>412</v>
      </c>
      <c r="B413">
        <v>59</v>
      </c>
      <c r="C413" t="s">
        <v>16</v>
      </c>
      <c r="D413" t="s">
        <v>30</v>
      </c>
      <c r="E413" t="s">
        <v>18</v>
      </c>
      <c r="F413">
        <v>29</v>
      </c>
      <c r="G413" t="s">
        <v>142</v>
      </c>
      <c r="H413" t="s">
        <v>39</v>
      </c>
      <c r="I413" t="s">
        <v>117</v>
      </c>
      <c r="J413" t="s">
        <v>47</v>
      </c>
      <c r="K413">
        <v>2.8</v>
      </c>
      <c r="L413" t="s">
        <v>23</v>
      </c>
      <c r="M413" t="s">
        <v>23</v>
      </c>
      <c r="N413">
        <v>15</v>
      </c>
      <c r="O413" t="s">
        <v>40</v>
      </c>
      <c r="P413" t="s">
        <v>43</v>
      </c>
    </row>
    <row r="414" spans="1:16" ht="14.5" x14ac:dyDescent="0.35">
      <c r="A414">
        <v>413</v>
      </c>
      <c r="B414">
        <v>24</v>
      </c>
      <c r="C414" t="s">
        <v>16</v>
      </c>
      <c r="D414" t="s">
        <v>93</v>
      </c>
      <c r="E414" t="s">
        <v>56</v>
      </c>
      <c r="F414">
        <v>74</v>
      </c>
      <c r="G414" t="s">
        <v>27</v>
      </c>
      <c r="H414" t="s">
        <v>39</v>
      </c>
      <c r="I414" t="s">
        <v>125</v>
      </c>
      <c r="J414" t="s">
        <v>47</v>
      </c>
      <c r="K414">
        <v>3.1</v>
      </c>
      <c r="L414" t="s">
        <v>23</v>
      </c>
      <c r="M414" t="s">
        <v>23</v>
      </c>
      <c r="N414">
        <v>3</v>
      </c>
      <c r="O414" t="s">
        <v>66</v>
      </c>
      <c r="P414" t="s">
        <v>35</v>
      </c>
    </row>
    <row r="415" spans="1:16" ht="14.5" x14ac:dyDescent="0.35">
      <c r="A415">
        <v>414</v>
      </c>
      <c r="B415">
        <v>70</v>
      </c>
      <c r="C415" t="s">
        <v>16</v>
      </c>
      <c r="D415" t="s">
        <v>97</v>
      </c>
      <c r="E415" t="s">
        <v>60</v>
      </c>
      <c r="F415">
        <v>99</v>
      </c>
      <c r="G415" t="s">
        <v>98</v>
      </c>
      <c r="H415" t="s">
        <v>32</v>
      </c>
      <c r="I415" t="s">
        <v>46</v>
      </c>
      <c r="J415" t="s">
        <v>47</v>
      </c>
      <c r="K415">
        <v>4.5999999999999996</v>
      </c>
      <c r="L415" t="s">
        <v>23</v>
      </c>
      <c r="M415" t="s">
        <v>23</v>
      </c>
      <c r="N415">
        <v>48</v>
      </c>
      <c r="O415" t="s">
        <v>29</v>
      </c>
      <c r="P415" t="s">
        <v>79</v>
      </c>
    </row>
    <row r="416" spans="1:16" ht="14.5" x14ac:dyDescent="0.35">
      <c r="A416">
        <v>415</v>
      </c>
      <c r="B416">
        <v>29</v>
      </c>
      <c r="C416" t="s">
        <v>16</v>
      </c>
      <c r="D416" t="s">
        <v>123</v>
      </c>
      <c r="E416" t="s">
        <v>60</v>
      </c>
      <c r="F416">
        <v>88</v>
      </c>
      <c r="G416" t="s">
        <v>45</v>
      </c>
      <c r="H416" t="s">
        <v>20</v>
      </c>
      <c r="I416" t="s">
        <v>74</v>
      </c>
      <c r="J416" t="s">
        <v>22</v>
      </c>
      <c r="K416">
        <v>2.6</v>
      </c>
      <c r="L416" t="s">
        <v>23</v>
      </c>
      <c r="M416" t="s">
        <v>23</v>
      </c>
      <c r="N416">
        <v>30</v>
      </c>
      <c r="O416" t="s">
        <v>77</v>
      </c>
      <c r="P416" t="s">
        <v>35</v>
      </c>
    </row>
    <row r="417" spans="1:16" ht="14.5" x14ac:dyDescent="0.35">
      <c r="A417">
        <v>416</v>
      </c>
      <c r="B417">
        <v>67</v>
      </c>
      <c r="C417" t="s">
        <v>16</v>
      </c>
      <c r="D417" t="s">
        <v>55</v>
      </c>
      <c r="E417" t="s">
        <v>56</v>
      </c>
      <c r="F417">
        <v>31</v>
      </c>
      <c r="G417" t="s">
        <v>130</v>
      </c>
      <c r="H417" t="s">
        <v>39</v>
      </c>
      <c r="I417" t="s">
        <v>84</v>
      </c>
      <c r="J417" t="s">
        <v>22</v>
      </c>
      <c r="K417">
        <v>2.6</v>
      </c>
      <c r="L417" t="s">
        <v>23</v>
      </c>
      <c r="M417" t="s">
        <v>23</v>
      </c>
      <c r="N417">
        <v>40</v>
      </c>
      <c r="O417" t="s">
        <v>66</v>
      </c>
      <c r="P417" t="s">
        <v>79</v>
      </c>
    </row>
    <row r="418" spans="1:16" ht="14.5" x14ac:dyDescent="0.35">
      <c r="A418">
        <v>417</v>
      </c>
      <c r="B418">
        <v>36</v>
      </c>
      <c r="C418" t="s">
        <v>16</v>
      </c>
      <c r="D418" t="s">
        <v>124</v>
      </c>
      <c r="E418" t="s">
        <v>60</v>
      </c>
      <c r="F418">
        <v>55</v>
      </c>
      <c r="G418" t="s">
        <v>41</v>
      </c>
      <c r="H418" t="s">
        <v>20</v>
      </c>
      <c r="I418" t="s">
        <v>69</v>
      </c>
      <c r="J418" t="s">
        <v>33</v>
      </c>
      <c r="K418">
        <v>3.8</v>
      </c>
      <c r="L418" t="s">
        <v>23</v>
      </c>
      <c r="M418" t="s">
        <v>23</v>
      </c>
      <c r="N418">
        <v>24</v>
      </c>
      <c r="O418" t="s">
        <v>66</v>
      </c>
      <c r="P418" t="s">
        <v>25</v>
      </c>
    </row>
    <row r="419" spans="1:16" ht="14.5" x14ac:dyDescent="0.35">
      <c r="A419">
        <v>418</v>
      </c>
      <c r="B419">
        <v>23</v>
      </c>
      <c r="C419" t="s">
        <v>16</v>
      </c>
      <c r="D419" t="s">
        <v>36</v>
      </c>
      <c r="E419" t="s">
        <v>37</v>
      </c>
      <c r="F419">
        <v>81</v>
      </c>
      <c r="G419" t="s">
        <v>82</v>
      </c>
      <c r="H419" t="s">
        <v>20</v>
      </c>
      <c r="I419" t="s">
        <v>109</v>
      </c>
      <c r="J419" t="s">
        <v>50</v>
      </c>
      <c r="K419">
        <v>4.5</v>
      </c>
      <c r="L419" t="s">
        <v>23</v>
      </c>
      <c r="M419" t="s">
        <v>23</v>
      </c>
      <c r="N419">
        <v>48</v>
      </c>
      <c r="O419" t="s">
        <v>77</v>
      </c>
      <c r="P419" t="s">
        <v>51</v>
      </c>
    </row>
    <row r="420" spans="1:16" ht="14.5" x14ac:dyDescent="0.35">
      <c r="A420">
        <v>419</v>
      </c>
      <c r="B420">
        <v>18</v>
      </c>
      <c r="C420" t="s">
        <v>16</v>
      </c>
      <c r="D420" t="s">
        <v>26</v>
      </c>
      <c r="E420" t="s">
        <v>18</v>
      </c>
      <c r="F420">
        <v>73</v>
      </c>
      <c r="G420" t="s">
        <v>106</v>
      </c>
      <c r="H420" t="s">
        <v>20</v>
      </c>
      <c r="I420" t="s">
        <v>65</v>
      </c>
      <c r="J420" t="s">
        <v>33</v>
      </c>
      <c r="K420">
        <v>3</v>
      </c>
      <c r="L420" t="s">
        <v>23</v>
      </c>
      <c r="M420" t="s">
        <v>23</v>
      </c>
      <c r="N420">
        <v>27</v>
      </c>
      <c r="O420" t="s">
        <v>24</v>
      </c>
      <c r="P420" t="s">
        <v>67</v>
      </c>
    </row>
    <row r="421" spans="1:16" ht="14.5" x14ac:dyDescent="0.35">
      <c r="A421">
        <v>420</v>
      </c>
      <c r="B421">
        <v>53</v>
      </c>
      <c r="C421" t="s">
        <v>16</v>
      </c>
      <c r="D421" t="s">
        <v>52</v>
      </c>
      <c r="E421" t="s">
        <v>18</v>
      </c>
      <c r="F421">
        <v>91</v>
      </c>
      <c r="G421" t="s">
        <v>131</v>
      </c>
      <c r="H421" t="s">
        <v>32</v>
      </c>
      <c r="I421" t="s">
        <v>76</v>
      </c>
      <c r="J421" t="s">
        <v>22</v>
      </c>
      <c r="K421">
        <v>3.5</v>
      </c>
      <c r="L421" t="s">
        <v>23</v>
      </c>
      <c r="M421" t="s">
        <v>23</v>
      </c>
      <c r="N421">
        <v>14</v>
      </c>
      <c r="O421" t="s">
        <v>34</v>
      </c>
      <c r="P421" t="s">
        <v>88</v>
      </c>
    </row>
    <row r="422" spans="1:16" ht="14.5" x14ac:dyDescent="0.35">
      <c r="A422">
        <v>421</v>
      </c>
      <c r="B422">
        <v>32</v>
      </c>
      <c r="C422" t="s">
        <v>16</v>
      </c>
      <c r="D422" t="s">
        <v>116</v>
      </c>
      <c r="E422" t="s">
        <v>18</v>
      </c>
      <c r="F422">
        <v>54</v>
      </c>
      <c r="G422" t="s">
        <v>89</v>
      </c>
      <c r="H422" t="s">
        <v>32</v>
      </c>
      <c r="I422" t="s">
        <v>91</v>
      </c>
      <c r="J422" t="s">
        <v>33</v>
      </c>
      <c r="K422">
        <v>3.8</v>
      </c>
      <c r="L422" t="s">
        <v>23</v>
      </c>
      <c r="M422" t="s">
        <v>23</v>
      </c>
      <c r="N422">
        <v>18</v>
      </c>
      <c r="O422" t="s">
        <v>77</v>
      </c>
      <c r="P422" t="s">
        <v>67</v>
      </c>
    </row>
    <row r="423" spans="1:16" ht="14.5" x14ac:dyDescent="0.35">
      <c r="A423">
        <v>422</v>
      </c>
      <c r="B423">
        <v>38</v>
      </c>
      <c r="C423" t="s">
        <v>16</v>
      </c>
      <c r="D423" t="s">
        <v>48</v>
      </c>
      <c r="E423" t="s">
        <v>18</v>
      </c>
      <c r="F423">
        <v>40</v>
      </c>
      <c r="G423" t="s">
        <v>19</v>
      </c>
      <c r="H423" t="s">
        <v>39</v>
      </c>
      <c r="I423" t="s">
        <v>74</v>
      </c>
      <c r="J423" t="s">
        <v>22</v>
      </c>
      <c r="K423">
        <v>3.5</v>
      </c>
      <c r="L423" t="s">
        <v>23</v>
      </c>
      <c r="M423" t="s">
        <v>23</v>
      </c>
      <c r="N423">
        <v>48</v>
      </c>
      <c r="O423" t="s">
        <v>29</v>
      </c>
      <c r="P423" t="s">
        <v>67</v>
      </c>
    </row>
    <row r="424" spans="1:16" ht="14.5" x14ac:dyDescent="0.35">
      <c r="A424">
        <v>423</v>
      </c>
      <c r="B424">
        <v>47</v>
      </c>
      <c r="C424" t="s">
        <v>16</v>
      </c>
      <c r="D424" t="s">
        <v>86</v>
      </c>
      <c r="E424" t="s">
        <v>18</v>
      </c>
      <c r="F424">
        <v>59</v>
      </c>
      <c r="G424" t="s">
        <v>139</v>
      </c>
      <c r="H424" t="s">
        <v>39</v>
      </c>
      <c r="I424" t="s">
        <v>65</v>
      </c>
      <c r="J424" t="s">
        <v>50</v>
      </c>
      <c r="K424">
        <v>3.1</v>
      </c>
      <c r="L424" t="s">
        <v>23</v>
      </c>
      <c r="M424" t="s">
        <v>23</v>
      </c>
      <c r="N424">
        <v>32</v>
      </c>
      <c r="O424" t="s">
        <v>77</v>
      </c>
      <c r="P424" t="s">
        <v>43</v>
      </c>
    </row>
    <row r="425" spans="1:16" ht="14.5" x14ac:dyDescent="0.35">
      <c r="A425">
        <v>424</v>
      </c>
      <c r="B425">
        <v>46</v>
      </c>
      <c r="C425" t="s">
        <v>16</v>
      </c>
      <c r="D425" t="s">
        <v>110</v>
      </c>
      <c r="E425" t="s">
        <v>60</v>
      </c>
      <c r="F425">
        <v>26</v>
      </c>
      <c r="G425" t="s">
        <v>75</v>
      </c>
      <c r="H425" t="s">
        <v>20</v>
      </c>
      <c r="I425" t="s">
        <v>76</v>
      </c>
      <c r="J425" t="s">
        <v>33</v>
      </c>
      <c r="K425">
        <v>3</v>
      </c>
      <c r="L425" t="s">
        <v>23</v>
      </c>
      <c r="M425" t="s">
        <v>23</v>
      </c>
      <c r="N425">
        <v>21</v>
      </c>
      <c r="O425" t="s">
        <v>34</v>
      </c>
      <c r="P425" t="s">
        <v>67</v>
      </c>
    </row>
    <row r="426" spans="1:16" ht="14.5" x14ac:dyDescent="0.35">
      <c r="A426">
        <v>425</v>
      </c>
      <c r="B426">
        <v>66</v>
      </c>
      <c r="C426" t="s">
        <v>16</v>
      </c>
      <c r="D426" t="s">
        <v>26</v>
      </c>
      <c r="E426" t="s">
        <v>18</v>
      </c>
      <c r="F426">
        <v>23</v>
      </c>
      <c r="G426" t="s">
        <v>106</v>
      </c>
      <c r="H426" t="s">
        <v>39</v>
      </c>
      <c r="I426" t="s">
        <v>71</v>
      </c>
      <c r="J426" t="s">
        <v>22</v>
      </c>
      <c r="K426">
        <v>4.3</v>
      </c>
      <c r="L426" t="s">
        <v>23</v>
      </c>
      <c r="M426" t="s">
        <v>23</v>
      </c>
      <c r="N426">
        <v>42</v>
      </c>
      <c r="O426" t="s">
        <v>40</v>
      </c>
      <c r="P426" t="s">
        <v>25</v>
      </c>
    </row>
    <row r="427" spans="1:16" ht="14.5" x14ac:dyDescent="0.35">
      <c r="A427">
        <v>426</v>
      </c>
      <c r="B427">
        <v>40</v>
      </c>
      <c r="C427" t="s">
        <v>16</v>
      </c>
      <c r="D427" t="s">
        <v>30</v>
      </c>
      <c r="E427" t="s">
        <v>18</v>
      </c>
      <c r="F427">
        <v>87</v>
      </c>
      <c r="G427" t="s">
        <v>105</v>
      </c>
      <c r="H427" t="s">
        <v>32</v>
      </c>
      <c r="I427" t="s">
        <v>76</v>
      </c>
      <c r="J427" t="s">
        <v>22</v>
      </c>
      <c r="K427">
        <v>3.3</v>
      </c>
      <c r="L427" t="s">
        <v>23</v>
      </c>
      <c r="M427" t="s">
        <v>23</v>
      </c>
      <c r="N427">
        <v>4</v>
      </c>
      <c r="O427" t="s">
        <v>34</v>
      </c>
      <c r="P427" t="s">
        <v>51</v>
      </c>
    </row>
    <row r="428" spans="1:16" ht="14.5" x14ac:dyDescent="0.35">
      <c r="A428">
        <v>427</v>
      </c>
      <c r="B428">
        <v>43</v>
      </c>
      <c r="C428" t="s">
        <v>16</v>
      </c>
      <c r="D428" t="s">
        <v>86</v>
      </c>
      <c r="E428" t="s">
        <v>18</v>
      </c>
      <c r="F428">
        <v>71</v>
      </c>
      <c r="G428" t="s">
        <v>53</v>
      </c>
      <c r="H428" t="s">
        <v>39</v>
      </c>
      <c r="I428" t="s">
        <v>74</v>
      </c>
      <c r="J428" t="s">
        <v>22</v>
      </c>
      <c r="K428">
        <v>4.7</v>
      </c>
      <c r="L428" t="s">
        <v>23</v>
      </c>
      <c r="M428" t="s">
        <v>23</v>
      </c>
      <c r="N428">
        <v>19</v>
      </c>
      <c r="O428" t="s">
        <v>34</v>
      </c>
      <c r="P428" t="s">
        <v>51</v>
      </c>
    </row>
    <row r="429" spans="1:16" ht="14.5" x14ac:dyDescent="0.35">
      <c r="A429">
        <v>428</v>
      </c>
      <c r="B429">
        <v>58</v>
      </c>
      <c r="C429" t="s">
        <v>16</v>
      </c>
      <c r="D429" t="s">
        <v>123</v>
      </c>
      <c r="E429" t="s">
        <v>60</v>
      </c>
      <c r="F429">
        <v>91</v>
      </c>
      <c r="G429" t="s">
        <v>106</v>
      </c>
      <c r="H429" t="s">
        <v>20</v>
      </c>
      <c r="I429" t="s">
        <v>85</v>
      </c>
      <c r="J429" t="s">
        <v>22</v>
      </c>
      <c r="K429">
        <v>4.5</v>
      </c>
      <c r="L429" t="s">
        <v>23</v>
      </c>
      <c r="M429" t="s">
        <v>23</v>
      </c>
      <c r="N429">
        <v>6</v>
      </c>
      <c r="O429" t="s">
        <v>34</v>
      </c>
      <c r="P429" t="s">
        <v>51</v>
      </c>
    </row>
    <row r="430" spans="1:16" ht="14.5" x14ac:dyDescent="0.35">
      <c r="A430">
        <v>429</v>
      </c>
      <c r="B430">
        <v>21</v>
      </c>
      <c r="C430" t="s">
        <v>16</v>
      </c>
      <c r="D430" t="s">
        <v>55</v>
      </c>
      <c r="E430" t="s">
        <v>56</v>
      </c>
      <c r="F430">
        <v>64</v>
      </c>
      <c r="G430" t="s">
        <v>45</v>
      </c>
      <c r="H430" t="s">
        <v>83</v>
      </c>
      <c r="I430" t="s">
        <v>71</v>
      </c>
      <c r="J430" t="s">
        <v>22</v>
      </c>
      <c r="K430">
        <v>2.9</v>
      </c>
      <c r="L430" t="s">
        <v>23</v>
      </c>
      <c r="M430" t="s">
        <v>23</v>
      </c>
      <c r="N430">
        <v>2</v>
      </c>
      <c r="O430" t="s">
        <v>77</v>
      </c>
      <c r="P430" t="s">
        <v>25</v>
      </c>
    </row>
    <row r="431" spans="1:16" ht="14.5" x14ac:dyDescent="0.35">
      <c r="A431">
        <v>430</v>
      </c>
      <c r="B431">
        <v>42</v>
      </c>
      <c r="C431" t="s">
        <v>16</v>
      </c>
      <c r="D431" t="s">
        <v>36</v>
      </c>
      <c r="E431" t="s">
        <v>37</v>
      </c>
      <c r="F431">
        <v>94</v>
      </c>
      <c r="G431" t="s">
        <v>140</v>
      </c>
      <c r="H431" t="s">
        <v>39</v>
      </c>
      <c r="I431" t="s">
        <v>71</v>
      </c>
      <c r="J431" t="s">
        <v>22</v>
      </c>
      <c r="K431">
        <v>4.0999999999999996</v>
      </c>
      <c r="L431" t="s">
        <v>23</v>
      </c>
      <c r="M431" t="s">
        <v>23</v>
      </c>
      <c r="N431">
        <v>21</v>
      </c>
      <c r="O431" t="s">
        <v>29</v>
      </c>
      <c r="P431" t="s">
        <v>25</v>
      </c>
    </row>
    <row r="432" spans="1:16" ht="14.5" x14ac:dyDescent="0.35">
      <c r="A432">
        <v>431</v>
      </c>
      <c r="B432">
        <v>24</v>
      </c>
      <c r="C432" t="s">
        <v>16</v>
      </c>
      <c r="D432" t="s">
        <v>48</v>
      </c>
      <c r="E432" t="s">
        <v>18</v>
      </c>
      <c r="F432">
        <v>40</v>
      </c>
      <c r="G432" t="s">
        <v>96</v>
      </c>
      <c r="H432" t="s">
        <v>39</v>
      </c>
      <c r="I432" t="s">
        <v>101</v>
      </c>
      <c r="J432" t="s">
        <v>47</v>
      </c>
      <c r="K432">
        <v>3.5</v>
      </c>
      <c r="L432" t="s">
        <v>23</v>
      </c>
      <c r="M432" t="s">
        <v>23</v>
      </c>
      <c r="N432">
        <v>40</v>
      </c>
      <c r="O432" t="s">
        <v>77</v>
      </c>
      <c r="P432" t="s">
        <v>43</v>
      </c>
    </row>
    <row r="433" spans="1:16" ht="14.5" x14ac:dyDescent="0.35">
      <c r="A433">
        <v>432</v>
      </c>
      <c r="B433">
        <v>43</v>
      </c>
      <c r="C433" t="s">
        <v>16</v>
      </c>
      <c r="D433" t="s">
        <v>115</v>
      </c>
      <c r="E433" t="s">
        <v>60</v>
      </c>
      <c r="F433">
        <v>76</v>
      </c>
      <c r="G433" t="s">
        <v>73</v>
      </c>
      <c r="H433" t="s">
        <v>20</v>
      </c>
      <c r="I433" t="s">
        <v>100</v>
      </c>
      <c r="J433" t="s">
        <v>22</v>
      </c>
      <c r="K433">
        <v>3.4</v>
      </c>
      <c r="L433" t="s">
        <v>23</v>
      </c>
      <c r="M433" t="s">
        <v>23</v>
      </c>
      <c r="N433">
        <v>33</v>
      </c>
      <c r="O433" t="s">
        <v>29</v>
      </c>
      <c r="P433" t="s">
        <v>25</v>
      </c>
    </row>
    <row r="434" spans="1:16" ht="14.5" x14ac:dyDescent="0.35">
      <c r="A434">
        <v>433</v>
      </c>
      <c r="B434">
        <v>47</v>
      </c>
      <c r="C434" t="s">
        <v>16</v>
      </c>
      <c r="D434" t="s">
        <v>48</v>
      </c>
      <c r="E434" t="s">
        <v>18</v>
      </c>
      <c r="F434">
        <v>86</v>
      </c>
      <c r="G434" t="s">
        <v>107</v>
      </c>
      <c r="H434" t="s">
        <v>32</v>
      </c>
      <c r="I434" t="s">
        <v>117</v>
      </c>
      <c r="J434" t="s">
        <v>50</v>
      </c>
      <c r="K434">
        <v>3.3</v>
      </c>
      <c r="L434" t="s">
        <v>23</v>
      </c>
      <c r="M434" t="s">
        <v>23</v>
      </c>
      <c r="N434">
        <v>26</v>
      </c>
      <c r="O434" t="s">
        <v>24</v>
      </c>
      <c r="P434" t="s">
        <v>35</v>
      </c>
    </row>
    <row r="435" spans="1:16" ht="14.5" x14ac:dyDescent="0.35">
      <c r="A435">
        <v>434</v>
      </c>
      <c r="B435">
        <v>49</v>
      </c>
      <c r="C435" t="s">
        <v>16</v>
      </c>
      <c r="D435" t="s">
        <v>78</v>
      </c>
      <c r="E435" t="s">
        <v>18</v>
      </c>
      <c r="F435">
        <v>92</v>
      </c>
      <c r="G435" t="s">
        <v>81</v>
      </c>
      <c r="H435" t="s">
        <v>39</v>
      </c>
      <c r="I435" t="s">
        <v>112</v>
      </c>
      <c r="J435" t="s">
        <v>50</v>
      </c>
      <c r="K435">
        <v>3.2</v>
      </c>
      <c r="L435" t="s">
        <v>23</v>
      </c>
      <c r="M435" t="s">
        <v>23</v>
      </c>
      <c r="N435">
        <v>23</v>
      </c>
      <c r="O435" t="s">
        <v>34</v>
      </c>
      <c r="P435" t="s">
        <v>25</v>
      </c>
    </row>
    <row r="436" spans="1:16" ht="14.5" x14ac:dyDescent="0.35">
      <c r="A436">
        <v>435</v>
      </c>
      <c r="B436">
        <v>50</v>
      </c>
      <c r="C436" t="s">
        <v>16</v>
      </c>
      <c r="D436" t="s">
        <v>63</v>
      </c>
      <c r="E436" t="s">
        <v>37</v>
      </c>
      <c r="F436">
        <v>52</v>
      </c>
      <c r="G436" t="s">
        <v>92</v>
      </c>
      <c r="H436" t="s">
        <v>20</v>
      </c>
      <c r="I436" t="s">
        <v>62</v>
      </c>
      <c r="J436" t="s">
        <v>33</v>
      </c>
      <c r="K436">
        <v>4</v>
      </c>
      <c r="L436" t="s">
        <v>23</v>
      </c>
      <c r="M436" t="s">
        <v>23</v>
      </c>
      <c r="N436">
        <v>39</v>
      </c>
      <c r="O436" t="s">
        <v>40</v>
      </c>
      <c r="P436" t="s">
        <v>88</v>
      </c>
    </row>
    <row r="437" spans="1:16" ht="14.5" x14ac:dyDescent="0.35">
      <c r="A437">
        <v>436</v>
      </c>
      <c r="B437">
        <v>51</v>
      </c>
      <c r="C437" t="s">
        <v>16</v>
      </c>
      <c r="D437" t="s">
        <v>55</v>
      </c>
      <c r="E437" t="s">
        <v>56</v>
      </c>
      <c r="F437">
        <v>28</v>
      </c>
      <c r="G437" t="s">
        <v>49</v>
      </c>
      <c r="H437" t="s">
        <v>83</v>
      </c>
      <c r="I437" t="s">
        <v>69</v>
      </c>
      <c r="J437" t="s">
        <v>22</v>
      </c>
      <c r="K437">
        <v>3.6</v>
      </c>
      <c r="L437" t="s">
        <v>23</v>
      </c>
      <c r="M437" t="s">
        <v>23</v>
      </c>
      <c r="N437">
        <v>42</v>
      </c>
      <c r="O437" t="s">
        <v>66</v>
      </c>
      <c r="P437" t="s">
        <v>79</v>
      </c>
    </row>
    <row r="438" spans="1:16" ht="14.5" x14ac:dyDescent="0.35">
      <c r="A438">
        <v>437</v>
      </c>
      <c r="B438">
        <v>40</v>
      </c>
      <c r="C438" t="s">
        <v>16</v>
      </c>
      <c r="D438" t="s">
        <v>86</v>
      </c>
      <c r="E438" t="s">
        <v>18</v>
      </c>
      <c r="F438">
        <v>46</v>
      </c>
      <c r="G438" t="s">
        <v>113</v>
      </c>
      <c r="H438" t="s">
        <v>20</v>
      </c>
      <c r="I438" t="s">
        <v>100</v>
      </c>
      <c r="J438" t="s">
        <v>47</v>
      </c>
      <c r="K438">
        <v>4.5999999999999996</v>
      </c>
      <c r="L438" t="s">
        <v>23</v>
      </c>
      <c r="M438" t="s">
        <v>23</v>
      </c>
      <c r="N438">
        <v>41</v>
      </c>
      <c r="O438" t="s">
        <v>66</v>
      </c>
      <c r="P438" t="s">
        <v>35</v>
      </c>
    </row>
    <row r="439" spans="1:16" ht="14.5" x14ac:dyDescent="0.35">
      <c r="A439">
        <v>438</v>
      </c>
      <c r="B439">
        <v>45</v>
      </c>
      <c r="C439" t="s">
        <v>16</v>
      </c>
      <c r="D439" t="s">
        <v>97</v>
      </c>
      <c r="E439" t="s">
        <v>60</v>
      </c>
      <c r="F439">
        <v>50</v>
      </c>
      <c r="G439" t="s">
        <v>121</v>
      </c>
      <c r="H439" t="s">
        <v>39</v>
      </c>
      <c r="I439" t="s">
        <v>91</v>
      </c>
      <c r="J439" t="s">
        <v>47</v>
      </c>
      <c r="K439">
        <v>2.6</v>
      </c>
      <c r="L439" t="s">
        <v>23</v>
      </c>
      <c r="M439" t="s">
        <v>23</v>
      </c>
      <c r="N439">
        <v>41</v>
      </c>
      <c r="O439" t="s">
        <v>40</v>
      </c>
      <c r="P439" t="s">
        <v>43</v>
      </c>
    </row>
    <row r="440" spans="1:16" ht="14.5" x14ac:dyDescent="0.35">
      <c r="A440">
        <v>439</v>
      </c>
      <c r="B440">
        <v>52</v>
      </c>
      <c r="C440" t="s">
        <v>16</v>
      </c>
      <c r="D440" t="s">
        <v>124</v>
      </c>
      <c r="E440" t="s">
        <v>60</v>
      </c>
      <c r="F440">
        <v>23</v>
      </c>
      <c r="G440" t="s">
        <v>137</v>
      </c>
      <c r="H440" t="s">
        <v>39</v>
      </c>
      <c r="I440" t="s">
        <v>42</v>
      </c>
      <c r="J440" t="s">
        <v>22</v>
      </c>
      <c r="K440">
        <v>4.3</v>
      </c>
      <c r="L440" t="s">
        <v>23</v>
      </c>
      <c r="M440" t="s">
        <v>23</v>
      </c>
      <c r="N440">
        <v>12</v>
      </c>
      <c r="O440" t="s">
        <v>34</v>
      </c>
      <c r="P440" t="s">
        <v>25</v>
      </c>
    </row>
    <row r="441" spans="1:16" ht="14.5" x14ac:dyDescent="0.35">
      <c r="A441">
        <v>440</v>
      </c>
      <c r="B441">
        <v>62</v>
      </c>
      <c r="C441" t="s">
        <v>16</v>
      </c>
      <c r="D441" t="s">
        <v>93</v>
      </c>
      <c r="E441" t="s">
        <v>56</v>
      </c>
      <c r="F441">
        <v>50</v>
      </c>
      <c r="G441" t="s">
        <v>126</v>
      </c>
      <c r="H441" t="s">
        <v>39</v>
      </c>
      <c r="I441" t="s">
        <v>42</v>
      </c>
      <c r="J441" t="s">
        <v>47</v>
      </c>
      <c r="K441">
        <v>3.4</v>
      </c>
      <c r="L441" t="s">
        <v>23</v>
      </c>
      <c r="M441" t="s">
        <v>23</v>
      </c>
      <c r="N441">
        <v>31</v>
      </c>
      <c r="O441" t="s">
        <v>29</v>
      </c>
      <c r="P441" t="s">
        <v>79</v>
      </c>
    </row>
    <row r="442" spans="1:16" ht="14.5" x14ac:dyDescent="0.35">
      <c r="A442">
        <v>441</v>
      </c>
      <c r="B442">
        <v>20</v>
      </c>
      <c r="C442" t="s">
        <v>16</v>
      </c>
      <c r="D442" t="s">
        <v>48</v>
      </c>
      <c r="E442" t="s">
        <v>18</v>
      </c>
      <c r="F442">
        <v>89</v>
      </c>
      <c r="G442" t="s">
        <v>92</v>
      </c>
      <c r="H442" t="s">
        <v>83</v>
      </c>
      <c r="I442" t="s">
        <v>28</v>
      </c>
      <c r="J442" t="s">
        <v>22</v>
      </c>
      <c r="K442">
        <v>3.5</v>
      </c>
      <c r="L442" t="s">
        <v>23</v>
      </c>
      <c r="M442" t="s">
        <v>23</v>
      </c>
      <c r="N442">
        <v>34</v>
      </c>
      <c r="O442" t="s">
        <v>77</v>
      </c>
      <c r="P442" t="s">
        <v>25</v>
      </c>
    </row>
    <row r="443" spans="1:16" ht="14.5" x14ac:dyDescent="0.35">
      <c r="A443">
        <v>442</v>
      </c>
      <c r="B443">
        <v>43</v>
      </c>
      <c r="C443" t="s">
        <v>16</v>
      </c>
      <c r="D443" t="s">
        <v>95</v>
      </c>
      <c r="E443" t="s">
        <v>18</v>
      </c>
      <c r="F443">
        <v>81</v>
      </c>
      <c r="G443" t="s">
        <v>94</v>
      </c>
      <c r="H443" t="s">
        <v>39</v>
      </c>
      <c r="I443" t="s">
        <v>28</v>
      </c>
      <c r="J443" t="s">
        <v>22</v>
      </c>
      <c r="K443">
        <v>4.2</v>
      </c>
      <c r="L443" t="s">
        <v>23</v>
      </c>
      <c r="M443" t="s">
        <v>23</v>
      </c>
      <c r="N443">
        <v>32</v>
      </c>
      <c r="O443" t="s">
        <v>34</v>
      </c>
      <c r="P443" t="s">
        <v>43</v>
      </c>
    </row>
    <row r="444" spans="1:16" ht="14.5" x14ac:dyDescent="0.35">
      <c r="A444">
        <v>443</v>
      </c>
      <c r="B444">
        <v>29</v>
      </c>
      <c r="C444" t="s">
        <v>16</v>
      </c>
      <c r="D444" t="s">
        <v>80</v>
      </c>
      <c r="E444" t="s">
        <v>60</v>
      </c>
      <c r="F444">
        <v>69</v>
      </c>
      <c r="G444" t="s">
        <v>142</v>
      </c>
      <c r="H444" t="s">
        <v>39</v>
      </c>
      <c r="I444" t="s">
        <v>69</v>
      </c>
      <c r="J444" t="s">
        <v>50</v>
      </c>
      <c r="K444">
        <v>3.5</v>
      </c>
      <c r="L444" t="s">
        <v>23</v>
      </c>
      <c r="M444" t="s">
        <v>23</v>
      </c>
      <c r="N444">
        <v>31</v>
      </c>
      <c r="O444" t="s">
        <v>34</v>
      </c>
      <c r="P444" t="s">
        <v>51</v>
      </c>
    </row>
    <row r="445" spans="1:16" ht="14.5" x14ac:dyDescent="0.35">
      <c r="A445">
        <v>444</v>
      </c>
      <c r="B445">
        <v>22</v>
      </c>
      <c r="C445" t="s">
        <v>16</v>
      </c>
      <c r="D445" t="s">
        <v>80</v>
      </c>
      <c r="E445" t="s">
        <v>60</v>
      </c>
      <c r="F445">
        <v>67</v>
      </c>
      <c r="G445" t="s">
        <v>68</v>
      </c>
      <c r="H445" t="s">
        <v>39</v>
      </c>
      <c r="I445" t="s">
        <v>127</v>
      </c>
      <c r="J445" t="s">
        <v>47</v>
      </c>
      <c r="K445">
        <v>3.6</v>
      </c>
      <c r="L445" t="s">
        <v>23</v>
      </c>
      <c r="M445" t="s">
        <v>23</v>
      </c>
      <c r="N445">
        <v>24</v>
      </c>
      <c r="O445" t="s">
        <v>40</v>
      </c>
      <c r="P445" t="s">
        <v>43</v>
      </c>
    </row>
    <row r="446" spans="1:16" ht="14.5" x14ac:dyDescent="0.35">
      <c r="A446">
        <v>445</v>
      </c>
      <c r="B446">
        <v>48</v>
      </c>
      <c r="C446" t="s">
        <v>16</v>
      </c>
      <c r="D446" t="s">
        <v>72</v>
      </c>
      <c r="E446" t="s">
        <v>18</v>
      </c>
      <c r="F446">
        <v>20</v>
      </c>
      <c r="G446" t="s">
        <v>90</v>
      </c>
      <c r="H446" t="s">
        <v>39</v>
      </c>
      <c r="I446" t="s">
        <v>99</v>
      </c>
      <c r="J446" t="s">
        <v>47</v>
      </c>
      <c r="K446">
        <v>4.3</v>
      </c>
      <c r="L446" t="s">
        <v>23</v>
      </c>
      <c r="M446" t="s">
        <v>23</v>
      </c>
      <c r="N446">
        <v>31</v>
      </c>
      <c r="O446" t="s">
        <v>77</v>
      </c>
      <c r="P446" t="s">
        <v>43</v>
      </c>
    </row>
    <row r="447" spans="1:16" ht="14.5" x14ac:dyDescent="0.35">
      <c r="A447">
        <v>446</v>
      </c>
      <c r="B447">
        <v>42</v>
      </c>
      <c r="C447" t="s">
        <v>16</v>
      </c>
      <c r="D447" t="s">
        <v>128</v>
      </c>
      <c r="E447" t="s">
        <v>37</v>
      </c>
      <c r="F447">
        <v>29</v>
      </c>
      <c r="G447" t="s">
        <v>137</v>
      </c>
      <c r="H447" t="s">
        <v>39</v>
      </c>
      <c r="I447" t="s">
        <v>69</v>
      </c>
      <c r="J447" t="s">
        <v>50</v>
      </c>
      <c r="K447">
        <v>4.9000000000000004</v>
      </c>
      <c r="L447" t="s">
        <v>23</v>
      </c>
      <c r="M447" t="s">
        <v>23</v>
      </c>
      <c r="N447">
        <v>18</v>
      </c>
      <c r="O447" t="s">
        <v>24</v>
      </c>
      <c r="P447" t="s">
        <v>43</v>
      </c>
    </row>
    <row r="448" spans="1:16" ht="14.5" x14ac:dyDescent="0.35">
      <c r="A448">
        <v>447</v>
      </c>
      <c r="B448">
        <v>19</v>
      </c>
      <c r="C448" t="s">
        <v>16</v>
      </c>
      <c r="D448" t="s">
        <v>48</v>
      </c>
      <c r="E448" t="s">
        <v>18</v>
      </c>
      <c r="F448">
        <v>74</v>
      </c>
      <c r="G448" t="s">
        <v>57</v>
      </c>
      <c r="H448" t="s">
        <v>39</v>
      </c>
      <c r="I448" t="s">
        <v>58</v>
      </c>
      <c r="J448" t="s">
        <v>47</v>
      </c>
      <c r="K448">
        <v>4.0999999999999996</v>
      </c>
      <c r="L448" t="s">
        <v>23</v>
      </c>
      <c r="M448" t="s">
        <v>23</v>
      </c>
      <c r="N448">
        <v>15</v>
      </c>
      <c r="O448" t="s">
        <v>24</v>
      </c>
      <c r="P448" t="s">
        <v>79</v>
      </c>
    </row>
    <row r="449" spans="1:16" ht="14.5" x14ac:dyDescent="0.35">
      <c r="A449">
        <v>448</v>
      </c>
      <c r="B449">
        <v>60</v>
      </c>
      <c r="C449" t="s">
        <v>16</v>
      </c>
      <c r="D449" t="s">
        <v>52</v>
      </c>
      <c r="E449" t="s">
        <v>18</v>
      </c>
      <c r="F449">
        <v>82</v>
      </c>
      <c r="G449" t="s">
        <v>140</v>
      </c>
      <c r="H449" t="s">
        <v>32</v>
      </c>
      <c r="I449" t="s">
        <v>42</v>
      </c>
      <c r="J449" t="s">
        <v>33</v>
      </c>
      <c r="K449">
        <v>3.6</v>
      </c>
      <c r="L449" t="s">
        <v>23</v>
      </c>
      <c r="M449" t="s">
        <v>23</v>
      </c>
      <c r="N449">
        <v>7</v>
      </c>
      <c r="O449" t="s">
        <v>66</v>
      </c>
      <c r="P449" t="s">
        <v>88</v>
      </c>
    </row>
    <row r="450" spans="1:16" ht="14.5" x14ac:dyDescent="0.35">
      <c r="A450">
        <v>449</v>
      </c>
      <c r="B450">
        <v>32</v>
      </c>
      <c r="C450" t="s">
        <v>16</v>
      </c>
      <c r="D450" t="s">
        <v>134</v>
      </c>
      <c r="E450" t="s">
        <v>60</v>
      </c>
      <c r="F450">
        <v>23</v>
      </c>
      <c r="G450" t="s">
        <v>61</v>
      </c>
      <c r="H450" t="s">
        <v>39</v>
      </c>
      <c r="I450" t="s">
        <v>125</v>
      </c>
      <c r="J450" t="s">
        <v>47</v>
      </c>
      <c r="K450">
        <v>3.4</v>
      </c>
      <c r="L450" t="s">
        <v>23</v>
      </c>
      <c r="M450" t="s">
        <v>23</v>
      </c>
      <c r="N450">
        <v>35</v>
      </c>
      <c r="O450" t="s">
        <v>66</v>
      </c>
      <c r="P450" t="s">
        <v>25</v>
      </c>
    </row>
    <row r="451" spans="1:16" ht="14.5" x14ac:dyDescent="0.35">
      <c r="A451">
        <v>450</v>
      </c>
      <c r="B451">
        <v>26</v>
      </c>
      <c r="C451" t="s">
        <v>16</v>
      </c>
      <c r="D451" t="s">
        <v>97</v>
      </c>
      <c r="E451" t="s">
        <v>60</v>
      </c>
      <c r="F451">
        <v>45</v>
      </c>
      <c r="G451" t="s">
        <v>75</v>
      </c>
      <c r="H451" t="s">
        <v>20</v>
      </c>
      <c r="I451" t="s">
        <v>91</v>
      </c>
      <c r="J451" t="s">
        <v>47</v>
      </c>
      <c r="K451">
        <v>2.9</v>
      </c>
      <c r="L451" t="s">
        <v>23</v>
      </c>
      <c r="M451" t="s">
        <v>23</v>
      </c>
      <c r="N451">
        <v>35</v>
      </c>
      <c r="O451" t="s">
        <v>66</v>
      </c>
      <c r="P451" t="s">
        <v>79</v>
      </c>
    </row>
    <row r="452" spans="1:16" ht="14.5" x14ac:dyDescent="0.35">
      <c r="A452">
        <v>451</v>
      </c>
      <c r="B452">
        <v>25</v>
      </c>
      <c r="C452" t="s">
        <v>16</v>
      </c>
      <c r="D452" t="s">
        <v>128</v>
      </c>
      <c r="E452" t="s">
        <v>37</v>
      </c>
      <c r="F452">
        <v>21</v>
      </c>
      <c r="G452" t="s">
        <v>130</v>
      </c>
      <c r="H452" t="s">
        <v>20</v>
      </c>
      <c r="I452" t="s">
        <v>109</v>
      </c>
      <c r="J452" t="s">
        <v>47</v>
      </c>
      <c r="K452">
        <v>2.7</v>
      </c>
      <c r="L452" t="s">
        <v>23</v>
      </c>
      <c r="M452" t="s">
        <v>23</v>
      </c>
      <c r="N452">
        <v>19</v>
      </c>
      <c r="O452" t="s">
        <v>34</v>
      </c>
      <c r="P452" t="s">
        <v>79</v>
      </c>
    </row>
    <row r="453" spans="1:16" ht="14.5" x14ac:dyDescent="0.35">
      <c r="A453">
        <v>452</v>
      </c>
      <c r="B453">
        <v>66</v>
      </c>
      <c r="C453" t="s">
        <v>16</v>
      </c>
      <c r="D453" t="s">
        <v>97</v>
      </c>
      <c r="E453" t="s">
        <v>60</v>
      </c>
      <c r="F453">
        <v>31</v>
      </c>
      <c r="G453" t="s">
        <v>132</v>
      </c>
      <c r="H453" t="s">
        <v>39</v>
      </c>
      <c r="I453" t="s">
        <v>62</v>
      </c>
      <c r="J453" t="s">
        <v>47</v>
      </c>
      <c r="K453">
        <v>4.3</v>
      </c>
      <c r="L453" t="s">
        <v>23</v>
      </c>
      <c r="M453" t="s">
        <v>23</v>
      </c>
      <c r="N453">
        <v>26</v>
      </c>
      <c r="O453" t="s">
        <v>34</v>
      </c>
      <c r="P453" t="s">
        <v>25</v>
      </c>
    </row>
    <row r="454" spans="1:16" ht="14.5" x14ac:dyDescent="0.35">
      <c r="A454">
        <v>453</v>
      </c>
      <c r="B454">
        <v>45</v>
      </c>
      <c r="C454" t="s">
        <v>16</v>
      </c>
      <c r="D454" t="s">
        <v>86</v>
      </c>
      <c r="E454" t="s">
        <v>18</v>
      </c>
      <c r="F454">
        <v>45</v>
      </c>
      <c r="G454" t="s">
        <v>61</v>
      </c>
      <c r="H454" t="s">
        <v>39</v>
      </c>
      <c r="I454" t="s">
        <v>74</v>
      </c>
      <c r="J454" t="s">
        <v>47</v>
      </c>
      <c r="K454">
        <v>3.3</v>
      </c>
      <c r="L454" t="s">
        <v>23</v>
      </c>
      <c r="M454" t="s">
        <v>23</v>
      </c>
      <c r="N454">
        <v>39</v>
      </c>
      <c r="O454" t="s">
        <v>40</v>
      </c>
      <c r="P454" t="s">
        <v>25</v>
      </c>
    </row>
    <row r="455" spans="1:16" ht="14.5" x14ac:dyDescent="0.35">
      <c r="A455">
        <v>454</v>
      </c>
      <c r="B455">
        <v>54</v>
      </c>
      <c r="C455" t="s">
        <v>16</v>
      </c>
      <c r="D455" t="s">
        <v>97</v>
      </c>
      <c r="E455" t="s">
        <v>60</v>
      </c>
      <c r="F455">
        <v>56</v>
      </c>
      <c r="G455" t="s">
        <v>136</v>
      </c>
      <c r="H455" t="s">
        <v>83</v>
      </c>
      <c r="I455" t="s">
        <v>91</v>
      </c>
      <c r="J455" t="s">
        <v>22</v>
      </c>
      <c r="K455">
        <v>2.8</v>
      </c>
      <c r="L455" t="s">
        <v>23</v>
      </c>
      <c r="M455" t="s">
        <v>23</v>
      </c>
      <c r="N455">
        <v>22</v>
      </c>
      <c r="O455" t="s">
        <v>34</v>
      </c>
      <c r="P455" t="s">
        <v>35</v>
      </c>
    </row>
    <row r="456" spans="1:16" ht="14.5" x14ac:dyDescent="0.35">
      <c r="A456">
        <v>455</v>
      </c>
      <c r="B456">
        <v>37</v>
      </c>
      <c r="C456" t="s">
        <v>16</v>
      </c>
      <c r="D456" t="s">
        <v>93</v>
      </c>
      <c r="E456" t="s">
        <v>56</v>
      </c>
      <c r="F456">
        <v>97</v>
      </c>
      <c r="G456" t="s">
        <v>118</v>
      </c>
      <c r="H456" t="s">
        <v>32</v>
      </c>
      <c r="I456" t="s">
        <v>71</v>
      </c>
      <c r="J456" t="s">
        <v>47</v>
      </c>
      <c r="K456">
        <v>3.2</v>
      </c>
      <c r="L456" t="s">
        <v>23</v>
      </c>
      <c r="M456" t="s">
        <v>23</v>
      </c>
      <c r="N456">
        <v>14</v>
      </c>
      <c r="O456" t="s">
        <v>29</v>
      </c>
      <c r="P456" t="s">
        <v>67</v>
      </c>
    </row>
    <row r="457" spans="1:16" ht="14.5" x14ac:dyDescent="0.35">
      <c r="A457">
        <v>456</v>
      </c>
      <c r="B457">
        <v>54</v>
      </c>
      <c r="C457" t="s">
        <v>16</v>
      </c>
      <c r="D457" t="s">
        <v>17</v>
      </c>
      <c r="E457" t="s">
        <v>18</v>
      </c>
      <c r="F457">
        <v>100</v>
      </c>
      <c r="G457" t="s">
        <v>131</v>
      </c>
      <c r="H457" t="s">
        <v>83</v>
      </c>
      <c r="I457" t="s">
        <v>71</v>
      </c>
      <c r="J457" t="s">
        <v>50</v>
      </c>
      <c r="K457">
        <v>3.6</v>
      </c>
      <c r="L457" t="s">
        <v>23</v>
      </c>
      <c r="M457" t="s">
        <v>23</v>
      </c>
      <c r="N457">
        <v>50</v>
      </c>
      <c r="O457" t="s">
        <v>77</v>
      </c>
      <c r="P457" t="s">
        <v>25</v>
      </c>
    </row>
    <row r="458" spans="1:16" ht="14.5" x14ac:dyDescent="0.35">
      <c r="A458">
        <v>457</v>
      </c>
      <c r="B458">
        <v>50</v>
      </c>
      <c r="C458" t="s">
        <v>16</v>
      </c>
      <c r="D458" t="s">
        <v>17</v>
      </c>
      <c r="E458" t="s">
        <v>18</v>
      </c>
      <c r="F458">
        <v>96</v>
      </c>
      <c r="G458" t="s">
        <v>89</v>
      </c>
      <c r="H458" t="s">
        <v>32</v>
      </c>
      <c r="I458" t="s">
        <v>117</v>
      </c>
      <c r="J458" t="s">
        <v>50</v>
      </c>
      <c r="K458">
        <v>4</v>
      </c>
      <c r="L458" t="s">
        <v>23</v>
      </c>
      <c r="M458" t="s">
        <v>23</v>
      </c>
      <c r="N458">
        <v>33</v>
      </c>
      <c r="O458" t="s">
        <v>34</v>
      </c>
      <c r="P458" t="s">
        <v>51</v>
      </c>
    </row>
    <row r="459" spans="1:16" ht="14.5" x14ac:dyDescent="0.35">
      <c r="A459">
        <v>458</v>
      </c>
      <c r="B459">
        <v>25</v>
      </c>
      <c r="C459" t="s">
        <v>16</v>
      </c>
      <c r="D459" t="s">
        <v>134</v>
      </c>
      <c r="E459" t="s">
        <v>60</v>
      </c>
      <c r="F459">
        <v>99</v>
      </c>
      <c r="G459" t="s">
        <v>38</v>
      </c>
      <c r="H459" t="s">
        <v>39</v>
      </c>
      <c r="I459" t="s">
        <v>135</v>
      </c>
      <c r="J459" t="s">
        <v>33</v>
      </c>
      <c r="K459">
        <v>4.9000000000000004</v>
      </c>
      <c r="L459" t="s">
        <v>23</v>
      </c>
      <c r="M459" t="s">
        <v>23</v>
      </c>
      <c r="N459">
        <v>48</v>
      </c>
      <c r="O459" t="s">
        <v>77</v>
      </c>
      <c r="P459" t="s">
        <v>88</v>
      </c>
    </row>
    <row r="460" spans="1:16" ht="14.5" x14ac:dyDescent="0.35">
      <c r="A460">
        <v>459</v>
      </c>
      <c r="B460">
        <v>47</v>
      </c>
      <c r="C460" t="s">
        <v>16</v>
      </c>
      <c r="D460" t="s">
        <v>52</v>
      </c>
      <c r="E460" t="s">
        <v>18</v>
      </c>
      <c r="F460">
        <v>91</v>
      </c>
      <c r="G460" t="s">
        <v>64</v>
      </c>
      <c r="H460" t="s">
        <v>20</v>
      </c>
      <c r="I460" t="s">
        <v>85</v>
      </c>
      <c r="J460" t="s">
        <v>22</v>
      </c>
      <c r="K460">
        <v>4</v>
      </c>
      <c r="L460" t="s">
        <v>23</v>
      </c>
      <c r="M460" t="s">
        <v>23</v>
      </c>
      <c r="N460">
        <v>48</v>
      </c>
      <c r="O460" t="s">
        <v>40</v>
      </c>
      <c r="P460" t="s">
        <v>79</v>
      </c>
    </row>
    <row r="461" spans="1:16" ht="14.5" x14ac:dyDescent="0.35">
      <c r="A461">
        <v>460</v>
      </c>
      <c r="B461">
        <v>63</v>
      </c>
      <c r="C461" t="s">
        <v>16</v>
      </c>
      <c r="D461" t="s">
        <v>115</v>
      </c>
      <c r="E461" t="s">
        <v>60</v>
      </c>
      <c r="F461">
        <v>30</v>
      </c>
      <c r="G461" t="s">
        <v>119</v>
      </c>
      <c r="H461" t="s">
        <v>20</v>
      </c>
      <c r="I461" t="s">
        <v>85</v>
      </c>
      <c r="J461" t="s">
        <v>22</v>
      </c>
      <c r="K461">
        <v>3.8</v>
      </c>
      <c r="L461" t="s">
        <v>23</v>
      </c>
      <c r="M461" t="s">
        <v>23</v>
      </c>
      <c r="N461">
        <v>27</v>
      </c>
      <c r="O461" t="s">
        <v>40</v>
      </c>
      <c r="P461" t="s">
        <v>25</v>
      </c>
    </row>
    <row r="462" spans="1:16" ht="14.5" x14ac:dyDescent="0.35">
      <c r="A462">
        <v>461</v>
      </c>
      <c r="B462">
        <v>64</v>
      </c>
      <c r="C462" t="s">
        <v>16</v>
      </c>
      <c r="D462" t="s">
        <v>63</v>
      </c>
      <c r="E462" t="s">
        <v>37</v>
      </c>
      <c r="F462">
        <v>65</v>
      </c>
      <c r="G462" t="s">
        <v>122</v>
      </c>
      <c r="H462" t="s">
        <v>20</v>
      </c>
      <c r="I462" t="s">
        <v>76</v>
      </c>
      <c r="J462" t="s">
        <v>47</v>
      </c>
      <c r="K462">
        <v>3.7</v>
      </c>
      <c r="L462" t="s">
        <v>23</v>
      </c>
      <c r="M462" t="s">
        <v>23</v>
      </c>
      <c r="N462">
        <v>27</v>
      </c>
      <c r="O462" t="s">
        <v>66</v>
      </c>
      <c r="P462" t="s">
        <v>35</v>
      </c>
    </row>
    <row r="463" spans="1:16" ht="14.5" x14ac:dyDescent="0.35">
      <c r="A463">
        <v>462</v>
      </c>
      <c r="B463">
        <v>18</v>
      </c>
      <c r="C463" t="s">
        <v>16</v>
      </c>
      <c r="D463" t="s">
        <v>128</v>
      </c>
      <c r="E463" t="s">
        <v>37</v>
      </c>
      <c r="F463">
        <v>93</v>
      </c>
      <c r="G463" t="s">
        <v>114</v>
      </c>
      <c r="H463" t="s">
        <v>39</v>
      </c>
      <c r="I463" t="s">
        <v>125</v>
      </c>
      <c r="J463" t="s">
        <v>22</v>
      </c>
      <c r="K463">
        <v>3.9</v>
      </c>
      <c r="L463" t="s">
        <v>23</v>
      </c>
      <c r="M463" t="s">
        <v>23</v>
      </c>
      <c r="N463">
        <v>20</v>
      </c>
      <c r="O463" t="s">
        <v>24</v>
      </c>
      <c r="P463" t="s">
        <v>35</v>
      </c>
    </row>
    <row r="464" spans="1:16" ht="14.5" x14ac:dyDescent="0.35">
      <c r="A464">
        <v>463</v>
      </c>
      <c r="B464">
        <v>59</v>
      </c>
      <c r="C464" t="s">
        <v>16</v>
      </c>
      <c r="D464" t="s">
        <v>93</v>
      </c>
      <c r="E464" t="s">
        <v>56</v>
      </c>
      <c r="F464">
        <v>81</v>
      </c>
      <c r="G464" t="s">
        <v>106</v>
      </c>
      <c r="H464" t="s">
        <v>39</v>
      </c>
      <c r="I464" t="s">
        <v>46</v>
      </c>
      <c r="J464" t="s">
        <v>50</v>
      </c>
      <c r="K464">
        <v>3.3</v>
      </c>
      <c r="L464" t="s">
        <v>23</v>
      </c>
      <c r="M464" t="s">
        <v>23</v>
      </c>
      <c r="N464">
        <v>48</v>
      </c>
      <c r="O464" t="s">
        <v>24</v>
      </c>
      <c r="P464" t="s">
        <v>88</v>
      </c>
    </row>
    <row r="465" spans="1:16" ht="14.5" x14ac:dyDescent="0.35">
      <c r="A465">
        <v>464</v>
      </c>
      <c r="B465">
        <v>37</v>
      </c>
      <c r="C465" t="s">
        <v>16</v>
      </c>
      <c r="D465" t="s">
        <v>97</v>
      </c>
      <c r="E465" t="s">
        <v>60</v>
      </c>
      <c r="F465">
        <v>81</v>
      </c>
      <c r="G465" t="s">
        <v>133</v>
      </c>
      <c r="H465" t="s">
        <v>32</v>
      </c>
      <c r="I465" t="s">
        <v>112</v>
      </c>
      <c r="J465" t="s">
        <v>47</v>
      </c>
      <c r="K465">
        <v>2.7</v>
      </c>
      <c r="L465" t="s">
        <v>23</v>
      </c>
      <c r="M465" t="s">
        <v>23</v>
      </c>
      <c r="N465">
        <v>29</v>
      </c>
      <c r="O465" t="s">
        <v>24</v>
      </c>
      <c r="P465" t="s">
        <v>35</v>
      </c>
    </row>
    <row r="466" spans="1:16" ht="14.5" x14ac:dyDescent="0.35">
      <c r="A466">
        <v>465</v>
      </c>
      <c r="B466">
        <v>23</v>
      </c>
      <c r="C466" t="s">
        <v>16</v>
      </c>
      <c r="D466" t="s">
        <v>80</v>
      </c>
      <c r="E466" t="s">
        <v>60</v>
      </c>
      <c r="F466">
        <v>52</v>
      </c>
      <c r="G466" t="s">
        <v>81</v>
      </c>
      <c r="H466" t="s">
        <v>39</v>
      </c>
      <c r="I466" t="s">
        <v>58</v>
      </c>
      <c r="J466" t="s">
        <v>22</v>
      </c>
      <c r="K466">
        <v>4.7</v>
      </c>
      <c r="L466" t="s">
        <v>23</v>
      </c>
      <c r="M466" t="s">
        <v>23</v>
      </c>
      <c r="N466">
        <v>45</v>
      </c>
      <c r="O466" t="s">
        <v>40</v>
      </c>
      <c r="P466" t="s">
        <v>79</v>
      </c>
    </row>
    <row r="467" spans="1:16" ht="14.5" x14ac:dyDescent="0.35">
      <c r="A467">
        <v>466</v>
      </c>
      <c r="B467">
        <v>54</v>
      </c>
      <c r="C467" t="s">
        <v>16</v>
      </c>
      <c r="D467" t="s">
        <v>78</v>
      </c>
      <c r="E467" t="s">
        <v>18</v>
      </c>
      <c r="F467">
        <v>88</v>
      </c>
      <c r="G467" t="s">
        <v>92</v>
      </c>
      <c r="H467" t="s">
        <v>39</v>
      </c>
      <c r="I467" t="s">
        <v>62</v>
      </c>
      <c r="J467" t="s">
        <v>47</v>
      </c>
      <c r="K467">
        <v>2.8</v>
      </c>
      <c r="L467" t="s">
        <v>23</v>
      </c>
      <c r="M467" t="s">
        <v>23</v>
      </c>
      <c r="N467">
        <v>25</v>
      </c>
      <c r="O467" t="s">
        <v>29</v>
      </c>
      <c r="P467" t="s">
        <v>51</v>
      </c>
    </row>
    <row r="468" spans="1:16" ht="14.5" x14ac:dyDescent="0.35">
      <c r="A468">
        <v>467</v>
      </c>
      <c r="B468">
        <v>38</v>
      </c>
      <c r="C468" t="s">
        <v>16</v>
      </c>
      <c r="D468" t="s">
        <v>30</v>
      </c>
      <c r="E468" t="s">
        <v>18</v>
      </c>
      <c r="F468">
        <v>24</v>
      </c>
      <c r="G468" t="s">
        <v>120</v>
      </c>
      <c r="H468" t="s">
        <v>20</v>
      </c>
      <c r="I468" t="s">
        <v>42</v>
      </c>
      <c r="J468" t="s">
        <v>22</v>
      </c>
      <c r="K468">
        <v>4.5999999999999996</v>
      </c>
      <c r="L468" t="s">
        <v>23</v>
      </c>
      <c r="M468" t="s">
        <v>23</v>
      </c>
      <c r="N468">
        <v>25</v>
      </c>
      <c r="O468" t="s">
        <v>40</v>
      </c>
      <c r="P468" t="s">
        <v>35</v>
      </c>
    </row>
    <row r="469" spans="1:16" ht="14.5" x14ac:dyDescent="0.35">
      <c r="A469">
        <v>468</v>
      </c>
      <c r="B469">
        <v>19</v>
      </c>
      <c r="C469" t="s">
        <v>16</v>
      </c>
      <c r="D469" t="s">
        <v>123</v>
      </c>
      <c r="E469" t="s">
        <v>60</v>
      </c>
      <c r="F469">
        <v>51</v>
      </c>
      <c r="G469" t="s">
        <v>136</v>
      </c>
      <c r="H469" t="s">
        <v>32</v>
      </c>
      <c r="I469" t="s">
        <v>112</v>
      </c>
      <c r="J469" t="s">
        <v>33</v>
      </c>
      <c r="K469">
        <v>4.5</v>
      </c>
      <c r="L469" t="s">
        <v>23</v>
      </c>
      <c r="M469" t="s">
        <v>23</v>
      </c>
      <c r="N469">
        <v>37</v>
      </c>
      <c r="O469" t="s">
        <v>77</v>
      </c>
      <c r="P469" t="s">
        <v>88</v>
      </c>
    </row>
    <row r="470" spans="1:16" ht="14.5" x14ac:dyDescent="0.35">
      <c r="A470">
        <v>469</v>
      </c>
      <c r="B470">
        <v>34</v>
      </c>
      <c r="C470" t="s">
        <v>16</v>
      </c>
      <c r="D470" t="s">
        <v>123</v>
      </c>
      <c r="E470" t="s">
        <v>60</v>
      </c>
      <c r="F470">
        <v>38</v>
      </c>
      <c r="G470" t="s">
        <v>133</v>
      </c>
      <c r="H470" t="s">
        <v>32</v>
      </c>
      <c r="I470" t="s">
        <v>91</v>
      </c>
      <c r="J470" t="s">
        <v>50</v>
      </c>
      <c r="K470">
        <v>5</v>
      </c>
      <c r="L470" t="s">
        <v>23</v>
      </c>
      <c r="M470" t="s">
        <v>23</v>
      </c>
      <c r="N470">
        <v>16</v>
      </c>
      <c r="O470" t="s">
        <v>29</v>
      </c>
      <c r="P470" t="s">
        <v>51</v>
      </c>
    </row>
    <row r="471" spans="1:16" ht="14.5" x14ac:dyDescent="0.35">
      <c r="A471">
        <v>470</v>
      </c>
      <c r="B471">
        <v>21</v>
      </c>
      <c r="C471" t="s">
        <v>16</v>
      </c>
      <c r="D471" t="s">
        <v>52</v>
      </c>
      <c r="E471" t="s">
        <v>18</v>
      </c>
      <c r="F471">
        <v>46</v>
      </c>
      <c r="G471" t="s">
        <v>81</v>
      </c>
      <c r="H471" t="s">
        <v>20</v>
      </c>
      <c r="I471" t="s">
        <v>62</v>
      </c>
      <c r="J471" t="s">
        <v>50</v>
      </c>
      <c r="K471">
        <v>4.0999999999999996</v>
      </c>
      <c r="L471" t="s">
        <v>23</v>
      </c>
      <c r="M471" t="s">
        <v>23</v>
      </c>
      <c r="N471">
        <v>30</v>
      </c>
      <c r="O471" t="s">
        <v>77</v>
      </c>
      <c r="P471" t="s">
        <v>67</v>
      </c>
    </row>
    <row r="472" spans="1:16" ht="14.5" x14ac:dyDescent="0.35">
      <c r="A472">
        <v>471</v>
      </c>
      <c r="B472">
        <v>50</v>
      </c>
      <c r="C472" t="s">
        <v>16</v>
      </c>
      <c r="D472" t="s">
        <v>72</v>
      </c>
      <c r="E472" t="s">
        <v>18</v>
      </c>
      <c r="F472">
        <v>63</v>
      </c>
      <c r="G472" t="s">
        <v>139</v>
      </c>
      <c r="H472" t="s">
        <v>20</v>
      </c>
      <c r="I472" t="s">
        <v>76</v>
      </c>
      <c r="J472" t="s">
        <v>47</v>
      </c>
      <c r="K472">
        <v>4.5999999999999996</v>
      </c>
      <c r="L472" t="s">
        <v>23</v>
      </c>
      <c r="M472" t="s">
        <v>23</v>
      </c>
      <c r="N472">
        <v>6</v>
      </c>
      <c r="O472" t="s">
        <v>29</v>
      </c>
      <c r="P472" t="s">
        <v>88</v>
      </c>
    </row>
    <row r="473" spans="1:16" ht="14.5" x14ac:dyDescent="0.35">
      <c r="A473">
        <v>472</v>
      </c>
      <c r="B473">
        <v>55</v>
      </c>
      <c r="C473" t="s">
        <v>16</v>
      </c>
      <c r="D473" t="s">
        <v>110</v>
      </c>
      <c r="E473" t="s">
        <v>60</v>
      </c>
      <c r="F473">
        <v>72</v>
      </c>
      <c r="G473" t="s">
        <v>61</v>
      </c>
      <c r="H473" t="s">
        <v>83</v>
      </c>
      <c r="I473" t="s">
        <v>46</v>
      </c>
      <c r="J473" t="s">
        <v>22</v>
      </c>
      <c r="K473">
        <v>4.9000000000000004</v>
      </c>
      <c r="L473" t="s">
        <v>23</v>
      </c>
      <c r="M473" t="s">
        <v>23</v>
      </c>
      <c r="N473">
        <v>36</v>
      </c>
      <c r="O473" t="s">
        <v>66</v>
      </c>
      <c r="P473" t="s">
        <v>51</v>
      </c>
    </row>
    <row r="474" spans="1:16" ht="14.5" x14ac:dyDescent="0.35">
      <c r="A474">
        <v>473</v>
      </c>
      <c r="B474">
        <v>20</v>
      </c>
      <c r="C474" t="s">
        <v>16</v>
      </c>
      <c r="D474" t="s">
        <v>30</v>
      </c>
      <c r="E474" t="s">
        <v>18</v>
      </c>
      <c r="F474">
        <v>39</v>
      </c>
      <c r="G474" t="s">
        <v>133</v>
      </c>
      <c r="H474" t="s">
        <v>20</v>
      </c>
      <c r="I474" t="s">
        <v>21</v>
      </c>
      <c r="J474" t="s">
        <v>22</v>
      </c>
      <c r="K474">
        <v>3.9</v>
      </c>
      <c r="L474" t="s">
        <v>23</v>
      </c>
      <c r="M474" t="s">
        <v>23</v>
      </c>
      <c r="N474">
        <v>3</v>
      </c>
      <c r="O474" t="s">
        <v>66</v>
      </c>
      <c r="P474" t="s">
        <v>51</v>
      </c>
    </row>
    <row r="475" spans="1:16" ht="14.5" x14ac:dyDescent="0.35">
      <c r="A475">
        <v>474</v>
      </c>
      <c r="B475">
        <v>34</v>
      </c>
      <c r="C475" t="s">
        <v>16</v>
      </c>
      <c r="D475" t="s">
        <v>55</v>
      </c>
      <c r="E475" t="s">
        <v>56</v>
      </c>
      <c r="F475">
        <v>42</v>
      </c>
      <c r="G475" t="s">
        <v>57</v>
      </c>
      <c r="H475" t="s">
        <v>20</v>
      </c>
      <c r="I475" t="s">
        <v>69</v>
      </c>
      <c r="J475" t="s">
        <v>33</v>
      </c>
      <c r="K475">
        <v>3.9</v>
      </c>
      <c r="L475" t="s">
        <v>23</v>
      </c>
      <c r="M475" t="s">
        <v>23</v>
      </c>
      <c r="N475">
        <v>29</v>
      </c>
      <c r="O475" t="s">
        <v>40</v>
      </c>
      <c r="P475" t="s">
        <v>88</v>
      </c>
    </row>
    <row r="476" spans="1:16" ht="14.5" x14ac:dyDescent="0.35">
      <c r="A476">
        <v>475</v>
      </c>
      <c r="B476">
        <v>62</v>
      </c>
      <c r="C476" t="s">
        <v>16</v>
      </c>
      <c r="D476" t="s">
        <v>26</v>
      </c>
      <c r="E476" t="s">
        <v>18</v>
      </c>
      <c r="F476">
        <v>76</v>
      </c>
      <c r="G476" t="s">
        <v>64</v>
      </c>
      <c r="H476" t="s">
        <v>83</v>
      </c>
      <c r="I476" t="s">
        <v>28</v>
      </c>
      <c r="J476" t="s">
        <v>47</v>
      </c>
      <c r="K476">
        <v>2.6</v>
      </c>
      <c r="L476" t="s">
        <v>23</v>
      </c>
      <c r="M476" t="s">
        <v>23</v>
      </c>
      <c r="N476">
        <v>15</v>
      </c>
      <c r="O476" t="s">
        <v>29</v>
      </c>
      <c r="P476" t="s">
        <v>51</v>
      </c>
    </row>
    <row r="477" spans="1:16" ht="14.5" x14ac:dyDescent="0.35">
      <c r="A477">
        <v>476</v>
      </c>
      <c r="B477">
        <v>21</v>
      </c>
      <c r="C477" t="s">
        <v>16</v>
      </c>
      <c r="D477" t="s">
        <v>44</v>
      </c>
      <c r="E477" t="s">
        <v>37</v>
      </c>
      <c r="F477">
        <v>66</v>
      </c>
      <c r="G477" t="s">
        <v>114</v>
      </c>
      <c r="H477" t="s">
        <v>20</v>
      </c>
      <c r="I477" t="s">
        <v>127</v>
      </c>
      <c r="J477" t="s">
        <v>47</v>
      </c>
      <c r="K477">
        <v>2.7</v>
      </c>
      <c r="L477" t="s">
        <v>23</v>
      </c>
      <c r="M477" t="s">
        <v>23</v>
      </c>
      <c r="N477">
        <v>18</v>
      </c>
      <c r="O477" t="s">
        <v>77</v>
      </c>
      <c r="P477" t="s">
        <v>43</v>
      </c>
    </row>
    <row r="478" spans="1:16" ht="14.5" x14ac:dyDescent="0.35">
      <c r="A478">
        <v>477</v>
      </c>
      <c r="B478">
        <v>21</v>
      </c>
      <c r="C478" t="s">
        <v>16</v>
      </c>
      <c r="D478" t="s">
        <v>110</v>
      </c>
      <c r="E478" t="s">
        <v>60</v>
      </c>
      <c r="F478">
        <v>90</v>
      </c>
      <c r="G478" t="s">
        <v>130</v>
      </c>
      <c r="H478" t="s">
        <v>39</v>
      </c>
      <c r="I478" t="s">
        <v>127</v>
      </c>
      <c r="J478" t="s">
        <v>33</v>
      </c>
      <c r="K478">
        <v>3.5</v>
      </c>
      <c r="L478" t="s">
        <v>23</v>
      </c>
      <c r="M478" t="s">
        <v>23</v>
      </c>
      <c r="N478">
        <v>2</v>
      </c>
      <c r="O478" t="s">
        <v>77</v>
      </c>
      <c r="P478" t="s">
        <v>25</v>
      </c>
    </row>
    <row r="479" spans="1:16" ht="14.5" x14ac:dyDescent="0.35">
      <c r="A479">
        <v>478</v>
      </c>
      <c r="B479">
        <v>42</v>
      </c>
      <c r="C479" t="s">
        <v>16</v>
      </c>
      <c r="D479" t="s">
        <v>26</v>
      </c>
      <c r="E479" t="s">
        <v>18</v>
      </c>
      <c r="F479">
        <v>56</v>
      </c>
      <c r="G479" t="s">
        <v>105</v>
      </c>
      <c r="H479" t="s">
        <v>39</v>
      </c>
      <c r="I479" t="s">
        <v>87</v>
      </c>
      <c r="J479" t="s">
        <v>47</v>
      </c>
      <c r="K479">
        <v>3.7</v>
      </c>
      <c r="L479" t="s">
        <v>23</v>
      </c>
      <c r="M479" t="s">
        <v>23</v>
      </c>
      <c r="N479">
        <v>49</v>
      </c>
      <c r="O479" t="s">
        <v>77</v>
      </c>
      <c r="P479" t="s">
        <v>35</v>
      </c>
    </row>
    <row r="480" spans="1:16" ht="14.5" x14ac:dyDescent="0.35">
      <c r="A480">
        <v>479</v>
      </c>
      <c r="B480">
        <v>35</v>
      </c>
      <c r="C480" t="s">
        <v>16</v>
      </c>
      <c r="D480" t="s">
        <v>97</v>
      </c>
      <c r="E480" t="s">
        <v>60</v>
      </c>
      <c r="F480">
        <v>43</v>
      </c>
      <c r="G480" t="s">
        <v>102</v>
      </c>
      <c r="H480" t="s">
        <v>83</v>
      </c>
      <c r="I480" t="s">
        <v>42</v>
      </c>
      <c r="J480" t="s">
        <v>22</v>
      </c>
      <c r="K480">
        <v>3.2</v>
      </c>
      <c r="L480" t="s">
        <v>23</v>
      </c>
      <c r="M480" t="s">
        <v>23</v>
      </c>
      <c r="N480">
        <v>48</v>
      </c>
      <c r="O480" t="s">
        <v>24</v>
      </c>
      <c r="P480" t="s">
        <v>43</v>
      </c>
    </row>
    <row r="481" spans="1:16" ht="14.5" x14ac:dyDescent="0.35">
      <c r="A481">
        <v>480</v>
      </c>
      <c r="B481">
        <v>39</v>
      </c>
      <c r="C481" t="s">
        <v>16</v>
      </c>
      <c r="D481" t="s">
        <v>59</v>
      </c>
      <c r="E481" t="s">
        <v>60</v>
      </c>
      <c r="F481">
        <v>84</v>
      </c>
      <c r="G481" t="s">
        <v>137</v>
      </c>
      <c r="H481" t="s">
        <v>20</v>
      </c>
      <c r="I481" t="s">
        <v>125</v>
      </c>
      <c r="J481" t="s">
        <v>22</v>
      </c>
      <c r="K481">
        <v>3.3</v>
      </c>
      <c r="L481" t="s">
        <v>23</v>
      </c>
      <c r="M481" t="s">
        <v>23</v>
      </c>
      <c r="N481">
        <v>43</v>
      </c>
      <c r="O481" t="s">
        <v>24</v>
      </c>
      <c r="P481" t="s">
        <v>79</v>
      </c>
    </row>
    <row r="482" spans="1:16" ht="14.5" x14ac:dyDescent="0.35">
      <c r="A482">
        <v>481</v>
      </c>
      <c r="B482">
        <v>68</v>
      </c>
      <c r="C482" t="s">
        <v>16</v>
      </c>
      <c r="D482" t="s">
        <v>95</v>
      </c>
      <c r="E482" t="s">
        <v>18</v>
      </c>
      <c r="F482">
        <v>88</v>
      </c>
      <c r="G482" t="s">
        <v>120</v>
      </c>
      <c r="H482" t="s">
        <v>39</v>
      </c>
      <c r="I482" t="s">
        <v>21</v>
      </c>
      <c r="J482" t="s">
        <v>47</v>
      </c>
      <c r="K482">
        <v>4.8</v>
      </c>
      <c r="L482" t="s">
        <v>23</v>
      </c>
      <c r="M482" t="s">
        <v>23</v>
      </c>
      <c r="N482">
        <v>30</v>
      </c>
      <c r="O482" t="s">
        <v>77</v>
      </c>
      <c r="P482" t="s">
        <v>67</v>
      </c>
    </row>
    <row r="483" spans="1:16" ht="14.5" x14ac:dyDescent="0.35">
      <c r="A483">
        <v>482</v>
      </c>
      <c r="B483">
        <v>46</v>
      </c>
      <c r="C483" t="s">
        <v>16</v>
      </c>
      <c r="D483" t="s">
        <v>115</v>
      </c>
      <c r="E483" t="s">
        <v>60</v>
      </c>
      <c r="F483">
        <v>88</v>
      </c>
      <c r="G483" t="s">
        <v>141</v>
      </c>
      <c r="H483" t="s">
        <v>20</v>
      </c>
      <c r="I483" t="s">
        <v>91</v>
      </c>
      <c r="J483" t="s">
        <v>50</v>
      </c>
      <c r="K483">
        <v>3.2</v>
      </c>
      <c r="L483" t="s">
        <v>23</v>
      </c>
      <c r="M483" t="s">
        <v>23</v>
      </c>
      <c r="N483">
        <v>10</v>
      </c>
      <c r="O483" t="s">
        <v>40</v>
      </c>
      <c r="P483" t="s">
        <v>25</v>
      </c>
    </row>
    <row r="484" spans="1:16" ht="14.5" x14ac:dyDescent="0.35">
      <c r="A484">
        <v>483</v>
      </c>
      <c r="B484">
        <v>41</v>
      </c>
      <c r="C484" t="s">
        <v>16</v>
      </c>
      <c r="D484" t="s">
        <v>124</v>
      </c>
      <c r="E484" t="s">
        <v>60</v>
      </c>
      <c r="F484">
        <v>42</v>
      </c>
      <c r="G484" t="s">
        <v>130</v>
      </c>
      <c r="H484" t="s">
        <v>39</v>
      </c>
      <c r="I484" t="s">
        <v>125</v>
      </c>
      <c r="J484" t="s">
        <v>22</v>
      </c>
      <c r="K484">
        <v>2.5</v>
      </c>
      <c r="L484" t="s">
        <v>23</v>
      </c>
      <c r="M484" t="s">
        <v>23</v>
      </c>
      <c r="N484">
        <v>11</v>
      </c>
      <c r="O484" t="s">
        <v>24</v>
      </c>
      <c r="P484" t="s">
        <v>43</v>
      </c>
    </row>
    <row r="485" spans="1:16" ht="14.5" x14ac:dyDescent="0.35">
      <c r="A485">
        <v>484</v>
      </c>
      <c r="B485">
        <v>23</v>
      </c>
      <c r="C485" t="s">
        <v>16</v>
      </c>
      <c r="D485" t="s">
        <v>95</v>
      </c>
      <c r="E485" t="s">
        <v>18</v>
      </c>
      <c r="F485">
        <v>73</v>
      </c>
      <c r="G485" t="s">
        <v>92</v>
      </c>
      <c r="H485" t="s">
        <v>39</v>
      </c>
      <c r="I485" t="s">
        <v>46</v>
      </c>
      <c r="J485" t="s">
        <v>50</v>
      </c>
      <c r="K485">
        <v>3.9</v>
      </c>
      <c r="L485" t="s">
        <v>23</v>
      </c>
      <c r="M485" t="s">
        <v>23</v>
      </c>
      <c r="N485">
        <v>12</v>
      </c>
      <c r="O485" t="s">
        <v>77</v>
      </c>
      <c r="P485" t="s">
        <v>35</v>
      </c>
    </row>
    <row r="486" spans="1:16" ht="14.5" x14ac:dyDescent="0.35">
      <c r="A486">
        <v>485</v>
      </c>
      <c r="B486">
        <v>68</v>
      </c>
      <c r="C486" t="s">
        <v>16</v>
      </c>
      <c r="D486" t="s">
        <v>115</v>
      </c>
      <c r="E486" t="s">
        <v>60</v>
      </c>
      <c r="F486">
        <v>73</v>
      </c>
      <c r="G486" t="s">
        <v>61</v>
      </c>
      <c r="H486" t="s">
        <v>20</v>
      </c>
      <c r="I486" t="s">
        <v>84</v>
      </c>
      <c r="J486" t="s">
        <v>47</v>
      </c>
      <c r="K486">
        <v>4.7</v>
      </c>
      <c r="L486" t="s">
        <v>23</v>
      </c>
      <c r="M486" t="s">
        <v>23</v>
      </c>
      <c r="N486">
        <v>28</v>
      </c>
      <c r="O486" t="s">
        <v>66</v>
      </c>
      <c r="P486" t="s">
        <v>51</v>
      </c>
    </row>
    <row r="487" spans="1:16" ht="14.5" x14ac:dyDescent="0.35">
      <c r="A487">
        <v>486</v>
      </c>
      <c r="B487">
        <v>48</v>
      </c>
      <c r="C487" t="s">
        <v>16</v>
      </c>
      <c r="D487" t="s">
        <v>63</v>
      </c>
      <c r="E487" t="s">
        <v>37</v>
      </c>
      <c r="F487">
        <v>44</v>
      </c>
      <c r="G487" t="s">
        <v>113</v>
      </c>
      <c r="H487" t="s">
        <v>32</v>
      </c>
      <c r="I487" t="s">
        <v>135</v>
      </c>
      <c r="J487" t="s">
        <v>33</v>
      </c>
      <c r="K487">
        <v>2.6</v>
      </c>
      <c r="L487" t="s">
        <v>23</v>
      </c>
      <c r="M487" t="s">
        <v>23</v>
      </c>
      <c r="N487">
        <v>36</v>
      </c>
      <c r="O487" t="s">
        <v>77</v>
      </c>
      <c r="P487" t="s">
        <v>25</v>
      </c>
    </row>
    <row r="488" spans="1:16" ht="14.5" x14ac:dyDescent="0.35">
      <c r="A488">
        <v>487</v>
      </c>
      <c r="B488">
        <v>38</v>
      </c>
      <c r="C488" t="s">
        <v>16</v>
      </c>
      <c r="D488" t="s">
        <v>36</v>
      </c>
      <c r="E488" t="s">
        <v>37</v>
      </c>
      <c r="F488">
        <v>63</v>
      </c>
      <c r="G488" t="s">
        <v>121</v>
      </c>
      <c r="H488" t="s">
        <v>39</v>
      </c>
      <c r="I488" t="s">
        <v>54</v>
      </c>
      <c r="J488" t="s">
        <v>50</v>
      </c>
      <c r="K488">
        <v>2.8</v>
      </c>
      <c r="L488" t="s">
        <v>23</v>
      </c>
      <c r="M488" t="s">
        <v>23</v>
      </c>
      <c r="N488">
        <v>37</v>
      </c>
      <c r="O488" t="s">
        <v>24</v>
      </c>
      <c r="P488" t="s">
        <v>88</v>
      </c>
    </row>
    <row r="489" spans="1:16" ht="14.5" x14ac:dyDescent="0.35">
      <c r="A489">
        <v>488</v>
      </c>
      <c r="B489">
        <v>41</v>
      </c>
      <c r="C489" t="s">
        <v>16</v>
      </c>
      <c r="D489" t="s">
        <v>93</v>
      </c>
      <c r="E489" t="s">
        <v>56</v>
      </c>
      <c r="F489">
        <v>68</v>
      </c>
      <c r="G489" t="s">
        <v>137</v>
      </c>
      <c r="H489" t="s">
        <v>20</v>
      </c>
      <c r="I489" t="s">
        <v>99</v>
      </c>
      <c r="J489" t="s">
        <v>22</v>
      </c>
      <c r="K489">
        <v>4.4000000000000004</v>
      </c>
      <c r="L489" t="s">
        <v>23</v>
      </c>
      <c r="M489" t="s">
        <v>23</v>
      </c>
      <c r="N489">
        <v>22</v>
      </c>
      <c r="O489" t="s">
        <v>34</v>
      </c>
      <c r="P489" t="s">
        <v>51</v>
      </c>
    </row>
    <row r="490" spans="1:16" ht="14.5" x14ac:dyDescent="0.35">
      <c r="A490">
        <v>489</v>
      </c>
      <c r="B490">
        <v>58</v>
      </c>
      <c r="C490" t="s">
        <v>16</v>
      </c>
      <c r="D490" t="s">
        <v>26</v>
      </c>
      <c r="E490" t="s">
        <v>18</v>
      </c>
      <c r="F490">
        <v>29</v>
      </c>
      <c r="G490" t="s">
        <v>27</v>
      </c>
      <c r="H490" t="s">
        <v>20</v>
      </c>
      <c r="I490" t="s">
        <v>69</v>
      </c>
      <c r="J490" t="s">
        <v>33</v>
      </c>
      <c r="K490">
        <v>4.5999999999999996</v>
      </c>
      <c r="L490" t="s">
        <v>23</v>
      </c>
      <c r="M490" t="s">
        <v>23</v>
      </c>
      <c r="N490">
        <v>32</v>
      </c>
      <c r="O490" t="s">
        <v>24</v>
      </c>
      <c r="P490" t="s">
        <v>35</v>
      </c>
    </row>
    <row r="491" spans="1:16" ht="14.5" x14ac:dyDescent="0.35">
      <c r="A491">
        <v>490</v>
      </c>
      <c r="B491">
        <v>49</v>
      </c>
      <c r="C491" t="s">
        <v>16</v>
      </c>
      <c r="D491" t="s">
        <v>116</v>
      </c>
      <c r="E491" t="s">
        <v>18</v>
      </c>
      <c r="F491">
        <v>85</v>
      </c>
      <c r="G491" t="s">
        <v>138</v>
      </c>
      <c r="H491" t="s">
        <v>39</v>
      </c>
      <c r="I491" t="s">
        <v>87</v>
      </c>
      <c r="J491" t="s">
        <v>47</v>
      </c>
      <c r="K491">
        <v>3.2</v>
      </c>
      <c r="L491" t="s">
        <v>23</v>
      </c>
      <c r="M491" t="s">
        <v>23</v>
      </c>
      <c r="N491">
        <v>40</v>
      </c>
      <c r="O491" t="s">
        <v>40</v>
      </c>
      <c r="P491" t="s">
        <v>43</v>
      </c>
    </row>
    <row r="492" spans="1:16" ht="14.5" x14ac:dyDescent="0.35">
      <c r="A492">
        <v>491</v>
      </c>
      <c r="B492">
        <v>57</v>
      </c>
      <c r="C492" t="s">
        <v>16</v>
      </c>
      <c r="D492" t="s">
        <v>44</v>
      </c>
      <c r="E492" t="s">
        <v>37</v>
      </c>
      <c r="F492">
        <v>42</v>
      </c>
      <c r="G492" t="s">
        <v>103</v>
      </c>
      <c r="H492" t="s">
        <v>39</v>
      </c>
      <c r="I492" t="s">
        <v>58</v>
      </c>
      <c r="J492" t="s">
        <v>22</v>
      </c>
      <c r="K492">
        <v>4.2</v>
      </c>
      <c r="L492" t="s">
        <v>23</v>
      </c>
      <c r="M492" t="s">
        <v>23</v>
      </c>
      <c r="N492">
        <v>47</v>
      </c>
      <c r="O492" t="s">
        <v>29</v>
      </c>
      <c r="P492" t="s">
        <v>79</v>
      </c>
    </row>
    <row r="493" spans="1:16" ht="14.5" x14ac:dyDescent="0.35">
      <c r="A493">
        <v>492</v>
      </c>
      <c r="B493">
        <v>49</v>
      </c>
      <c r="C493" t="s">
        <v>16</v>
      </c>
      <c r="D493" t="s">
        <v>55</v>
      </c>
      <c r="E493" t="s">
        <v>56</v>
      </c>
      <c r="F493">
        <v>69</v>
      </c>
      <c r="G493" t="s">
        <v>120</v>
      </c>
      <c r="H493" t="s">
        <v>39</v>
      </c>
      <c r="I493" t="s">
        <v>58</v>
      </c>
      <c r="J493" t="s">
        <v>47</v>
      </c>
      <c r="K493">
        <v>3.7</v>
      </c>
      <c r="L493" t="s">
        <v>23</v>
      </c>
      <c r="M493" t="s">
        <v>23</v>
      </c>
      <c r="N493">
        <v>24</v>
      </c>
      <c r="O493" t="s">
        <v>34</v>
      </c>
      <c r="P493" t="s">
        <v>67</v>
      </c>
    </row>
    <row r="494" spans="1:16" ht="14.5" x14ac:dyDescent="0.35">
      <c r="A494">
        <v>493</v>
      </c>
      <c r="B494">
        <v>50</v>
      </c>
      <c r="C494" t="s">
        <v>16</v>
      </c>
      <c r="D494" t="s">
        <v>48</v>
      </c>
      <c r="E494" t="s">
        <v>18</v>
      </c>
      <c r="F494">
        <v>62</v>
      </c>
      <c r="G494" t="s">
        <v>142</v>
      </c>
      <c r="H494" t="s">
        <v>39</v>
      </c>
      <c r="I494" t="s">
        <v>85</v>
      </c>
      <c r="J494" t="s">
        <v>50</v>
      </c>
      <c r="K494">
        <v>3.9</v>
      </c>
      <c r="L494" t="s">
        <v>23</v>
      </c>
      <c r="M494" t="s">
        <v>23</v>
      </c>
      <c r="N494">
        <v>11</v>
      </c>
      <c r="O494" t="s">
        <v>77</v>
      </c>
      <c r="P494" t="s">
        <v>35</v>
      </c>
    </row>
    <row r="495" spans="1:16" ht="14.5" x14ac:dyDescent="0.35">
      <c r="A495">
        <v>494</v>
      </c>
      <c r="B495">
        <v>28</v>
      </c>
      <c r="C495" t="s">
        <v>16</v>
      </c>
      <c r="D495" t="s">
        <v>123</v>
      </c>
      <c r="E495" t="s">
        <v>60</v>
      </c>
      <c r="F495">
        <v>48</v>
      </c>
      <c r="G495" t="s">
        <v>98</v>
      </c>
      <c r="H495" t="s">
        <v>83</v>
      </c>
      <c r="I495" t="s">
        <v>99</v>
      </c>
      <c r="J495" t="s">
        <v>47</v>
      </c>
      <c r="K495">
        <v>4.7</v>
      </c>
      <c r="L495" t="s">
        <v>23</v>
      </c>
      <c r="M495" t="s">
        <v>23</v>
      </c>
      <c r="N495">
        <v>19</v>
      </c>
      <c r="O495" t="s">
        <v>29</v>
      </c>
      <c r="P495" t="s">
        <v>67</v>
      </c>
    </row>
    <row r="496" spans="1:16" ht="14.5" x14ac:dyDescent="0.35">
      <c r="A496">
        <v>495</v>
      </c>
      <c r="B496">
        <v>38</v>
      </c>
      <c r="C496" t="s">
        <v>16</v>
      </c>
      <c r="D496" t="s">
        <v>128</v>
      </c>
      <c r="E496" t="s">
        <v>37</v>
      </c>
      <c r="F496">
        <v>68</v>
      </c>
      <c r="G496" t="s">
        <v>107</v>
      </c>
      <c r="H496" t="s">
        <v>39</v>
      </c>
      <c r="I496" t="s">
        <v>117</v>
      </c>
      <c r="J496" t="s">
        <v>22</v>
      </c>
      <c r="K496">
        <v>4.5</v>
      </c>
      <c r="L496" t="s">
        <v>23</v>
      </c>
      <c r="M496" t="s">
        <v>23</v>
      </c>
      <c r="N496">
        <v>42</v>
      </c>
      <c r="O496" t="s">
        <v>77</v>
      </c>
      <c r="P496" t="s">
        <v>35</v>
      </c>
    </row>
    <row r="497" spans="1:16" ht="14.5" x14ac:dyDescent="0.35">
      <c r="A497">
        <v>496</v>
      </c>
      <c r="B497">
        <v>33</v>
      </c>
      <c r="C497" t="s">
        <v>16</v>
      </c>
      <c r="D497" t="s">
        <v>59</v>
      </c>
      <c r="E497" t="s">
        <v>60</v>
      </c>
      <c r="F497">
        <v>36</v>
      </c>
      <c r="G497" t="s">
        <v>142</v>
      </c>
      <c r="H497" t="s">
        <v>83</v>
      </c>
      <c r="I497" t="s">
        <v>100</v>
      </c>
      <c r="J497" t="s">
        <v>50</v>
      </c>
      <c r="K497">
        <v>3.3</v>
      </c>
      <c r="L497" t="s">
        <v>23</v>
      </c>
      <c r="M497" t="s">
        <v>23</v>
      </c>
      <c r="N497">
        <v>6</v>
      </c>
      <c r="O497" t="s">
        <v>77</v>
      </c>
      <c r="P497" t="s">
        <v>25</v>
      </c>
    </row>
    <row r="498" spans="1:16" ht="14.5" x14ac:dyDescent="0.35">
      <c r="A498">
        <v>497</v>
      </c>
      <c r="B498">
        <v>30</v>
      </c>
      <c r="C498" t="s">
        <v>16</v>
      </c>
      <c r="D498" t="s">
        <v>72</v>
      </c>
      <c r="E498" t="s">
        <v>18</v>
      </c>
      <c r="F498">
        <v>63</v>
      </c>
      <c r="G498" t="s">
        <v>90</v>
      </c>
      <c r="H498" t="s">
        <v>32</v>
      </c>
      <c r="I498" t="s">
        <v>28</v>
      </c>
      <c r="J498" t="s">
        <v>50</v>
      </c>
      <c r="K498">
        <v>3.3</v>
      </c>
      <c r="L498" t="s">
        <v>23</v>
      </c>
      <c r="M498" t="s">
        <v>23</v>
      </c>
      <c r="N498">
        <v>31</v>
      </c>
      <c r="O498" t="s">
        <v>24</v>
      </c>
      <c r="P498" t="s">
        <v>25</v>
      </c>
    </row>
    <row r="499" spans="1:16" ht="14.5" x14ac:dyDescent="0.35">
      <c r="A499">
        <v>498</v>
      </c>
      <c r="B499">
        <v>43</v>
      </c>
      <c r="C499" t="s">
        <v>16</v>
      </c>
      <c r="D499" t="s">
        <v>44</v>
      </c>
      <c r="E499" t="s">
        <v>37</v>
      </c>
      <c r="F499">
        <v>39</v>
      </c>
      <c r="G499" t="s">
        <v>92</v>
      </c>
      <c r="H499" t="s">
        <v>32</v>
      </c>
      <c r="I499" t="s">
        <v>58</v>
      </c>
      <c r="J499" t="s">
        <v>22</v>
      </c>
      <c r="K499">
        <v>4.5999999999999996</v>
      </c>
      <c r="L499" t="s">
        <v>23</v>
      </c>
      <c r="M499" t="s">
        <v>23</v>
      </c>
      <c r="N499">
        <v>31</v>
      </c>
      <c r="O499" t="s">
        <v>29</v>
      </c>
      <c r="P499" t="s">
        <v>35</v>
      </c>
    </row>
    <row r="500" spans="1:16" ht="14.5" x14ac:dyDescent="0.35">
      <c r="A500">
        <v>499</v>
      </c>
      <c r="B500">
        <v>43</v>
      </c>
      <c r="C500" t="s">
        <v>16</v>
      </c>
      <c r="D500" t="s">
        <v>128</v>
      </c>
      <c r="E500" t="s">
        <v>37</v>
      </c>
      <c r="F500">
        <v>78</v>
      </c>
      <c r="G500" t="s">
        <v>137</v>
      </c>
      <c r="H500" t="s">
        <v>39</v>
      </c>
      <c r="I500" t="s">
        <v>84</v>
      </c>
      <c r="J500" t="s">
        <v>33</v>
      </c>
      <c r="K500">
        <v>3.6</v>
      </c>
      <c r="L500" t="s">
        <v>23</v>
      </c>
      <c r="M500" t="s">
        <v>23</v>
      </c>
      <c r="N500">
        <v>27</v>
      </c>
      <c r="O500" t="s">
        <v>66</v>
      </c>
      <c r="P500" t="s">
        <v>79</v>
      </c>
    </row>
    <row r="501" spans="1:16" ht="14.5" x14ac:dyDescent="0.35">
      <c r="A501">
        <v>500</v>
      </c>
      <c r="B501">
        <v>36</v>
      </c>
      <c r="C501" t="s">
        <v>16</v>
      </c>
      <c r="D501" t="s">
        <v>63</v>
      </c>
      <c r="E501" t="s">
        <v>37</v>
      </c>
      <c r="F501">
        <v>99</v>
      </c>
      <c r="G501" t="s">
        <v>38</v>
      </c>
      <c r="H501" t="s">
        <v>20</v>
      </c>
      <c r="I501" t="s">
        <v>58</v>
      </c>
      <c r="J501" t="s">
        <v>22</v>
      </c>
      <c r="K501">
        <v>4.8</v>
      </c>
      <c r="L501" t="s">
        <v>23</v>
      </c>
      <c r="M501" t="s">
        <v>23</v>
      </c>
      <c r="N501">
        <v>24</v>
      </c>
      <c r="O501" t="s">
        <v>40</v>
      </c>
      <c r="P501" t="s">
        <v>79</v>
      </c>
    </row>
    <row r="502" spans="1:16" ht="14.5" x14ac:dyDescent="0.35">
      <c r="A502">
        <v>501</v>
      </c>
      <c r="B502">
        <v>36</v>
      </c>
      <c r="C502" t="s">
        <v>16</v>
      </c>
      <c r="D502" t="s">
        <v>104</v>
      </c>
      <c r="E502" t="s">
        <v>18</v>
      </c>
      <c r="F502">
        <v>31</v>
      </c>
      <c r="G502" t="s">
        <v>140</v>
      </c>
      <c r="H502" t="s">
        <v>20</v>
      </c>
      <c r="I502" t="s">
        <v>65</v>
      </c>
      <c r="J502" t="s">
        <v>50</v>
      </c>
      <c r="K502">
        <v>4.8</v>
      </c>
      <c r="L502" t="s">
        <v>23</v>
      </c>
      <c r="M502" t="s">
        <v>23</v>
      </c>
      <c r="N502">
        <v>35</v>
      </c>
      <c r="O502" t="s">
        <v>24</v>
      </c>
      <c r="P502" t="s">
        <v>88</v>
      </c>
    </row>
    <row r="503" spans="1:16" ht="14.5" x14ac:dyDescent="0.35">
      <c r="A503">
        <v>502</v>
      </c>
      <c r="B503">
        <v>64</v>
      </c>
      <c r="C503" t="s">
        <v>16</v>
      </c>
      <c r="D503" t="s">
        <v>128</v>
      </c>
      <c r="E503" t="s">
        <v>37</v>
      </c>
      <c r="F503">
        <v>45</v>
      </c>
      <c r="G503" t="s">
        <v>94</v>
      </c>
      <c r="H503" t="s">
        <v>39</v>
      </c>
      <c r="I503" t="s">
        <v>100</v>
      </c>
      <c r="J503" t="s">
        <v>33</v>
      </c>
      <c r="K503">
        <v>2.9</v>
      </c>
      <c r="L503" t="s">
        <v>23</v>
      </c>
      <c r="M503" t="s">
        <v>23</v>
      </c>
      <c r="N503">
        <v>21</v>
      </c>
      <c r="O503" t="s">
        <v>24</v>
      </c>
      <c r="P503" t="s">
        <v>43</v>
      </c>
    </row>
    <row r="504" spans="1:16" ht="14.5" x14ac:dyDescent="0.35">
      <c r="A504">
        <v>503</v>
      </c>
      <c r="B504">
        <v>59</v>
      </c>
      <c r="C504" t="s">
        <v>16</v>
      </c>
      <c r="D504" t="s">
        <v>86</v>
      </c>
      <c r="E504" t="s">
        <v>18</v>
      </c>
      <c r="F504">
        <v>30</v>
      </c>
      <c r="G504" t="s">
        <v>122</v>
      </c>
      <c r="H504" t="s">
        <v>32</v>
      </c>
      <c r="I504" t="s">
        <v>100</v>
      </c>
      <c r="J504" t="s">
        <v>50</v>
      </c>
      <c r="K504">
        <v>2.8</v>
      </c>
      <c r="L504" t="s">
        <v>23</v>
      </c>
      <c r="M504" t="s">
        <v>23</v>
      </c>
      <c r="N504">
        <v>8</v>
      </c>
      <c r="O504" t="s">
        <v>40</v>
      </c>
      <c r="P504" t="s">
        <v>25</v>
      </c>
    </row>
    <row r="505" spans="1:16" ht="14.5" x14ac:dyDescent="0.35">
      <c r="A505">
        <v>504</v>
      </c>
      <c r="B505">
        <v>55</v>
      </c>
      <c r="C505" t="s">
        <v>16</v>
      </c>
      <c r="D505" t="s">
        <v>63</v>
      </c>
      <c r="E505" t="s">
        <v>37</v>
      </c>
      <c r="F505">
        <v>24</v>
      </c>
      <c r="G505" t="s">
        <v>57</v>
      </c>
      <c r="H505" t="s">
        <v>39</v>
      </c>
      <c r="I505" t="s">
        <v>84</v>
      </c>
      <c r="J505" t="s">
        <v>47</v>
      </c>
      <c r="K505">
        <v>3.2</v>
      </c>
      <c r="L505" t="s">
        <v>23</v>
      </c>
      <c r="M505" t="s">
        <v>23</v>
      </c>
      <c r="N505">
        <v>26</v>
      </c>
      <c r="O505" t="s">
        <v>66</v>
      </c>
      <c r="P505" t="s">
        <v>51</v>
      </c>
    </row>
    <row r="506" spans="1:16" ht="14.5" x14ac:dyDescent="0.35">
      <c r="A506">
        <v>505</v>
      </c>
      <c r="B506">
        <v>42</v>
      </c>
      <c r="C506" t="s">
        <v>16</v>
      </c>
      <c r="D506" t="s">
        <v>63</v>
      </c>
      <c r="E506" t="s">
        <v>37</v>
      </c>
      <c r="F506">
        <v>22</v>
      </c>
      <c r="G506" t="s">
        <v>61</v>
      </c>
      <c r="H506" t="s">
        <v>39</v>
      </c>
      <c r="I506" t="s">
        <v>28</v>
      </c>
      <c r="J506" t="s">
        <v>22</v>
      </c>
      <c r="K506">
        <v>3.9</v>
      </c>
      <c r="L506" t="s">
        <v>23</v>
      </c>
      <c r="M506" t="s">
        <v>23</v>
      </c>
      <c r="N506">
        <v>26</v>
      </c>
      <c r="O506" t="s">
        <v>40</v>
      </c>
      <c r="P506" t="s">
        <v>43</v>
      </c>
    </row>
    <row r="507" spans="1:16" ht="14.5" x14ac:dyDescent="0.35">
      <c r="A507">
        <v>506</v>
      </c>
      <c r="B507">
        <v>61</v>
      </c>
      <c r="C507" t="s">
        <v>16</v>
      </c>
      <c r="D507" t="s">
        <v>104</v>
      </c>
      <c r="E507" t="s">
        <v>18</v>
      </c>
      <c r="F507">
        <v>63</v>
      </c>
      <c r="G507" t="s">
        <v>27</v>
      </c>
      <c r="H507" t="s">
        <v>20</v>
      </c>
      <c r="I507" t="s">
        <v>21</v>
      </c>
      <c r="J507" t="s">
        <v>33</v>
      </c>
      <c r="K507">
        <v>4.3</v>
      </c>
      <c r="L507" t="s">
        <v>23</v>
      </c>
      <c r="M507" t="s">
        <v>23</v>
      </c>
      <c r="N507">
        <v>9</v>
      </c>
      <c r="O507" t="s">
        <v>29</v>
      </c>
      <c r="P507" t="s">
        <v>67</v>
      </c>
    </row>
    <row r="508" spans="1:16" ht="14.5" x14ac:dyDescent="0.35">
      <c r="A508">
        <v>507</v>
      </c>
      <c r="B508">
        <v>28</v>
      </c>
      <c r="C508" t="s">
        <v>16</v>
      </c>
      <c r="D508" t="s">
        <v>110</v>
      </c>
      <c r="E508" t="s">
        <v>60</v>
      </c>
      <c r="F508">
        <v>40</v>
      </c>
      <c r="G508" t="s">
        <v>133</v>
      </c>
      <c r="H508" t="s">
        <v>39</v>
      </c>
      <c r="I508" t="s">
        <v>69</v>
      </c>
      <c r="J508" t="s">
        <v>50</v>
      </c>
      <c r="K508">
        <v>2.7</v>
      </c>
      <c r="L508" t="s">
        <v>23</v>
      </c>
      <c r="M508" t="s">
        <v>23</v>
      </c>
      <c r="N508">
        <v>48</v>
      </c>
      <c r="O508" t="s">
        <v>77</v>
      </c>
      <c r="P508" t="s">
        <v>43</v>
      </c>
    </row>
    <row r="509" spans="1:16" ht="14.5" x14ac:dyDescent="0.35">
      <c r="A509">
        <v>508</v>
      </c>
      <c r="B509">
        <v>65</v>
      </c>
      <c r="C509" t="s">
        <v>16</v>
      </c>
      <c r="D509" t="s">
        <v>52</v>
      </c>
      <c r="E509" t="s">
        <v>18</v>
      </c>
      <c r="F509">
        <v>20</v>
      </c>
      <c r="G509" t="s">
        <v>27</v>
      </c>
      <c r="H509" t="s">
        <v>39</v>
      </c>
      <c r="I509" t="s">
        <v>127</v>
      </c>
      <c r="J509" t="s">
        <v>33</v>
      </c>
      <c r="K509">
        <v>5</v>
      </c>
      <c r="L509" t="s">
        <v>23</v>
      </c>
      <c r="M509" t="s">
        <v>23</v>
      </c>
      <c r="N509">
        <v>33</v>
      </c>
      <c r="O509" t="s">
        <v>77</v>
      </c>
      <c r="P509" t="s">
        <v>25</v>
      </c>
    </row>
    <row r="510" spans="1:16" ht="14.5" x14ac:dyDescent="0.35">
      <c r="A510">
        <v>509</v>
      </c>
      <c r="B510">
        <v>27</v>
      </c>
      <c r="C510" t="s">
        <v>16</v>
      </c>
      <c r="D510" t="s">
        <v>97</v>
      </c>
      <c r="E510" t="s">
        <v>60</v>
      </c>
      <c r="F510">
        <v>20</v>
      </c>
      <c r="G510" t="s">
        <v>106</v>
      </c>
      <c r="H510" t="s">
        <v>32</v>
      </c>
      <c r="I510" t="s">
        <v>125</v>
      </c>
      <c r="J510" t="s">
        <v>22</v>
      </c>
      <c r="K510">
        <v>3.7</v>
      </c>
      <c r="L510" t="s">
        <v>23</v>
      </c>
      <c r="M510" t="s">
        <v>23</v>
      </c>
      <c r="N510">
        <v>31</v>
      </c>
      <c r="O510" t="s">
        <v>40</v>
      </c>
      <c r="P510" t="s">
        <v>51</v>
      </c>
    </row>
    <row r="511" spans="1:16" ht="14.5" x14ac:dyDescent="0.35">
      <c r="A511">
        <v>510</v>
      </c>
      <c r="B511">
        <v>41</v>
      </c>
      <c r="C511" t="s">
        <v>16</v>
      </c>
      <c r="D511" t="s">
        <v>104</v>
      </c>
      <c r="E511" t="s">
        <v>18</v>
      </c>
      <c r="F511">
        <v>80</v>
      </c>
      <c r="G511" t="s">
        <v>70</v>
      </c>
      <c r="H511" t="s">
        <v>20</v>
      </c>
      <c r="I511" t="s">
        <v>100</v>
      </c>
      <c r="J511" t="s">
        <v>47</v>
      </c>
      <c r="K511">
        <v>3.9</v>
      </c>
      <c r="L511" t="s">
        <v>23</v>
      </c>
      <c r="M511" t="s">
        <v>23</v>
      </c>
      <c r="N511">
        <v>17</v>
      </c>
      <c r="O511" t="s">
        <v>77</v>
      </c>
      <c r="P511" t="s">
        <v>35</v>
      </c>
    </row>
    <row r="512" spans="1:16" ht="14.5" x14ac:dyDescent="0.35">
      <c r="A512">
        <v>511</v>
      </c>
      <c r="B512">
        <v>21</v>
      </c>
      <c r="C512" t="s">
        <v>16</v>
      </c>
      <c r="D512" t="s">
        <v>48</v>
      </c>
      <c r="E512" t="s">
        <v>18</v>
      </c>
      <c r="F512">
        <v>87</v>
      </c>
      <c r="G512" t="s">
        <v>57</v>
      </c>
      <c r="H512" t="s">
        <v>39</v>
      </c>
      <c r="I512" t="s">
        <v>76</v>
      </c>
      <c r="J512" t="s">
        <v>50</v>
      </c>
      <c r="K512">
        <v>3.9</v>
      </c>
      <c r="L512" t="s">
        <v>23</v>
      </c>
      <c r="M512" t="s">
        <v>23</v>
      </c>
      <c r="N512">
        <v>22</v>
      </c>
      <c r="O512" t="s">
        <v>24</v>
      </c>
      <c r="P512" t="s">
        <v>43</v>
      </c>
    </row>
    <row r="513" spans="1:16" ht="14.5" x14ac:dyDescent="0.35">
      <c r="A513">
        <v>512</v>
      </c>
      <c r="B513">
        <v>61</v>
      </c>
      <c r="C513" t="s">
        <v>16</v>
      </c>
      <c r="D513" t="s">
        <v>48</v>
      </c>
      <c r="E513" t="s">
        <v>18</v>
      </c>
      <c r="F513">
        <v>46</v>
      </c>
      <c r="G513" t="s">
        <v>68</v>
      </c>
      <c r="H513" t="s">
        <v>20</v>
      </c>
      <c r="I513" t="s">
        <v>125</v>
      </c>
      <c r="J513" t="s">
        <v>50</v>
      </c>
      <c r="K513">
        <v>3.1</v>
      </c>
      <c r="L513" t="s">
        <v>23</v>
      </c>
      <c r="M513" t="s">
        <v>23</v>
      </c>
      <c r="N513">
        <v>8</v>
      </c>
      <c r="O513" t="s">
        <v>40</v>
      </c>
      <c r="P513" t="s">
        <v>43</v>
      </c>
    </row>
    <row r="514" spans="1:16" ht="14.5" x14ac:dyDescent="0.35">
      <c r="A514">
        <v>513</v>
      </c>
      <c r="B514">
        <v>19</v>
      </c>
      <c r="C514" t="s">
        <v>16</v>
      </c>
      <c r="D514" t="s">
        <v>134</v>
      </c>
      <c r="E514" t="s">
        <v>60</v>
      </c>
      <c r="F514">
        <v>49</v>
      </c>
      <c r="G514" t="s">
        <v>75</v>
      </c>
      <c r="H514" t="s">
        <v>20</v>
      </c>
      <c r="I514" t="s">
        <v>91</v>
      </c>
      <c r="J514" t="s">
        <v>22</v>
      </c>
      <c r="K514">
        <v>3.3</v>
      </c>
      <c r="L514" t="s">
        <v>23</v>
      </c>
      <c r="M514" t="s">
        <v>23</v>
      </c>
      <c r="N514">
        <v>2</v>
      </c>
      <c r="O514" t="s">
        <v>66</v>
      </c>
      <c r="P514" t="s">
        <v>79</v>
      </c>
    </row>
    <row r="515" spans="1:16" ht="14.5" x14ac:dyDescent="0.35">
      <c r="A515">
        <v>514</v>
      </c>
      <c r="B515">
        <v>22</v>
      </c>
      <c r="C515" t="s">
        <v>16</v>
      </c>
      <c r="D515" t="s">
        <v>110</v>
      </c>
      <c r="E515" t="s">
        <v>60</v>
      </c>
      <c r="F515">
        <v>65</v>
      </c>
      <c r="G515" t="s">
        <v>121</v>
      </c>
      <c r="H515" t="s">
        <v>39</v>
      </c>
      <c r="I515" t="s">
        <v>91</v>
      </c>
      <c r="J515" t="s">
        <v>50</v>
      </c>
      <c r="K515">
        <v>3.6</v>
      </c>
      <c r="L515" t="s">
        <v>23</v>
      </c>
      <c r="M515" t="s">
        <v>23</v>
      </c>
      <c r="N515">
        <v>45</v>
      </c>
      <c r="O515" t="s">
        <v>24</v>
      </c>
      <c r="P515" t="s">
        <v>43</v>
      </c>
    </row>
    <row r="516" spans="1:16" ht="14.5" x14ac:dyDescent="0.35">
      <c r="A516">
        <v>515</v>
      </c>
      <c r="B516">
        <v>64</v>
      </c>
      <c r="C516" t="s">
        <v>16</v>
      </c>
      <c r="D516" t="s">
        <v>78</v>
      </c>
      <c r="E516" t="s">
        <v>18</v>
      </c>
      <c r="F516">
        <v>62</v>
      </c>
      <c r="G516" t="s">
        <v>107</v>
      </c>
      <c r="H516" t="s">
        <v>32</v>
      </c>
      <c r="I516" t="s">
        <v>69</v>
      </c>
      <c r="J516" t="s">
        <v>22</v>
      </c>
      <c r="K516">
        <v>4.3</v>
      </c>
      <c r="L516" t="s">
        <v>23</v>
      </c>
      <c r="M516" t="s">
        <v>23</v>
      </c>
      <c r="N516">
        <v>47</v>
      </c>
      <c r="O516" t="s">
        <v>40</v>
      </c>
      <c r="P516" t="s">
        <v>51</v>
      </c>
    </row>
    <row r="517" spans="1:16" ht="14.5" x14ac:dyDescent="0.35">
      <c r="A517">
        <v>516</v>
      </c>
      <c r="B517">
        <v>28</v>
      </c>
      <c r="C517" t="s">
        <v>16</v>
      </c>
      <c r="D517" t="s">
        <v>115</v>
      </c>
      <c r="E517" t="s">
        <v>60</v>
      </c>
      <c r="F517">
        <v>67</v>
      </c>
      <c r="G517" t="s">
        <v>19</v>
      </c>
      <c r="H517" t="s">
        <v>20</v>
      </c>
      <c r="I517" t="s">
        <v>54</v>
      </c>
      <c r="J517" t="s">
        <v>33</v>
      </c>
      <c r="K517">
        <v>4.5</v>
      </c>
      <c r="L517" t="s">
        <v>23</v>
      </c>
      <c r="M517" t="s">
        <v>23</v>
      </c>
      <c r="N517">
        <v>7</v>
      </c>
      <c r="O517" t="s">
        <v>29</v>
      </c>
      <c r="P517" t="s">
        <v>79</v>
      </c>
    </row>
    <row r="518" spans="1:16" ht="14.5" x14ac:dyDescent="0.35">
      <c r="A518">
        <v>517</v>
      </c>
      <c r="B518">
        <v>34</v>
      </c>
      <c r="C518" t="s">
        <v>16</v>
      </c>
      <c r="D518" t="s">
        <v>95</v>
      </c>
      <c r="E518" t="s">
        <v>18</v>
      </c>
      <c r="F518">
        <v>41</v>
      </c>
      <c r="G518" t="s">
        <v>57</v>
      </c>
      <c r="H518" t="s">
        <v>20</v>
      </c>
      <c r="I518" t="s">
        <v>117</v>
      </c>
      <c r="J518" t="s">
        <v>50</v>
      </c>
      <c r="K518">
        <v>2.8</v>
      </c>
      <c r="L518" t="s">
        <v>23</v>
      </c>
      <c r="M518" t="s">
        <v>23</v>
      </c>
      <c r="N518">
        <v>19</v>
      </c>
      <c r="O518" t="s">
        <v>77</v>
      </c>
      <c r="P518" t="s">
        <v>67</v>
      </c>
    </row>
    <row r="519" spans="1:16" ht="14.5" x14ac:dyDescent="0.35">
      <c r="A519">
        <v>518</v>
      </c>
      <c r="B519">
        <v>61</v>
      </c>
      <c r="C519" t="s">
        <v>16</v>
      </c>
      <c r="D519" t="s">
        <v>128</v>
      </c>
      <c r="E519" t="s">
        <v>37</v>
      </c>
      <c r="F519">
        <v>49</v>
      </c>
      <c r="G519" t="s">
        <v>105</v>
      </c>
      <c r="H519" t="s">
        <v>20</v>
      </c>
      <c r="I519" t="s">
        <v>58</v>
      </c>
      <c r="J519" t="s">
        <v>50</v>
      </c>
      <c r="K519">
        <v>2.7</v>
      </c>
      <c r="L519" t="s">
        <v>23</v>
      </c>
      <c r="M519" t="s">
        <v>23</v>
      </c>
      <c r="N519">
        <v>44</v>
      </c>
      <c r="O519" t="s">
        <v>29</v>
      </c>
      <c r="P519" t="s">
        <v>88</v>
      </c>
    </row>
    <row r="520" spans="1:16" ht="14.5" x14ac:dyDescent="0.35">
      <c r="A520">
        <v>519</v>
      </c>
      <c r="B520">
        <v>24</v>
      </c>
      <c r="C520" t="s">
        <v>16</v>
      </c>
      <c r="D520" t="s">
        <v>17</v>
      </c>
      <c r="E520" t="s">
        <v>18</v>
      </c>
      <c r="F520">
        <v>100</v>
      </c>
      <c r="G520" t="s">
        <v>41</v>
      </c>
      <c r="H520" t="s">
        <v>39</v>
      </c>
      <c r="I520" t="s">
        <v>109</v>
      </c>
      <c r="J520" t="s">
        <v>50</v>
      </c>
      <c r="K520">
        <v>2.9</v>
      </c>
      <c r="L520" t="s">
        <v>23</v>
      </c>
      <c r="M520" t="s">
        <v>23</v>
      </c>
      <c r="N520">
        <v>16</v>
      </c>
      <c r="O520" t="s">
        <v>24</v>
      </c>
      <c r="P520" t="s">
        <v>88</v>
      </c>
    </row>
    <row r="521" spans="1:16" ht="14.5" x14ac:dyDescent="0.35">
      <c r="A521">
        <v>520</v>
      </c>
      <c r="B521">
        <v>19</v>
      </c>
      <c r="C521" t="s">
        <v>16</v>
      </c>
      <c r="D521" t="s">
        <v>124</v>
      </c>
      <c r="E521" t="s">
        <v>60</v>
      </c>
      <c r="F521">
        <v>54</v>
      </c>
      <c r="G521" t="s">
        <v>139</v>
      </c>
      <c r="H521" t="s">
        <v>20</v>
      </c>
      <c r="I521" t="s">
        <v>135</v>
      </c>
      <c r="J521" t="s">
        <v>47</v>
      </c>
      <c r="K521">
        <v>4.4000000000000004</v>
      </c>
      <c r="L521" t="s">
        <v>23</v>
      </c>
      <c r="M521" t="s">
        <v>23</v>
      </c>
      <c r="N521">
        <v>17</v>
      </c>
      <c r="O521" t="s">
        <v>66</v>
      </c>
      <c r="P521" t="s">
        <v>51</v>
      </c>
    </row>
    <row r="522" spans="1:16" ht="14.5" x14ac:dyDescent="0.35">
      <c r="A522">
        <v>521</v>
      </c>
      <c r="B522">
        <v>51</v>
      </c>
      <c r="C522" t="s">
        <v>16</v>
      </c>
      <c r="D522" t="s">
        <v>80</v>
      </c>
      <c r="E522" t="s">
        <v>60</v>
      </c>
      <c r="F522">
        <v>84</v>
      </c>
      <c r="G522" t="s">
        <v>122</v>
      </c>
      <c r="H522" t="s">
        <v>39</v>
      </c>
      <c r="I522" t="s">
        <v>46</v>
      </c>
      <c r="J522" t="s">
        <v>33</v>
      </c>
      <c r="K522">
        <v>3.9</v>
      </c>
      <c r="L522" t="s">
        <v>23</v>
      </c>
      <c r="M522" t="s">
        <v>23</v>
      </c>
      <c r="N522">
        <v>20</v>
      </c>
      <c r="O522" t="s">
        <v>77</v>
      </c>
      <c r="P522" t="s">
        <v>51</v>
      </c>
    </row>
    <row r="523" spans="1:16" ht="14.5" x14ac:dyDescent="0.35">
      <c r="A523">
        <v>522</v>
      </c>
      <c r="B523">
        <v>36</v>
      </c>
      <c r="C523" t="s">
        <v>16</v>
      </c>
      <c r="D523" t="s">
        <v>52</v>
      </c>
      <c r="E523" t="s">
        <v>18</v>
      </c>
      <c r="F523">
        <v>41</v>
      </c>
      <c r="G523" t="s">
        <v>120</v>
      </c>
      <c r="H523" t="s">
        <v>20</v>
      </c>
      <c r="I523" t="s">
        <v>71</v>
      </c>
      <c r="J523" t="s">
        <v>22</v>
      </c>
      <c r="K523">
        <v>3.5</v>
      </c>
      <c r="L523" t="s">
        <v>23</v>
      </c>
      <c r="M523" t="s">
        <v>23</v>
      </c>
      <c r="N523">
        <v>50</v>
      </c>
      <c r="O523" t="s">
        <v>66</v>
      </c>
      <c r="P523" t="s">
        <v>43</v>
      </c>
    </row>
    <row r="524" spans="1:16" ht="14.5" x14ac:dyDescent="0.35">
      <c r="A524">
        <v>523</v>
      </c>
      <c r="B524">
        <v>65</v>
      </c>
      <c r="C524" t="s">
        <v>16</v>
      </c>
      <c r="D524" t="s">
        <v>134</v>
      </c>
      <c r="E524" t="s">
        <v>60</v>
      </c>
      <c r="F524">
        <v>88</v>
      </c>
      <c r="G524" t="s">
        <v>139</v>
      </c>
      <c r="H524" t="s">
        <v>39</v>
      </c>
      <c r="I524" t="s">
        <v>135</v>
      </c>
      <c r="J524" t="s">
        <v>33</v>
      </c>
      <c r="K524">
        <v>2.5</v>
      </c>
      <c r="L524" t="s">
        <v>23</v>
      </c>
      <c r="M524" t="s">
        <v>23</v>
      </c>
      <c r="N524">
        <v>37</v>
      </c>
      <c r="O524" t="s">
        <v>29</v>
      </c>
      <c r="P524" t="s">
        <v>51</v>
      </c>
    </row>
    <row r="525" spans="1:16" ht="14.5" x14ac:dyDescent="0.35">
      <c r="A525">
        <v>524</v>
      </c>
      <c r="B525">
        <v>46</v>
      </c>
      <c r="C525" t="s">
        <v>16</v>
      </c>
      <c r="D525" t="s">
        <v>36</v>
      </c>
      <c r="E525" t="s">
        <v>37</v>
      </c>
      <c r="F525">
        <v>40</v>
      </c>
      <c r="G525" t="s">
        <v>70</v>
      </c>
      <c r="H525" t="s">
        <v>39</v>
      </c>
      <c r="I525" t="s">
        <v>112</v>
      </c>
      <c r="J525" t="s">
        <v>33</v>
      </c>
      <c r="K525">
        <v>4.9000000000000004</v>
      </c>
      <c r="L525" t="s">
        <v>23</v>
      </c>
      <c r="M525" t="s">
        <v>23</v>
      </c>
      <c r="N525">
        <v>5</v>
      </c>
      <c r="O525" t="s">
        <v>40</v>
      </c>
      <c r="P525" t="s">
        <v>51</v>
      </c>
    </row>
    <row r="526" spans="1:16" ht="14.5" x14ac:dyDescent="0.35">
      <c r="A526">
        <v>525</v>
      </c>
      <c r="B526">
        <v>59</v>
      </c>
      <c r="C526" t="s">
        <v>16</v>
      </c>
      <c r="D526" t="s">
        <v>48</v>
      </c>
      <c r="E526" t="s">
        <v>18</v>
      </c>
      <c r="F526">
        <v>39</v>
      </c>
      <c r="G526" t="s">
        <v>129</v>
      </c>
      <c r="H526" t="s">
        <v>39</v>
      </c>
      <c r="I526" t="s">
        <v>71</v>
      </c>
      <c r="J526" t="s">
        <v>47</v>
      </c>
      <c r="K526">
        <v>4.8</v>
      </c>
      <c r="L526" t="s">
        <v>23</v>
      </c>
      <c r="M526" t="s">
        <v>23</v>
      </c>
      <c r="N526">
        <v>44</v>
      </c>
      <c r="O526" t="s">
        <v>40</v>
      </c>
      <c r="P526" t="s">
        <v>43</v>
      </c>
    </row>
    <row r="527" spans="1:16" ht="14.5" x14ac:dyDescent="0.35">
      <c r="A527">
        <v>526</v>
      </c>
      <c r="B527">
        <v>51</v>
      </c>
      <c r="C527" t="s">
        <v>16</v>
      </c>
      <c r="D527" t="s">
        <v>55</v>
      </c>
      <c r="E527" t="s">
        <v>56</v>
      </c>
      <c r="F527">
        <v>37</v>
      </c>
      <c r="G527" t="s">
        <v>137</v>
      </c>
      <c r="H527" t="s">
        <v>39</v>
      </c>
      <c r="I527" t="s">
        <v>100</v>
      </c>
      <c r="J527" t="s">
        <v>33</v>
      </c>
      <c r="K527">
        <v>3.2</v>
      </c>
      <c r="L527" t="s">
        <v>23</v>
      </c>
      <c r="M527" t="s">
        <v>23</v>
      </c>
      <c r="N527">
        <v>41</v>
      </c>
      <c r="O527" t="s">
        <v>77</v>
      </c>
      <c r="P527" t="s">
        <v>79</v>
      </c>
    </row>
    <row r="528" spans="1:16" ht="14.5" x14ac:dyDescent="0.35">
      <c r="A528">
        <v>527</v>
      </c>
      <c r="B528">
        <v>51</v>
      </c>
      <c r="C528" t="s">
        <v>16</v>
      </c>
      <c r="D528" t="s">
        <v>86</v>
      </c>
      <c r="E528" t="s">
        <v>18</v>
      </c>
      <c r="F528">
        <v>52</v>
      </c>
      <c r="G528" t="s">
        <v>118</v>
      </c>
      <c r="H528" t="s">
        <v>32</v>
      </c>
      <c r="I528" t="s">
        <v>99</v>
      </c>
      <c r="J528" t="s">
        <v>22</v>
      </c>
      <c r="K528">
        <v>4.9000000000000004</v>
      </c>
      <c r="L528" t="s">
        <v>23</v>
      </c>
      <c r="M528" t="s">
        <v>23</v>
      </c>
      <c r="N528">
        <v>19</v>
      </c>
      <c r="O528" t="s">
        <v>29</v>
      </c>
      <c r="P528" t="s">
        <v>79</v>
      </c>
    </row>
    <row r="529" spans="1:16" ht="14.5" x14ac:dyDescent="0.35">
      <c r="A529">
        <v>528</v>
      </c>
      <c r="B529">
        <v>21</v>
      </c>
      <c r="C529" t="s">
        <v>16</v>
      </c>
      <c r="D529" t="s">
        <v>104</v>
      </c>
      <c r="E529" t="s">
        <v>18</v>
      </c>
      <c r="F529">
        <v>23</v>
      </c>
      <c r="G529" t="s">
        <v>122</v>
      </c>
      <c r="H529" t="s">
        <v>20</v>
      </c>
      <c r="I529" t="s">
        <v>125</v>
      </c>
      <c r="J529" t="s">
        <v>22</v>
      </c>
      <c r="K529">
        <v>4.3</v>
      </c>
      <c r="L529" t="s">
        <v>23</v>
      </c>
      <c r="M529" t="s">
        <v>23</v>
      </c>
      <c r="N529">
        <v>47</v>
      </c>
      <c r="O529" t="s">
        <v>66</v>
      </c>
      <c r="P529" t="s">
        <v>88</v>
      </c>
    </row>
    <row r="530" spans="1:16" ht="14.5" x14ac:dyDescent="0.35">
      <c r="A530">
        <v>529</v>
      </c>
      <c r="B530">
        <v>34</v>
      </c>
      <c r="C530" t="s">
        <v>16</v>
      </c>
      <c r="D530" t="s">
        <v>44</v>
      </c>
      <c r="E530" t="s">
        <v>37</v>
      </c>
      <c r="F530">
        <v>88</v>
      </c>
      <c r="G530" t="s">
        <v>119</v>
      </c>
      <c r="H530" t="s">
        <v>32</v>
      </c>
      <c r="I530" t="s">
        <v>109</v>
      </c>
      <c r="J530" t="s">
        <v>22</v>
      </c>
      <c r="K530">
        <v>3.2</v>
      </c>
      <c r="L530" t="s">
        <v>23</v>
      </c>
      <c r="M530" t="s">
        <v>23</v>
      </c>
      <c r="N530">
        <v>40</v>
      </c>
      <c r="O530" t="s">
        <v>29</v>
      </c>
      <c r="P530" t="s">
        <v>43</v>
      </c>
    </row>
    <row r="531" spans="1:16" ht="14.5" x14ac:dyDescent="0.35">
      <c r="A531">
        <v>530</v>
      </c>
      <c r="B531">
        <v>32</v>
      </c>
      <c r="C531" t="s">
        <v>16</v>
      </c>
      <c r="D531" t="s">
        <v>52</v>
      </c>
      <c r="E531" t="s">
        <v>18</v>
      </c>
      <c r="F531">
        <v>84</v>
      </c>
      <c r="G531" t="s">
        <v>90</v>
      </c>
      <c r="H531" t="s">
        <v>39</v>
      </c>
      <c r="I531" t="s">
        <v>112</v>
      </c>
      <c r="J531" t="s">
        <v>50</v>
      </c>
      <c r="K531">
        <v>3.7</v>
      </c>
      <c r="L531" t="s">
        <v>23</v>
      </c>
      <c r="M531" t="s">
        <v>23</v>
      </c>
      <c r="N531">
        <v>6</v>
      </c>
      <c r="O531" t="s">
        <v>34</v>
      </c>
      <c r="P531" t="s">
        <v>79</v>
      </c>
    </row>
    <row r="532" spans="1:16" ht="14.5" x14ac:dyDescent="0.35">
      <c r="A532">
        <v>531</v>
      </c>
      <c r="B532">
        <v>48</v>
      </c>
      <c r="C532" t="s">
        <v>16</v>
      </c>
      <c r="D532" t="s">
        <v>55</v>
      </c>
      <c r="E532" t="s">
        <v>56</v>
      </c>
      <c r="F532">
        <v>37</v>
      </c>
      <c r="G532" t="s">
        <v>49</v>
      </c>
      <c r="H532" t="s">
        <v>83</v>
      </c>
      <c r="I532" t="s">
        <v>127</v>
      </c>
      <c r="J532" t="s">
        <v>22</v>
      </c>
      <c r="K532">
        <v>3.2</v>
      </c>
      <c r="L532" t="s">
        <v>23</v>
      </c>
      <c r="M532" t="s">
        <v>23</v>
      </c>
      <c r="N532">
        <v>25</v>
      </c>
      <c r="O532" t="s">
        <v>34</v>
      </c>
      <c r="P532" t="s">
        <v>67</v>
      </c>
    </row>
    <row r="533" spans="1:16" ht="14.5" x14ac:dyDescent="0.35">
      <c r="A533">
        <v>532</v>
      </c>
      <c r="B533">
        <v>50</v>
      </c>
      <c r="C533" t="s">
        <v>16</v>
      </c>
      <c r="D533" t="s">
        <v>36</v>
      </c>
      <c r="E533" t="s">
        <v>37</v>
      </c>
      <c r="F533">
        <v>51</v>
      </c>
      <c r="G533" t="s">
        <v>120</v>
      </c>
      <c r="H533" t="s">
        <v>20</v>
      </c>
      <c r="I533" t="s">
        <v>65</v>
      </c>
      <c r="J533" t="s">
        <v>50</v>
      </c>
      <c r="K533">
        <v>3.4</v>
      </c>
      <c r="L533" t="s">
        <v>23</v>
      </c>
      <c r="M533" t="s">
        <v>23</v>
      </c>
      <c r="N533">
        <v>42</v>
      </c>
      <c r="O533" t="s">
        <v>29</v>
      </c>
      <c r="P533" t="s">
        <v>35</v>
      </c>
    </row>
    <row r="534" spans="1:16" ht="14.5" x14ac:dyDescent="0.35">
      <c r="A534">
        <v>533</v>
      </c>
      <c r="B534">
        <v>26</v>
      </c>
      <c r="C534" t="s">
        <v>16</v>
      </c>
      <c r="D534" t="s">
        <v>86</v>
      </c>
      <c r="E534" t="s">
        <v>18</v>
      </c>
      <c r="F534">
        <v>76</v>
      </c>
      <c r="G534" t="s">
        <v>96</v>
      </c>
      <c r="H534" t="s">
        <v>20</v>
      </c>
      <c r="I534" t="s">
        <v>85</v>
      </c>
      <c r="J534" t="s">
        <v>22</v>
      </c>
      <c r="K534">
        <v>4.0999999999999996</v>
      </c>
      <c r="L534" t="s">
        <v>23</v>
      </c>
      <c r="M534" t="s">
        <v>23</v>
      </c>
      <c r="N534">
        <v>35</v>
      </c>
      <c r="O534" t="s">
        <v>66</v>
      </c>
      <c r="P534" t="s">
        <v>88</v>
      </c>
    </row>
    <row r="535" spans="1:16" ht="14.5" x14ac:dyDescent="0.35">
      <c r="A535">
        <v>534</v>
      </c>
      <c r="B535">
        <v>57</v>
      </c>
      <c r="C535" t="s">
        <v>16</v>
      </c>
      <c r="D535" t="s">
        <v>36</v>
      </c>
      <c r="E535" t="s">
        <v>37</v>
      </c>
      <c r="F535">
        <v>60</v>
      </c>
      <c r="G535" t="s">
        <v>89</v>
      </c>
      <c r="H535" t="s">
        <v>20</v>
      </c>
      <c r="I535" t="s">
        <v>62</v>
      </c>
      <c r="J535" t="s">
        <v>33</v>
      </c>
      <c r="K535">
        <v>4.5</v>
      </c>
      <c r="L535" t="s">
        <v>23</v>
      </c>
      <c r="M535" t="s">
        <v>23</v>
      </c>
      <c r="N535">
        <v>17</v>
      </c>
      <c r="O535" t="s">
        <v>77</v>
      </c>
      <c r="P535" t="s">
        <v>35</v>
      </c>
    </row>
    <row r="536" spans="1:16" ht="14.5" x14ac:dyDescent="0.35">
      <c r="A536">
        <v>535</v>
      </c>
      <c r="B536">
        <v>65</v>
      </c>
      <c r="C536" t="s">
        <v>16</v>
      </c>
      <c r="D536" t="s">
        <v>134</v>
      </c>
      <c r="E536" t="s">
        <v>60</v>
      </c>
      <c r="F536">
        <v>72</v>
      </c>
      <c r="G536" t="s">
        <v>94</v>
      </c>
      <c r="H536" t="s">
        <v>20</v>
      </c>
      <c r="I536" t="s">
        <v>62</v>
      </c>
      <c r="J536" t="s">
        <v>50</v>
      </c>
      <c r="K536">
        <v>4.5</v>
      </c>
      <c r="L536" t="s">
        <v>23</v>
      </c>
      <c r="M536" t="s">
        <v>23</v>
      </c>
      <c r="N536">
        <v>4</v>
      </c>
      <c r="O536" t="s">
        <v>40</v>
      </c>
      <c r="P536" t="s">
        <v>51</v>
      </c>
    </row>
    <row r="537" spans="1:16" ht="14.5" x14ac:dyDescent="0.35">
      <c r="A537">
        <v>536</v>
      </c>
      <c r="B537">
        <v>56</v>
      </c>
      <c r="C537" t="s">
        <v>16</v>
      </c>
      <c r="D537" t="s">
        <v>104</v>
      </c>
      <c r="E537" t="s">
        <v>18</v>
      </c>
      <c r="F537">
        <v>45</v>
      </c>
      <c r="G537" t="s">
        <v>57</v>
      </c>
      <c r="H537" t="s">
        <v>20</v>
      </c>
      <c r="I537" t="s">
        <v>28</v>
      </c>
      <c r="J537" t="s">
        <v>33</v>
      </c>
      <c r="K537">
        <v>3.2</v>
      </c>
      <c r="L537" t="s">
        <v>23</v>
      </c>
      <c r="M537" t="s">
        <v>23</v>
      </c>
      <c r="N537">
        <v>24</v>
      </c>
      <c r="O537" t="s">
        <v>66</v>
      </c>
      <c r="P537" t="s">
        <v>35</v>
      </c>
    </row>
    <row r="538" spans="1:16" ht="14.5" x14ac:dyDescent="0.35">
      <c r="A538">
        <v>537</v>
      </c>
      <c r="B538">
        <v>44</v>
      </c>
      <c r="C538" t="s">
        <v>16</v>
      </c>
      <c r="D538" t="s">
        <v>93</v>
      </c>
      <c r="E538" t="s">
        <v>56</v>
      </c>
      <c r="F538">
        <v>84</v>
      </c>
      <c r="G538" t="s">
        <v>106</v>
      </c>
      <c r="H538" t="s">
        <v>32</v>
      </c>
      <c r="I538" t="s">
        <v>28</v>
      </c>
      <c r="J538" t="s">
        <v>50</v>
      </c>
      <c r="K538">
        <v>4.4000000000000004</v>
      </c>
      <c r="L538" t="s">
        <v>23</v>
      </c>
      <c r="M538" t="s">
        <v>23</v>
      </c>
      <c r="N538">
        <v>16</v>
      </c>
      <c r="O538" t="s">
        <v>77</v>
      </c>
      <c r="P538" t="s">
        <v>88</v>
      </c>
    </row>
    <row r="539" spans="1:16" ht="14.5" x14ac:dyDescent="0.35">
      <c r="A539">
        <v>538</v>
      </c>
      <c r="B539">
        <v>50</v>
      </c>
      <c r="C539" t="s">
        <v>16</v>
      </c>
      <c r="D539" t="s">
        <v>17</v>
      </c>
      <c r="E539" t="s">
        <v>18</v>
      </c>
      <c r="F539">
        <v>49</v>
      </c>
      <c r="G539" t="s">
        <v>132</v>
      </c>
      <c r="H539" t="s">
        <v>32</v>
      </c>
      <c r="I539" t="s">
        <v>42</v>
      </c>
      <c r="J539" t="s">
        <v>47</v>
      </c>
      <c r="K539">
        <v>3</v>
      </c>
      <c r="L539" t="s">
        <v>23</v>
      </c>
      <c r="M539" t="s">
        <v>23</v>
      </c>
      <c r="N539">
        <v>14</v>
      </c>
      <c r="O539" t="s">
        <v>77</v>
      </c>
      <c r="P539" t="s">
        <v>43</v>
      </c>
    </row>
    <row r="540" spans="1:16" ht="14.5" x14ac:dyDescent="0.35">
      <c r="A540">
        <v>539</v>
      </c>
      <c r="B540">
        <v>27</v>
      </c>
      <c r="C540" t="s">
        <v>16</v>
      </c>
      <c r="D540" t="s">
        <v>116</v>
      </c>
      <c r="E540" t="s">
        <v>18</v>
      </c>
      <c r="F540">
        <v>22</v>
      </c>
      <c r="G540" t="s">
        <v>132</v>
      </c>
      <c r="H540" t="s">
        <v>83</v>
      </c>
      <c r="I540" t="s">
        <v>87</v>
      </c>
      <c r="J540" t="s">
        <v>33</v>
      </c>
      <c r="K540">
        <v>3.2</v>
      </c>
      <c r="L540" t="s">
        <v>23</v>
      </c>
      <c r="M540" t="s">
        <v>23</v>
      </c>
      <c r="N540">
        <v>43</v>
      </c>
      <c r="O540" t="s">
        <v>29</v>
      </c>
      <c r="P540" t="s">
        <v>35</v>
      </c>
    </row>
    <row r="541" spans="1:16" ht="14.5" x14ac:dyDescent="0.35">
      <c r="A541">
        <v>540</v>
      </c>
      <c r="B541">
        <v>49</v>
      </c>
      <c r="C541" t="s">
        <v>16</v>
      </c>
      <c r="D541" t="s">
        <v>55</v>
      </c>
      <c r="E541" t="s">
        <v>56</v>
      </c>
      <c r="F541">
        <v>48</v>
      </c>
      <c r="G541" t="s">
        <v>45</v>
      </c>
      <c r="H541" t="s">
        <v>39</v>
      </c>
      <c r="I541" t="s">
        <v>74</v>
      </c>
      <c r="J541" t="s">
        <v>22</v>
      </c>
      <c r="K541">
        <v>4</v>
      </c>
      <c r="L541" t="s">
        <v>23</v>
      </c>
      <c r="M541" t="s">
        <v>23</v>
      </c>
      <c r="N541">
        <v>49</v>
      </c>
      <c r="O541" t="s">
        <v>77</v>
      </c>
      <c r="P541" t="s">
        <v>35</v>
      </c>
    </row>
    <row r="542" spans="1:16" ht="14.5" x14ac:dyDescent="0.35">
      <c r="A542">
        <v>541</v>
      </c>
      <c r="B542">
        <v>49</v>
      </c>
      <c r="C542" t="s">
        <v>16</v>
      </c>
      <c r="D542" t="s">
        <v>72</v>
      </c>
      <c r="E542" t="s">
        <v>18</v>
      </c>
      <c r="F542">
        <v>37</v>
      </c>
      <c r="G542" t="s">
        <v>122</v>
      </c>
      <c r="H542" t="s">
        <v>39</v>
      </c>
      <c r="I542" t="s">
        <v>84</v>
      </c>
      <c r="J542" t="s">
        <v>33</v>
      </c>
      <c r="K542">
        <v>3.1</v>
      </c>
      <c r="L542" t="s">
        <v>23</v>
      </c>
      <c r="M542" t="s">
        <v>23</v>
      </c>
      <c r="N542">
        <v>33</v>
      </c>
      <c r="O542" t="s">
        <v>29</v>
      </c>
      <c r="P542" t="s">
        <v>88</v>
      </c>
    </row>
    <row r="543" spans="1:16" ht="14.5" x14ac:dyDescent="0.35">
      <c r="A543">
        <v>542</v>
      </c>
      <c r="B543">
        <v>52</v>
      </c>
      <c r="C543" t="s">
        <v>16</v>
      </c>
      <c r="D543" t="s">
        <v>93</v>
      </c>
      <c r="E543" t="s">
        <v>56</v>
      </c>
      <c r="F543">
        <v>27</v>
      </c>
      <c r="G543" t="s">
        <v>130</v>
      </c>
      <c r="H543" t="s">
        <v>20</v>
      </c>
      <c r="I543" t="s">
        <v>21</v>
      </c>
      <c r="J543" t="s">
        <v>50</v>
      </c>
      <c r="K543">
        <v>2.8</v>
      </c>
      <c r="L543" t="s">
        <v>23</v>
      </c>
      <c r="M543" t="s">
        <v>23</v>
      </c>
      <c r="N543">
        <v>45</v>
      </c>
      <c r="O543" t="s">
        <v>29</v>
      </c>
      <c r="P543" t="s">
        <v>67</v>
      </c>
    </row>
    <row r="544" spans="1:16" ht="14.5" x14ac:dyDescent="0.35">
      <c r="A544">
        <v>543</v>
      </c>
      <c r="B544">
        <v>27</v>
      </c>
      <c r="C544" t="s">
        <v>16</v>
      </c>
      <c r="D544" t="s">
        <v>128</v>
      </c>
      <c r="E544" t="s">
        <v>37</v>
      </c>
      <c r="F544">
        <v>79</v>
      </c>
      <c r="G544" t="s">
        <v>106</v>
      </c>
      <c r="H544" t="s">
        <v>83</v>
      </c>
      <c r="I544" t="s">
        <v>76</v>
      </c>
      <c r="J544" t="s">
        <v>33</v>
      </c>
      <c r="K544">
        <v>4.5999999999999996</v>
      </c>
      <c r="L544" t="s">
        <v>23</v>
      </c>
      <c r="M544" t="s">
        <v>23</v>
      </c>
      <c r="N544">
        <v>35</v>
      </c>
      <c r="O544" t="s">
        <v>29</v>
      </c>
      <c r="P544" t="s">
        <v>67</v>
      </c>
    </row>
    <row r="545" spans="1:16" ht="14.5" x14ac:dyDescent="0.35">
      <c r="A545">
        <v>544</v>
      </c>
      <c r="B545">
        <v>53</v>
      </c>
      <c r="C545" t="s">
        <v>16</v>
      </c>
      <c r="D545" t="s">
        <v>78</v>
      </c>
      <c r="E545" t="s">
        <v>18</v>
      </c>
      <c r="F545">
        <v>98</v>
      </c>
      <c r="G545" t="s">
        <v>81</v>
      </c>
      <c r="H545" t="s">
        <v>32</v>
      </c>
      <c r="I545" t="s">
        <v>99</v>
      </c>
      <c r="J545" t="s">
        <v>33</v>
      </c>
      <c r="K545">
        <v>4.3</v>
      </c>
      <c r="L545" t="s">
        <v>23</v>
      </c>
      <c r="M545" t="s">
        <v>23</v>
      </c>
      <c r="N545">
        <v>11</v>
      </c>
      <c r="O545" t="s">
        <v>34</v>
      </c>
      <c r="P545" t="s">
        <v>79</v>
      </c>
    </row>
    <row r="546" spans="1:16" ht="14.5" x14ac:dyDescent="0.35">
      <c r="A546">
        <v>545</v>
      </c>
      <c r="B546">
        <v>34</v>
      </c>
      <c r="C546" t="s">
        <v>16</v>
      </c>
      <c r="D546" t="s">
        <v>36</v>
      </c>
      <c r="E546" t="s">
        <v>37</v>
      </c>
      <c r="F546">
        <v>64</v>
      </c>
      <c r="G546" t="s">
        <v>140</v>
      </c>
      <c r="H546" t="s">
        <v>32</v>
      </c>
      <c r="I546" t="s">
        <v>125</v>
      </c>
      <c r="J546" t="s">
        <v>47</v>
      </c>
      <c r="K546">
        <v>3.3</v>
      </c>
      <c r="L546" t="s">
        <v>23</v>
      </c>
      <c r="M546" t="s">
        <v>23</v>
      </c>
      <c r="N546">
        <v>30</v>
      </c>
      <c r="O546" t="s">
        <v>66</v>
      </c>
      <c r="P546" t="s">
        <v>88</v>
      </c>
    </row>
    <row r="547" spans="1:16" ht="14.5" x14ac:dyDescent="0.35">
      <c r="A547">
        <v>546</v>
      </c>
      <c r="B547">
        <v>33</v>
      </c>
      <c r="C547" t="s">
        <v>16</v>
      </c>
      <c r="D547" t="s">
        <v>55</v>
      </c>
      <c r="E547" t="s">
        <v>56</v>
      </c>
      <c r="F547">
        <v>32</v>
      </c>
      <c r="G547" t="s">
        <v>81</v>
      </c>
      <c r="H547" t="s">
        <v>20</v>
      </c>
      <c r="I547" t="s">
        <v>127</v>
      </c>
      <c r="J547" t="s">
        <v>47</v>
      </c>
      <c r="K547">
        <v>3.5</v>
      </c>
      <c r="L547" t="s">
        <v>23</v>
      </c>
      <c r="M547" t="s">
        <v>23</v>
      </c>
      <c r="N547">
        <v>48</v>
      </c>
      <c r="O547" t="s">
        <v>77</v>
      </c>
      <c r="P547" t="s">
        <v>43</v>
      </c>
    </row>
    <row r="548" spans="1:16" ht="14.5" x14ac:dyDescent="0.35">
      <c r="A548">
        <v>547</v>
      </c>
      <c r="B548">
        <v>62</v>
      </c>
      <c r="C548" t="s">
        <v>16</v>
      </c>
      <c r="D548" t="s">
        <v>95</v>
      </c>
      <c r="E548" t="s">
        <v>18</v>
      </c>
      <c r="F548">
        <v>74</v>
      </c>
      <c r="G548" t="s">
        <v>121</v>
      </c>
      <c r="H548" t="s">
        <v>39</v>
      </c>
      <c r="I548" t="s">
        <v>101</v>
      </c>
      <c r="J548" t="s">
        <v>22</v>
      </c>
      <c r="K548">
        <v>3.4</v>
      </c>
      <c r="L548" t="s">
        <v>23</v>
      </c>
      <c r="M548" t="s">
        <v>23</v>
      </c>
      <c r="N548">
        <v>45</v>
      </c>
      <c r="O548" t="s">
        <v>24</v>
      </c>
      <c r="P548" t="s">
        <v>67</v>
      </c>
    </row>
    <row r="549" spans="1:16" ht="14.5" x14ac:dyDescent="0.35">
      <c r="A549">
        <v>548</v>
      </c>
      <c r="B549">
        <v>38</v>
      </c>
      <c r="C549" t="s">
        <v>16</v>
      </c>
      <c r="D549" t="s">
        <v>93</v>
      </c>
      <c r="E549" t="s">
        <v>56</v>
      </c>
      <c r="F549">
        <v>50</v>
      </c>
      <c r="G549" t="s">
        <v>98</v>
      </c>
      <c r="H549" t="s">
        <v>39</v>
      </c>
      <c r="I549" t="s">
        <v>135</v>
      </c>
      <c r="J549" t="s">
        <v>22</v>
      </c>
      <c r="K549">
        <v>2.8</v>
      </c>
      <c r="L549" t="s">
        <v>23</v>
      </c>
      <c r="M549" t="s">
        <v>23</v>
      </c>
      <c r="N549">
        <v>26</v>
      </c>
      <c r="O549" t="s">
        <v>24</v>
      </c>
      <c r="P549" t="s">
        <v>35</v>
      </c>
    </row>
    <row r="550" spans="1:16" ht="14.5" x14ac:dyDescent="0.35">
      <c r="A550">
        <v>549</v>
      </c>
      <c r="B550">
        <v>36</v>
      </c>
      <c r="C550" t="s">
        <v>16</v>
      </c>
      <c r="D550" t="s">
        <v>123</v>
      </c>
      <c r="E550" t="s">
        <v>60</v>
      </c>
      <c r="F550">
        <v>64</v>
      </c>
      <c r="G550" t="s">
        <v>136</v>
      </c>
      <c r="H550" t="s">
        <v>39</v>
      </c>
      <c r="I550" t="s">
        <v>85</v>
      </c>
      <c r="J550" t="s">
        <v>22</v>
      </c>
      <c r="K550">
        <v>4.5999999999999996</v>
      </c>
      <c r="L550" t="s">
        <v>23</v>
      </c>
      <c r="M550" t="s">
        <v>23</v>
      </c>
      <c r="N550">
        <v>41</v>
      </c>
      <c r="O550" t="s">
        <v>77</v>
      </c>
      <c r="P550" t="s">
        <v>88</v>
      </c>
    </row>
    <row r="551" spans="1:16" ht="14.5" x14ac:dyDescent="0.35">
      <c r="A551">
        <v>550</v>
      </c>
      <c r="B551">
        <v>31</v>
      </c>
      <c r="C551" t="s">
        <v>16</v>
      </c>
      <c r="D551" t="s">
        <v>123</v>
      </c>
      <c r="E551" t="s">
        <v>60</v>
      </c>
      <c r="F551">
        <v>29</v>
      </c>
      <c r="G551" t="s">
        <v>108</v>
      </c>
      <c r="H551" t="s">
        <v>32</v>
      </c>
      <c r="I551" t="s">
        <v>69</v>
      </c>
      <c r="J551" t="s">
        <v>50</v>
      </c>
      <c r="K551">
        <v>3.6</v>
      </c>
      <c r="L551" t="s">
        <v>23</v>
      </c>
      <c r="M551" t="s">
        <v>23</v>
      </c>
      <c r="N551">
        <v>37</v>
      </c>
      <c r="O551" t="s">
        <v>24</v>
      </c>
      <c r="P551" t="s">
        <v>67</v>
      </c>
    </row>
    <row r="552" spans="1:16" ht="14.5" x14ac:dyDescent="0.35">
      <c r="A552">
        <v>551</v>
      </c>
      <c r="B552">
        <v>62</v>
      </c>
      <c r="C552" t="s">
        <v>16</v>
      </c>
      <c r="D552" t="s">
        <v>124</v>
      </c>
      <c r="E552" t="s">
        <v>60</v>
      </c>
      <c r="F552">
        <v>62</v>
      </c>
      <c r="G552" t="s">
        <v>133</v>
      </c>
      <c r="H552" t="s">
        <v>39</v>
      </c>
      <c r="I552" t="s">
        <v>69</v>
      </c>
      <c r="J552" t="s">
        <v>47</v>
      </c>
      <c r="K552">
        <v>3.3</v>
      </c>
      <c r="L552" t="s">
        <v>23</v>
      </c>
      <c r="M552" t="s">
        <v>23</v>
      </c>
      <c r="N552">
        <v>12</v>
      </c>
      <c r="O552" t="s">
        <v>40</v>
      </c>
      <c r="P552" t="s">
        <v>35</v>
      </c>
    </row>
    <row r="553" spans="1:16" ht="14.5" x14ac:dyDescent="0.35">
      <c r="A553">
        <v>552</v>
      </c>
      <c r="B553">
        <v>29</v>
      </c>
      <c r="C553" t="s">
        <v>16</v>
      </c>
      <c r="D553" t="s">
        <v>55</v>
      </c>
      <c r="E553" t="s">
        <v>56</v>
      </c>
      <c r="F553">
        <v>78</v>
      </c>
      <c r="G553" t="s">
        <v>126</v>
      </c>
      <c r="H553" t="s">
        <v>83</v>
      </c>
      <c r="I553" t="s">
        <v>87</v>
      </c>
      <c r="J553" t="s">
        <v>50</v>
      </c>
      <c r="K553">
        <v>3.1</v>
      </c>
      <c r="L553" t="s">
        <v>23</v>
      </c>
      <c r="M553" t="s">
        <v>23</v>
      </c>
      <c r="N553">
        <v>27</v>
      </c>
      <c r="O553" t="s">
        <v>29</v>
      </c>
      <c r="P553" t="s">
        <v>67</v>
      </c>
    </row>
    <row r="554" spans="1:16" ht="14.5" x14ac:dyDescent="0.35">
      <c r="A554">
        <v>553</v>
      </c>
      <c r="B554">
        <v>24</v>
      </c>
      <c r="C554" t="s">
        <v>16</v>
      </c>
      <c r="D554" t="s">
        <v>104</v>
      </c>
      <c r="E554" t="s">
        <v>18</v>
      </c>
      <c r="F554">
        <v>94</v>
      </c>
      <c r="G554" t="s">
        <v>61</v>
      </c>
      <c r="H554" t="s">
        <v>39</v>
      </c>
      <c r="I554" t="s">
        <v>91</v>
      </c>
      <c r="J554" t="s">
        <v>50</v>
      </c>
      <c r="K554">
        <v>3.5</v>
      </c>
      <c r="L554" t="s">
        <v>23</v>
      </c>
      <c r="M554" t="s">
        <v>23</v>
      </c>
      <c r="N554">
        <v>18</v>
      </c>
      <c r="O554" t="s">
        <v>66</v>
      </c>
      <c r="P554" t="s">
        <v>35</v>
      </c>
    </row>
    <row r="555" spans="1:16" ht="14.5" x14ac:dyDescent="0.35">
      <c r="A555">
        <v>554</v>
      </c>
      <c r="B555">
        <v>63</v>
      </c>
      <c r="C555" t="s">
        <v>16</v>
      </c>
      <c r="D555" t="s">
        <v>80</v>
      </c>
      <c r="E555" t="s">
        <v>60</v>
      </c>
      <c r="F555">
        <v>59</v>
      </c>
      <c r="G555" t="s">
        <v>94</v>
      </c>
      <c r="H555" t="s">
        <v>39</v>
      </c>
      <c r="I555" t="s">
        <v>46</v>
      </c>
      <c r="J555" t="s">
        <v>22</v>
      </c>
      <c r="K555">
        <v>3.2</v>
      </c>
      <c r="L555" t="s">
        <v>23</v>
      </c>
      <c r="M555" t="s">
        <v>23</v>
      </c>
      <c r="N555">
        <v>15</v>
      </c>
      <c r="O555" t="s">
        <v>34</v>
      </c>
      <c r="P555" t="s">
        <v>51</v>
      </c>
    </row>
    <row r="556" spans="1:16" ht="14.5" x14ac:dyDescent="0.35">
      <c r="A556">
        <v>555</v>
      </c>
      <c r="B556">
        <v>56</v>
      </c>
      <c r="C556" t="s">
        <v>16</v>
      </c>
      <c r="D556" t="s">
        <v>44</v>
      </c>
      <c r="E556" t="s">
        <v>37</v>
      </c>
      <c r="F556">
        <v>47</v>
      </c>
      <c r="G556" t="s">
        <v>139</v>
      </c>
      <c r="H556" t="s">
        <v>39</v>
      </c>
      <c r="I556" t="s">
        <v>99</v>
      </c>
      <c r="J556" t="s">
        <v>47</v>
      </c>
      <c r="K556">
        <v>3</v>
      </c>
      <c r="L556" t="s">
        <v>23</v>
      </c>
      <c r="M556" t="s">
        <v>23</v>
      </c>
      <c r="N556">
        <v>34</v>
      </c>
      <c r="O556" t="s">
        <v>66</v>
      </c>
      <c r="P556" t="s">
        <v>35</v>
      </c>
    </row>
    <row r="557" spans="1:16" ht="14.5" x14ac:dyDescent="0.35">
      <c r="A557">
        <v>556</v>
      </c>
      <c r="B557">
        <v>63</v>
      </c>
      <c r="C557" t="s">
        <v>16</v>
      </c>
      <c r="D557" t="s">
        <v>134</v>
      </c>
      <c r="E557" t="s">
        <v>60</v>
      </c>
      <c r="F557">
        <v>57</v>
      </c>
      <c r="G557" t="s">
        <v>27</v>
      </c>
      <c r="H557" t="s">
        <v>39</v>
      </c>
      <c r="I557" t="s">
        <v>46</v>
      </c>
      <c r="J557" t="s">
        <v>50</v>
      </c>
      <c r="K557">
        <v>4.8</v>
      </c>
      <c r="L557" t="s">
        <v>23</v>
      </c>
      <c r="M557" t="s">
        <v>23</v>
      </c>
      <c r="N557">
        <v>37</v>
      </c>
      <c r="O557" t="s">
        <v>24</v>
      </c>
      <c r="P557" t="s">
        <v>43</v>
      </c>
    </row>
    <row r="558" spans="1:16" ht="14.5" x14ac:dyDescent="0.35">
      <c r="A558">
        <v>557</v>
      </c>
      <c r="B558">
        <v>40</v>
      </c>
      <c r="C558" t="s">
        <v>16</v>
      </c>
      <c r="D558" t="s">
        <v>55</v>
      </c>
      <c r="E558" t="s">
        <v>56</v>
      </c>
      <c r="F558">
        <v>90</v>
      </c>
      <c r="G558" t="s">
        <v>49</v>
      </c>
      <c r="H558" t="s">
        <v>20</v>
      </c>
      <c r="I558" t="s">
        <v>117</v>
      </c>
      <c r="J558" t="s">
        <v>22</v>
      </c>
      <c r="K558">
        <v>5</v>
      </c>
      <c r="L558" t="s">
        <v>23</v>
      </c>
      <c r="M558" t="s">
        <v>23</v>
      </c>
      <c r="N558">
        <v>21</v>
      </c>
      <c r="O558" t="s">
        <v>29</v>
      </c>
      <c r="P558" t="s">
        <v>25</v>
      </c>
    </row>
    <row r="559" spans="1:16" ht="14.5" x14ac:dyDescent="0.35">
      <c r="A559">
        <v>558</v>
      </c>
      <c r="B559">
        <v>18</v>
      </c>
      <c r="C559" t="s">
        <v>16</v>
      </c>
      <c r="D559" t="s">
        <v>48</v>
      </c>
      <c r="E559" t="s">
        <v>18</v>
      </c>
      <c r="F559">
        <v>60</v>
      </c>
      <c r="G559" t="s">
        <v>111</v>
      </c>
      <c r="H559" t="s">
        <v>39</v>
      </c>
      <c r="I559" t="s">
        <v>46</v>
      </c>
      <c r="J559" t="s">
        <v>33</v>
      </c>
      <c r="K559">
        <v>2.9</v>
      </c>
      <c r="L559" t="s">
        <v>23</v>
      </c>
      <c r="M559" t="s">
        <v>23</v>
      </c>
      <c r="N559">
        <v>31</v>
      </c>
      <c r="O559" t="s">
        <v>77</v>
      </c>
      <c r="P559" t="s">
        <v>35</v>
      </c>
    </row>
    <row r="560" spans="1:16" ht="14.5" x14ac:dyDescent="0.35">
      <c r="A560">
        <v>559</v>
      </c>
      <c r="B560">
        <v>50</v>
      </c>
      <c r="C560" t="s">
        <v>16</v>
      </c>
      <c r="D560" t="s">
        <v>44</v>
      </c>
      <c r="E560" t="s">
        <v>37</v>
      </c>
      <c r="F560">
        <v>77</v>
      </c>
      <c r="G560" t="s">
        <v>137</v>
      </c>
      <c r="H560" t="s">
        <v>20</v>
      </c>
      <c r="I560" t="s">
        <v>76</v>
      </c>
      <c r="J560" t="s">
        <v>50</v>
      </c>
      <c r="K560">
        <v>3.2</v>
      </c>
      <c r="L560" t="s">
        <v>23</v>
      </c>
      <c r="M560" t="s">
        <v>23</v>
      </c>
      <c r="N560">
        <v>43</v>
      </c>
      <c r="O560" t="s">
        <v>77</v>
      </c>
      <c r="P560" t="s">
        <v>88</v>
      </c>
    </row>
    <row r="561" spans="1:16" ht="14.5" x14ac:dyDescent="0.35">
      <c r="A561">
        <v>560</v>
      </c>
      <c r="B561">
        <v>66</v>
      </c>
      <c r="C561" t="s">
        <v>16</v>
      </c>
      <c r="D561" t="s">
        <v>110</v>
      </c>
      <c r="E561" t="s">
        <v>60</v>
      </c>
      <c r="F561">
        <v>41</v>
      </c>
      <c r="G561" t="s">
        <v>108</v>
      </c>
      <c r="H561" t="s">
        <v>39</v>
      </c>
      <c r="I561" t="s">
        <v>117</v>
      </c>
      <c r="J561" t="s">
        <v>50</v>
      </c>
      <c r="K561">
        <v>2.9</v>
      </c>
      <c r="L561" t="s">
        <v>23</v>
      </c>
      <c r="M561" t="s">
        <v>23</v>
      </c>
      <c r="N561">
        <v>22</v>
      </c>
      <c r="O561" t="s">
        <v>66</v>
      </c>
      <c r="P561" t="s">
        <v>79</v>
      </c>
    </row>
    <row r="562" spans="1:16" ht="14.5" x14ac:dyDescent="0.35">
      <c r="A562">
        <v>561</v>
      </c>
      <c r="B562">
        <v>25</v>
      </c>
      <c r="C562" t="s">
        <v>16</v>
      </c>
      <c r="D562" t="s">
        <v>97</v>
      </c>
      <c r="E562" t="s">
        <v>60</v>
      </c>
      <c r="F562">
        <v>48</v>
      </c>
      <c r="G562" t="s">
        <v>53</v>
      </c>
      <c r="H562" t="s">
        <v>20</v>
      </c>
      <c r="I562" t="s">
        <v>99</v>
      </c>
      <c r="J562" t="s">
        <v>50</v>
      </c>
      <c r="K562">
        <v>3.3</v>
      </c>
      <c r="L562" t="s">
        <v>23</v>
      </c>
      <c r="M562" t="s">
        <v>23</v>
      </c>
      <c r="N562">
        <v>12</v>
      </c>
      <c r="O562" t="s">
        <v>77</v>
      </c>
      <c r="P562" t="s">
        <v>43</v>
      </c>
    </row>
    <row r="563" spans="1:16" ht="14.5" x14ac:dyDescent="0.35">
      <c r="A563">
        <v>562</v>
      </c>
      <c r="B563">
        <v>65</v>
      </c>
      <c r="C563" t="s">
        <v>16</v>
      </c>
      <c r="D563" t="s">
        <v>93</v>
      </c>
      <c r="E563" t="s">
        <v>56</v>
      </c>
      <c r="F563">
        <v>65</v>
      </c>
      <c r="G563" t="s">
        <v>81</v>
      </c>
      <c r="H563" t="s">
        <v>39</v>
      </c>
      <c r="I563" t="s">
        <v>135</v>
      </c>
      <c r="J563" t="s">
        <v>50</v>
      </c>
      <c r="K563">
        <v>2.6</v>
      </c>
      <c r="L563" t="s">
        <v>23</v>
      </c>
      <c r="M563" t="s">
        <v>23</v>
      </c>
      <c r="N563">
        <v>25</v>
      </c>
      <c r="O563" t="s">
        <v>40</v>
      </c>
      <c r="P563" t="s">
        <v>25</v>
      </c>
    </row>
    <row r="564" spans="1:16" ht="14.5" x14ac:dyDescent="0.35">
      <c r="A564">
        <v>563</v>
      </c>
      <c r="B564">
        <v>53</v>
      </c>
      <c r="C564" t="s">
        <v>16</v>
      </c>
      <c r="D564" t="s">
        <v>30</v>
      </c>
      <c r="E564" t="s">
        <v>18</v>
      </c>
      <c r="F564">
        <v>62</v>
      </c>
      <c r="G564" t="s">
        <v>61</v>
      </c>
      <c r="H564" t="s">
        <v>39</v>
      </c>
      <c r="I564" t="s">
        <v>135</v>
      </c>
      <c r="J564" t="s">
        <v>47</v>
      </c>
      <c r="K564">
        <v>3.5</v>
      </c>
      <c r="L564" t="s">
        <v>23</v>
      </c>
      <c r="M564" t="s">
        <v>23</v>
      </c>
      <c r="N564">
        <v>40</v>
      </c>
      <c r="O564" t="s">
        <v>77</v>
      </c>
      <c r="P564" t="s">
        <v>43</v>
      </c>
    </row>
    <row r="565" spans="1:16" ht="14.5" x14ac:dyDescent="0.35">
      <c r="A565">
        <v>564</v>
      </c>
      <c r="B565">
        <v>61</v>
      </c>
      <c r="C565" t="s">
        <v>16</v>
      </c>
      <c r="D565" t="s">
        <v>63</v>
      </c>
      <c r="E565" t="s">
        <v>37</v>
      </c>
      <c r="F565">
        <v>99</v>
      </c>
      <c r="G565" t="s">
        <v>126</v>
      </c>
      <c r="H565" t="s">
        <v>39</v>
      </c>
      <c r="I565" t="s">
        <v>85</v>
      </c>
      <c r="J565" t="s">
        <v>50</v>
      </c>
      <c r="K565">
        <v>4.4000000000000004</v>
      </c>
      <c r="L565" t="s">
        <v>23</v>
      </c>
      <c r="M565" t="s">
        <v>23</v>
      </c>
      <c r="N565">
        <v>16</v>
      </c>
      <c r="O565" t="s">
        <v>77</v>
      </c>
      <c r="P565" t="s">
        <v>51</v>
      </c>
    </row>
    <row r="566" spans="1:16" ht="14.5" x14ac:dyDescent="0.35">
      <c r="A566">
        <v>565</v>
      </c>
      <c r="B566">
        <v>67</v>
      </c>
      <c r="C566" t="s">
        <v>16</v>
      </c>
      <c r="D566" t="s">
        <v>95</v>
      </c>
      <c r="E566" t="s">
        <v>18</v>
      </c>
      <c r="F566">
        <v>58</v>
      </c>
      <c r="G566" t="s">
        <v>94</v>
      </c>
      <c r="H566" t="s">
        <v>39</v>
      </c>
      <c r="I566" t="s">
        <v>69</v>
      </c>
      <c r="J566" t="s">
        <v>22</v>
      </c>
      <c r="K566">
        <v>3.4</v>
      </c>
      <c r="L566" t="s">
        <v>23</v>
      </c>
      <c r="M566" t="s">
        <v>23</v>
      </c>
      <c r="N566">
        <v>30</v>
      </c>
      <c r="O566" t="s">
        <v>66</v>
      </c>
      <c r="P566" t="s">
        <v>35</v>
      </c>
    </row>
    <row r="567" spans="1:16" ht="14.5" x14ac:dyDescent="0.35">
      <c r="A567">
        <v>566</v>
      </c>
      <c r="B567">
        <v>59</v>
      </c>
      <c r="C567" t="s">
        <v>16</v>
      </c>
      <c r="D567" t="s">
        <v>123</v>
      </c>
      <c r="E567" t="s">
        <v>60</v>
      </c>
      <c r="F567">
        <v>43</v>
      </c>
      <c r="G567" t="s">
        <v>126</v>
      </c>
      <c r="H567" t="s">
        <v>20</v>
      </c>
      <c r="I567" t="s">
        <v>84</v>
      </c>
      <c r="J567" t="s">
        <v>50</v>
      </c>
      <c r="K567">
        <v>4.2</v>
      </c>
      <c r="L567" t="s">
        <v>23</v>
      </c>
      <c r="M567" t="s">
        <v>23</v>
      </c>
      <c r="N567">
        <v>10</v>
      </c>
      <c r="O567" t="s">
        <v>24</v>
      </c>
      <c r="P567" t="s">
        <v>35</v>
      </c>
    </row>
    <row r="568" spans="1:16" ht="14.5" x14ac:dyDescent="0.35">
      <c r="A568">
        <v>567</v>
      </c>
      <c r="B568">
        <v>55</v>
      </c>
      <c r="C568" t="s">
        <v>16</v>
      </c>
      <c r="D568" t="s">
        <v>44</v>
      </c>
      <c r="E568" t="s">
        <v>37</v>
      </c>
      <c r="F568">
        <v>93</v>
      </c>
      <c r="G568" t="s">
        <v>81</v>
      </c>
      <c r="H568" t="s">
        <v>39</v>
      </c>
      <c r="I568" t="s">
        <v>117</v>
      </c>
      <c r="J568" t="s">
        <v>33</v>
      </c>
      <c r="K568">
        <v>3.6</v>
      </c>
      <c r="L568" t="s">
        <v>23</v>
      </c>
      <c r="M568" t="s">
        <v>23</v>
      </c>
      <c r="N568">
        <v>1</v>
      </c>
      <c r="O568" t="s">
        <v>77</v>
      </c>
      <c r="P568" t="s">
        <v>25</v>
      </c>
    </row>
    <row r="569" spans="1:16" ht="14.5" x14ac:dyDescent="0.35">
      <c r="A569">
        <v>568</v>
      </c>
      <c r="B569">
        <v>21</v>
      </c>
      <c r="C569" t="s">
        <v>16</v>
      </c>
      <c r="D569" t="s">
        <v>17</v>
      </c>
      <c r="E569" t="s">
        <v>18</v>
      </c>
      <c r="F569">
        <v>50</v>
      </c>
      <c r="G569" t="s">
        <v>73</v>
      </c>
      <c r="H569" t="s">
        <v>32</v>
      </c>
      <c r="I569" t="s">
        <v>99</v>
      </c>
      <c r="J569" t="s">
        <v>22</v>
      </c>
      <c r="K569">
        <v>3</v>
      </c>
      <c r="L569" t="s">
        <v>23</v>
      </c>
      <c r="M569" t="s">
        <v>23</v>
      </c>
      <c r="N569">
        <v>24</v>
      </c>
      <c r="O569" t="s">
        <v>24</v>
      </c>
      <c r="P569" t="s">
        <v>25</v>
      </c>
    </row>
    <row r="570" spans="1:16" ht="14.5" x14ac:dyDescent="0.35">
      <c r="A570">
        <v>569</v>
      </c>
      <c r="B570">
        <v>44</v>
      </c>
      <c r="C570" t="s">
        <v>16</v>
      </c>
      <c r="D570" t="s">
        <v>86</v>
      </c>
      <c r="E570" t="s">
        <v>18</v>
      </c>
      <c r="F570">
        <v>88</v>
      </c>
      <c r="G570" t="s">
        <v>131</v>
      </c>
      <c r="H570" t="s">
        <v>20</v>
      </c>
      <c r="I570" t="s">
        <v>99</v>
      </c>
      <c r="J570" t="s">
        <v>47</v>
      </c>
      <c r="K570">
        <v>4</v>
      </c>
      <c r="L570" t="s">
        <v>23</v>
      </c>
      <c r="M570" t="s">
        <v>23</v>
      </c>
      <c r="N570">
        <v>36</v>
      </c>
      <c r="O570" t="s">
        <v>40</v>
      </c>
      <c r="P570" t="s">
        <v>79</v>
      </c>
    </row>
    <row r="571" spans="1:16" ht="14.5" x14ac:dyDescent="0.35">
      <c r="A571">
        <v>570</v>
      </c>
      <c r="B571">
        <v>65</v>
      </c>
      <c r="C571" t="s">
        <v>16</v>
      </c>
      <c r="D571" t="s">
        <v>78</v>
      </c>
      <c r="E571" t="s">
        <v>18</v>
      </c>
      <c r="F571">
        <v>33</v>
      </c>
      <c r="G571" t="s">
        <v>81</v>
      </c>
      <c r="H571" t="s">
        <v>39</v>
      </c>
      <c r="I571" t="s">
        <v>62</v>
      </c>
      <c r="J571" t="s">
        <v>50</v>
      </c>
      <c r="K571">
        <v>4.4000000000000004</v>
      </c>
      <c r="L571" t="s">
        <v>23</v>
      </c>
      <c r="M571" t="s">
        <v>23</v>
      </c>
      <c r="N571">
        <v>46</v>
      </c>
      <c r="O571" t="s">
        <v>34</v>
      </c>
      <c r="P571" t="s">
        <v>88</v>
      </c>
    </row>
    <row r="572" spans="1:16" ht="14.5" x14ac:dyDescent="0.35">
      <c r="A572">
        <v>571</v>
      </c>
      <c r="B572">
        <v>65</v>
      </c>
      <c r="C572" t="s">
        <v>16</v>
      </c>
      <c r="D572" t="s">
        <v>104</v>
      </c>
      <c r="E572" t="s">
        <v>18</v>
      </c>
      <c r="F572">
        <v>99</v>
      </c>
      <c r="G572" t="s">
        <v>137</v>
      </c>
      <c r="H572" t="s">
        <v>83</v>
      </c>
      <c r="I572" t="s">
        <v>65</v>
      </c>
      <c r="J572" t="s">
        <v>50</v>
      </c>
      <c r="K572">
        <v>4.0999999999999996</v>
      </c>
      <c r="L572" t="s">
        <v>23</v>
      </c>
      <c r="M572" t="s">
        <v>23</v>
      </c>
      <c r="N572">
        <v>20</v>
      </c>
      <c r="O572" t="s">
        <v>29</v>
      </c>
      <c r="P572" t="s">
        <v>43</v>
      </c>
    </row>
    <row r="573" spans="1:16" ht="14.5" x14ac:dyDescent="0.35">
      <c r="A573">
        <v>572</v>
      </c>
      <c r="B573">
        <v>54</v>
      </c>
      <c r="C573" t="s">
        <v>16</v>
      </c>
      <c r="D573" t="s">
        <v>93</v>
      </c>
      <c r="E573" t="s">
        <v>56</v>
      </c>
      <c r="F573">
        <v>76</v>
      </c>
      <c r="G573" t="s">
        <v>19</v>
      </c>
      <c r="H573" t="s">
        <v>83</v>
      </c>
      <c r="I573" t="s">
        <v>100</v>
      </c>
      <c r="J573" t="s">
        <v>33</v>
      </c>
      <c r="K573">
        <v>3.6</v>
      </c>
      <c r="L573" t="s">
        <v>23</v>
      </c>
      <c r="M573" t="s">
        <v>23</v>
      </c>
      <c r="N573">
        <v>37</v>
      </c>
      <c r="O573" t="s">
        <v>24</v>
      </c>
      <c r="P573" t="s">
        <v>35</v>
      </c>
    </row>
    <row r="574" spans="1:16" ht="14.5" x14ac:dyDescent="0.35">
      <c r="A574">
        <v>573</v>
      </c>
      <c r="B574">
        <v>56</v>
      </c>
      <c r="C574" t="s">
        <v>16</v>
      </c>
      <c r="D574" t="s">
        <v>110</v>
      </c>
      <c r="E574" t="s">
        <v>60</v>
      </c>
      <c r="F574">
        <v>97</v>
      </c>
      <c r="G574" t="s">
        <v>122</v>
      </c>
      <c r="H574" t="s">
        <v>83</v>
      </c>
      <c r="I574" t="s">
        <v>100</v>
      </c>
      <c r="J574" t="s">
        <v>47</v>
      </c>
      <c r="K574">
        <v>4.5999999999999996</v>
      </c>
      <c r="L574" t="s">
        <v>23</v>
      </c>
      <c r="M574" t="s">
        <v>23</v>
      </c>
      <c r="N574">
        <v>26</v>
      </c>
      <c r="O574" t="s">
        <v>66</v>
      </c>
      <c r="P574" t="s">
        <v>43</v>
      </c>
    </row>
    <row r="575" spans="1:16" ht="14.5" x14ac:dyDescent="0.35">
      <c r="A575">
        <v>574</v>
      </c>
      <c r="B575">
        <v>58</v>
      </c>
      <c r="C575" t="s">
        <v>16</v>
      </c>
      <c r="D575" t="s">
        <v>86</v>
      </c>
      <c r="E575" t="s">
        <v>18</v>
      </c>
      <c r="F575">
        <v>68</v>
      </c>
      <c r="G575" t="s">
        <v>90</v>
      </c>
      <c r="H575" t="s">
        <v>39</v>
      </c>
      <c r="I575" t="s">
        <v>54</v>
      </c>
      <c r="J575" t="s">
        <v>47</v>
      </c>
      <c r="K575">
        <v>3.2</v>
      </c>
      <c r="L575" t="s">
        <v>23</v>
      </c>
      <c r="M575" t="s">
        <v>23</v>
      </c>
      <c r="N575">
        <v>23</v>
      </c>
      <c r="O575" t="s">
        <v>34</v>
      </c>
      <c r="P575" t="s">
        <v>67</v>
      </c>
    </row>
    <row r="576" spans="1:16" ht="14.5" x14ac:dyDescent="0.35">
      <c r="A576">
        <v>575</v>
      </c>
      <c r="B576">
        <v>54</v>
      </c>
      <c r="C576" t="s">
        <v>16</v>
      </c>
      <c r="D576" t="s">
        <v>44</v>
      </c>
      <c r="E576" t="s">
        <v>37</v>
      </c>
      <c r="F576">
        <v>79</v>
      </c>
      <c r="G576" t="s">
        <v>27</v>
      </c>
      <c r="H576" t="s">
        <v>20</v>
      </c>
      <c r="I576" t="s">
        <v>99</v>
      </c>
      <c r="J576" t="s">
        <v>50</v>
      </c>
      <c r="K576">
        <v>4.8</v>
      </c>
      <c r="L576" t="s">
        <v>23</v>
      </c>
      <c r="M576" t="s">
        <v>23</v>
      </c>
      <c r="N576">
        <v>20</v>
      </c>
      <c r="O576" t="s">
        <v>66</v>
      </c>
      <c r="P576" t="s">
        <v>67</v>
      </c>
    </row>
    <row r="577" spans="1:16" ht="14.5" x14ac:dyDescent="0.35">
      <c r="A577">
        <v>576</v>
      </c>
      <c r="B577">
        <v>58</v>
      </c>
      <c r="C577" t="s">
        <v>16</v>
      </c>
      <c r="D577" t="s">
        <v>30</v>
      </c>
      <c r="E577" t="s">
        <v>18</v>
      </c>
      <c r="F577">
        <v>86</v>
      </c>
      <c r="G577" t="s">
        <v>136</v>
      </c>
      <c r="H577" t="s">
        <v>39</v>
      </c>
      <c r="I577" t="s">
        <v>91</v>
      </c>
      <c r="J577" t="s">
        <v>50</v>
      </c>
      <c r="K577">
        <v>4.8</v>
      </c>
      <c r="L577" t="s">
        <v>23</v>
      </c>
      <c r="M577" t="s">
        <v>23</v>
      </c>
      <c r="N577">
        <v>38</v>
      </c>
      <c r="O577" t="s">
        <v>40</v>
      </c>
      <c r="P577" t="s">
        <v>79</v>
      </c>
    </row>
    <row r="578" spans="1:16" ht="14.5" x14ac:dyDescent="0.35">
      <c r="A578">
        <v>577</v>
      </c>
      <c r="B578">
        <v>48</v>
      </c>
      <c r="C578" t="s">
        <v>16</v>
      </c>
      <c r="D578" t="s">
        <v>115</v>
      </c>
      <c r="E578" t="s">
        <v>60</v>
      </c>
      <c r="F578">
        <v>68</v>
      </c>
      <c r="G578" t="s">
        <v>140</v>
      </c>
      <c r="H578" t="s">
        <v>39</v>
      </c>
      <c r="I578" t="s">
        <v>85</v>
      </c>
      <c r="J578" t="s">
        <v>22</v>
      </c>
      <c r="K578">
        <v>5</v>
      </c>
      <c r="L578" t="s">
        <v>23</v>
      </c>
      <c r="M578" t="s">
        <v>23</v>
      </c>
      <c r="N578">
        <v>5</v>
      </c>
      <c r="O578" t="s">
        <v>34</v>
      </c>
      <c r="P578" t="s">
        <v>88</v>
      </c>
    </row>
    <row r="579" spans="1:16" ht="14.5" x14ac:dyDescent="0.35">
      <c r="A579">
        <v>578</v>
      </c>
      <c r="B579">
        <v>19</v>
      </c>
      <c r="C579" t="s">
        <v>16</v>
      </c>
      <c r="D579" t="s">
        <v>78</v>
      </c>
      <c r="E579" t="s">
        <v>18</v>
      </c>
      <c r="F579">
        <v>52</v>
      </c>
      <c r="G579" t="s">
        <v>81</v>
      </c>
      <c r="H579" t="s">
        <v>39</v>
      </c>
      <c r="I579" t="s">
        <v>85</v>
      </c>
      <c r="J579" t="s">
        <v>50</v>
      </c>
      <c r="K579">
        <v>3.7</v>
      </c>
      <c r="L579" t="s">
        <v>23</v>
      </c>
      <c r="M579" t="s">
        <v>23</v>
      </c>
      <c r="N579">
        <v>41</v>
      </c>
      <c r="O579" t="s">
        <v>24</v>
      </c>
      <c r="P579" t="s">
        <v>43</v>
      </c>
    </row>
    <row r="580" spans="1:16" ht="14.5" x14ac:dyDescent="0.35">
      <c r="A580">
        <v>579</v>
      </c>
      <c r="B580">
        <v>69</v>
      </c>
      <c r="C580" t="s">
        <v>16</v>
      </c>
      <c r="D580" t="s">
        <v>36</v>
      </c>
      <c r="E580" t="s">
        <v>37</v>
      </c>
      <c r="F580">
        <v>90</v>
      </c>
      <c r="G580" t="s">
        <v>27</v>
      </c>
      <c r="H580" t="s">
        <v>39</v>
      </c>
      <c r="I580" t="s">
        <v>65</v>
      </c>
      <c r="J580" t="s">
        <v>50</v>
      </c>
      <c r="K580">
        <v>4.5999999999999996</v>
      </c>
      <c r="L580" t="s">
        <v>23</v>
      </c>
      <c r="M580" t="s">
        <v>23</v>
      </c>
      <c r="N580">
        <v>22</v>
      </c>
      <c r="O580" t="s">
        <v>34</v>
      </c>
      <c r="P580" t="s">
        <v>25</v>
      </c>
    </row>
    <row r="581" spans="1:16" ht="14.5" x14ac:dyDescent="0.35">
      <c r="A581">
        <v>580</v>
      </c>
      <c r="B581">
        <v>58</v>
      </c>
      <c r="C581" t="s">
        <v>16</v>
      </c>
      <c r="D581" t="s">
        <v>36</v>
      </c>
      <c r="E581" t="s">
        <v>37</v>
      </c>
      <c r="F581">
        <v>41</v>
      </c>
      <c r="G581" t="s">
        <v>90</v>
      </c>
      <c r="H581" t="s">
        <v>39</v>
      </c>
      <c r="I581" t="s">
        <v>74</v>
      </c>
      <c r="J581" t="s">
        <v>22</v>
      </c>
      <c r="K581">
        <v>3.7</v>
      </c>
      <c r="L581" t="s">
        <v>23</v>
      </c>
      <c r="M581" t="s">
        <v>23</v>
      </c>
      <c r="N581">
        <v>48</v>
      </c>
      <c r="O581" t="s">
        <v>34</v>
      </c>
      <c r="P581" t="s">
        <v>43</v>
      </c>
    </row>
    <row r="582" spans="1:16" ht="14.5" x14ac:dyDescent="0.35">
      <c r="A582">
        <v>581</v>
      </c>
      <c r="B582">
        <v>49</v>
      </c>
      <c r="C582" t="s">
        <v>16</v>
      </c>
      <c r="D582" t="s">
        <v>26</v>
      </c>
      <c r="E582" t="s">
        <v>18</v>
      </c>
      <c r="F582">
        <v>80</v>
      </c>
      <c r="G582" t="s">
        <v>137</v>
      </c>
      <c r="H582" t="s">
        <v>39</v>
      </c>
      <c r="I582" t="s">
        <v>112</v>
      </c>
      <c r="J582" t="s">
        <v>33</v>
      </c>
      <c r="K582">
        <v>4.0999999999999996</v>
      </c>
      <c r="L582" t="s">
        <v>23</v>
      </c>
      <c r="M582" t="s">
        <v>23</v>
      </c>
      <c r="N582">
        <v>10</v>
      </c>
      <c r="O582" t="s">
        <v>40</v>
      </c>
      <c r="P582" t="s">
        <v>35</v>
      </c>
    </row>
    <row r="583" spans="1:16" ht="14.5" x14ac:dyDescent="0.35">
      <c r="A583">
        <v>582</v>
      </c>
      <c r="B583">
        <v>32</v>
      </c>
      <c r="C583" t="s">
        <v>16</v>
      </c>
      <c r="D583" t="s">
        <v>26</v>
      </c>
      <c r="E583" t="s">
        <v>18</v>
      </c>
      <c r="F583">
        <v>100</v>
      </c>
      <c r="G583" t="s">
        <v>137</v>
      </c>
      <c r="H583" t="s">
        <v>83</v>
      </c>
      <c r="I583" t="s">
        <v>54</v>
      </c>
      <c r="J583" t="s">
        <v>22</v>
      </c>
      <c r="K583">
        <v>2.7</v>
      </c>
      <c r="L583" t="s">
        <v>23</v>
      </c>
      <c r="M583" t="s">
        <v>23</v>
      </c>
      <c r="N583">
        <v>12</v>
      </c>
      <c r="O583" t="s">
        <v>66</v>
      </c>
      <c r="P583" t="s">
        <v>88</v>
      </c>
    </row>
    <row r="584" spans="1:16" ht="14.5" x14ac:dyDescent="0.35">
      <c r="A584">
        <v>583</v>
      </c>
      <c r="B584">
        <v>40</v>
      </c>
      <c r="C584" t="s">
        <v>16</v>
      </c>
      <c r="D584" t="s">
        <v>93</v>
      </c>
      <c r="E584" t="s">
        <v>56</v>
      </c>
      <c r="F584">
        <v>77</v>
      </c>
      <c r="G584" t="s">
        <v>103</v>
      </c>
      <c r="H584" t="s">
        <v>20</v>
      </c>
      <c r="I584" t="s">
        <v>42</v>
      </c>
      <c r="J584" t="s">
        <v>33</v>
      </c>
      <c r="K584">
        <v>4.9000000000000004</v>
      </c>
      <c r="L584" t="s">
        <v>23</v>
      </c>
      <c r="M584" t="s">
        <v>23</v>
      </c>
      <c r="N584">
        <v>2</v>
      </c>
      <c r="O584" t="s">
        <v>66</v>
      </c>
      <c r="P584" t="s">
        <v>51</v>
      </c>
    </row>
    <row r="585" spans="1:16" ht="14.5" x14ac:dyDescent="0.35">
      <c r="A585">
        <v>584</v>
      </c>
      <c r="B585">
        <v>25</v>
      </c>
      <c r="C585" t="s">
        <v>16</v>
      </c>
      <c r="D585" t="s">
        <v>52</v>
      </c>
      <c r="E585" t="s">
        <v>18</v>
      </c>
      <c r="F585">
        <v>78</v>
      </c>
      <c r="G585" t="s">
        <v>90</v>
      </c>
      <c r="H585" t="s">
        <v>20</v>
      </c>
      <c r="I585" t="s">
        <v>125</v>
      </c>
      <c r="J585" t="s">
        <v>33</v>
      </c>
      <c r="K585">
        <v>4</v>
      </c>
      <c r="L585" t="s">
        <v>23</v>
      </c>
      <c r="M585" t="s">
        <v>23</v>
      </c>
      <c r="N585">
        <v>38</v>
      </c>
      <c r="O585" t="s">
        <v>40</v>
      </c>
      <c r="P585" t="s">
        <v>79</v>
      </c>
    </row>
    <row r="586" spans="1:16" ht="14.5" x14ac:dyDescent="0.35">
      <c r="A586">
        <v>585</v>
      </c>
      <c r="B586">
        <v>70</v>
      </c>
      <c r="C586" t="s">
        <v>16</v>
      </c>
      <c r="D586" t="s">
        <v>116</v>
      </c>
      <c r="E586" t="s">
        <v>18</v>
      </c>
      <c r="F586">
        <v>94</v>
      </c>
      <c r="G586" t="s">
        <v>107</v>
      </c>
      <c r="H586" t="s">
        <v>39</v>
      </c>
      <c r="I586" t="s">
        <v>46</v>
      </c>
      <c r="J586" t="s">
        <v>33</v>
      </c>
      <c r="K586">
        <v>4.7</v>
      </c>
      <c r="L586" t="s">
        <v>23</v>
      </c>
      <c r="M586" t="s">
        <v>23</v>
      </c>
      <c r="N586">
        <v>20</v>
      </c>
      <c r="O586" t="s">
        <v>77</v>
      </c>
      <c r="P586" t="s">
        <v>79</v>
      </c>
    </row>
    <row r="587" spans="1:16" ht="14.5" x14ac:dyDescent="0.35">
      <c r="A587">
        <v>586</v>
      </c>
      <c r="B587">
        <v>69</v>
      </c>
      <c r="C587" t="s">
        <v>16</v>
      </c>
      <c r="D587" t="s">
        <v>116</v>
      </c>
      <c r="E587" t="s">
        <v>18</v>
      </c>
      <c r="F587">
        <v>23</v>
      </c>
      <c r="G587" t="s">
        <v>122</v>
      </c>
      <c r="H587" t="s">
        <v>39</v>
      </c>
      <c r="I587" t="s">
        <v>21</v>
      </c>
      <c r="J587" t="s">
        <v>50</v>
      </c>
      <c r="K587">
        <v>2.8</v>
      </c>
      <c r="L587" t="s">
        <v>23</v>
      </c>
      <c r="M587" t="s">
        <v>23</v>
      </c>
      <c r="N587">
        <v>5</v>
      </c>
      <c r="O587" t="s">
        <v>29</v>
      </c>
      <c r="P587" t="s">
        <v>88</v>
      </c>
    </row>
    <row r="588" spans="1:16" ht="14.5" x14ac:dyDescent="0.35">
      <c r="A588">
        <v>587</v>
      </c>
      <c r="B588">
        <v>45</v>
      </c>
      <c r="C588" t="s">
        <v>16</v>
      </c>
      <c r="D588" t="s">
        <v>95</v>
      </c>
      <c r="E588" t="s">
        <v>18</v>
      </c>
      <c r="F588">
        <v>20</v>
      </c>
      <c r="G588" t="s">
        <v>141</v>
      </c>
      <c r="H588" t="s">
        <v>32</v>
      </c>
      <c r="I588" t="s">
        <v>135</v>
      </c>
      <c r="J588" t="s">
        <v>22</v>
      </c>
      <c r="K588">
        <v>4.9000000000000004</v>
      </c>
      <c r="L588" t="s">
        <v>23</v>
      </c>
      <c r="M588" t="s">
        <v>23</v>
      </c>
      <c r="N588">
        <v>9</v>
      </c>
      <c r="O588" t="s">
        <v>24</v>
      </c>
      <c r="P588" t="s">
        <v>43</v>
      </c>
    </row>
    <row r="589" spans="1:16" ht="14.5" x14ac:dyDescent="0.35">
      <c r="A589">
        <v>588</v>
      </c>
      <c r="B589">
        <v>29</v>
      </c>
      <c r="C589" t="s">
        <v>16</v>
      </c>
      <c r="D589" t="s">
        <v>116</v>
      </c>
      <c r="E589" t="s">
        <v>18</v>
      </c>
      <c r="F589">
        <v>86</v>
      </c>
      <c r="G589" t="s">
        <v>140</v>
      </c>
      <c r="H589" t="s">
        <v>32</v>
      </c>
      <c r="I589" t="s">
        <v>28</v>
      </c>
      <c r="J589" t="s">
        <v>50</v>
      </c>
      <c r="K589">
        <v>4.2</v>
      </c>
      <c r="L589" t="s">
        <v>23</v>
      </c>
      <c r="M589" t="s">
        <v>23</v>
      </c>
      <c r="N589">
        <v>48</v>
      </c>
      <c r="O589" t="s">
        <v>77</v>
      </c>
      <c r="P589" t="s">
        <v>88</v>
      </c>
    </row>
    <row r="590" spans="1:16" ht="14.5" x14ac:dyDescent="0.35">
      <c r="A590">
        <v>589</v>
      </c>
      <c r="B590">
        <v>47</v>
      </c>
      <c r="C590" t="s">
        <v>16</v>
      </c>
      <c r="D590" t="s">
        <v>128</v>
      </c>
      <c r="E590" t="s">
        <v>37</v>
      </c>
      <c r="F590">
        <v>60</v>
      </c>
      <c r="G590" t="s">
        <v>138</v>
      </c>
      <c r="H590" t="s">
        <v>39</v>
      </c>
      <c r="I590" t="s">
        <v>74</v>
      </c>
      <c r="J590" t="s">
        <v>50</v>
      </c>
      <c r="K590">
        <v>3</v>
      </c>
      <c r="L590" t="s">
        <v>23</v>
      </c>
      <c r="M590" t="s">
        <v>23</v>
      </c>
      <c r="N590">
        <v>9</v>
      </c>
      <c r="O590" t="s">
        <v>77</v>
      </c>
      <c r="P590" t="s">
        <v>51</v>
      </c>
    </row>
    <row r="591" spans="1:16" ht="14.5" x14ac:dyDescent="0.35">
      <c r="A591">
        <v>590</v>
      </c>
      <c r="B591">
        <v>28</v>
      </c>
      <c r="C591" t="s">
        <v>16</v>
      </c>
      <c r="D591" t="s">
        <v>48</v>
      </c>
      <c r="E591" t="s">
        <v>18</v>
      </c>
      <c r="F591">
        <v>70</v>
      </c>
      <c r="G591" t="s">
        <v>139</v>
      </c>
      <c r="H591" t="s">
        <v>39</v>
      </c>
      <c r="I591" t="s">
        <v>112</v>
      </c>
      <c r="J591" t="s">
        <v>50</v>
      </c>
      <c r="K591">
        <v>3.4</v>
      </c>
      <c r="L591" t="s">
        <v>23</v>
      </c>
      <c r="M591" t="s">
        <v>23</v>
      </c>
      <c r="N591">
        <v>40</v>
      </c>
      <c r="O591" t="s">
        <v>40</v>
      </c>
      <c r="P591" t="s">
        <v>43</v>
      </c>
    </row>
    <row r="592" spans="1:16" ht="14.5" x14ac:dyDescent="0.35">
      <c r="A592">
        <v>591</v>
      </c>
      <c r="B592">
        <v>64</v>
      </c>
      <c r="C592" t="s">
        <v>16</v>
      </c>
      <c r="D592" t="s">
        <v>124</v>
      </c>
      <c r="E592" t="s">
        <v>60</v>
      </c>
      <c r="F592">
        <v>39</v>
      </c>
      <c r="G592" t="s">
        <v>111</v>
      </c>
      <c r="H592" t="s">
        <v>32</v>
      </c>
      <c r="I592" t="s">
        <v>42</v>
      </c>
      <c r="J592" t="s">
        <v>50</v>
      </c>
      <c r="K592">
        <v>4.5999999999999996</v>
      </c>
      <c r="L592" t="s">
        <v>23</v>
      </c>
      <c r="M592" t="s">
        <v>23</v>
      </c>
      <c r="N592">
        <v>30</v>
      </c>
      <c r="O592" t="s">
        <v>24</v>
      </c>
      <c r="P592" t="s">
        <v>25</v>
      </c>
    </row>
    <row r="593" spans="1:16" ht="14.5" x14ac:dyDescent="0.35">
      <c r="A593">
        <v>592</v>
      </c>
      <c r="B593">
        <v>47</v>
      </c>
      <c r="C593" t="s">
        <v>16</v>
      </c>
      <c r="D593" t="s">
        <v>123</v>
      </c>
      <c r="E593" t="s">
        <v>60</v>
      </c>
      <c r="F593">
        <v>37</v>
      </c>
      <c r="G593" t="s">
        <v>19</v>
      </c>
      <c r="H593" t="s">
        <v>20</v>
      </c>
      <c r="I593" t="s">
        <v>69</v>
      </c>
      <c r="J593" t="s">
        <v>50</v>
      </c>
      <c r="K593">
        <v>4.2</v>
      </c>
      <c r="L593" t="s">
        <v>23</v>
      </c>
      <c r="M593" t="s">
        <v>23</v>
      </c>
      <c r="N593">
        <v>6</v>
      </c>
      <c r="O593" t="s">
        <v>77</v>
      </c>
      <c r="P593" t="s">
        <v>67</v>
      </c>
    </row>
    <row r="594" spans="1:16" ht="14.5" x14ac:dyDescent="0.35">
      <c r="A594">
        <v>593</v>
      </c>
      <c r="B594">
        <v>60</v>
      </c>
      <c r="C594" t="s">
        <v>16</v>
      </c>
      <c r="D594" t="s">
        <v>128</v>
      </c>
      <c r="E594" t="s">
        <v>37</v>
      </c>
      <c r="F594">
        <v>29</v>
      </c>
      <c r="G594" t="s">
        <v>105</v>
      </c>
      <c r="H594" t="s">
        <v>39</v>
      </c>
      <c r="I594" t="s">
        <v>101</v>
      </c>
      <c r="J594" t="s">
        <v>50</v>
      </c>
      <c r="K594">
        <v>3.2</v>
      </c>
      <c r="L594" t="s">
        <v>23</v>
      </c>
      <c r="M594" t="s">
        <v>23</v>
      </c>
      <c r="N594">
        <v>42</v>
      </c>
      <c r="O594" t="s">
        <v>24</v>
      </c>
      <c r="P594" t="s">
        <v>88</v>
      </c>
    </row>
    <row r="595" spans="1:16" ht="14.5" x14ac:dyDescent="0.35">
      <c r="A595">
        <v>594</v>
      </c>
      <c r="B595">
        <v>67</v>
      </c>
      <c r="C595" t="s">
        <v>16</v>
      </c>
      <c r="D595" t="s">
        <v>55</v>
      </c>
      <c r="E595" t="s">
        <v>56</v>
      </c>
      <c r="F595">
        <v>35</v>
      </c>
      <c r="G595" t="s">
        <v>111</v>
      </c>
      <c r="H595" t="s">
        <v>32</v>
      </c>
      <c r="I595" t="s">
        <v>87</v>
      </c>
      <c r="J595" t="s">
        <v>22</v>
      </c>
      <c r="K595">
        <v>4.4000000000000004</v>
      </c>
      <c r="L595" t="s">
        <v>23</v>
      </c>
      <c r="M595" t="s">
        <v>23</v>
      </c>
      <c r="N595">
        <v>9</v>
      </c>
      <c r="O595" t="s">
        <v>40</v>
      </c>
      <c r="P595" t="s">
        <v>88</v>
      </c>
    </row>
    <row r="596" spans="1:16" ht="14.5" x14ac:dyDescent="0.35">
      <c r="A596">
        <v>595</v>
      </c>
      <c r="B596">
        <v>35</v>
      </c>
      <c r="C596" t="s">
        <v>16</v>
      </c>
      <c r="D596" t="s">
        <v>95</v>
      </c>
      <c r="E596" t="s">
        <v>18</v>
      </c>
      <c r="F596">
        <v>83</v>
      </c>
      <c r="G596" t="s">
        <v>92</v>
      </c>
      <c r="H596" t="s">
        <v>32</v>
      </c>
      <c r="I596" t="s">
        <v>101</v>
      </c>
      <c r="J596" t="s">
        <v>22</v>
      </c>
      <c r="K596">
        <v>2.5</v>
      </c>
      <c r="L596" t="s">
        <v>23</v>
      </c>
      <c r="M596" t="s">
        <v>23</v>
      </c>
      <c r="N596">
        <v>6</v>
      </c>
      <c r="O596" t="s">
        <v>77</v>
      </c>
      <c r="P596" t="s">
        <v>79</v>
      </c>
    </row>
    <row r="597" spans="1:16" ht="14.5" x14ac:dyDescent="0.35">
      <c r="A597">
        <v>596</v>
      </c>
      <c r="B597">
        <v>30</v>
      </c>
      <c r="C597" t="s">
        <v>16</v>
      </c>
      <c r="D597" t="s">
        <v>63</v>
      </c>
      <c r="E597" t="s">
        <v>37</v>
      </c>
      <c r="F597">
        <v>77</v>
      </c>
      <c r="G597" t="s">
        <v>70</v>
      </c>
      <c r="H597" t="s">
        <v>39</v>
      </c>
      <c r="I597" t="s">
        <v>58</v>
      </c>
      <c r="J597" t="s">
        <v>47</v>
      </c>
      <c r="K597">
        <v>3.6</v>
      </c>
      <c r="L597" t="s">
        <v>23</v>
      </c>
      <c r="M597" t="s">
        <v>23</v>
      </c>
      <c r="N597">
        <v>47</v>
      </c>
      <c r="O597" t="s">
        <v>40</v>
      </c>
      <c r="P597" t="s">
        <v>51</v>
      </c>
    </row>
    <row r="598" spans="1:16" ht="14.5" x14ac:dyDescent="0.35">
      <c r="A598">
        <v>597</v>
      </c>
      <c r="B598">
        <v>23</v>
      </c>
      <c r="C598" t="s">
        <v>16</v>
      </c>
      <c r="D598" t="s">
        <v>63</v>
      </c>
      <c r="E598" t="s">
        <v>37</v>
      </c>
      <c r="F598">
        <v>37</v>
      </c>
      <c r="G598" t="s">
        <v>49</v>
      </c>
      <c r="H598" t="s">
        <v>83</v>
      </c>
      <c r="I598" t="s">
        <v>46</v>
      </c>
      <c r="J598" t="s">
        <v>47</v>
      </c>
      <c r="K598">
        <v>4.5</v>
      </c>
      <c r="L598" t="s">
        <v>23</v>
      </c>
      <c r="M598" t="s">
        <v>23</v>
      </c>
      <c r="N598">
        <v>36</v>
      </c>
      <c r="O598" t="s">
        <v>24</v>
      </c>
      <c r="P598" t="s">
        <v>43</v>
      </c>
    </row>
    <row r="599" spans="1:16" ht="14.5" x14ac:dyDescent="0.35">
      <c r="A599">
        <v>598</v>
      </c>
      <c r="B599">
        <v>70</v>
      </c>
      <c r="C599" t="s">
        <v>16</v>
      </c>
      <c r="D599" t="s">
        <v>97</v>
      </c>
      <c r="E599" t="s">
        <v>60</v>
      </c>
      <c r="F599">
        <v>69</v>
      </c>
      <c r="G599" t="s">
        <v>111</v>
      </c>
      <c r="H599" t="s">
        <v>20</v>
      </c>
      <c r="I599" t="s">
        <v>71</v>
      </c>
      <c r="J599" t="s">
        <v>47</v>
      </c>
      <c r="K599">
        <v>3.4</v>
      </c>
      <c r="L599" t="s">
        <v>23</v>
      </c>
      <c r="M599" t="s">
        <v>23</v>
      </c>
      <c r="N599">
        <v>19</v>
      </c>
      <c r="O599" t="s">
        <v>66</v>
      </c>
      <c r="P599" t="s">
        <v>25</v>
      </c>
    </row>
    <row r="600" spans="1:16" ht="14.5" x14ac:dyDescent="0.35">
      <c r="A600">
        <v>599</v>
      </c>
      <c r="B600">
        <v>21</v>
      </c>
      <c r="C600" t="s">
        <v>16</v>
      </c>
      <c r="D600" t="s">
        <v>72</v>
      </c>
      <c r="E600" t="s">
        <v>18</v>
      </c>
      <c r="F600">
        <v>66</v>
      </c>
      <c r="G600" t="s">
        <v>90</v>
      </c>
      <c r="H600" t="s">
        <v>20</v>
      </c>
      <c r="I600" t="s">
        <v>87</v>
      </c>
      <c r="J600" t="s">
        <v>22</v>
      </c>
      <c r="K600">
        <v>3.2</v>
      </c>
      <c r="L600" t="s">
        <v>23</v>
      </c>
      <c r="M600" t="s">
        <v>23</v>
      </c>
      <c r="N600">
        <v>30</v>
      </c>
      <c r="O600" t="s">
        <v>29</v>
      </c>
      <c r="P600" t="s">
        <v>88</v>
      </c>
    </row>
    <row r="601" spans="1:16" ht="14.5" x14ac:dyDescent="0.35">
      <c r="A601">
        <v>600</v>
      </c>
      <c r="B601">
        <v>51</v>
      </c>
      <c r="C601" t="s">
        <v>16</v>
      </c>
      <c r="D601" t="s">
        <v>128</v>
      </c>
      <c r="E601" t="s">
        <v>37</v>
      </c>
      <c r="F601">
        <v>26</v>
      </c>
      <c r="G601" t="s">
        <v>31</v>
      </c>
      <c r="H601" t="s">
        <v>20</v>
      </c>
      <c r="I601" t="s">
        <v>76</v>
      </c>
      <c r="J601" t="s">
        <v>33</v>
      </c>
      <c r="K601">
        <v>4.2</v>
      </c>
      <c r="L601" t="s">
        <v>23</v>
      </c>
      <c r="M601" t="s">
        <v>23</v>
      </c>
      <c r="N601">
        <v>27</v>
      </c>
      <c r="O601" t="s">
        <v>77</v>
      </c>
      <c r="P601" t="s">
        <v>88</v>
      </c>
    </row>
    <row r="602" spans="1:16" ht="14.5" x14ac:dyDescent="0.35">
      <c r="A602">
        <v>601</v>
      </c>
      <c r="B602">
        <v>22</v>
      </c>
      <c r="C602" t="s">
        <v>16</v>
      </c>
      <c r="D602" t="s">
        <v>115</v>
      </c>
      <c r="E602" t="s">
        <v>60</v>
      </c>
      <c r="F602">
        <v>63</v>
      </c>
      <c r="G602" t="s">
        <v>122</v>
      </c>
      <c r="H602" t="s">
        <v>39</v>
      </c>
      <c r="I602" t="s">
        <v>54</v>
      </c>
      <c r="J602" t="s">
        <v>33</v>
      </c>
      <c r="K602">
        <v>5</v>
      </c>
      <c r="L602" t="s">
        <v>23</v>
      </c>
      <c r="M602" t="s">
        <v>23</v>
      </c>
      <c r="N602">
        <v>25</v>
      </c>
      <c r="O602" t="s">
        <v>24</v>
      </c>
      <c r="P602" t="s">
        <v>79</v>
      </c>
    </row>
    <row r="603" spans="1:16" ht="14.5" x14ac:dyDescent="0.35">
      <c r="A603">
        <v>602</v>
      </c>
      <c r="B603">
        <v>32</v>
      </c>
      <c r="C603" t="s">
        <v>16</v>
      </c>
      <c r="D603" t="s">
        <v>123</v>
      </c>
      <c r="E603" t="s">
        <v>60</v>
      </c>
      <c r="F603">
        <v>38</v>
      </c>
      <c r="G603" t="s">
        <v>57</v>
      </c>
      <c r="H603" t="s">
        <v>39</v>
      </c>
      <c r="I603" t="s">
        <v>28</v>
      </c>
      <c r="J603" t="s">
        <v>47</v>
      </c>
      <c r="K603">
        <v>4.7</v>
      </c>
      <c r="L603" t="s">
        <v>23</v>
      </c>
      <c r="M603" t="s">
        <v>23</v>
      </c>
      <c r="N603">
        <v>5</v>
      </c>
      <c r="O603" t="s">
        <v>29</v>
      </c>
      <c r="P603" t="s">
        <v>25</v>
      </c>
    </row>
    <row r="604" spans="1:16" ht="14.5" x14ac:dyDescent="0.35">
      <c r="A604">
        <v>603</v>
      </c>
      <c r="B604">
        <v>37</v>
      </c>
      <c r="C604" t="s">
        <v>16</v>
      </c>
      <c r="D604" t="s">
        <v>63</v>
      </c>
      <c r="E604" t="s">
        <v>37</v>
      </c>
      <c r="F604">
        <v>58</v>
      </c>
      <c r="G604" t="s">
        <v>41</v>
      </c>
      <c r="H604" t="s">
        <v>20</v>
      </c>
      <c r="I604" t="s">
        <v>84</v>
      </c>
      <c r="J604" t="s">
        <v>47</v>
      </c>
      <c r="K604">
        <v>4.2</v>
      </c>
      <c r="L604" t="s">
        <v>23</v>
      </c>
      <c r="M604" t="s">
        <v>23</v>
      </c>
      <c r="N604">
        <v>10</v>
      </c>
      <c r="O604" t="s">
        <v>29</v>
      </c>
      <c r="P604" t="s">
        <v>88</v>
      </c>
    </row>
    <row r="605" spans="1:16" ht="14.5" x14ac:dyDescent="0.35">
      <c r="A605">
        <v>604</v>
      </c>
      <c r="B605">
        <v>31</v>
      </c>
      <c r="C605" t="s">
        <v>16</v>
      </c>
      <c r="D605" t="s">
        <v>59</v>
      </c>
      <c r="E605" t="s">
        <v>60</v>
      </c>
      <c r="F605">
        <v>46</v>
      </c>
      <c r="G605" t="s">
        <v>31</v>
      </c>
      <c r="H605" t="s">
        <v>20</v>
      </c>
      <c r="I605" t="s">
        <v>87</v>
      </c>
      <c r="J605" t="s">
        <v>22</v>
      </c>
      <c r="K605">
        <v>3.4</v>
      </c>
      <c r="L605" t="s">
        <v>23</v>
      </c>
      <c r="M605" t="s">
        <v>23</v>
      </c>
      <c r="N605">
        <v>26</v>
      </c>
      <c r="O605" t="s">
        <v>40</v>
      </c>
      <c r="P605" t="s">
        <v>88</v>
      </c>
    </row>
    <row r="606" spans="1:16" ht="14.5" x14ac:dyDescent="0.35">
      <c r="A606">
        <v>605</v>
      </c>
      <c r="B606">
        <v>44</v>
      </c>
      <c r="C606" t="s">
        <v>16</v>
      </c>
      <c r="D606" t="s">
        <v>80</v>
      </c>
      <c r="E606" t="s">
        <v>60</v>
      </c>
      <c r="F606">
        <v>92</v>
      </c>
      <c r="G606" t="s">
        <v>57</v>
      </c>
      <c r="H606" t="s">
        <v>32</v>
      </c>
      <c r="I606" t="s">
        <v>62</v>
      </c>
      <c r="J606" t="s">
        <v>50</v>
      </c>
      <c r="K606">
        <v>4.4000000000000004</v>
      </c>
      <c r="L606" t="s">
        <v>23</v>
      </c>
      <c r="M606" t="s">
        <v>23</v>
      </c>
      <c r="N606">
        <v>11</v>
      </c>
      <c r="O606" t="s">
        <v>34</v>
      </c>
      <c r="P606" t="s">
        <v>88</v>
      </c>
    </row>
    <row r="607" spans="1:16" ht="14.5" x14ac:dyDescent="0.35">
      <c r="A607">
        <v>606</v>
      </c>
      <c r="B607">
        <v>40</v>
      </c>
      <c r="C607" t="s">
        <v>16</v>
      </c>
      <c r="D607" t="s">
        <v>115</v>
      </c>
      <c r="E607" t="s">
        <v>60</v>
      </c>
      <c r="F607">
        <v>32</v>
      </c>
      <c r="G607" t="s">
        <v>90</v>
      </c>
      <c r="H607" t="s">
        <v>83</v>
      </c>
      <c r="I607" t="s">
        <v>54</v>
      </c>
      <c r="J607" t="s">
        <v>22</v>
      </c>
      <c r="K607">
        <v>4.2</v>
      </c>
      <c r="L607" t="s">
        <v>23</v>
      </c>
      <c r="M607" t="s">
        <v>23</v>
      </c>
      <c r="N607">
        <v>17</v>
      </c>
      <c r="O607" t="s">
        <v>66</v>
      </c>
      <c r="P607" t="s">
        <v>35</v>
      </c>
    </row>
    <row r="608" spans="1:16" ht="14.5" x14ac:dyDescent="0.35">
      <c r="A608">
        <v>607</v>
      </c>
      <c r="B608">
        <v>27</v>
      </c>
      <c r="C608" t="s">
        <v>16</v>
      </c>
      <c r="D608" t="s">
        <v>110</v>
      </c>
      <c r="E608" t="s">
        <v>60</v>
      </c>
      <c r="F608">
        <v>90</v>
      </c>
      <c r="G608" t="s">
        <v>103</v>
      </c>
      <c r="H608" t="s">
        <v>39</v>
      </c>
      <c r="I608" t="s">
        <v>135</v>
      </c>
      <c r="J608" t="s">
        <v>33</v>
      </c>
      <c r="K608">
        <v>4.5</v>
      </c>
      <c r="L608" t="s">
        <v>23</v>
      </c>
      <c r="M608" t="s">
        <v>23</v>
      </c>
      <c r="N608">
        <v>44</v>
      </c>
      <c r="O608" t="s">
        <v>40</v>
      </c>
      <c r="P608" t="s">
        <v>79</v>
      </c>
    </row>
    <row r="609" spans="1:16" ht="14.5" x14ac:dyDescent="0.35">
      <c r="A609">
        <v>608</v>
      </c>
      <c r="B609">
        <v>47</v>
      </c>
      <c r="C609" t="s">
        <v>16</v>
      </c>
      <c r="D609" t="s">
        <v>95</v>
      </c>
      <c r="E609" t="s">
        <v>18</v>
      </c>
      <c r="F609">
        <v>23</v>
      </c>
      <c r="G609" t="s">
        <v>107</v>
      </c>
      <c r="H609" t="s">
        <v>20</v>
      </c>
      <c r="I609" t="s">
        <v>65</v>
      </c>
      <c r="J609" t="s">
        <v>50</v>
      </c>
      <c r="K609">
        <v>2.8</v>
      </c>
      <c r="L609" t="s">
        <v>23</v>
      </c>
      <c r="M609" t="s">
        <v>23</v>
      </c>
      <c r="N609">
        <v>44</v>
      </c>
      <c r="O609" t="s">
        <v>29</v>
      </c>
      <c r="P609" t="s">
        <v>79</v>
      </c>
    </row>
    <row r="610" spans="1:16" ht="14.5" x14ac:dyDescent="0.35">
      <c r="A610">
        <v>609</v>
      </c>
      <c r="B610">
        <v>41</v>
      </c>
      <c r="C610" t="s">
        <v>16</v>
      </c>
      <c r="D610" t="s">
        <v>123</v>
      </c>
      <c r="E610" t="s">
        <v>60</v>
      </c>
      <c r="F610">
        <v>25</v>
      </c>
      <c r="G610" t="s">
        <v>70</v>
      </c>
      <c r="H610" t="s">
        <v>32</v>
      </c>
      <c r="I610" t="s">
        <v>71</v>
      </c>
      <c r="J610" t="s">
        <v>50</v>
      </c>
      <c r="K610">
        <v>3.3</v>
      </c>
      <c r="L610" t="s">
        <v>23</v>
      </c>
      <c r="M610" t="s">
        <v>23</v>
      </c>
      <c r="N610">
        <v>21</v>
      </c>
      <c r="O610" t="s">
        <v>24</v>
      </c>
      <c r="P610" t="s">
        <v>88</v>
      </c>
    </row>
    <row r="611" spans="1:16" ht="14.5" x14ac:dyDescent="0.35">
      <c r="A611">
        <v>610</v>
      </c>
      <c r="B611">
        <v>51</v>
      </c>
      <c r="C611" t="s">
        <v>16</v>
      </c>
      <c r="D611" t="s">
        <v>26</v>
      </c>
      <c r="E611" t="s">
        <v>18</v>
      </c>
      <c r="F611">
        <v>54</v>
      </c>
      <c r="G611" t="s">
        <v>114</v>
      </c>
      <c r="H611" t="s">
        <v>20</v>
      </c>
      <c r="I611" t="s">
        <v>65</v>
      </c>
      <c r="J611" t="s">
        <v>50</v>
      </c>
      <c r="K611">
        <v>4.5999999999999996</v>
      </c>
      <c r="L611" t="s">
        <v>23</v>
      </c>
      <c r="M611" t="s">
        <v>23</v>
      </c>
      <c r="N611">
        <v>49</v>
      </c>
      <c r="O611" t="s">
        <v>34</v>
      </c>
      <c r="P611" t="s">
        <v>25</v>
      </c>
    </row>
    <row r="612" spans="1:16" ht="14.5" x14ac:dyDescent="0.35">
      <c r="A612">
        <v>611</v>
      </c>
      <c r="B612">
        <v>53</v>
      </c>
      <c r="C612" t="s">
        <v>16</v>
      </c>
      <c r="D612" t="s">
        <v>52</v>
      </c>
      <c r="E612" t="s">
        <v>18</v>
      </c>
      <c r="F612">
        <v>72</v>
      </c>
      <c r="G612" t="s">
        <v>92</v>
      </c>
      <c r="H612" t="s">
        <v>39</v>
      </c>
      <c r="I612" t="s">
        <v>54</v>
      </c>
      <c r="J612" t="s">
        <v>47</v>
      </c>
      <c r="K612">
        <v>2.5</v>
      </c>
      <c r="L612" t="s">
        <v>23</v>
      </c>
      <c r="M612" t="s">
        <v>23</v>
      </c>
      <c r="N612">
        <v>27</v>
      </c>
      <c r="O612" t="s">
        <v>66</v>
      </c>
      <c r="P612" t="s">
        <v>88</v>
      </c>
    </row>
    <row r="613" spans="1:16" ht="14.5" x14ac:dyDescent="0.35">
      <c r="A613">
        <v>612</v>
      </c>
      <c r="B613">
        <v>43</v>
      </c>
      <c r="C613" t="s">
        <v>16</v>
      </c>
      <c r="D613" t="s">
        <v>110</v>
      </c>
      <c r="E613" t="s">
        <v>60</v>
      </c>
      <c r="F613">
        <v>33</v>
      </c>
      <c r="G613" t="s">
        <v>90</v>
      </c>
      <c r="H613" t="s">
        <v>39</v>
      </c>
      <c r="I613" t="s">
        <v>85</v>
      </c>
      <c r="J613" t="s">
        <v>22</v>
      </c>
      <c r="K613">
        <v>4.7</v>
      </c>
      <c r="L613" t="s">
        <v>23</v>
      </c>
      <c r="M613" t="s">
        <v>23</v>
      </c>
      <c r="N613">
        <v>19</v>
      </c>
      <c r="O613" t="s">
        <v>29</v>
      </c>
      <c r="P613" t="s">
        <v>79</v>
      </c>
    </row>
    <row r="614" spans="1:16" ht="14.5" x14ac:dyDescent="0.35">
      <c r="A614">
        <v>613</v>
      </c>
      <c r="B614">
        <v>67</v>
      </c>
      <c r="C614" t="s">
        <v>16</v>
      </c>
      <c r="D614" t="s">
        <v>115</v>
      </c>
      <c r="E614" t="s">
        <v>60</v>
      </c>
      <c r="F614">
        <v>43</v>
      </c>
      <c r="G614" t="s">
        <v>73</v>
      </c>
      <c r="H614" t="s">
        <v>20</v>
      </c>
      <c r="I614" t="s">
        <v>84</v>
      </c>
      <c r="J614" t="s">
        <v>50</v>
      </c>
      <c r="K614">
        <v>4.5999999999999996</v>
      </c>
      <c r="L614" t="s">
        <v>23</v>
      </c>
      <c r="M614" t="s">
        <v>23</v>
      </c>
      <c r="N614">
        <v>33</v>
      </c>
      <c r="O614" t="s">
        <v>34</v>
      </c>
      <c r="P614" t="s">
        <v>51</v>
      </c>
    </row>
    <row r="615" spans="1:16" ht="14.5" x14ac:dyDescent="0.35">
      <c r="A615">
        <v>614</v>
      </c>
      <c r="B615">
        <v>61</v>
      </c>
      <c r="C615" t="s">
        <v>16</v>
      </c>
      <c r="D615" t="s">
        <v>55</v>
      </c>
      <c r="E615" t="s">
        <v>56</v>
      </c>
      <c r="F615">
        <v>51</v>
      </c>
      <c r="G615" t="s">
        <v>129</v>
      </c>
      <c r="H615" t="s">
        <v>20</v>
      </c>
      <c r="I615" t="s">
        <v>84</v>
      </c>
      <c r="J615" t="s">
        <v>50</v>
      </c>
      <c r="K615">
        <v>2.6</v>
      </c>
      <c r="L615" t="s">
        <v>23</v>
      </c>
      <c r="M615" t="s">
        <v>23</v>
      </c>
      <c r="N615">
        <v>46</v>
      </c>
      <c r="O615" t="s">
        <v>29</v>
      </c>
      <c r="P615" t="s">
        <v>67</v>
      </c>
    </row>
    <row r="616" spans="1:16" ht="14.5" x14ac:dyDescent="0.35">
      <c r="A616">
        <v>615</v>
      </c>
      <c r="B616">
        <v>68</v>
      </c>
      <c r="C616" t="s">
        <v>16</v>
      </c>
      <c r="D616" t="s">
        <v>97</v>
      </c>
      <c r="E616" t="s">
        <v>60</v>
      </c>
      <c r="F616">
        <v>85</v>
      </c>
      <c r="G616" t="s">
        <v>126</v>
      </c>
      <c r="H616" t="s">
        <v>39</v>
      </c>
      <c r="I616" t="s">
        <v>84</v>
      </c>
      <c r="J616" t="s">
        <v>22</v>
      </c>
      <c r="K616">
        <v>4</v>
      </c>
      <c r="L616" t="s">
        <v>23</v>
      </c>
      <c r="M616" t="s">
        <v>23</v>
      </c>
      <c r="N616">
        <v>21</v>
      </c>
      <c r="O616" t="s">
        <v>34</v>
      </c>
      <c r="P616" t="s">
        <v>67</v>
      </c>
    </row>
    <row r="617" spans="1:16" ht="14.5" x14ac:dyDescent="0.35">
      <c r="A617">
        <v>616</v>
      </c>
      <c r="B617">
        <v>67</v>
      </c>
      <c r="C617" t="s">
        <v>16</v>
      </c>
      <c r="D617" t="s">
        <v>36</v>
      </c>
      <c r="E617" t="s">
        <v>37</v>
      </c>
      <c r="F617">
        <v>100</v>
      </c>
      <c r="G617" t="s">
        <v>119</v>
      </c>
      <c r="H617" t="s">
        <v>20</v>
      </c>
      <c r="I617" t="s">
        <v>69</v>
      </c>
      <c r="J617" t="s">
        <v>47</v>
      </c>
      <c r="K617">
        <v>2.6</v>
      </c>
      <c r="L617" t="s">
        <v>23</v>
      </c>
      <c r="M617" t="s">
        <v>23</v>
      </c>
      <c r="N617">
        <v>23</v>
      </c>
      <c r="O617" t="s">
        <v>24</v>
      </c>
      <c r="P617" t="s">
        <v>43</v>
      </c>
    </row>
    <row r="618" spans="1:16" ht="14.5" x14ac:dyDescent="0.35">
      <c r="A618">
        <v>617</v>
      </c>
      <c r="B618">
        <v>29</v>
      </c>
      <c r="C618" t="s">
        <v>16</v>
      </c>
      <c r="D618" t="s">
        <v>134</v>
      </c>
      <c r="E618" t="s">
        <v>60</v>
      </c>
      <c r="F618">
        <v>72</v>
      </c>
      <c r="G618" t="s">
        <v>129</v>
      </c>
      <c r="H618" t="s">
        <v>20</v>
      </c>
      <c r="I618" t="s">
        <v>76</v>
      </c>
      <c r="J618" t="s">
        <v>33</v>
      </c>
      <c r="K618">
        <v>4.5999999999999996</v>
      </c>
      <c r="L618" t="s">
        <v>23</v>
      </c>
      <c r="M618" t="s">
        <v>23</v>
      </c>
      <c r="N618">
        <v>38</v>
      </c>
      <c r="O618" t="s">
        <v>34</v>
      </c>
      <c r="P618" t="s">
        <v>88</v>
      </c>
    </row>
    <row r="619" spans="1:16" ht="14.5" x14ac:dyDescent="0.35">
      <c r="A619">
        <v>618</v>
      </c>
      <c r="B619">
        <v>50</v>
      </c>
      <c r="C619" t="s">
        <v>16</v>
      </c>
      <c r="D619" t="s">
        <v>123</v>
      </c>
      <c r="E619" t="s">
        <v>60</v>
      </c>
      <c r="F619">
        <v>57</v>
      </c>
      <c r="G619" t="s">
        <v>103</v>
      </c>
      <c r="H619" t="s">
        <v>39</v>
      </c>
      <c r="I619" t="s">
        <v>28</v>
      </c>
      <c r="J619" t="s">
        <v>50</v>
      </c>
      <c r="K619">
        <v>2.6</v>
      </c>
      <c r="L619" t="s">
        <v>23</v>
      </c>
      <c r="M619" t="s">
        <v>23</v>
      </c>
      <c r="N619">
        <v>2</v>
      </c>
      <c r="O619" t="s">
        <v>66</v>
      </c>
      <c r="P619" t="s">
        <v>51</v>
      </c>
    </row>
    <row r="620" spans="1:16" ht="14.5" x14ac:dyDescent="0.35">
      <c r="A620">
        <v>619</v>
      </c>
      <c r="B620">
        <v>61</v>
      </c>
      <c r="C620" t="s">
        <v>16</v>
      </c>
      <c r="D620" t="s">
        <v>93</v>
      </c>
      <c r="E620" t="s">
        <v>56</v>
      </c>
      <c r="F620">
        <v>94</v>
      </c>
      <c r="G620" t="s">
        <v>107</v>
      </c>
      <c r="H620" t="s">
        <v>20</v>
      </c>
      <c r="I620" t="s">
        <v>100</v>
      </c>
      <c r="J620" t="s">
        <v>33</v>
      </c>
      <c r="K620">
        <v>4</v>
      </c>
      <c r="L620" t="s">
        <v>23</v>
      </c>
      <c r="M620" t="s">
        <v>23</v>
      </c>
      <c r="N620">
        <v>21</v>
      </c>
      <c r="O620" t="s">
        <v>77</v>
      </c>
      <c r="P620" t="s">
        <v>67</v>
      </c>
    </row>
    <row r="621" spans="1:16" ht="14.5" x14ac:dyDescent="0.35">
      <c r="A621">
        <v>620</v>
      </c>
      <c r="B621">
        <v>19</v>
      </c>
      <c r="C621" t="s">
        <v>16</v>
      </c>
      <c r="D621" t="s">
        <v>123</v>
      </c>
      <c r="E621" t="s">
        <v>60</v>
      </c>
      <c r="F621">
        <v>34</v>
      </c>
      <c r="G621" t="s">
        <v>136</v>
      </c>
      <c r="H621" t="s">
        <v>39</v>
      </c>
      <c r="I621" t="s">
        <v>54</v>
      </c>
      <c r="J621" t="s">
        <v>47</v>
      </c>
      <c r="K621">
        <v>4.5999999999999996</v>
      </c>
      <c r="L621" t="s">
        <v>23</v>
      </c>
      <c r="M621" t="s">
        <v>23</v>
      </c>
      <c r="N621">
        <v>1</v>
      </c>
      <c r="O621" t="s">
        <v>77</v>
      </c>
      <c r="P621" t="s">
        <v>88</v>
      </c>
    </row>
    <row r="622" spans="1:16" ht="14.5" x14ac:dyDescent="0.35">
      <c r="A622">
        <v>621</v>
      </c>
      <c r="B622">
        <v>33</v>
      </c>
      <c r="C622" t="s">
        <v>16</v>
      </c>
      <c r="D622" t="s">
        <v>123</v>
      </c>
      <c r="E622" t="s">
        <v>60</v>
      </c>
      <c r="F622">
        <v>89</v>
      </c>
      <c r="G622" t="s">
        <v>38</v>
      </c>
      <c r="H622" t="s">
        <v>39</v>
      </c>
      <c r="I622" t="s">
        <v>85</v>
      </c>
      <c r="J622" t="s">
        <v>50</v>
      </c>
      <c r="K622">
        <v>3.7</v>
      </c>
      <c r="L622" t="s">
        <v>23</v>
      </c>
      <c r="M622" t="s">
        <v>23</v>
      </c>
      <c r="N622">
        <v>10</v>
      </c>
      <c r="O622" t="s">
        <v>24</v>
      </c>
      <c r="P622" t="s">
        <v>88</v>
      </c>
    </row>
    <row r="623" spans="1:16" ht="14.5" x14ac:dyDescent="0.35">
      <c r="A623">
        <v>622</v>
      </c>
      <c r="B623">
        <v>51</v>
      </c>
      <c r="C623" t="s">
        <v>16</v>
      </c>
      <c r="D623" t="s">
        <v>80</v>
      </c>
      <c r="E623" t="s">
        <v>60</v>
      </c>
      <c r="F623">
        <v>27</v>
      </c>
      <c r="G623" t="s">
        <v>102</v>
      </c>
      <c r="H623" t="s">
        <v>32</v>
      </c>
      <c r="I623" t="s">
        <v>99</v>
      </c>
      <c r="J623" t="s">
        <v>50</v>
      </c>
      <c r="K623">
        <v>4.4000000000000004</v>
      </c>
      <c r="L623" t="s">
        <v>23</v>
      </c>
      <c r="M623" t="s">
        <v>23</v>
      </c>
      <c r="N623">
        <v>45</v>
      </c>
      <c r="O623" t="s">
        <v>34</v>
      </c>
      <c r="P623" t="s">
        <v>35</v>
      </c>
    </row>
    <row r="624" spans="1:16" ht="14.5" x14ac:dyDescent="0.35">
      <c r="A624">
        <v>623</v>
      </c>
      <c r="B624">
        <v>69</v>
      </c>
      <c r="C624" t="s">
        <v>16</v>
      </c>
      <c r="D624" t="s">
        <v>116</v>
      </c>
      <c r="E624" t="s">
        <v>18</v>
      </c>
      <c r="F624">
        <v>63</v>
      </c>
      <c r="G624" t="s">
        <v>133</v>
      </c>
      <c r="H624" t="s">
        <v>32</v>
      </c>
      <c r="I624" t="s">
        <v>91</v>
      </c>
      <c r="J624" t="s">
        <v>33</v>
      </c>
      <c r="K624">
        <v>4</v>
      </c>
      <c r="L624" t="s">
        <v>23</v>
      </c>
      <c r="M624" t="s">
        <v>23</v>
      </c>
      <c r="N624">
        <v>44</v>
      </c>
      <c r="O624" t="s">
        <v>66</v>
      </c>
      <c r="P624" t="s">
        <v>25</v>
      </c>
    </row>
    <row r="625" spans="1:16" ht="14.5" x14ac:dyDescent="0.35">
      <c r="A625">
        <v>624</v>
      </c>
      <c r="B625">
        <v>19</v>
      </c>
      <c r="C625" t="s">
        <v>16</v>
      </c>
      <c r="D625" t="s">
        <v>63</v>
      </c>
      <c r="E625" t="s">
        <v>37</v>
      </c>
      <c r="F625">
        <v>70</v>
      </c>
      <c r="G625" t="s">
        <v>98</v>
      </c>
      <c r="H625" t="s">
        <v>39</v>
      </c>
      <c r="I625" t="s">
        <v>46</v>
      </c>
      <c r="J625" t="s">
        <v>50</v>
      </c>
      <c r="K625">
        <v>4.7</v>
      </c>
      <c r="L625" t="s">
        <v>23</v>
      </c>
      <c r="M625" t="s">
        <v>23</v>
      </c>
      <c r="N625">
        <v>48</v>
      </c>
      <c r="O625" t="s">
        <v>40</v>
      </c>
      <c r="P625" t="s">
        <v>67</v>
      </c>
    </row>
    <row r="626" spans="1:16" ht="14.5" x14ac:dyDescent="0.35">
      <c r="A626">
        <v>625</v>
      </c>
      <c r="B626">
        <v>55</v>
      </c>
      <c r="C626" t="s">
        <v>16</v>
      </c>
      <c r="D626" t="s">
        <v>86</v>
      </c>
      <c r="E626" t="s">
        <v>18</v>
      </c>
      <c r="F626">
        <v>87</v>
      </c>
      <c r="G626" t="s">
        <v>122</v>
      </c>
      <c r="H626" t="s">
        <v>83</v>
      </c>
      <c r="I626" t="s">
        <v>62</v>
      </c>
      <c r="J626" t="s">
        <v>50</v>
      </c>
      <c r="K626">
        <v>3.4</v>
      </c>
      <c r="L626" t="s">
        <v>23</v>
      </c>
      <c r="M626" t="s">
        <v>23</v>
      </c>
      <c r="N626">
        <v>21</v>
      </c>
      <c r="O626" t="s">
        <v>40</v>
      </c>
      <c r="P626" t="s">
        <v>43</v>
      </c>
    </row>
    <row r="627" spans="1:16" ht="14.5" x14ac:dyDescent="0.35">
      <c r="A627">
        <v>626</v>
      </c>
      <c r="B627">
        <v>49</v>
      </c>
      <c r="C627" t="s">
        <v>16</v>
      </c>
      <c r="D627" t="s">
        <v>97</v>
      </c>
      <c r="E627" t="s">
        <v>60</v>
      </c>
      <c r="F627">
        <v>79</v>
      </c>
      <c r="G627" t="s">
        <v>70</v>
      </c>
      <c r="H627" t="s">
        <v>39</v>
      </c>
      <c r="I627" t="s">
        <v>99</v>
      </c>
      <c r="J627" t="s">
        <v>50</v>
      </c>
      <c r="K627">
        <v>4</v>
      </c>
      <c r="L627" t="s">
        <v>23</v>
      </c>
      <c r="M627" t="s">
        <v>23</v>
      </c>
      <c r="N627">
        <v>1</v>
      </c>
      <c r="O627" t="s">
        <v>24</v>
      </c>
      <c r="P627" t="s">
        <v>35</v>
      </c>
    </row>
    <row r="628" spans="1:16" ht="14.5" x14ac:dyDescent="0.35">
      <c r="A628">
        <v>627</v>
      </c>
      <c r="B628">
        <v>31</v>
      </c>
      <c r="C628" t="s">
        <v>16</v>
      </c>
      <c r="D628" t="s">
        <v>80</v>
      </c>
      <c r="E628" t="s">
        <v>60</v>
      </c>
      <c r="F628">
        <v>79</v>
      </c>
      <c r="G628" t="s">
        <v>73</v>
      </c>
      <c r="H628" t="s">
        <v>39</v>
      </c>
      <c r="I628" t="s">
        <v>117</v>
      </c>
      <c r="J628" t="s">
        <v>33</v>
      </c>
      <c r="K628">
        <v>3.9</v>
      </c>
      <c r="L628" t="s">
        <v>23</v>
      </c>
      <c r="M628" t="s">
        <v>23</v>
      </c>
      <c r="N628">
        <v>10</v>
      </c>
      <c r="O628" t="s">
        <v>24</v>
      </c>
      <c r="P628" t="s">
        <v>43</v>
      </c>
    </row>
    <row r="629" spans="1:16" ht="14.5" x14ac:dyDescent="0.35">
      <c r="A629">
        <v>628</v>
      </c>
      <c r="B629">
        <v>42</v>
      </c>
      <c r="C629" t="s">
        <v>16</v>
      </c>
      <c r="D629" t="s">
        <v>36</v>
      </c>
      <c r="E629" t="s">
        <v>37</v>
      </c>
      <c r="F629">
        <v>44</v>
      </c>
      <c r="G629" t="s">
        <v>41</v>
      </c>
      <c r="H629" t="s">
        <v>20</v>
      </c>
      <c r="I629" t="s">
        <v>85</v>
      </c>
      <c r="J629" t="s">
        <v>22</v>
      </c>
      <c r="K629">
        <v>4.0999999999999996</v>
      </c>
      <c r="L629" t="s">
        <v>23</v>
      </c>
      <c r="M629" t="s">
        <v>23</v>
      </c>
      <c r="N629">
        <v>24</v>
      </c>
      <c r="O629" t="s">
        <v>40</v>
      </c>
      <c r="P629" t="s">
        <v>79</v>
      </c>
    </row>
    <row r="630" spans="1:16" ht="14.5" x14ac:dyDescent="0.35">
      <c r="A630">
        <v>629</v>
      </c>
      <c r="B630">
        <v>69</v>
      </c>
      <c r="C630" t="s">
        <v>16</v>
      </c>
      <c r="D630" t="s">
        <v>26</v>
      </c>
      <c r="E630" t="s">
        <v>18</v>
      </c>
      <c r="F630">
        <v>85</v>
      </c>
      <c r="G630" t="s">
        <v>31</v>
      </c>
      <c r="H630" t="s">
        <v>39</v>
      </c>
      <c r="I630" t="s">
        <v>46</v>
      </c>
      <c r="J630" t="s">
        <v>50</v>
      </c>
      <c r="K630">
        <v>3.7</v>
      </c>
      <c r="L630" t="s">
        <v>23</v>
      </c>
      <c r="M630" t="s">
        <v>23</v>
      </c>
      <c r="N630">
        <v>29</v>
      </c>
      <c r="O630" t="s">
        <v>34</v>
      </c>
      <c r="P630" t="s">
        <v>79</v>
      </c>
    </row>
    <row r="631" spans="1:16" ht="14.5" x14ac:dyDescent="0.35">
      <c r="A631">
        <v>630</v>
      </c>
      <c r="B631">
        <v>26</v>
      </c>
      <c r="C631" t="s">
        <v>16</v>
      </c>
      <c r="D631" t="s">
        <v>63</v>
      </c>
      <c r="E631" t="s">
        <v>37</v>
      </c>
      <c r="F631">
        <v>90</v>
      </c>
      <c r="G631" t="s">
        <v>120</v>
      </c>
      <c r="H631" t="s">
        <v>20</v>
      </c>
      <c r="I631" t="s">
        <v>109</v>
      </c>
      <c r="J631" t="s">
        <v>33</v>
      </c>
      <c r="K631">
        <v>4.7</v>
      </c>
      <c r="L631" t="s">
        <v>23</v>
      </c>
      <c r="M631" t="s">
        <v>23</v>
      </c>
      <c r="N631">
        <v>11</v>
      </c>
      <c r="O631" t="s">
        <v>77</v>
      </c>
      <c r="P631" t="s">
        <v>43</v>
      </c>
    </row>
    <row r="632" spans="1:16" ht="14.5" x14ac:dyDescent="0.35">
      <c r="A632">
        <v>631</v>
      </c>
      <c r="B632">
        <v>41</v>
      </c>
      <c r="C632" t="s">
        <v>16</v>
      </c>
      <c r="D632" t="s">
        <v>97</v>
      </c>
      <c r="E632" t="s">
        <v>60</v>
      </c>
      <c r="F632">
        <v>94</v>
      </c>
      <c r="G632" t="s">
        <v>82</v>
      </c>
      <c r="H632" t="s">
        <v>32</v>
      </c>
      <c r="I632" t="s">
        <v>58</v>
      </c>
      <c r="J632" t="s">
        <v>50</v>
      </c>
      <c r="K632">
        <v>4.3</v>
      </c>
      <c r="L632" t="s">
        <v>23</v>
      </c>
      <c r="M632" t="s">
        <v>23</v>
      </c>
      <c r="N632">
        <v>33</v>
      </c>
      <c r="O632" t="s">
        <v>77</v>
      </c>
      <c r="P632" t="s">
        <v>43</v>
      </c>
    </row>
    <row r="633" spans="1:16" ht="14.5" x14ac:dyDescent="0.35">
      <c r="A633">
        <v>632</v>
      </c>
      <c r="B633">
        <v>55</v>
      </c>
      <c r="C633" t="s">
        <v>16</v>
      </c>
      <c r="D633" t="s">
        <v>128</v>
      </c>
      <c r="E633" t="s">
        <v>37</v>
      </c>
      <c r="F633">
        <v>68</v>
      </c>
      <c r="G633" t="s">
        <v>140</v>
      </c>
      <c r="H633" t="s">
        <v>32</v>
      </c>
      <c r="I633" t="s">
        <v>74</v>
      </c>
      <c r="J633" t="s">
        <v>47</v>
      </c>
      <c r="K633">
        <v>4.0999999999999996</v>
      </c>
      <c r="L633" t="s">
        <v>23</v>
      </c>
      <c r="M633" t="s">
        <v>23</v>
      </c>
      <c r="N633">
        <v>27</v>
      </c>
      <c r="O633" t="s">
        <v>29</v>
      </c>
      <c r="P633" t="s">
        <v>25</v>
      </c>
    </row>
    <row r="634" spans="1:16" ht="14.5" x14ac:dyDescent="0.35">
      <c r="A634">
        <v>633</v>
      </c>
      <c r="B634">
        <v>35</v>
      </c>
      <c r="C634" t="s">
        <v>16</v>
      </c>
      <c r="D634" t="s">
        <v>123</v>
      </c>
      <c r="E634" t="s">
        <v>60</v>
      </c>
      <c r="F634">
        <v>51</v>
      </c>
      <c r="G634" t="s">
        <v>45</v>
      </c>
      <c r="H634" t="s">
        <v>39</v>
      </c>
      <c r="I634" t="s">
        <v>99</v>
      </c>
      <c r="J634" t="s">
        <v>22</v>
      </c>
      <c r="K634">
        <v>3.9</v>
      </c>
      <c r="L634" t="s">
        <v>23</v>
      </c>
      <c r="M634" t="s">
        <v>23</v>
      </c>
      <c r="N634">
        <v>19</v>
      </c>
      <c r="O634" t="s">
        <v>24</v>
      </c>
      <c r="P634" t="s">
        <v>25</v>
      </c>
    </row>
    <row r="635" spans="1:16" ht="14.5" x14ac:dyDescent="0.35">
      <c r="A635">
        <v>634</v>
      </c>
      <c r="B635">
        <v>66</v>
      </c>
      <c r="C635" t="s">
        <v>16</v>
      </c>
      <c r="D635" t="s">
        <v>36</v>
      </c>
      <c r="E635" t="s">
        <v>37</v>
      </c>
      <c r="F635">
        <v>33</v>
      </c>
      <c r="G635" t="s">
        <v>139</v>
      </c>
      <c r="H635" t="s">
        <v>39</v>
      </c>
      <c r="I635" t="s">
        <v>112</v>
      </c>
      <c r="J635" t="s">
        <v>33</v>
      </c>
      <c r="K635">
        <v>2.9</v>
      </c>
      <c r="L635" t="s">
        <v>23</v>
      </c>
      <c r="M635" t="s">
        <v>23</v>
      </c>
      <c r="N635">
        <v>50</v>
      </c>
      <c r="O635" t="s">
        <v>77</v>
      </c>
      <c r="P635" t="s">
        <v>51</v>
      </c>
    </row>
    <row r="636" spans="1:16" ht="14.5" x14ac:dyDescent="0.35">
      <c r="A636">
        <v>635</v>
      </c>
      <c r="B636">
        <v>36</v>
      </c>
      <c r="C636" t="s">
        <v>16</v>
      </c>
      <c r="D636" t="s">
        <v>44</v>
      </c>
      <c r="E636" t="s">
        <v>37</v>
      </c>
      <c r="F636">
        <v>60</v>
      </c>
      <c r="G636" t="s">
        <v>114</v>
      </c>
      <c r="H636" t="s">
        <v>39</v>
      </c>
      <c r="I636" t="s">
        <v>76</v>
      </c>
      <c r="J636" t="s">
        <v>47</v>
      </c>
      <c r="K636">
        <v>3.9</v>
      </c>
      <c r="L636" t="s">
        <v>23</v>
      </c>
      <c r="M636" t="s">
        <v>23</v>
      </c>
      <c r="N636">
        <v>46</v>
      </c>
      <c r="O636" t="s">
        <v>40</v>
      </c>
      <c r="P636" t="s">
        <v>35</v>
      </c>
    </row>
    <row r="637" spans="1:16" ht="14.5" x14ac:dyDescent="0.35">
      <c r="A637">
        <v>636</v>
      </c>
      <c r="B637">
        <v>27</v>
      </c>
      <c r="C637" t="s">
        <v>16</v>
      </c>
      <c r="D637" t="s">
        <v>95</v>
      </c>
      <c r="E637" t="s">
        <v>18</v>
      </c>
      <c r="F637">
        <v>59</v>
      </c>
      <c r="G637" t="s">
        <v>122</v>
      </c>
      <c r="H637" t="s">
        <v>39</v>
      </c>
      <c r="I637" t="s">
        <v>101</v>
      </c>
      <c r="J637" t="s">
        <v>50</v>
      </c>
      <c r="K637">
        <v>4.3</v>
      </c>
      <c r="L637" t="s">
        <v>23</v>
      </c>
      <c r="M637" t="s">
        <v>23</v>
      </c>
      <c r="N637">
        <v>28</v>
      </c>
      <c r="O637" t="s">
        <v>29</v>
      </c>
      <c r="P637" t="s">
        <v>51</v>
      </c>
    </row>
    <row r="638" spans="1:16" ht="14.5" x14ac:dyDescent="0.35">
      <c r="A638">
        <v>637</v>
      </c>
      <c r="B638">
        <v>41</v>
      </c>
      <c r="C638" t="s">
        <v>16</v>
      </c>
      <c r="D638" t="s">
        <v>59</v>
      </c>
      <c r="E638" t="s">
        <v>60</v>
      </c>
      <c r="F638">
        <v>30</v>
      </c>
      <c r="G638" t="s">
        <v>141</v>
      </c>
      <c r="H638" t="s">
        <v>39</v>
      </c>
      <c r="I638" t="s">
        <v>117</v>
      </c>
      <c r="J638" t="s">
        <v>47</v>
      </c>
      <c r="K638">
        <v>2.8</v>
      </c>
      <c r="L638" t="s">
        <v>23</v>
      </c>
      <c r="M638" t="s">
        <v>23</v>
      </c>
      <c r="N638">
        <v>14</v>
      </c>
      <c r="O638" t="s">
        <v>66</v>
      </c>
      <c r="P638" t="s">
        <v>88</v>
      </c>
    </row>
    <row r="639" spans="1:16" ht="14.5" x14ac:dyDescent="0.35">
      <c r="A639">
        <v>638</v>
      </c>
      <c r="B639">
        <v>21</v>
      </c>
      <c r="C639" t="s">
        <v>16</v>
      </c>
      <c r="D639" t="s">
        <v>26</v>
      </c>
      <c r="E639" t="s">
        <v>18</v>
      </c>
      <c r="F639">
        <v>20</v>
      </c>
      <c r="G639" t="s">
        <v>113</v>
      </c>
      <c r="H639" t="s">
        <v>39</v>
      </c>
      <c r="I639" t="s">
        <v>100</v>
      </c>
      <c r="J639" t="s">
        <v>22</v>
      </c>
      <c r="K639">
        <v>3.4</v>
      </c>
      <c r="L639" t="s">
        <v>23</v>
      </c>
      <c r="M639" t="s">
        <v>23</v>
      </c>
      <c r="N639">
        <v>46</v>
      </c>
      <c r="O639" t="s">
        <v>29</v>
      </c>
      <c r="P639" t="s">
        <v>25</v>
      </c>
    </row>
    <row r="640" spans="1:16" ht="14.5" x14ac:dyDescent="0.35">
      <c r="A640">
        <v>639</v>
      </c>
      <c r="B640">
        <v>53</v>
      </c>
      <c r="C640" t="s">
        <v>16</v>
      </c>
      <c r="D640" t="s">
        <v>36</v>
      </c>
      <c r="E640" t="s">
        <v>37</v>
      </c>
      <c r="F640">
        <v>20</v>
      </c>
      <c r="G640" t="s">
        <v>119</v>
      </c>
      <c r="H640" t="s">
        <v>32</v>
      </c>
      <c r="I640" t="s">
        <v>135</v>
      </c>
      <c r="J640" t="s">
        <v>47</v>
      </c>
      <c r="K640">
        <v>2.7</v>
      </c>
      <c r="L640" t="s">
        <v>23</v>
      </c>
      <c r="M640" t="s">
        <v>23</v>
      </c>
      <c r="N640">
        <v>41</v>
      </c>
      <c r="O640" t="s">
        <v>40</v>
      </c>
      <c r="P640" t="s">
        <v>79</v>
      </c>
    </row>
    <row r="641" spans="1:16" ht="14.5" x14ac:dyDescent="0.35">
      <c r="A641">
        <v>640</v>
      </c>
      <c r="B641">
        <v>54</v>
      </c>
      <c r="C641" t="s">
        <v>16</v>
      </c>
      <c r="D641" t="s">
        <v>72</v>
      </c>
      <c r="E641" t="s">
        <v>18</v>
      </c>
      <c r="F641">
        <v>24</v>
      </c>
      <c r="G641" t="s">
        <v>82</v>
      </c>
      <c r="H641" t="s">
        <v>20</v>
      </c>
      <c r="I641" t="s">
        <v>69</v>
      </c>
      <c r="J641" t="s">
        <v>33</v>
      </c>
      <c r="K641">
        <v>4</v>
      </c>
      <c r="L641" t="s">
        <v>23</v>
      </c>
      <c r="M641" t="s">
        <v>23</v>
      </c>
      <c r="N641">
        <v>50</v>
      </c>
      <c r="O641" t="s">
        <v>34</v>
      </c>
      <c r="P641" t="s">
        <v>43</v>
      </c>
    </row>
    <row r="642" spans="1:16" ht="14.5" x14ac:dyDescent="0.35">
      <c r="A642">
        <v>641</v>
      </c>
      <c r="B642">
        <v>53</v>
      </c>
      <c r="C642" t="s">
        <v>16</v>
      </c>
      <c r="D642" t="s">
        <v>78</v>
      </c>
      <c r="E642" t="s">
        <v>18</v>
      </c>
      <c r="F642">
        <v>88</v>
      </c>
      <c r="G642" t="s">
        <v>139</v>
      </c>
      <c r="H642" t="s">
        <v>39</v>
      </c>
      <c r="I642" t="s">
        <v>21</v>
      </c>
      <c r="J642" t="s">
        <v>47</v>
      </c>
      <c r="K642">
        <v>4.4000000000000004</v>
      </c>
      <c r="L642" t="s">
        <v>23</v>
      </c>
      <c r="M642" t="s">
        <v>23</v>
      </c>
      <c r="N642">
        <v>28</v>
      </c>
      <c r="O642" t="s">
        <v>77</v>
      </c>
      <c r="P642" t="s">
        <v>25</v>
      </c>
    </row>
    <row r="643" spans="1:16" ht="14.5" x14ac:dyDescent="0.35">
      <c r="A643">
        <v>642</v>
      </c>
      <c r="B643">
        <v>47</v>
      </c>
      <c r="C643" t="s">
        <v>16</v>
      </c>
      <c r="D643" t="s">
        <v>17</v>
      </c>
      <c r="E643" t="s">
        <v>18</v>
      </c>
      <c r="F643">
        <v>78</v>
      </c>
      <c r="G643" t="s">
        <v>111</v>
      </c>
      <c r="H643" t="s">
        <v>39</v>
      </c>
      <c r="I643" t="s">
        <v>99</v>
      </c>
      <c r="J643" t="s">
        <v>22</v>
      </c>
      <c r="K643">
        <v>3.9</v>
      </c>
      <c r="L643" t="s">
        <v>23</v>
      </c>
      <c r="M643" t="s">
        <v>23</v>
      </c>
      <c r="N643">
        <v>23</v>
      </c>
      <c r="O643" t="s">
        <v>34</v>
      </c>
      <c r="P643" t="s">
        <v>88</v>
      </c>
    </row>
    <row r="644" spans="1:16" ht="14.5" x14ac:dyDescent="0.35">
      <c r="A644">
        <v>643</v>
      </c>
      <c r="B644">
        <v>64</v>
      </c>
      <c r="C644" t="s">
        <v>16</v>
      </c>
      <c r="D644" t="s">
        <v>78</v>
      </c>
      <c r="E644" t="s">
        <v>18</v>
      </c>
      <c r="F644">
        <v>25</v>
      </c>
      <c r="G644" t="s">
        <v>64</v>
      </c>
      <c r="H644" t="s">
        <v>20</v>
      </c>
      <c r="I644" t="s">
        <v>99</v>
      </c>
      <c r="J644" t="s">
        <v>33</v>
      </c>
      <c r="K644">
        <v>2.8</v>
      </c>
      <c r="L644" t="s">
        <v>23</v>
      </c>
      <c r="M644" t="s">
        <v>23</v>
      </c>
      <c r="N644">
        <v>14</v>
      </c>
      <c r="O644" t="s">
        <v>77</v>
      </c>
      <c r="P644" t="s">
        <v>67</v>
      </c>
    </row>
    <row r="645" spans="1:16" ht="14.5" x14ac:dyDescent="0.35">
      <c r="A645">
        <v>644</v>
      </c>
      <c r="B645">
        <v>18</v>
      </c>
      <c r="C645" t="s">
        <v>16</v>
      </c>
      <c r="D645" t="s">
        <v>26</v>
      </c>
      <c r="E645" t="s">
        <v>18</v>
      </c>
      <c r="F645">
        <v>57</v>
      </c>
      <c r="G645" t="s">
        <v>41</v>
      </c>
      <c r="H645" t="s">
        <v>83</v>
      </c>
      <c r="I645" t="s">
        <v>87</v>
      </c>
      <c r="J645" t="s">
        <v>22</v>
      </c>
      <c r="K645">
        <v>3.2</v>
      </c>
      <c r="L645" t="s">
        <v>23</v>
      </c>
      <c r="M645" t="s">
        <v>23</v>
      </c>
      <c r="N645">
        <v>10</v>
      </c>
      <c r="O645" t="s">
        <v>66</v>
      </c>
      <c r="P645" t="s">
        <v>88</v>
      </c>
    </row>
    <row r="646" spans="1:16" ht="14.5" x14ac:dyDescent="0.35">
      <c r="A646">
        <v>645</v>
      </c>
      <c r="B646">
        <v>68</v>
      </c>
      <c r="C646" t="s">
        <v>16</v>
      </c>
      <c r="D646" t="s">
        <v>123</v>
      </c>
      <c r="E646" t="s">
        <v>60</v>
      </c>
      <c r="F646">
        <v>93</v>
      </c>
      <c r="G646" t="s">
        <v>53</v>
      </c>
      <c r="H646" t="s">
        <v>32</v>
      </c>
      <c r="I646" t="s">
        <v>135</v>
      </c>
      <c r="J646" t="s">
        <v>47</v>
      </c>
      <c r="K646">
        <v>4.3</v>
      </c>
      <c r="L646" t="s">
        <v>23</v>
      </c>
      <c r="M646" t="s">
        <v>23</v>
      </c>
      <c r="N646">
        <v>37</v>
      </c>
      <c r="O646" t="s">
        <v>29</v>
      </c>
      <c r="P646" t="s">
        <v>35</v>
      </c>
    </row>
    <row r="647" spans="1:16" ht="14.5" x14ac:dyDescent="0.35">
      <c r="A647">
        <v>646</v>
      </c>
      <c r="B647">
        <v>62</v>
      </c>
      <c r="C647" t="s">
        <v>16</v>
      </c>
      <c r="D647" t="s">
        <v>95</v>
      </c>
      <c r="E647" t="s">
        <v>18</v>
      </c>
      <c r="F647">
        <v>42</v>
      </c>
      <c r="G647" t="s">
        <v>92</v>
      </c>
      <c r="H647" t="s">
        <v>32</v>
      </c>
      <c r="I647" t="s">
        <v>65</v>
      </c>
      <c r="J647" t="s">
        <v>47</v>
      </c>
      <c r="K647">
        <v>4.2</v>
      </c>
      <c r="L647" t="s">
        <v>23</v>
      </c>
      <c r="M647" t="s">
        <v>23</v>
      </c>
      <c r="N647">
        <v>15</v>
      </c>
      <c r="O647" t="s">
        <v>24</v>
      </c>
      <c r="P647" t="s">
        <v>67</v>
      </c>
    </row>
    <row r="648" spans="1:16" ht="14.5" x14ac:dyDescent="0.35">
      <c r="A648">
        <v>647</v>
      </c>
      <c r="B648">
        <v>51</v>
      </c>
      <c r="C648" t="s">
        <v>16</v>
      </c>
      <c r="D648" t="s">
        <v>128</v>
      </c>
      <c r="E648" t="s">
        <v>37</v>
      </c>
      <c r="F648">
        <v>54</v>
      </c>
      <c r="G648" t="s">
        <v>107</v>
      </c>
      <c r="H648" t="s">
        <v>83</v>
      </c>
      <c r="I648" t="s">
        <v>62</v>
      </c>
      <c r="J648" t="s">
        <v>33</v>
      </c>
      <c r="K648">
        <v>4.9000000000000004</v>
      </c>
      <c r="L648" t="s">
        <v>23</v>
      </c>
      <c r="M648" t="s">
        <v>23</v>
      </c>
      <c r="N648">
        <v>19</v>
      </c>
      <c r="O648" t="s">
        <v>24</v>
      </c>
      <c r="P648" t="s">
        <v>67</v>
      </c>
    </row>
    <row r="649" spans="1:16" ht="14.5" x14ac:dyDescent="0.35">
      <c r="A649">
        <v>648</v>
      </c>
      <c r="B649">
        <v>54</v>
      </c>
      <c r="C649" t="s">
        <v>16</v>
      </c>
      <c r="D649" t="s">
        <v>17</v>
      </c>
      <c r="E649" t="s">
        <v>18</v>
      </c>
      <c r="F649">
        <v>70</v>
      </c>
      <c r="G649" t="s">
        <v>82</v>
      </c>
      <c r="H649" t="s">
        <v>83</v>
      </c>
      <c r="I649" t="s">
        <v>54</v>
      </c>
      <c r="J649" t="s">
        <v>47</v>
      </c>
      <c r="K649">
        <v>3.7</v>
      </c>
      <c r="L649" t="s">
        <v>23</v>
      </c>
      <c r="M649" t="s">
        <v>23</v>
      </c>
      <c r="N649">
        <v>23</v>
      </c>
      <c r="O649" t="s">
        <v>34</v>
      </c>
      <c r="P649" t="s">
        <v>25</v>
      </c>
    </row>
    <row r="650" spans="1:16" ht="14.5" x14ac:dyDescent="0.35">
      <c r="A650">
        <v>649</v>
      </c>
      <c r="B650">
        <v>22</v>
      </c>
      <c r="C650" t="s">
        <v>16</v>
      </c>
      <c r="D650" t="s">
        <v>95</v>
      </c>
      <c r="E650" t="s">
        <v>18</v>
      </c>
      <c r="F650">
        <v>31</v>
      </c>
      <c r="G650" t="s">
        <v>142</v>
      </c>
      <c r="H650" t="s">
        <v>39</v>
      </c>
      <c r="I650" t="s">
        <v>101</v>
      </c>
      <c r="J650" t="s">
        <v>22</v>
      </c>
      <c r="K650">
        <v>4.0999999999999996</v>
      </c>
      <c r="L650" t="s">
        <v>23</v>
      </c>
      <c r="M650" t="s">
        <v>23</v>
      </c>
      <c r="N650">
        <v>35</v>
      </c>
      <c r="O650" t="s">
        <v>34</v>
      </c>
      <c r="P650" t="s">
        <v>35</v>
      </c>
    </row>
    <row r="651" spans="1:16" ht="14.5" x14ac:dyDescent="0.35">
      <c r="A651">
        <v>650</v>
      </c>
      <c r="B651">
        <v>53</v>
      </c>
      <c r="C651" t="s">
        <v>16</v>
      </c>
      <c r="D651" t="s">
        <v>86</v>
      </c>
      <c r="E651" t="s">
        <v>18</v>
      </c>
      <c r="F651">
        <v>93</v>
      </c>
      <c r="G651" t="s">
        <v>70</v>
      </c>
      <c r="H651" t="s">
        <v>20</v>
      </c>
      <c r="I651" t="s">
        <v>112</v>
      </c>
      <c r="J651" t="s">
        <v>33</v>
      </c>
      <c r="K651">
        <v>4.2</v>
      </c>
      <c r="L651" t="s">
        <v>23</v>
      </c>
      <c r="M651" t="s">
        <v>23</v>
      </c>
      <c r="N651">
        <v>33</v>
      </c>
      <c r="O651" t="s">
        <v>40</v>
      </c>
      <c r="P651" t="s">
        <v>88</v>
      </c>
    </row>
    <row r="652" spans="1:16" ht="14.5" x14ac:dyDescent="0.35">
      <c r="A652">
        <v>651</v>
      </c>
      <c r="B652">
        <v>34</v>
      </c>
      <c r="C652" t="s">
        <v>16</v>
      </c>
      <c r="D652" t="s">
        <v>134</v>
      </c>
      <c r="E652" t="s">
        <v>60</v>
      </c>
      <c r="F652">
        <v>40</v>
      </c>
      <c r="G652" t="s">
        <v>94</v>
      </c>
      <c r="H652" t="s">
        <v>39</v>
      </c>
      <c r="I652" t="s">
        <v>127</v>
      </c>
      <c r="J652" t="s">
        <v>33</v>
      </c>
      <c r="K652">
        <v>3.9</v>
      </c>
      <c r="L652" t="s">
        <v>23</v>
      </c>
      <c r="M652" t="s">
        <v>23</v>
      </c>
      <c r="N652">
        <v>12</v>
      </c>
      <c r="O652" t="s">
        <v>66</v>
      </c>
      <c r="P652" t="s">
        <v>43</v>
      </c>
    </row>
    <row r="653" spans="1:16" ht="14.5" x14ac:dyDescent="0.35">
      <c r="A653">
        <v>652</v>
      </c>
      <c r="B653">
        <v>32</v>
      </c>
      <c r="C653" t="s">
        <v>16</v>
      </c>
      <c r="D653" t="s">
        <v>115</v>
      </c>
      <c r="E653" t="s">
        <v>60</v>
      </c>
      <c r="F653">
        <v>32</v>
      </c>
      <c r="G653" t="s">
        <v>64</v>
      </c>
      <c r="H653" t="s">
        <v>20</v>
      </c>
      <c r="I653" t="s">
        <v>125</v>
      </c>
      <c r="J653" t="s">
        <v>47</v>
      </c>
      <c r="K653">
        <v>2.9</v>
      </c>
      <c r="L653" t="s">
        <v>23</v>
      </c>
      <c r="M653" t="s">
        <v>23</v>
      </c>
      <c r="N653">
        <v>41</v>
      </c>
      <c r="O653" t="s">
        <v>24</v>
      </c>
      <c r="P653" t="s">
        <v>25</v>
      </c>
    </row>
    <row r="654" spans="1:16" ht="14.5" x14ac:dyDescent="0.35">
      <c r="A654">
        <v>653</v>
      </c>
      <c r="B654">
        <v>64</v>
      </c>
      <c r="C654" t="s">
        <v>16</v>
      </c>
      <c r="D654" t="s">
        <v>80</v>
      </c>
      <c r="E654" t="s">
        <v>60</v>
      </c>
      <c r="F654">
        <v>27</v>
      </c>
      <c r="G654" t="s">
        <v>139</v>
      </c>
      <c r="H654" t="s">
        <v>39</v>
      </c>
      <c r="I654" t="s">
        <v>109</v>
      </c>
      <c r="J654" t="s">
        <v>22</v>
      </c>
      <c r="K654">
        <v>3.1</v>
      </c>
      <c r="L654" t="s">
        <v>23</v>
      </c>
      <c r="M654" t="s">
        <v>23</v>
      </c>
      <c r="N654">
        <v>27</v>
      </c>
      <c r="O654" t="s">
        <v>24</v>
      </c>
      <c r="P654" t="s">
        <v>35</v>
      </c>
    </row>
    <row r="655" spans="1:16" ht="14.5" x14ac:dyDescent="0.35">
      <c r="A655">
        <v>654</v>
      </c>
      <c r="B655">
        <v>20</v>
      </c>
      <c r="C655" t="s">
        <v>16</v>
      </c>
      <c r="D655" t="s">
        <v>110</v>
      </c>
      <c r="E655" t="s">
        <v>60</v>
      </c>
      <c r="F655">
        <v>68</v>
      </c>
      <c r="G655" t="s">
        <v>105</v>
      </c>
      <c r="H655" t="s">
        <v>39</v>
      </c>
      <c r="I655" t="s">
        <v>69</v>
      </c>
      <c r="J655" t="s">
        <v>22</v>
      </c>
      <c r="K655">
        <v>3.6</v>
      </c>
      <c r="L655" t="s">
        <v>23</v>
      </c>
      <c r="M655" t="s">
        <v>23</v>
      </c>
      <c r="N655">
        <v>45</v>
      </c>
      <c r="O655" t="s">
        <v>29</v>
      </c>
      <c r="P655" t="s">
        <v>25</v>
      </c>
    </row>
    <row r="656" spans="1:16" ht="14.5" x14ac:dyDescent="0.35">
      <c r="A656">
        <v>655</v>
      </c>
      <c r="B656">
        <v>24</v>
      </c>
      <c r="C656" t="s">
        <v>16</v>
      </c>
      <c r="D656" t="s">
        <v>59</v>
      </c>
      <c r="E656" t="s">
        <v>60</v>
      </c>
      <c r="F656">
        <v>59</v>
      </c>
      <c r="G656" t="s">
        <v>90</v>
      </c>
      <c r="H656" t="s">
        <v>20</v>
      </c>
      <c r="I656" t="s">
        <v>21</v>
      </c>
      <c r="J656" t="s">
        <v>47</v>
      </c>
      <c r="K656">
        <v>4.4000000000000004</v>
      </c>
      <c r="L656" t="s">
        <v>23</v>
      </c>
      <c r="M656" t="s">
        <v>23</v>
      </c>
      <c r="N656">
        <v>23</v>
      </c>
      <c r="O656" t="s">
        <v>24</v>
      </c>
      <c r="P656" t="s">
        <v>43</v>
      </c>
    </row>
    <row r="657" spans="1:16" ht="14.5" x14ac:dyDescent="0.35">
      <c r="A657">
        <v>656</v>
      </c>
      <c r="B657">
        <v>20</v>
      </c>
      <c r="C657" t="s">
        <v>16</v>
      </c>
      <c r="D657" t="s">
        <v>59</v>
      </c>
      <c r="E657" t="s">
        <v>60</v>
      </c>
      <c r="F657">
        <v>36</v>
      </c>
      <c r="G657" t="s">
        <v>82</v>
      </c>
      <c r="H657" t="s">
        <v>32</v>
      </c>
      <c r="I657" t="s">
        <v>65</v>
      </c>
      <c r="J657" t="s">
        <v>50</v>
      </c>
      <c r="K657">
        <v>3.1</v>
      </c>
      <c r="L657" t="s">
        <v>23</v>
      </c>
      <c r="M657" t="s">
        <v>23</v>
      </c>
      <c r="N657">
        <v>19</v>
      </c>
      <c r="O657" t="s">
        <v>24</v>
      </c>
      <c r="P657" t="s">
        <v>79</v>
      </c>
    </row>
    <row r="658" spans="1:16" ht="14.5" x14ac:dyDescent="0.35">
      <c r="A658">
        <v>657</v>
      </c>
      <c r="B658">
        <v>42</v>
      </c>
      <c r="C658" t="s">
        <v>16</v>
      </c>
      <c r="D658" t="s">
        <v>30</v>
      </c>
      <c r="E658" t="s">
        <v>18</v>
      </c>
      <c r="F658">
        <v>23</v>
      </c>
      <c r="G658" t="s">
        <v>129</v>
      </c>
      <c r="H658" t="s">
        <v>39</v>
      </c>
      <c r="I658" t="s">
        <v>109</v>
      </c>
      <c r="J658" t="s">
        <v>47</v>
      </c>
      <c r="K658">
        <v>3.9</v>
      </c>
      <c r="L658" t="s">
        <v>23</v>
      </c>
      <c r="M658" t="s">
        <v>23</v>
      </c>
      <c r="N658">
        <v>6</v>
      </c>
      <c r="O658" t="s">
        <v>40</v>
      </c>
      <c r="P658" t="s">
        <v>51</v>
      </c>
    </row>
    <row r="659" spans="1:16" ht="14.5" x14ac:dyDescent="0.35">
      <c r="A659">
        <v>658</v>
      </c>
      <c r="B659">
        <v>48</v>
      </c>
      <c r="C659" t="s">
        <v>16</v>
      </c>
      <c r="D659" t="s">
        <v>93</v>
      </c>
      <c r="E659" t="s">
        <v>56</v>
      </c>
      <c r="F659">
        <v>80</v>
      </c>
      <c r="G659" t="s">
        <v>108</v>
      </c>
      <c r="H659" t="s">
        <v>39</v>
      </c>
      <c r="I659" t="s">
        <v>46</v>
      </c>
      <c r="J659" t="s">
        <v>22</v>
      </c>
      <c r="K659">
        <v>4.3</v>
      </c>
      <c r="L659" t="s">
        <v>23</v>
      </c>
      <c r="M659" t="s">
        <v>23</v>
      </c>
      <c r="N659">
        <v>6</v>
      </c>
      <c r="O659" t="s">
        <v>40</v>
      </c>
      <c r="P659" t="s">
        <v>51</v>
      </c>
    </row>
    <row r="660" spans="1:16" ht="14.5" x14ac:dyDescent="0.35">
      <c r="A660">
        <v>659</v>
      </c>
      <c r="B660">
        <v>62</v>
      </c>
      <c r="C660" t="s">
        <v>16</v>
      </c>
      <c r="D660" t="s">
        <v>123</v>
      </c>
      <c r="E660" t="s">
        <v>60</v>
      </c>
      <c r="F660">
        <v>37</v>
      </c>
      <c r="G660" t="s">
        <v>53</v>
      </c>
      <c r="H660" t="s">
        <v>32</v>
      </c>
      <c r="I660" t="s">
        <v>46</v>
      </c>
      <c r="J660" t="s">
        <v>50</v>
      </c>
      <c r="K660">
        <v>4.9000000000000004</v>
      </c>
      <c r="L660" t="s">
        <v>23</v>
      </c>
      <c r="M660" t="s">
        <v>23</v>
      </c>
      <c r="N660">
        <v>20</v>
      </c>
      <c r="O660" t="s">
        <v>24</v>
      </c>
      <c r="P660" t="s">
        <v>35</v>
      </c>
    </row>
    <row r="661" spans="1:16" ht="14.5" x14ac:dyDescent="0.35">
      <c r="A661">
        <v>660</v>
      </c>
      <c r="B661">
        <v>62</v>
      </c>
      <c r="C661" t="s">
        <v>16</v>
      </c>
      <c r="D661" t="s">
        <v>52</v>
      </c>
      <c r="E661" t="s">
        <v>18</v>
      </c>
      <c r="F661">
        <v>52</v>
      </c>
      <c r="G661" t="s">
        <v>132</v>
      </c>
      <c r="H661" t="s">
        <v>32</v>
      </c>
      <c r="I661" t="s">
        <v>71</v>
      </c>
      <c r="J661" t="s">
        <v>33</v>
      </c>
      <c r="K661">
        <v>3.6</v>
      </c>
      <c r="L661" t="s">
        <v>23</v>
      </c>
      <c r="M661" t="s">
        <v>23</v>
      </c>
      <c r="N661">
        <v>8</v>
      </c>
      <c r="O661" t="s">
        <v>29</v>
      </c>
      <c r="P661" t="s">
        <v>35</v>
      </c>
    </row>
    <row r="662" spans="1:16" ht="14.5" x14ac:dyDescent="0.35">
      <c r="A662">
        <v>661</v>
      </c>
      <c r="B662">
        <v>50</v>
      </c>
      <c r="C662" t="s">
        <v>16</v>
      </c>
      <c r="D662" t="s">
        <v>55</v>
      </c>
      <c r="E662" t="s">
        <v>56</v>
      </c>
      <c r="F662">
        <v>79</v>
      </c>
      <c r="G662" t="s">
        <v>49</v>
      </c>
      <c r="H662" t="s">
        <v>39</v>
      </c>
      <c r="I662" t="s">
        <v>69</v>
      </c>
      <c r="J662" t="s">
        <v>50</v>
      </c>
      <c r="K662">
        <v>5</v>
      </c>
      <c r="L662" t="s">
        <v>23</v>
      </c>
      <c r="M662" t="s">
        <v>23</v>
      </c>
      <c r="N662">
        <v>39</v>
      </c>
      <c r="O662" t="s">
        <v>34</v>
      </c>
      <c r="P662" t="s">
        <v>51</v>
      </c>
    </row>
    <row r="663" spans="1:16" ht="14.5" x14ac:dyDescent="0.35">
      <c r="A663">
        <v>662</v>
      </c>
      <c r="B663">
        <v>57</v>
      </c>
      <c r="C663" t="s">
        <v>16</v>
      </c>
      <c r="D663" t="s">
        <v>48</v>
      </c>
      <c r="E663" t="s">
        <v>18</v>
      </c>
      <c r="F663">
        <v>68</v>
      </c>
      <c r="G663" t="s">
        <v>137</v>
      </c>
      <c r="H663" t="s">
        <v>83</v>
      </c>
      <c r="I663" t="s">
        <v>87</v>
      </c>
      <c r="J663" t="s">
        <v>50</v>
      </c>
      <c r="K663">
        <v>4.0999999999999996</v>
      </c>
      <c r="L663" t="s">
        <v>23</v>
      </c>
      <c r="M663" t="s">
        <v>23</v>
      </c>
      <c r="N663">
        <v>39</v>
      </c>
      <c r="O663" t="s">
        <v>34</v>
      </c>
      <c r="P663" t="s">
        <v>51</v>
      </c>
    </row>
    <row r="664" spans="1:16" ht="14.5" x14ac:dyDescent="0.35">
      <c r="A664">
        <v>663</v>
      </c>
      <c r="B664">
        <v>24</v>
      </c>
      <c r="C664" t="s">
        <v>16</v>
      </c>
      <c r="D664" t="s">
        <v>134</v>
      </c>
      <c r="E664" t="s">
        <v>60</v>
      </c>
      <c r="F664">
        <v>98</v>
      </c>
      <c r="G664" t="s">
        <v>106</v>
      </c>
      <c r="H664" t="s">
        <v>20</v>
      </c>
      <c r="I664" t="s">
        <v>127</v>
      </c>
      <c r="J664" t="s">
        <v>50</v>
      </c>
      <c r="K664">
        <v>2.8</v>
      </c>
      <c r="L664" t="s">
        <v>23</v>
      </c>
      <c r="M664" t="s">
        <v>23</v>
      </c>
      <c r="N664">
        <v>39</v>
      </c>
      <c r="O664" t="s">
        <v>24</v>
      </c>
      <c r="P664" t="s">
        <v>67</v>
      </c>
    </row>
    <row r="665" spans="1:16" ht="14.5" x14ac:dyDescent="0.35">
      <c r="A665">
        <v>664</v>
      </c>
      <c r="B665">
        <v>59</v>
      </c>
      <c r="C665" t="s">
        <v>16</v>
      </c>
      <c r="D665" t="s">
        <v>72</v>
      </c>
      <c r="E665" t="s">
        <v>18</v>
      </c>
      <c r="F665">
        <v>83</v>
      </c>
      <c r="G665" t="s">
        <v>111</v>
      </c>
      <c r="H665" t="s">
        <v>39</v>
      </c>
      <c r="I665" t="s">
        <v>54</v>
      </c>
      <c r="J665" t="s">
        <v>50</v>
      </c>
      <c r="K665">
        <v>4.7</v>
      </c>
      <c r="L665" t="s">
        <v>23</v>
      </c>
      <c r="M665" t="s">
        <v>23</v>
      </c>
      <c r="N665">
        <v>23</v>
      </c>
      <c r="O665" t="s">
        <v>34</v>
      </c>
      <c r="P665" t="s">
        <v>79</v>
      </c>
    </row>
    <row r="666" spans="1:16" ht="14.5" x14ac:dyDescent="0.35">
      <c r="A666">
        <v>665</v>
      </c>
      <c r="B666">
        <v>63</v>
      </c>
      <c r="C666" t="s">
        <v>16</v>
      </c>
      <c r="D666" t="s">
        <v>86</v>
      </c>
      <c r="E666" t="s">
        <v>18</v>
      </c>
      <c r="F666">
        <v>83</v>
      </c>
      <c r="G666" t="s">
        <v>103</v>
      </c>
      <c r="H666" t="s">
        <v>39</v>
      </c>
      <c r="I666" t="s">
        <v>117</v>
      </c>
      <c r="J666" t="s">
        <v>22</v>
      </c>
      <c r="K666">
        <v>4.4000000000000004</v>
      </c>
      <c r="L666" t="s">
        <v>23</v>
      </c>
      <c r="M666" t="s">
        <v>23</v>
      </c>
      <c r="N666">
        <v>41</v>
      </c>
      <c r="O666" t="s">
        <v>40</v>
      </c>
      <c r="P666" t="s">
        <v>67</v>
      </c>
    </row>
    <row r="667" spans="1:16" ht="14.5" x14ac:dyDescent="0.35">
      <c r="A667">
        <v>666</v>
      </c>
      <c r="B667">
        <v>41</v>
      </c>
      <c r="C667" t="s">
        <v>16</v>
      </c>
      <c r="D667" t="s">
        <v>86</v>
      </c>
      <c r="E667" t="s">
        <v>18</v>
      </c>
      <c r="F667">
        <v>55</v>
      </c>
      <c r="G667" t="s">
        <v>121</v>
      </c>
      <c r="H667" t="s">
        <v>39</v>
      </c>
      <c r="I667" t="s">
        <v>91</v>
      </c>
      <c r="J667" t="s">
        <v>33</v>
      </c>
      <c r="K667">
        <v>4.9000000000000004</v>
      </c>
      <c r="L667" t="s">
        <v>23</v>
      </c>
      <c r="M667" t="s">
        <v>23</v>
      </c>
      <c r="N667">
        <v>50</v>
      </c>
      <c r="O667" t="s">
        <v>34</v>
      </c>
      <c r="P667" t="s">
        <v>43</v>
      </c>
    </row>
    <row r="668" spans="1:16" ht="14.5" x14ac:dyDescent="0.35">
      <c r="A668">
        <v>667</v>
      </c>
      <c r="B668">
        <v>35</v>
      </c>
      <c r="C668" t="s">
        <v>16</v>
      </c>
      <c r="D668" t="s">
        <v>95</v>
      </c>
      <c r="E668" t="s">
        <v>18</v>
      </c>
      <c r="F668">
        <v>26</v>
      </c>
      <c r="G668" t="s">
        <v>103</v>
      </c>
      <c r="H668" t="s">
        <v>20</v>
      </c>
      <c r="I668" t="s">
        <v>42</v>
      </c>
      <c r="J668" t="s">
        <v>22</v>
      </c>
      <c r="K668">
        <v>3.1</v>
      </c>
      <c r="L668" t="s">
        <v>23</v>
      </c>
      <c r="M668" t="s">
        <v>23</v>
      </c>
      <c r="N668">
        <v>30</v>
      </c>
      <c r="O668" t="s">
        <v>77</v>
      </c>
      <c r="P668" t="s">
        <v>51</v>
      </c>
    </row>
    <row r="669" spans="1:16" ht="14.5" x14ac:dyDescent="0.35">
      <c r="A669">
        <v>668</v>
      </c>
      <c r="B669">
        <v>34</v>
      </c>
      <c r="C669" t="s">
        <v>16</v>
      </c>
      <c r="D669" t="s">
        <v>80</v>
      </c>
      <c r="E669" t="s">
        <v>60</v>
      </c>
      <c r="F669">
        <v>76</v>
      </c>
      <c r="G669" t="s">
        <v>108</v>
      </c>
      <c r="H669" t="s">
        <v>32</v>
      </c>
      <c r="I669" t="s">
        <v>135</v>
      </c>
      <c r="J669" t="s">
        <v>22</v>
      </c>
      <c r="K669">
        <v>2.6</v>
      </c>
      <c r="L669" t="s">
        <v>23</v>
      </c>
      <c r="M669" t="s">
        <v>23</v>
      </c>
      <c r="N669">
        <v>32</v>
      </c>
      <c r="O669" t="s">
        <v>66</v>
      </c>
      <c r="P669" t="s">
        <v>51</v>
      </c>
    </row>
    <row r="670" spans="1:16" ht="14.5" x14ac:dyDescent="0.35">
      <c r="A670">
        <v>669</v>
      </c>
      <c r="B670">
        <v>49</v>
      </c>
      <c r="C670" t="s">
        <v>16</v>
      </c>
      <c r="D670" t="s">
        <v>104</v>
      </c>
      <c r="E670" t="s">
        <v>18</v>
      </c>
      <c r="F670">
        <v>85</v>
      </c>
      <c r="G670" t="s">
        <v>68</v>
      </c>
      <c r="H670" t="s">
        <v>32</v>
      </c>
      <c r="I670" t="s">
        <v>42</v>
      </c>
      <c r="J670" t="s">
        <v>50</v>
      </c>
      <c r="K670">
        <v>2.9</v>
      </c>
      <c r="L670" t="s">
        <v>23</v>
      </c>
      <c r="M670" t="s">
        <v>23</v>
      </c>
      <c r="N670">
        <v>35</v>
      </c>
      <c r="O670" t="s">
        <v>66</v>
      </c>
      <c r="P670" t="s">
        <v>79</v>
      </c>
    </row>
    <row r="671" spans="1:16" ht="14.5" x14ac:dyDescent="0.35">
      <c r="A671">
        <v>670</v>
      </c>
      <c r="B671">
        <v>43</v>
      </c>
      <c r="C671" t="s">
        <v>16</v>
      </c>
      <c r="D671" t="s">
        <v>93</v>
      </c>
      <c r="E671" t="s">
        <v>56</v>
      </c>
      <c r="F671">
        <v>89</v>
      </c>
      <c r="G671" t="s">
        <v>106</v>
      </c>
      <c r="H671" t="s">
        <v>39</v>
      </c>
      <c r="I671" t="s">
        <v>21</v>
      </c>
      <c r="J671" t="s">
        <v>33</v>
      </c>
      <c r="K671">
        <v>3.3</v>
      </c>
      <c r="L671" t="s">
        <v>23</v>
      </c>
      <c r="M671" t="s">
        <v>23</v>
      </c>
      <c r="N671">
        <v>45</v>
      </c>
      <c r="O671" t="s">
        <v>24</v>
      </c>
      <c r="P671" t="s">
        <v>67</v>
      </c>
    </row>
    <row r="672" spans="1:16" ht="14.5" x14ac:dyDescent="0.35">
      <c r="A672">
        <v>671</v>
      </c>
      <c r="B672">
        <v>63</v>
      </c>
      <c r="C672" t="s">
        <v>16</v>
      </c>
      <c r="D672" t="s">
        <v>26</v>
      </c>
      <c r="E672" t="s">
        <v>18</v>
      </c>
      <c r="F672">
        <v>41</v>
      </c>
      <c r="G672" t="s">
        <v>53</v>
      </c>
      <c r="H672" t="s">
        <v>83</v>
      </c>
      <c r="I672" t="s">
        <v>65</v>
      </c>
      <c r="J672" t="s">
        <v>33</v>
      </c>
      <c r="K672">
        <v>4.8</v>
      </c>
      <c r="L672" t="s">
        <v>23</v>
      </c>
      <c r="M672" t="s">
        <v>23</v>
      </c>
      <c r="N672">
        <v>37</v>
      </c>
      <c r="O672" t="s">
        <v>29</v>
      </c>
      <c r="P672" t="s">
        <v>67</v>
      </c>
    </row>
    <row r="673" spans="1:16" ht="14.5" x14ac:dyDescent="0.35">
      <c r="A673">
        <v>672</v>
      </c>
      <c r="B673">
        <v>38</v>
      </c>
      <c r="C673" t="s">
        <v>16</v>
      </c>
      <c r="D673" t="s">
        <v>93</v>
      </c>
      <c r="E673" t="s">
        <v>56</v>
      </c>
      <c r="F673">
        <v>30</v>
      </c>
      <c r="G673" t="s">
        <v>137</v>
      </c>
      <c r="H673" t="s">
        <v>20</v>
      </c>
      <c r="I673" t="s">
        <v>85</v>
      </c>
      <c r="J673" t="s">
        <v>22</v>
      </c>
      <c r="K673">
        <v>4.7</v>
      </c>
      <c r="L673" t="s">
        <v>23</v>
      </c>
      <c r="M673" t="s">
        <v>23</v>
      </c>
      <c r="N673">
        <v>45</v>
      </c>
      <c r="O673" t="s">
        <v>29</v>
      </c>
      <c r="P673" t="s">
        <v>35</v>
      </c>
    </row>
    <row r="674" spans="1:16" ht="14.5" x14ac:dyDescent="0.35">
      <c r="A674">
        <v>673</v>
      </c>
      <c r="B674">
        <v>59</v>
      </c>
      <c r="C674" t="s">
        <v>16</v>
      </c>
      <c r="D674" t="s">
        <v>116</v>
      </c>
      <c r="E674" t="s">
        <v>18</v>
      </c>
      <c r="F674">
        <v>53</v>
      </c>
      <c r="G674" t="s">
        <v>140</v>
      </c>
      <c r="H674" t="s">
        <v>39</v>
      </c>
      <c r="I674" t="s">
        <v>91</v>
      </c>
      <c r="J674" t="s">
        <v>22</v>
      </c>
      <c r="K674">
        <v>3.3</v>
      </c>
      <c r="L674" t="s">
        <v>23</v>
      </c>
      <c r="M674" t="s">
        <v>23</v>
      </c>
      <c r="N674">
        <v>29</v>
      </c>
      <c r="O674" t="s">
        <v>29</v>
      </c>
      <c r="P674" t="s">
        <v>51</v>
      </c>
    </row>
    <row r="675" spans="1:16" ht="14.5" x14ac:dyDescent="0.35">
      <c r="A675">
        <v>674</v>
      </c>
      <c r="B675">
        <v>35</v>
      </c>
      <c r="C675" t="s">
        <v>16</v>
      </c>
      <c r="D675" t="s">
        <v>48</v>
      </c>
      <c r="E675" t="s">
        <v>18</v>
      </c>
      <c r="F675">
        <v>66</v>
      </c>
      <c r="G675" t="s">
        <v>92</v>
      </c>
      <c r="H675" t="s">
        <v>39</v>
      </c>
      <c r="I675" t="s">
        <v>117</v>
      </c>
      <c r="J675" t="s">
        <v>33</v>
      </c>
      <c r="K675">
        <v>4.2</v>
      </c>
      <c r="L675" t="s">
        <v>23</v>
      </c>
      <c r="M675" t="s">
        <v>23</v>
      </c>
      <c r="N675">
        <v>27</v>
      </c>
      <c r="O675" t="s">
        <v>24</v>
      </c>
      <c r="P675" t="s">
        <v>67</v>
      </c>
    </row>
    <row r="676" spans="1:16" ht="14.5" x14ac:dyDescent="0.35">
      <c r="A676">
        <v>675</v>
      </c>
      <c r="B676">
        <v>48</v>
      </c>
      <c r="C676" t="s">
        <v>16</v>
      </c>
      <c r="D676" t="s">
        <v>97</v>
      </c>
      <c r="E676" t="s">
        <v>60</v>
      </c>
      <c r="F676">
        <v>33</v>
      </c>
      <c r="G676" t="s">
        <v>140</v>
      </c>
      <c r="H676" t="s">
        <v>83</v>
      </c>
      <c r="I676" t="s">
        <v>109</v>
      </c>
      <c r="J676" t="s">
        <v>22</v>
      </c>
      <c r="K676">
        <v>4.7</v>
      </c>
      <c r="L676" t="s">
        <v>23</v>
      </c>
      <c r="M676" t="s">
        <v>23</v>
      </c>
      <c r="N676">
        <v>36</v>
      </c>
      <c r="O676" t="s">
        <v>66</v>
      </c>
      <c r="P676" t="s">
        <v>43</v>
      </c>
    </row>
    <row r="677" spans="1:16" ht="14.5" x14ac:dyDescent="0.35">
      <c r="A677">
        <v>676</v>
      </c>
      <c r="B677">
        <v>64</v>
      </c>
      <c r="C677" t="s">
        <v>16</v>
      </c>
      <c r="D677" t="s">
        <v>80</v>
      </c>
      <c r="E677" t="s">
        <v>60</v>
      </c>
      <c r="F677">
        <v>86</v>
      </c>
      <c r="G677" t="s">
        <v>64</v>
      </c>
      <c r="H677" t="s">
        <v>39</v>
      </c>
      <c r="I677" t="s">
        <v>125</v>
      </c>
      <c r="J677" t="s">
        <v>33</v>
      </c>
      <c r="K677">
        <v>2.6</v>
      </c>
      <c r="L677" t="s">
        <v>23</v>
      </c>
      <c r="M677" t="s">
        <v>23</v>
      </c>
      <c r="N677">
        <v>9</v>
      </c>
      <c r="O677" t="s">
        <v>29</v>
      </c>
      <c r="P677" t="s">
        <v>43</v>
      </c>
    </row>
    <row r="678" spans="1:16" ht="14.5" x14ac:dyDescent="0.35">
      <c r="A678">
        <v>677</v>
      </c>
      <c r="B678">
        <v>28</v>
      </c>
      <c r="C678" t="s">
        <v>16</v>
      </c>
      <c r="D678" t="s">
        <v>86</v>
      </c>
      <c r="E678" t="s">
        <v>18</v>
      </c>
      <c r="F678">
        <v>60</v>
      </c>
      <c r="G678" t="s">
        <v>130</v>
      </c>
      <c r="H678" t="s">
        <v>39</v>
      </c>
      <c r="I678" t="s">
        <v>91</v>
      </c>
      <c r="J678" t="s">
        <v>22</v>
      </c>
      <c r="K678">
        <v>2.9</v>
      </c>
      <c r="L678" t="s">
        <v>23</v>
      </c>
      <c r="M678" t="s">
        <v>23</v>
      </c>
      <c r="N678">
        <v>38</v>
      </c>
      <c r="O678" t="s">
        <v>24</v>
      </c>
      <c r="P678" t="s">
        <v>67</v>
      </c>
    </row>
    <row r="679" spans="1:16" ht="14.5" x14ac:dyDescent="0.35">
      <c r="A679">
        <v>678</v>
      </c>
      <c r="B679">
        <v>60</v>
      </c>
      <c r="C679" t="s">
        <v>16</v>
      </c>
      <c r="D679" t="s">
        <v>116</v>
      </c>
      <c r="E679" t="s">
        <v>18</v>
      </c>
      <c r="F679">
        <v>62</v>
      </c>
      <c r="G679" t="s">
        <v>140</v>
      </c>
      <c r="H679" t="s">
        <v>32</v>
      </c>
      <c r="I679" t="s">
        <v>42</v>
      </c>
      <c r="J679" t="s">
        <v>47</v>
      </c>
      <c r="K679">
        <v>2.7</v>
      </c>
      <c r="L679" t="s">
        <v>23</v>
      </c>
      <c r="M679" t="s">
        <v>23</v>
      </c>
      <c r="N679">
        <v>41</v>
      </c>
      <c r="O679" t="s">
        <v>40</v>
      </c>
      <c r="P679" t="s">
        <v>43</v>
      </c>
    </row>
    <row r="680" spans="1:16" ht="14.5" x14ac:dyDescent="0.35">
      <c r="A680">
        <v>679</v>
      </c>
      <c r="B680">
        <v>27</v>
      </c>
      <c r="C680" t="s">
        <v>16</v>
      </c>
      <c r="D680" t="s">
        <v>17</v>
      </c>
      <c r="E680" t="s">
        <v>18</v>
      </c>
      <c r="F680">
        <v>74</v>
      </c>
      <c r="G680" t="s">
        <v>27</v>
      </c>
      <c r="H680" t="s">
        <v>39</v>
      </c>
      <c r="I680" t="s">
        <v>76</v>
      </c>
      <c r="J680" t="s">
        <v>50</v>
      </c>
      <c r="K680">
        <v>3.3</v>
      </c>
      <c r="L680" t="s">
        <v>23</v>
      </c>
      <c r="M680" t="s">
        <v>23</v>
      </c>
      <c r="N680">
        <v>25</v>
      </c>
      <c r="O680" t="s">
        <v>77</v>
      </c>
      <c r="P680" t="s">
        <v>88</v>
      </c>
    </row>
    <row r="681" spans="1:16" ht="14.5" x14ac:dyDescent="0.35">
      <c r="A681">
        <v>680</v>
      </c>
      <c r="B681">
        <v>56</v>
      </c>
      <c r="C681" t="s">
        <v>16</v>
      </c>
      <c r="D681" t="s">
        <v>36</v>
      </c>
      <c r="E681" t="s">
        <v>37</v>
      </c>
      <c r="F681">
        <v>95</v>
      </c>
      <c r="G681" t="s">
        <v>142</v>
      </c>
      <c r="H681" t="s">
        <v>39</v>
      </c>
      <c r="I681" t="s">
        <v>42</v>
      </c>
      <c r="J681" t="s">
        <v>50</v>
      </c>
      <c r="K681">
        <v>3.4</v>
      </c>
      <c r="L681" t="s">
        <v>23</v>
      </c>
      <c r="M681" t="s">
        <v>23</v>
      </c>
      <c r="N681">
        <v>37</v>
      </c>
      <c r="O681" t="s">
        <v>24</v>
      </c>
      <c r="P681" t="s">
        <v>25</v>
      </c>
    </row>
    <row r="682" spans="1:16" ht="14.5" x14ac:dyDescent="0.35">
      <c r="A682">
        <v>681</v>
      </c>
      <c r="B682">
        <v>58</v>
      </c>
      <c r="C682" t="s">
        <v>16</v>
      </c>
      <c r="D682" t="s">
        <v>44</v>
      </c>
      <c r="E682" t="s">
        <v>37</v>
      </c>
      <c r="F682">
        <v>25</v>
      </c>
      <c r="G682" t="s">
        <v>113</v>
      </c>
      <c r="H682" t="s">
        <v>39</v>
      </c>
      <c r="I682" t="s">
        <v>127</v>
      </c>
      <c r="J682" t="s">
        <v>33</v>
      </c>
      <c r="K682">
        <v>4.2</v>
      </c>
      <c r="L682" t="s">
        <v>23</v>
      </c>
      <c r="M682" t="s">
        <v>23</v>
      </c>
      <c r="N682">
        <v>3</v>
      </c>
      <c r="O682" t="s">
        <v>40</v>
      </c>
      <c r="P682" t="s">
        <v>43</v>
      </c>
    </row>
    <row r="683" spans="1:16" ht="14.5" x14ac:dyDescent="0.35">
      <c r="A683">
        <v>682</v>
      </c>
      <c r="B683">
        <v>30</v>
      </c>
      <c r="C683" t="s">
        <v>16</v>
      </c>
      <c r="D683" t="s">
        <v>48</v>
      </c>
      <c r="E683" t="s">
        <v>18</v>
      </c>
      <c r="F683">
        <v>59</v>
      </c>
      <c r="G683" t="s">
        <v>53</v>
      </c>
      <c r="H683" t="s">
        <v>83</v>
      </c>
      <c r="I683" t="s">
        <v>65</v>
      </c>
      <c r="J683" t="s">
        <v>22</v>
      </c>
      <c r="K683">
        <v>3.8</v>
      </c>
      <c r="L683" t="s">
        <v>23</v>
      </c>
      <c r="M683" t="s">
        <v>23</v>
      </c>
      <c r="N683">
        <v>24</v>
      </c>
      <c r="O683" t="s">
        <v>34</v>
      </c>
      <c r="P683" t="s">
        <v>88</v>
      </c>
    </row>
    <row r="684" spans="1:16" ht="14.5" x14ac:dyDescent="0.35">
      <c r="A684">
        <v>683</v>
      </c>
      <c r="B684">
        <v>23</v>
      </c>
      <c r="C684" t="s">
        <v>16</v>
      </c>
      <c r="D684" t="s">
        <v>93</v>
      </c>
      <c r="E684" t="s">
        <v>56</v>
      </c>
      <c r="F684">
        <v>29</v>
      </c>
      <c r="G684" t="s">
        <v>61</v>
      </c>
      <c r="H684" t="s">
        <v>39</v>
      </c>
      <c r="I684" t="s">
        <v>101</v>
      </c>
      <c r="J684" t="s">
        <v>47</v>
      </c>
      <c r="K684">
        <v>4</v>
      </c>
      <c r="L684" t="s">
        <v>23</v>
      </c>
      <c r="M684" t="s">
        <v>23</v>
      </c>
      <c r="N684">
        <v>49</v>
      </c>
      <c r="O684" t="s">
        <v>34</v>
      </c>
      <c r="P684" t="s">
        <v>67</v>
      </c>
    </row>
    <row r="685" spans="1:16" ht="14.5" x14ac:dyDescent="0.35">
      <c r="A685">
        <v>684</v>
      </c>
      <c r="B685">
        <v>33</v>
      </c>
      <c r="C685" t="s">
        <v>16</v>
      </c>
      <c r="D685" t="s">
        <v>36</v>
      </c>
      <c r="E685" t="s">
        <v>37</v>
      </c>
      <c r="F685">
        <v>36</v>
      </c>
      <c r="G685" t="s">
        <v>142</v>
      </c>
      <c r="H685" t="s">
        <v>32</v>
      </c>
      <c r="I685" t="s">
        <v>74</v>
      </c>
      <c r="J685" t="s">
        <v>22</v>
      </c>
      <c r="K685">
        <v>2.7</v>
      </c>
      <c r="L685" t="s">
        <v>23</v>
      </c>
      <c r="M685" t="s">
        <v>23</v>
      </c>
      <c r="N685">
        <v>3</v>
      </c>
      <c r="O685" t="s">
        <v>66</v>
      </c>
      <c r="P685" t="s">
        <v>79</v>
      </c>
    </row>
    <row r="686" spans="1:16" ht="14.5" x14ac:dyDescent="0.35">
      <c r="A686">
        <v>685</v>
      </c>
      <c r="B686">
        <v>63</v>
      </c>
      <c r="C686" t="s">
        <v>16</v>
      </c>
      <c r="D686" t="s">
        <v>115</v>
      </c>
      <c r="E686" t="s">
        <v>60</v>
      </c>
      <c r="F686">
        <v>82</v>
      </c>
      <c r="G686" t="s">
        <v>81</v>
      </c>
      <c r="H686" t="s">
        <v>39</v>
      </c>
      <c r="I686" t="s">
        <v>125</v>
      </c>
      <c r="J686" t="s">
        <v>47</v>
      </c>
      <c r="K686">
        <v>4.7</v>
      </c>
      <c r="L686" t="s">
        <v>23</v>
      </c>
      <c r="M686" t="s">
        <v>23</v>
      </c>
      <c r="N686">
        <v>42</v>
      </c>
      <c r="O686" t="s">
        <v>77</v>
      </c>
      <c r="P686" t="s">
        <v>79</v>
      </c>
    </row>
    <row r="687" spans="1:16" ht="14.5" x14ac:dyDescent="0.35">
      <c r="A687">
        <v>686</v>
      </c>
      <c r="B687">
        <v>70</v>
      </c>
      <c r="C687" t="s">
        <v>16</v>
      </c>
      <c r="D687" t="s">
        <v>17</v>
      </c>
      <c r="E687" t="s">
        <v>18</v>
      </c>
      <c r="F687">
        <v>71</v>
      </c>
      <c r="G687" t="s">
        <v>31</v>
      </c>
      <c r="H687" t="s">
        <v>83</v>
      </c>
      <c r="I687" t="s">
        <v>127</v>
      </c>
      <c r="J687" t="s">
        <v>22</v>
      </c>
      <c r="K687">
        <v>3.5</v>
      </c>
      <c r="L687" t="s">
        <v>23</v>
      </c>
      <c r="M687" t="s">
        <v>23</v>
      </c>
      <c r="N687">
        <v>32</v>
      </c>
      <c r="O687" t="s">
        <v>29</v>
      </c>
      <c r="P687" t="s">
        <v>25</v>
      </c>
    </row>
    <row r="688" spans="1:16" ht="14.5" x14ac:dyDescent="0.35">
      <c r="A688">
        <v>687</v>
      </c>
      <c r="B688">
        <v>70</v>
      </c>
      <c r="C688" t="s">
        <v>16</v>
      </c>
      <c r="D688" t="s">
        <v>26</v>
      </c>
      <c r="E688" t="s">
        <v>18</v>
      </c>
      <c r="F688">
        <v>35</v>
      </c>
      <c r="G688" t="s">
        <v>107</v>
      </c>
      <c r="H688" t="s">
        <v>20</v>
      </c>
      <c r="I688" t="s">
        <v>109</v>
      </c>
      <c r="J688" t="s">
        <v>50</v>
      </c>
      <c r="K688">
        <v>3</v>
      </c>
      <c r="L688" t="s">
        <v>23</v>
      </c>
      <c r="M688" t="s">
        <v>23</v>
      </c>
      <c r="N688">
        <v>33</v>
      </c>
      <c r="O688" t="s">
        <v>24</v>
      </c>
      <c r="P688" t="s">
        <v>25</v>
      </c>
    </row>
    <row r="689" spans="1:16" ht="14.5" x14ac:dyDescent="0.35">
      <c r="A689">
        <v>688</v>
      </c>
      <c r="B689">
        <v>19</v>
      </c>
      <c r="C689" t="s">
        <v>16</v>
      </c>
      <c r="D689" t="s">
        <v>134</v>
      </c>
      <c r="E689" t="s">
        <v>60</v>
      </c>
      <c r="F689">
        <v>38</v>
      </c>
      <c r="G689" t="s">
        <v>57</v>
      </c>
      <c r="H689" t="s">
        <v>83</v>
      </c>
      <c r="I689" t="s">
        <v>42</v>
      </c>
      <c r="J689" t="s">
        <v>22</v>
      </c>
      <c r="K689">
        <v>3.3</v>
      </c>
      <c r="L689" t="s">
        <v>23</v>
      </c>
      <c r="M689" t="s">
        <v>23</v>
      </c>
      <c r="N689">
        <v>46</v>
      </c>
      <c r="O689" t="s">
        <v>66</v>
      </c>
      <c r="P689" t="s">
        <v>51</v>
      </c>
    </row>
    <row r="690" spans="1:16" ht="14.5" x14ac:dyDescent="0.35">
      <c r="A690">
        <v>689</v>
      </c>
      <c r="B690">
        <v>25</v>
      </c>
      <c r="C690" t="s">
        <v>16</v>
      </c>
      <c r="D690" t="s">
        <v>110</v>
      </c>
      <c r="E690" t="s">
        <v>60</v>
      </c>
      <c r="F690">
        <v>59</v>
      </c>
      <c r="G690" t="s">
        <v>142</v>
      </c>
      <c r="H690" t="s">
        <v>32</v>
      </c>
      <c r="I690" t="s">
        <v>91</v>
      </c>
      <c r="J690" t="s">
        <v>47</v>
      </c>
      <c r="K690">
        <v>4.7</v>
      </c>
      <c r="L690" t="s">
        <v>23</v>
      </c>
      <c r="M690" t="s">
        <v>23</v>
      </c>
      <c r="N690">
        <v>44</v>
      </c>
      <c r="O690" t="s">
        <v>24</v>
      </c>
      <c r="P690" t="s">
        <v>79</v>
      </c>
    </row>
    <row r="691" spans="1:16" ht="14.5" x14ac:dyDescent="0.35">
      <c r="A691">
        <v>690</v>
      </c>
      <c r="B691">
        <v>19</v>
      </c>
      <c r="C691" t="s">
        <v>16</v>
      </c>
      <c r="D691" t="s">
        <v>95</v>
      </c>
      <c r="E691" t="s">
        <v>18</v>
      </c>
      <c r="F691">
        <v>91</v>
      </c>
      <c r="G691" t="s">
        <v>129</v>
      </c>
      <c r="H691" t="s">
        <v>39</v>
      </c>
      <c r="I691" t="s">
        <v>112</v>
      </c>
      <c r="J691" t="s">
        <v>47</v>
      </c>
      <c r="K691">
        <v>4.7</v>
      </c>
      <c r="L691" t="s">
        <v>23</v>
      </c>
      <c r="M691" t="s">
        <v>23</v>
      </c>
      <c r="N691">
        <v>35</v>
      </c>
      <c r="O691" t="s">
        <v>34</v>
      </c>
      <c r="P691" t="s">
        <v>88</v>
      </c>
    </row>
    <row r="692" spans="1:16" ht="14.5" x14ac:dyDescent="0.35">
      <c r="A692">
        <v>691</v>
      </c>
      <c r="B692">
        <v>25</v>
      </c>
      <c r="C692" t="s">
        <v>16</v>
      </c>
      <c r="D692" t="s">
        <v>52</v>
      </c>
      <c r="E692" t="s">
        <v>18</v>
      </c>
      <c r="F692">
        <v>68</v>
      </c>
      <c r="G692" t="s">
        <v>111</v>
      </c>
      <c r="H692" t="s">
        <v>83</v>
      </c>
      <c r="I692" t="s">
        <v>99</v>
      </c>
      <c r="J692" t="s">
        <v>33</v>
      </c>
      <c r="K692">
        <v>4.8</v>
      </c>
      <c r="L692" t="s">
        <v>23</v>
      </c>
      <c r="M692" t="s">
        <v>23</v>
      </c>
      <c r="N692">
        <v>45</v>
      </c>
      <c r="O692" t="s">
        <v>66</v>
      </c>
      <c r="P692" t="s">
        <v>35</v>
      </c>
    </row>
    <row r="693" spans="1:16" ht="14.5" x14ac:dyDescent="0.35">
      <c r="A693">
        <v>692</v>
      </c>
      <c r="B693">
        <v>60</v>
      </c>
      <c r="C693" t="s">
        <v>16</v>
      </c>
      <c r="D693" t="s">
        <v>123</v>
      </c>
      <c r="E693" t="s">
        <v>60</v>
      </c>
      <c r="F693">
        <v>21</v>
      </c>
      <c r="G693" t="s">
        <v>31</v>
      </c>
      <c r="H693" t="s">
        <v>20</v>
      </c>
      <c r="I693" t="s">
        <v>58</v>
      </c>
      <c r="J693" t="s">
        <v>47</v>
      </c>
      <c r="K693">
        <v>2.9</v>
      </c>
      <c r="L693" t="s">
        <v>23</v>
      </c>
      <c r="M693" t="s">
        <v>23</v>
      </c>
      <c r="N693">
        <v>37</v>
      </c>
      <c r="O693" t="s">
        <v>40</v>
      </c>
      <c r="P693" t="s">
        <v>67</v>
      </c>
    </row>
    <row r="694" spans="1:16" ht="14.5" x14ac:dyDescent="0.35">
      <c r="A694">
        <v>693</v>
      </c>
      <c r="B694">
        <v>35</v>
      </c>
      <c r="C694" t="s">
        <v>16</v>
      </c>
      <c r="D694" t="s">
        <v>80</v>
      </c>
      <c r="E694" t="s">
        <v>60</v>
      </c>
      <c r="F694">
        <v>95</v>
      </c>
      <c r="G694" t="s">
        <v>105</v>
      </c>
      <c r="H694" t="s">
        <v>39</v>
      </c>
      <c r="I694" t="s">
        <v>100</v>
      </c>
      <c r="J694" t="s">
        <v>33</v>
      </c>
      <c r="K694">
        <v>4</v>
      </c>
      <c r="L694" t="s">
        <v>23</v>
      </c>
      <c r="M694" t="s">
        <v>23</v>
      </c>
      <c r="N694">
        <v>40</v>
      </c>
      <c r="O694" t="s">
        <v>77</v>
      </c>
      <c r="P694" t="s">
        <v>88</v>
      </c>
    </row>
    <row r="695" spans="1:16" ht="14.5" x14ac:dyDescent="0.35">
      <c r="A695">
        <v>694</v>
      </c>
      <c r="B695">
        <v>46</v>
      </c>
      <c r="C695" t="s">
        <v>16</v>
      </c>
      <c r="D695" t="s">
        <v>52</v>
      </c>
      <c r="E695" t="s">
        <v>18</v>
      </c>
      <c r="F695">
        <v>52</v>
      </c>
      <c r="G695" t="s">
        <v>120</v>
      </c>
      <c r="H695" t="s">
        <v>20</v>
      </c>
      <c r="I695" t="s">
        <v>42</v>
      </c>
      <c r="J695" t="s">
        <v>33</v>
      </c>
      <c r="K695">
        <v>3.1</v>
      </c>
      <c r="L695" t="s">
        <v>23</v>
      </c>
      <c r="M695" t="s">
        <v>23</v>
      </c>
      <c r="N695">
        <v>30</v>
      </c>
      <c r="O695" t="s">
        <v>29</v>
      </c>
      <c r="P695" t="s">
        <v>88</v>
      </c>
    </row>
    <row r="696" spans="1:16" ht="14.5" x14ac:dyDescent="0.35">
      <c r="A696">
        <v>695</v>
      </c>
      <c r="B696">
        <v>41</v>
      </c>
      <c r="C696" t="s">
        <v>16</v>
      </c>
      <c r="D696" t="s">
        <v>72</v>
      </c>
      <c r="E696" t="s">
        <v>18</v>
      </c>
      <c r="F696">
        <v>21</v>
      </c>
      <c r="G696" t="s">
        <v>19</v>
      </c>
      <c r="H696" t="s">
        <v>32</v>
      </c>
      <c r="I696" t="s">
        <v>54</v>
      </c>
      <c r="J696" t="s">
        <v>50</v>
      </c>
      <c r="K696">
        <v>3.5</v>
      </c>
      <c r="L696" t="s">
        <v>23</v>
      </c>
      <c r="M696" t="s">
        <v>23</v>
      </c>
      <c r="N696">
        <v>38</v>
      </c>
      <c r="O696" t="s">
        <v>24</v>
      </c>
      <c r="P696" t="s">
        <v>88</v>
      </c>
    </row>
    <row r="697" spans="1:16" ht="14.5" x14ac:dyDescent="0.35">
      <c r="A697">
        <v>696</v>
      </c>
      <c r="B697">
        <v>30</v>
      </c>
      <c r="C697" t="s">
        <v>16</v>
      </c>
      <c r="D697" t="s">
        <v>52</v>
      </c>
      <c r="E697" t="s">
        <v>18</v>
      </c>
      <c r="F697">
        <v>67</v>
      </c>
      <c r="G697" t="s">
        <v>98</v>
      </c>
      <c r="H697" t="s">
        <v>83</v>
      </c>
      <c r="I697" t="s">
        <v>91</v>
      </c>
      <c r="J697" t="s">
        <v>47</v>
      </c>
      <c r="K697">
        <v>3.7</v>
      </c>
      <c r="L697" t="s">
        <v>23</v>
      </c>
      <c r="M697" t="s">
        <v>23</v>
      </c>
      <c r="N697">
        <v>15</v>
      </c>
      <c r="O697" t="s">
        <v>77</v>
      </c>
      <c r="P697" t="s">
        <v>88</v>
      </c>
    </row>
    <row r="698" spans="1:16" ht="14.5" x14ac:dyDescent="0.35">
      <c r="A698">
        <v>697</v>
      </c>
      <c r="B698">
        <v>44</v>
      </c>
      <c r="C698" t="s">
        <v>16</v>
      </c>
      <c r="D698" t="s">
        <v>124</v>
      </c>
      <c r="E698" t="s">
        <v>60</v>
      </c>
      <c r="F698">
        <v>42</v>
      </c>
      <c r="G698" t="s">
        <v>131</v>
      </c>
      <c r="H698" t="s">
        <v>20</v>
      </c>
      <c r="I698" t="s">
        <v>87</v>
      </c>
      <c r="J698" t="s">
        <v>50</v>
      </c>
      <c r="K698">
        <v>2.8</v>
      </c>
      <c r="L698" t="s">
        <v>23</v>
      </c>
      <c r="M698" t="s">
        <v>23</v>
      </c>
      <c r="N698">
        <v>49</v>
      </c>
      <c r="O698" t="s">
        <v>29</v>
      </c>
      <c r="P698" t="s">
        <v>79</v>
      </c>
    </row>
    <row r="699" spans="1:16" ht="14.5" x14ac:dyDescent="0.35">
      <c r="A699">
        <v>698</v>
      </c>
      <c r="B699">
        <v>61</v>
      </c>
      <c r="C699" t="s">
        <v>16</v>
      </c>
      <c r="D699" t="s">
        <v>110</v>
      </c>
      <c r="E699" t="s">
        <v>60</v>
      </c>
      <c r="F699">
        <v>63</v>
      </c>
      <c r="G699" t="s">
        <v>105</v>
      </c>
      <c r="H699" t="s">
        <v>83</v>
      </c>
      <c r="I699" t="s">
        <v>101</v>
      </c>
      <c r="J699" t="s">
        <v>47</v>
      </c>
      <c r="K699">
        <v>4.5999999999999996</v>
      </c>
      <c r="L699" t="s">
        <v>23</v>
      </c>
      <c r="M699" t="s">
        <v>23</v>
      </c>
      <c r="N699">
        <v>40</v>
      </c>
      <c r="O699" t="s">
        <v>77</v>
      </c>
      <c r="P699" t="s">
        <v>51</v>
      </c>
    </row>
    <row r="700" spans="1:16" ht="14.5" x14ac:dyDescent="0.35">
      <c r="A700">
        <v>699</v>
      </c>
      <c r="B700">
        <v>55</v>
      </c>
      <c r="C700" t="s">
        <v>16</v>
      </c>
      <c r="D700" t="s">
        <v>128</v>
      </c>
      <c r="E700" t="s">
        <v>37</v>
      </c>
      <c r="F700">
        <v>41</v>
      </c>
      <c r="G700" t="s">
        <v>137</v>
      </c>
      <c r="H700" t="s">
        <v>39</v>
      </c>
      <c r="I700" t="s">
        <v>125</v>
      </c>
      <c r="J700" t="s">
        <v>22</v>
      </c>
      <c r="K700">
        <v>3.8</v>
      </c>
      <c r="L700" t="s">
        <v>23</v>
      </c>
      <c r="M700" t="s">
        <v>23</v>
      </c>
      <c r="N700">
        <v>40</v>
      </c>
      <c r="O700" t="s">
        <v>77</v>
      </c>
      <c r="P700" t="s">
        <v>35</v>
      </c>
    </row>
    <row r="701" spans="1:16" ht="14.5" x14ac:dyDescent="0.35">
      <c r="A701">
        <v>700</v>
      </c>
      <c r="B701">
        <v>50</v>
      </c>
      <c r="C701" t="s">
        <v>16</v>
      </c>
      <c r="D701" t="s">
        <v>59</v>
      </c>
      <c r="E701" t="s">
        <v>60</v>
      </c>
      <c r="F701">
        <v>46</v>
      </c>
      <c r="G701" t="s">
        <v>130</v>
      </c>
      <c r="H701" t="s">
        <v>39</v>
      </c>
      <c r="I701" t="s">
        <v>54</v>
      </c>
      <c r="J701" t="s">
        <v>50</v>
      </c>
      <c r="K701">
        <v>2.6</v>
      </c>
      <c r="L701" t="s">
        <v>23</v>
      </c>
      <c r="M701" t="s">
        <v>23</v>
      </c>
      <c r="N701">
        <v>5</v>
      </c>
      <c r="O701" t="s">
        <v>40</v>
      </c>
      <c r="P701" t="s">
        <v>35</v>
      </c>
    </row>
    <row r="702" spans="1:16" ht="14.5" x14ac:dyDescent="0.35">
      <c r="A702">
        <v>701</v>
      </c>
      <c r="B702">
        <v>57</v>
      </c>
      <c r="C702" t="s">
        <v>16</v>
      </c>
      <c r="D702" t="s">
        <v>86</v>
      </c>
      <c r="E702" t="s">
        <v>18</v>
      </c>
      <c r="F702">
        <v>79</v>
      </c>
      <c r="G702" t="s">
        <v>141</v>
      </c>
      <c r="H702" t="s">
        <v>20</v>
      </c>
      <c r="I702" t="s">
        <v>69</v>
      </c>
      <c r="J702" t="s">
        <v>22</v>
      </c>
      <c r="K702">
        <v>4.0999999999999996</v>
      </c>
      <c r="L702" t="s">
        <v>23</v>
      </c>
      <c r="M702" t="s">
        <v>23</v>
      </c>
      <c r="N702">
        <v>5</v>
      </c>
      <c r="O702" t="s">
        <v>40</v>
      </c>
      <c r="P702" t="s">
        <v>79</v>
      </c>
    </row>
    <row r="703" spans="1:16" ht="14.5" x14ac:dyDescent="0.35">
      <c r="A703">
        <v>702</v>
      </c>
      <c r="B703">
        <v>51</v>
      </c>
      <c r="C703" t="s">
        <v>16</v>
      </c>
      <c r="D703" t="s">
        <v>128</v>
      </c>
      <c r="E703" t="s">
        <v>37</v>
      </c>
      <c r="F703">
        <v>90</v>
      </c>
      <c r="G703" t="s">
        <v>126</v>
      </c>
      <c r="H703" t="s">
        <v>20</v>
      </c>
      <c r="I703" t="s">
        <v>99</v>
      </c>
      <c r="J703" t="s">
        <v>50</v>
      </c>
      <c r="K703">
        <v>3.3</v>
      </c>
      <c r="L703" t="s">
        <v>23</v>
      </c>
      <c r="M703" t="s">
        <v>23</v>
      </c>
      <c r="N703">
        <v>5</v>
      </c>
      <c r="O703" t="s">
        <v>77</v>
      </c>
      <c r="P703" t="s">
        <v>88</v>
      </c>
    </row>
    <row r="704" spans="1:16" ht="14.5" x14ac:dyDescent="0.35">
      <c r="A704">
        <v>703</v>
      </c>
      <c r="B704">
        <v>18</v>
      </c>
      <c r="C704" t="s">
        <v>16</v>
      </c>
      <c r="D704" t="s">
        <v>48</v>
      </c>
      <c r="E704" t="s">
        <v>18</v>
      </c>
      <c r="F704">
        <v>71</v>
      </c>
      <c r="G704" t="s">
        <v>49</v>
      </c>
      <c r="H704" t="s">
        <v>39</v>
      </c>
      <c r="I704" t="s">
        <v>46</v>
      </c>
      <c r="J704" t="s">
        <v>22</v>
      </c>
      <c r="K704">
        <v>3.4</v>
      </c>
      <c r="L704" t="s">
        <v>23</v>
      </c>
      <c r="M704" t="s">
        <v>23</v>
      </c>
      <c r="N704">
        <v>1</v>
      </c>
      <c r="O704" t="s">
        <v>29</v>
      </c>
      <c r="P704" t="s">
        <v>35</v>
      </c>
    </row>
    <row r="705" spans="1:16" ht="14.5" x14ac:dyDescent="0.35">
      <c r="A705">
        <v>704</v>
      </c>
      <c r="B705">
        <v>63</v>
      </c>
      <c r="C705" t="s">
        <v>16</v>
      </c>
      <c r="D705" t="s">
        <v>72</v>
      </c>
      <c r="E705" t="s">
        <v>18</v>
      </c>
      <c r="F705">
        <v>87</v>
      </c>
      <c r="G705" t="s">
        <v>130</v>
      </c>
      <c r="H705" t="s">
        <v>20</v>
      </c>
      <c r="I705" t="s">
        <v>62</v>
      </c>
      <c r="J705" t="s">
        <v>47</v>
      </c>
      <c r="K705">
        <v>3</v>
      </c>
      <c r="L705" t="s">
        <v>23</v>
      </c>
      <c r="M705" t="s">
        <v>23</v>
      </c>
      <c r="N705">
        <v>21</v>
      </c>
      <c r="O705" t="s">
        <v>24</v>
      </c>
      <c r="P705" t="s">
        <v>35</v>
      </c>
    </row>
    <row r="706" spans="1:16" ht="14.5" x14ac:dyDescent="0.35">
      <c r="A706">
        <v>705</v>
      </c>
      <c r="B706">
        <v>34</v>
      </c>
      <c r="C706" t="s">
        <v>16</v>
      </c>
      <c r="D706" t="s">
        <v>95</v>
      </c>
      <c r="E706" t="s">
        <v>18</v>
      </c>
      <c r="F706">
        <v>66</v>
      </c>
      <c r="G706" t="s">
        <v>126</v>
      </c>
      <c r="H706" t="s">
        <v>32</v>
      </c>
      <c r="I706" t="s">
        <v>85</v>
      </c>
      <c r="J706" t="s">
        <v>33</v>
      </c>
      <c r="K706">
        <v>3.2</v>
      </c>
      <c r="L706" t="s">
        <v>23</v>
      </c>
      <c r="M706" t="s">
        <v>23</v>
      </c>
      <c r="N706">
        <v>18</v>
      </c>
      <c r="O706" t="s">
        <v>40</v>
      </c>
      <c r="P706" t="s">
        <v>43</v>
      </c>
    </row>
    <row r="707" spans="1:16" ht="14.5" x14ac:dyDescent="0.35">
      <c r="A707">
        <v>706</v>
      </c>
      <c r="B707">
        <v>25</v>
      </c>
      <c r="C707" t="s">
        <v>16</v>
      </c>
      <c r="D707" t="s">
        <v>86</v>
      </c>
      <c r="E707" t="s">
        <v>18</v>
      </c>
      <c r="F707">
        <v>90</v>
      </c>
      <c r="G707" t="s">
        <v>64</v>
      </c>
      <c r="H707" t="s">
        <v>83</v>
      </c>
      <c r="I707" t="s">
        <v>117</v>
      </c>
      <c r="J707" t="s">
        <v>47</v>
      </c>
      <c r="K707">
        <v>4.5</v>
      </c>
      <c r="L707" t="s">
        <v>23</v>
      </c>
      <c r="M707" t="s">
        <v>23</v>
      </c>
      <c r="N707">
        <v>49</v>
      </c>
      <c r="O707" t="s">
        <v>29</v>
      </c>
      <c r="P707" t="s">
        <v>51</v>
      </c>
    </row>
    <row r="708" spans="1:16" ht="14.5" x14ac:dyDescent="0.35">
      <c r="A708">
        <v>707</v>
      </c>
      <c r="B708">
        <v>46</v>
      </c>
      <c r="C708" t="s">
        <v>16</v>
      </c>
      <c r="D708" t="s">
        <v>30</v>
      </c>
      <c r="E708" t="s">
        <v>18</v>
      </c>
      <c r="F708">
        <v>47</v>
      </c>
      <c r="G708" t="s">
        <v>137</v>
      </c>
      <c r="H708" t="s">
        <v>20</v>
      </c>
      <c r="I708" t="s">
        <v>42</v>
      </c>
      <c r="J708" t="s">
        <v>47</v>
      </c>
      <c r="K708">
        <v>4.8</v>
      </c>
      <c r="L708" t="s">
        <v>23</v>
      </c>
      <c r="M708" t="s">
        <v>23</v>
      </c>
      <c r="N708">
        <v>27</v>
      </c>
      <c r="O708" t="s">
        <v>77</v>
      </c>
      <c r="P708" t="s">
        <v>35</v>
      </c>
    </row>
    <row r="709" spans="1:16" ht="14.5" x14ac:dyDescent="0.35">
      <c r="A709">
        <v>708</v>
      </c>
      <c r="B709">
        <v>59</v>
      </c>
      <c r="C709" t="s">
        <v>16</v>
      </c>
      <c r="D709" t="s">
        <v>48</v>
      </c>
      <c r="E709" t="s">
        <v>18</v>
      </c>
      <c r="F709">
        <v>38</v>
      </c>
      <c r="G709" t="s">
        <v>53</v>
      </c>
      <c r="H709" t="s">
        <v>20</v>
      </c>
      <c r="I709" t="s">
        <v>65</v>
      </c>
      <c r="J709" t="s">
        <v>33</v>
      </c>
      <c r="K709">
        <v>3.7</v>
      </c>
      <c r="L709" t="s">
        <v>23</v>
      </c>
      <c r="M709" t="s">
        <v>23</v>
      </c>
      <c r="N709">
        <v>21</v>
      </c>
      <c r="O709" t="s">
        <v>24</v>
      </c>
      <c r="P709" t="s">
        <v>43</v>
      </c>
    </row>
    <row r="710" spans="1:16" ht="14.5" x14ac:dyDescent="0.35">
      <c r="A710">
        <v>709</v>
      </c>
      <c r="B710">
        <v>37</v>
      </c>
      <c r="C710" t="s">
        <v>16</v>
      </c>
      <c r="D710" t="s">
        <v>123</v>
      </c>
      <c r="E710" t="s">
        <v>60</v>
      </c>
      <c r="F710">
        <v>50</v>
      </c>
      <c r="G710" t="s">
        <v>19</v>
      </c>
      <c r="H710" t="s">
        <v>20</v>
      </c>
      <c r="I710" t="s">
        <v>109</v>
      </c>
      <c r="J710" t="s">
        <v>47</v>
      </c>
      <c r="K710">
        <v>3.4</v>
      </c>
      <c r="L710" t="s">
        <v>23</v>
      </c>
      <c r="M710" t="s">
        <v>23</v>
      </c>
      <c r="N710">
        <v>19</v>
      </c>
      <c r="O710" t="s">
        <v>29</v>
      </c>
      <c r="P710" t="s">
        <v>25</v>
      </c>
    </row>
    <row r="711" spans="1:16" ht="14.5" x14ac:dyDescent="0.35">
      <c r="A711">
        <v>710</v>
      </c>
      <c r="B711">
        <v>49</v>
      </c>
      <c r="C711" t="s">
        <v>16</v>
      </c>
      <c r="D711" t="s">
        <v>93</v>
      </c>
      <c r="E711" t="s">
        <v>56</v>
      </c>
      <c r="F711">
        <v>79</v>
      </c>
      <c r="G711" t="s">
        <v>31</v>
      </c>
      <c r="H711" t="s">
        <v>20</v>
      </c>
      <c r="I711" t="s">
        <v>54</v>
      </c>
      <c r="J711" t="s">
        <v>47</v>
      </c>
      <c r="K711">
        <v>4.5999999999999996</v>
      </c>
      <c r="L711" t="s">
        <v>23</v>
      </c>
      <c r="M711" t="s">
        <v>23</v>
      </c>
      <c r="N711">
        <v>23</v>
      </c>
      <c r="O711" t="s">
        <v>77</v>
      </c>
      <c r="P711" t="s">
        <v>79</v>
      </c>
    </row>
    <row r="712" spans="1:16" ht="14.5" x14ac:dyDescent="0.35">
      <c r="A712">
        <v>711</v>
      </c>
      <c r="B712">
        <v>22</v>
      </c>
      <c r="C712" t="s">
        <v>16</v>
      </c>
      <c r="D712" t="s">
        <v>110</v>
      </c>
      <c r="E712" t="s">
        <v>60</v>
      </c>
      <c r="F712">
        <v>91</v>
      </c>
      <c r="G712" t="s">
        <v>132</v>
      </c>
      <c r="H712" t="s">
        <v>20</v>
      </c>
      <c r="I712" t="s">
        <v>42</v>
      </c>
      <c r="J712" t="s">
        <v>33</v>
      </c>
      <c r="K712">
        <v>4.0999999999999996</v>
      </c>
      <c r="L712" t="s">
        <v>23</v>
      </c>
      <c r="M712" t="s">
        <v>23</v>
      </c>
      <c r="N712">
        <v>26</v>
      </c>
      <c r="O712" t="s">
        <v>40</v>
      </c>
      <c r="P712" t="s">
        <v>25</v>
      </c>
    </row>
    <row r="713" spans="1:16" ht="14.5" x14ac:dyDescent="0.35">
      <c r="A713">
        <v>712</v>
      </c>
      <c r="B713">
        <v>64</v>
      </c>
      <c r="C713" t="s">
        <v>16</v>
      </c>
      <c r="D713" t="s">
        <v>128</v>
      </c>
      <c r="E713" t="s">
        <v>37</v>
      </c>
      <c r="F713">
        <v>60</v>
      </c>
      <c r="G713" t="s">
        <v>73</v>
      </c>
      <c r="H713" t="s">
        <v>39</v>
      </c>
      <c r="I713" t="s">
        <v>28</v>
      </c>
      <c r="J713" t="s">
        <v>33</v>
      </c>
      <c r="K713">
        <v>3.5</v>
      </c>
      <c r="L713" t="s">
        <v>23</v>
      </c>
      <c r="M713" t="s">
        <v>23</v>
      </c>
      <c r="N713">
        <v>13</v>
      </c>
      <c r="O713" t="s">
        <v>66</v>
      </c>
      <c r="P713" t="s">
        <v>67</v>
      </c>
    </row>
    <row r="714" spans="1:16" ht="14.5" x14ac:dyDescent="0.35">
      <c r="A714">
        <v>713</v>
      </c>
      <c r="B714">
        <v>42</v>
      </c>
      <c r="C714" t="s">
        <v>16</v>
      </c>
      <c r="D714" t="s">
        <v>17</v>
      </c>
      <c r="E714" t="s">
        <v>18</v>
      </c>
      <c r="F714">
        <v>81</v>
      </c>
      <c r="G714" t="s">
        <v>73</v>
      </c>
      <c r="H714" t="s">
        <v>83</v>
      </c>
      <c r="I714" t="s">
        <v>85</v>
      </c>
      <c r="J714" t="s">
        <v>47</v>
      </c>
      <c r="K714">
        <v>3.8</v>
      </c>
      <c r="L714" t="s">
        <v>23</v>
      </c>
      <c r="M714" t="s">
        <v>23</v>
      </c>
      <c r="N714">
        <v>36</v>
      </c>
      <c r="O714" t="s">
        <v>66</v>
      </c>
      <c r="P714" t="s">
        <v>51</v>
      </c>
    </row>
    <row r="715" spans="1:16" ht="14.5" x14ac:dyDescent="0.35">
      <c r="A715">
        <v>714</v>
      </c>
      <c r="B715">
        <v>37</v>
      </c>
      <c r="C715" t="s">
        <v>16</v>
      </c>
      <c r="D715" t="s">
        <v>95</v>
      </c>
      <c r="E715" t="s">
        <v>18</v>
      </c>
      <c r="F715">
        <v>90</v>
      </c>
      <c r="G715" t="s">
        <v>41</v>
      </c>
      <c r="H715" t="s">
        <v>39</v>
      </c>
      <c r="I715" t="s">
        <v>84</v>
      </c>
      <c r="J715" t="s">
        <v>47</v>
      </c>
      <c r="K715">
        <v>2.6</v>
      </c>
      <c r="L715" t="s">
        <v>23</v>
      </c>
      <c r="M715" t="s">
        <v>23</v>
      </c>
      <c r="N715">
        <v>39</v>
      </c>
      <c r="O715" t="s">
        <v>66</v>
      </c>
      <c r="P715" t="s">
        <v>67</v>
      </c>
    </row>
    <row r="716" spans="1:16" ht="14.5" x14ac:dyDescent="0.35">
      <c r="A716">
        <v>715</v>
      </c>
      <c r="B716">
        <v>26</v>
      </c>
      <c r="C716" t="s">
        <v>16</v>
      </c>
      <c r="D716" t="s">
        <v>93</v>
      </c>
      <c r="E716" t="s">
        <v>56</v>
      </c>
      <c r="F716">
        <v>70</v>
      </c>
      <c r="G716" t="s">
        <v>138</v>
      </c>
      <c r="H716" t="s">
        <v>39</v>
      </c>
      <c r="I716" t="s">
        <v>127</v>
      </c>
      <c r="J716" t="s">
        <v>50</v>
      </c>
      <c r="K716">
        <v>4.4000000000000004</v>
      </c>
      <c r="L716" t="s">
        <v>23</v>
      </c>
      <c r="M716" t="s">
        <v>23</v>
      </c>
      <c r="N716">
        <v>40</v>
      </c>
      <c r="O716" t="s">
        <v>77</v>
      </c>
      <c r="P716" t="s">
        <v>25</v>
      </c>
    </row>
    <row r="717" spans="1:16" ht="14.5" x14ac:dyDescent="0.35">
      <c r="A717">
        <v>716</v>
      </c>
      <c r="B717">
        <v>33</v>
      </c>
      <c r="C717" t="s">
        <v>16</v>
      </c>
      <c r="D717" t="s">
        <v>30</v>
      </c>
      <c r="E717" t="s">
        <v>18</v>
      </c>
      <c r="F717">
        <v>63</v>
      </c>
      <c r="G717" t="s">
        <v>70</v>
      </c>
      <c r="H717" t="s">
        <v>20</v>
      </c>
      <c r="I717" t="s">
        <v>87</v>
      </c>
      <c r="J717" t="s">
        <v>33</v>
      </c>
      <c r="K717">
        <v>2.6</v>
      </c>
      <c r="L717" t="s">
        <v>23</v>
      </c>
      <c r="M717" t="s">
        <v>23</v>
      </c>
      <c r="N717">
        <v>37</v>
      </c>
      <c r="O717" t="s">
        <v>77</v>
      </c>
      <c r="P717" t="s">
        <v>51</v>
      </c>
    </row>
    <row r="718" spans="1:16" ht="14.5" x14ac:dyDescent="0.35">
      <c r="A718">
        <v>717</v>
      </c>
      <c r="B718">
        <v>30</v>
      </c>
      <c r="C718" t="s">
        <v>16</v>
      </c>
      <c r="D718" t="s">
        <v>97</v>
      </c>
      <c r="E718" t="s">
        <v>60</v>
      </c>
      <c r="F718">
        <v>29</v>
      </c>
      <c r="G718" t="s">
        <v>61</v>
      </c>
      <c r="H718" t="s">
        <v>39</v>
      </c>
      <c r="I718" t="s">
        <v>69</v>
      </c>
      <c r="J718" t="s">
        <v>33</v>
      </c>
      <c r="K718">
        <v>3.6</v>
      </c>
      <c r="L718" t="s">
        <v>23</v>
      </c>
      <c r="M718" t="s">
        <v>23</v>
      </c>
      <c r="N718">
        <v>9</v>
      </c>
      <c r="O718" t="s">
        <v>24</v>
      </c>
      <c r="P718" t="s">
        <v>67</v>
      </c>
    </row>
    <row r="719" spans="1:16" ht="14.5" x14ac:dyDescent="0.35">
      <c r="A719">
        <v>718</v>
      </c>
      <c r="B719">
        <v>21</v>
      </c>
      <c r="C719" t="s">
        <v>16</v>
      </c>
      <c r="D719" t="s">
        <v>116</v>
      </c>
      <c r="E719" t="s">
        <v>18</v>
      </c>
      <c r="F719">
        <v>90</v>
      </c>
      <c r="G719" t="s">
        <v>111</v>
      </c>
      <c r="H719" t="s">
        <v>20</v>
      </c>
      <c r="I719" t="s">
        <v>87</v>
      </c>
      <c r="J719" t="s">
        <v>33</v>
      </c>
      <c r="K719">
        <v>4.2</v>
      </c>
      <c r="L719" t="s">
        <v>23</v>
      </c>
      <c r="M719" t="s">
        <v>23</v>
      </c>
      <c r="N719">
        <v>7</v>
      </c>
      <c r="O719" t="s">
        <v>24</v>
      </c>
      <c r="P719" t="s">
        <v>88</v>
      </c>
    </row>
    <row r="720" spans="1:16" ht="14.5" x14ac:dyDescent="0.35">
      <c r="A720">
        <v>719</v>
      </c>
      <c r="B720">
        <v>22</v>
      </c>
      <c r="C720" t="s">
        <v>16</v>
      </c>
      <c r="D720" t="s">
        <v>48</v>
      </c>
      <c r="E720" t="s">
        <v>18</v>
      </c>
      <c r="F720">
        <v>22</v>
      </c>
      <c r="G720" t="s">
        <v>94</v>
      </c>
      <c r="H720" t="s">
        <v>39</v>
      </c>
      <c r="I720" t="s">
        <v>91</v>
      </c>
      <c r="J720" t="s">
        <v>47</v>
      </c>
      <c r="K720">
        <v>4.5999999999999996</v>
      </c>
      <c r="L720" t="s">
        <v>23</v>
      </c>
      <c r="M720" t="s">
        <v>23</v>
      </c>
      <c r="N720">
        <v>25</v>
      </c>
      <c r="O720" t="s">
        <v>66</v>
      </c>
      <c r="P720" t="s">
        <v>43</v>
      </c>
    </row>
    <row r="721" spans="1:16" ht="14.5" x14ac:dyDescent="0.35">
      <c r="A721">
        <v>720</v>
      </c>
      <c r="B721">
        <v>63</v>
      </c>
      <c r="C721" t="s">
        <v>16</v>
      </c>
      <c r="D721" t="s">
        <v>52</v>
      </c>
      <c r="E721" t="s">
        <v>18</v>
      </c>
      <c r="F721">
        <v>22</v>
      </c>
      <c r="G721" t="s">
        <v>82</v>
      </c>
      <c r="H721" t="s">
        <v>20</v>
      </c>
      <c r="I721" t="s">
        <v>42</v>
      </c>
      <c r="J721" t="s">
        <v>47</v>
      </c>
      <c r="K721">
        <v>3.3</v>
      </c>
      <c r="L721" t="s">
        <v>23</v>
      </c>
      <c r="M721" t="s">
        <v>23</v>
      </c>
      <c r="N721">
        <v>42</v>
      </c>
      <c r="O721" t="s">
        <v>24</v>
      </c>
      <c r="P721" t="s">
        <v>67</v>
      </c>
    </row>
    <row r="722" spans="1:16" ht="14.5" x14ac:dyDescent="0.35">
      <c r="A722">
        <v>721</v>
      </c>
      <c r="B722">
        <v>33</v>
      </c>
      <c r="C722" t="s">
        <v>16</v>
      </c>
      <c r="D722" t="s">
        <v>97</v>
      </c>
      <c r="E722" t="s">
        <v>60</v>
      </c>
      <c r="F722">
        <v>62</v>
      </c>
      <c r="G722" t="s">
        <v>121</v>
      </c>
      <c r="H722" t="s">
        <v>20</v>
      </c>
      <c r="I722" t="s">
        <v>112</v>
      </c>
      <c r="J722" t="s">
        <v>50</v>
      </c>
      <c r="K722">
        <v>3.4</v>
      </c>
      <c r="L722" t="s">
        <v>23</v>
      </c>
      <c r="M722" t="s">
        <v>23</v>
      </c>
      <c r="N722">
        <v>19</v>
      </c>
      <c r="O722" t="s">
        <v>77</v>
      </c>
      <c r="P722" t="s">
        <v>35</v>
      </c>
    </row>
    <row r="723" spans="1:16" ht="14.5" x14ac:dyDescent="0.35">
      <c r="A723">
        <v>722</v>
      </c>
      <c r="B723">
        <v>43</v>
      </c>
      <c r="C723" t="s">
        <v>16</v>
      </c>
      <c r="D723" t="s">
        <v>17</v>
      </c>
      <c r="E723" t="s">
        <v>18</v>
      </c>
      <c r="F723">
        <v>57</v>
      </c>
      <c r="G723" t="s">
        <v>90</v>
      </c>
      <c r="H723" t="s">
        <v>20</v>
      </c>
      <c r="I723" t="s">
        <v>58</v>
      </c>
      <c r="J723" t="s">
        <v>47</v>
      </c>
      <c r="K723">
        <v>4.4000000000000004</v>
      </c>
      <c r="L723" t="s">
        <v>23</v>
      </c>
      <c r="M723" t="s">
        <v>23</v>
      </c>
      <c r="N723">
        <v>41</v>
      </c>
      <c r="O723" t="s">
        <v>77</v>
      </c>
      <c r="P723" t="s">
        <v>88</v>
      </c>
    </row>
    <row r="724" spans="1:16" ht="14.5" x14ac:dyDescent="0.35">
      <c r="A724">
        <v>723</v>
      </c>
      <c r="B724">
        <v>27</v>
      </c>
      <c r="C724" t="s">
        <v>16</v>
      </c>
      <c r="D724" t="s">
        <v>26</v>
      </c>
      <c r="E724" t="s">
        <v>18</v>
      </c>
      <c r="F724">
        <v>32</v>
      </c>
      <c r="G724" t="s">
        <v>45</v>
      </c>
      <c r="H724" t="s">
        <v>32</v>
      </c>
      <c r="I724" t="s">
        <v>135</v>
      </c>
      <c r="J724" t="s">
        <v>47</v>
      </c>
      <c r="K724">
        <v>4.3</v>
      </c>
      <c r="L724" t="s">
        <v>23</v>
      </c>
      <c r="M724" t="s">
        <v>23</v>
      </c>
      <c r="N724">
        <v>50</v>
      </c>
      <c r="O724" t="s">
        <v>29</v>
      </c>
      <c r="P724" t="s">
        <v>67</v>
      </c>
    </row>
    <row r="725" spans="1:16" ht="14.5" x14ac:dyDescent="0.35">
      <c r="A725">
        <v>724</v>
      </c>
      <c r="B725">
        <v>35</v>
      </c>
      <c r="C725" t="s">
        <v>16</v>
      </c>
      <c r="D725" t="s">
        <v>97</v>
      </c>
      <c r="E725" t="s">
        <v>60</v>
      </c>
      <c r="F725">
        <v>53</v>
      </c>
      <c r="G725" t="s">
        <v>61</v>
      </c>
      <c r="H725" t="s">
        <v>20</v>
      </c>
      <c r="I725" t="s">
        <v>100</v>
      </c>
      <c r="J725" t="s">
        <v>50</v>
      </c>
      <c r="K725">
        <v>3.5</v>
      </c>
      <c r="L725" t="s">
        <v>23</v>
      </c>
      <c r="M725" t="s">
        <v>23</v>
      </c>
      <c r="N725">
        <v>43</v>
      </c>
      <c r="O725" t="s">
        <v>40</v>
      </c>
      <c r="P725" t="s">
        <v>79</v>
      </c>
    </row>
    <row r="726" spans="1:16" ht="14.5" x14ac:dyDescent="0.35">
      <c r="A726">
        <v>725</v>
      </c>
      <c r="B726">
        <v>37</v>
      </c>
      <c r="C726" t="s">
        <v>16</v>
      </c>
      <c r="D726" t="s">
        <v>104</v>
      </c>
      <c r="E726" t="s">
        <v>18</v>
      </c>
      <c r="F726">
        <v>79</v>
      </c>
      <c r="G726" t="s">
        <v>73</v>
      </c>
      <c r="H726" t="s">
        <v>83</v>
      </c>
      <c r="I726" t="s">
        <v>87</v>
      </c>
      <c r="J726" t="s">
        <v>50</v>
      </c>
      <c r="K726">
        <v>4.7</v>
      </c>
      <c r="L726" t="s">
        <v>23</v>
      </c>
      <c r="M726" t="s">
        <v>23</v>
      </c>
      <c r="N726">
        <v>36</v>
      </c>
      <c r="O726" t="s">
        <v>24</v>
      </c>
      <c r="P726" t="s">
        <v>88</v>
      </c>
    </row>
    <row r="727" spans="1:16" ht="14.5" x14ac:dyDescent="0.35">
      <c r="A727">
        <v>726</v>
      </c>
      <c r="B727">
        <v>61</v>
      </c>
      <c r="C727" t="s">
        <v>16</v>
      </c>
      <c r="D727" t="s">
        <v>115</v>
      </c>
      <c r="E727" t="s">
        <v>60</v>
      </c>
      <c r="F727">
        <v>61</v>
      </c>
      <c r="G727" t="s">
        <v>96</v>
      </c>
      <c r="H727" t="s">
        <v>20</v>
      </c>
      <c r="I727" t="s">
        <v>58</v>
      </c>
      <c r="J727" t="s">
        <v>22</v>
      </c>
      <c r="K727">
        <v>3.1</v>
      </c>
      <c r="L727" t="s">
        <v>23</v>
      </c>
      <c r="M727" t="s">
        <v>23</v>
      </c>
      <c r="N727">
        <v>33</v>
      </c>
      <c r="O727" t="s">
        <v>77</v>
      </c>
      <c r="P727" t="s">
        <v>25</v>
      </c>
    </row>
    <row r="728" spans="1:16" ht="14.5" x14ac:dyDescent="0.35">
      <c r="A728">
        <v>727</v>
      </c>
      <c r="B728">
        <v>32</v>
      </c>
      <c r="C728" t="s">
        <v>16</v>
      </c>
      <c r="D728" t="s">
        <v>52</v>
      </c>
      <c r="E728" t="s">
        <v>18</v>
      </c>
      <c r="F728">
        <v>78</v>
      </c>
      <c r="G728" t="s">
        <v>105</v>
      </c>
      <c r="H728" t="s">
        <v>20</v>
      </c>
      <c r="I728" t="s">
        <v>125</v>
      </c>
      <c r="J728" t="s">
        <v>47</v>
      </c>
      <c r="K728">
        <v>3.6</v>
      </c>
      <c r="L728" t="s">
        <v>23</v>
      </c>
      <c r="M728" t="s">
        <v>23</v>
      </c>
      <c r="N728">
        <v>20</v>
      </c>
      <c r="O728" t="s">
        <v>66</v>
      </c>
      <c r="P728" t="s">
        <v>88</v>
      </c>
    </row>
    <row r="729" spans="1:16" ht="14.5" x14ac:dyDescent="0.35">
      <c r="A729">
        <v>728</v>
      </c>
      <c r="B729">
        <v>62</v>
      </c>
      <c r="C729" t="s">
        <v>16</v>
      </c>
      <c r="D729" t="s">
        <v>26</v>
      </c>
      <c r="E729" t="s">
        <v>18</v>
      </c>
      <c r="F729">
        <v>97</v>
      </c>
      <c r="G729" t="s">
        <v>64</v>
      </c>
      <c r="H729" t="s">
        <v>32</v>
      </c>
      <c r="I729" t="s">
        <v>21</v>
      </c>
      <c r="J729" t="s">
        <v>22</v>
      </c>
      <c r="K729">
        <v>4.8</v>
      </c>
      <c r="L729" t="s">
        <v>23</v>
      </c>
      <c r="M729" t="s">
        <v>23</v>
      </c>
      <c r="N729">
        <v>37</v>
      </c>
      <c r="O729" t="s">
        <v>24</v>
      </c>
      <c r="P729" t="s">
        <v>88</v>
      </c>
    </row>
    <row r="730" spans="1:16" ht="14.5" x14ac:dyDescent="0.35">
      <c r="A730">
        <v>729</v>
      </c>
      <c r="B730">
        <v>29</v>
      </c>
      <c r="C730" t="s">
        <v>16</v>
      </c>
      <c r="D730" t="s">
        <v>30</v>
      </c>
      <c r="E730" t="s">
        <v>18</v>
      </c>
      <c r="F730">
        <v>78</v>
      </c>
      <c r="G730" t="s">
        <v>136</v>
      </c>
      <c r="H730" t="s">
        <v>39</v>
      </c>
      <c r="I730" t="s">
        <v>62</v>
      </c>
      <c r="J730" t="s">
        <v>22</v>
      </c>
      <c r="K730">
        <v>3.7</v>
      </c>
      <c r="L730" t="s">
        <v>23</v>
      </c>
      <c r="M730" t="s">
        <v>23</v>
      </c>
      <c r="N730">
        <v>12</v>
      </c>
      <c r="O730" t="s">
        <v>40</v>
      </c>
      <c r="P730" t="s">
        <v>88</v>
      </c>
    </row>
    <row r="731" spans="1:16" ht="14.5" x14ac:dyDescent="0.35">
      <c r="A731">
        <v>730</v>
      </c>
      <c r="B731">
        <v>41</v>
      </c>
      <c r="C731" t="s">
        <v>16</v>
      </c>
      <c r="D731" t="s">
        <v>80</v>
      </c>
      <c r="E731" t="s">
        <v>60</v>
      </c>
      <c r="F731">
        <v>56</v>
      </c>
      <c r="G731" t="s">
        <v>139</v>
      </c>
      <c r="H731" t="s">
        <v>20</v>
      </c>
      <c r="I731" t="s">
        <v>109</v>
      </c>
      <c r="J731" t="s">
        <v>47</v>
      </c>
      <c r="K731">
        <v>3.2</v>
      </c>
      <c r="L731" t="s">
        <v>23</v>
      </c>
      <c r="M731" t="s">
        <v>23</v>
      </c>
      <c r="N731">
        <v>46</v>
      </c>
      <c r="O731" t="s">
        <v>40</v>
      </c>
      <c r="P731" t="s">
        <v>88</v>
      </c>
    </row>
    <row r="732" spans="1:16" ht="14.5" x14ac:dyDescent="0.35">
      <c r="A732">
        <v>731</v>
      </c>
      <c r="B732">
        <v>48</v>
      </c>
      <c r="C732" t="s">
        <v>16</v>
      </c>
      <c r="D732" t="s">
        <v>128</v>
      </c>
      <c r="E732" t="s">
        <v>37</v>
      </c>
      <c r="F732">
        <v>25</v>
      </c>
      <c r="G732" t="s">
        <v>31</v>
      </c>
      <c r="H732" t="s">
        <v>39</v>
      </c>
      <c r="I732" t="s">
        <v>117</v>
      </c>
      <c r="J732" t="s">
        <v>47</v>
      </c>
      <c r="K732">
        <v>3.9</v>
      </c>
      <c r="L732" t="s">
        <v>23</v>
      </c>
      <c r="M732" t="s">
        <v>23</v>
      </c>
      <c r="N732">
        <v>28</v>
      </c>
      <c r="O732" t="s">
        <v>24</v>
      </c>
      <c r="P732" t="s">
        <v>25</v>
      </c>
    </row>
    <row r="733" spans="1:16" ht="14.5" x14ac:dyDescent="0.35">
      <c r="A733">
        <v>732</v>
      </c>
      <c r="B733">
        <v>43</v>
      </c>
      <c r="C733" t="s">
        <v>16</v>
      </c>
      <c r="D733" t="s">
        <v>55</v>
      </c>
      <c r="E733" t="s">
        <v>56</v>
      </c>
      <c r="F733">
        <v>28</v>
      </c>
      <c r="G733" t="s">
        <v>64</v>
      </c>
      <c r="H733" t="s">
        <v>39</v>
      </c>
      <c r="I733" t="s">
        <v>99</v>
      </c>
      <c r="J733" t="s">
        <v>33</v>
      </c>
      <c r="K733">
        <v>3.5</v>
      </c>
      <c r="L733" t="s">
        <v>23</v>
      </c>
      <c r="M733" t="s">
        <v>23</v>
      </c>
      <c r="N733">
        <v>30</v>
      </c>
      <c r="O733" t="s">
        <v>40</v>
      </c>
      <c r="P733" t="s">
        <v>25</v>
      </c>
    </row>
    <row r="734" spans="1:16" ht="14.5" x14ac:dyDescent="0.35">
      <c r="A734">
        <v>733</v>
      </c>
      <c r="B734">
        <v>34</v>
      </c>
      <c r="C734" t="s">
        <v>16</v>
      </c>
      <c r="D734" t="s">
        <v>48</v>
      </c>
      <c r="E734" t="s">
        <v>18</v>
      </c>
      <c r="F734">
        <v>57</v>
      </c>
      <c r="G734" t="s">
        <v>73</v>
      </c>
      <c r="H734" t="s">
        <v>20</v>
      </c>
      <c r="I734" t="s">
        <v>135</v>
      </c>
      <c r="J734" t="s">
        <v>33</v>
      </c>
      <c r="K734">
        <v>2.8</v>
      </c>
      <c r="L734" t="s">
        <v>23</v>
      </c>
      <c r="M734" t="s">
        <v>23</v>
      </c>
      <c r="N734">
        <v>28</v>
      </c>
      <c r="O734" t="s">
        <v>29</v>
      </c>
      <c r="P734" t="s">
        <v>67</v>
      </c>
    </row>
    <row r="735" spans="1:16" ht="14.5" x14ac:dyDescent="0.35">
      <c r="A735">
        <v>734</v>
      </c>
      <c r="B735">
        <v>45</v>
      </c>
      <c r="C735" t="s">
        <v>16</v>
      </c>
      <c r="D735" t="s">
        <v>72</v>
      </c>
      <c r="E735" t="s">
        <v>18</v>
      </c>
      <c r="F735">
        <v>36</v>
      </c>
      <c r="G735" t="s">
        <v>38</v>
      </c>
      <c r="H735" t="s">
        <v>20</v>
      </c>
      <c r="I735" t="s">
        <v>100</v>
      </c>
      <c r="J735" t="s">
        <v>50</v>
      </c>
      <c r="K735">
        <v>2.7</v>
      </c>
      <c r="L735" t="s">
        <v>23</v>
      </c>
      <c r="M735" t="s">
        <v>23</v>
      </c>
      <c r="N735">
        <v>20</v>
      </c>
      <c r="O735" t="s">
        <v>77</v>
      </c>
      <c r="P735" t="s">
        <v>67</v>
      </c>
    </row>
    <row r="736" spans="1:16" ht="14.5" x14ac:dyDescent="0.35">
      <c r="A736">
        <v>735</v>
      </c>
      <c r="B736">
        <v>65</v>
      </c>
      <c r="C736" t="s">
        <v>16</v>
      </c>
      <c r="D736" t="s">
        <v>48</v>
      </c>
      <c r="E736" t="s">
        <v>18</v>
      </c>
      <c r="F736">
        <v>69</v>
      </c>
      <c r="G736" t="s">
        <v>118</v>
      </c>
      <c r="H736" t="s">
        <v>32</v>
      </c>
      <c r="I736" t="s">
        <v>74</v>
      </c>
      <c r="J736" t="s">
        <v>22</v>
      </c>
      <c r="K736">
        <v>3.1</v>
      </c>
      <c r="L736" t="s">
        <v>23</v>
      </c>
      <c r="M736" t="s">
        <v>23</v>
      </c>
      <c r="N736">
        <v>39</v>
      </c>
      <c r="O736" t="s">
        <v>66</v>
      </c>
      <c r="P736" t="s">
        <v>88</v>
      </c>
    </row>
    <row r="737" spans="1:16" ht="14.5" x14ac:dyDescent="0.35">
      <c r="A737">
        <v>736</v>
      </c>
      <c r="B737">
        <v>61</v>
      </c>
      <c r="C737" t="s">
        <v>16</v>
      </c>
      <c r="D737" t="s">
        <v>80</v>
      </c>
      <c r="E737" t="s">
        <v>60</v>
      </c>
      <c r="F737">
        <v>48</v>
      </c>
      <c r="G737" t="s">
        <v>49</v>
      </c>
      <c r="H737" t="s">
        <v>39</v>
      </c>
      <c r="I737" t="s">
        <v>112</v>
      </c>
      <c r="J737" t="s">
        <v>50</v>
      </c>
      <c r="K737">
        <v>3.6</v>
      </c>
      <c r="L737" t="s">
        <v>23</v>
      </c>
      <c r="M737" t="s">
        <v>23</v>
      </c>
      <c r="N737">
        <v>48</v>
      </c>
      <c r="O737" t="s">
        <v>29</v>
      </c>
      <c r="P737" t="s">
        <v>67</v>
      </c>
    </row>
    <row r="738" spans="1:16" ht="14.5" x14ac:dyDescent="0.35">
      <c r="A738">
        <v>737</v>
      </c>
      <c r="B738">
        <v>18</v>
      </c>
      <c r="C738" t="s">
        <v>16</v>
      </c>
      <c r="D738" t="s">
        <v>72</v>
      </c>
      <c r="E738" t="s">
        <v>18</v>
      </c>
      <c r="F738">
        <v>58</v>
      </c>
      <c r="G738" t="s">
        <v>103</v>
      </c>
      <c r="H738" t="s">
        <v>20</v>
      </c>
      <c r="I738" t="s">
        <v>28</v>
      </c>
      <c r="J738" t="s">
        <v>33</v>
      </c>
      <c r="K738">
        <v>2.9</v>
      </c>
      <c r="L738" t="s">
        <v>23</v>
      </c>
      <c r="M738" t="s">
        <v>23</v>
      </c>
      <c r="N738">
        <v>32</v>
      </c>
      <c r="O738" t="s">
        <v>34</v>
      </c>
      <c r="P738" t="s">
        <v>88</v>
      </c>
    </row>
    <row r="739" spans="1:16" ht="14.5" x14ac:dyDescent="0.35">
      <c r="A739">
        <v>738</v>
      </c>
      <c r="B739">
        <v>47</v>
      </c>
      <c r="C739" t="s">
        <v>16</v>
      </c>
      <c r="D739" t="s">
        <v>80</v>
      </c>
      <c r="E739" t="s">
        <v>60</v>
      </c>
      <c r="F739">
        <v>24</v>
      </c>
      <c r="G739" t="s">
        <v>136</v>
      </c>
      <c r="H739" t="s">
        <v>39</v>
      </c>
      <c r="I739" t="s">
        <v>76</v>
      </c>
      <c r="J739" t="s">
        <v>33</v>
      </c>
      <c r="K739">
        <v>3.6</v>
      </c>
      <c r="L739" t="s">
        <v>23</v>
      </c>
      <c r="M739" t="s">
        <v>23</v>
      </c>
      <c r="N739">
        <v>28</v>
      </c>
      <c r="O739" t="s">
        <v>40</v>
      </c>
      <c r="P739" t="s">
        <v>43</v>
      </c>
    </row>
    <row r="740" spans="1:16" ht="14.5" x14ac:dyDescent="0.35">
      <c r="A740">
        <v>739</v>
      </c>
      <c r="B740">
        <v>56</v>
      </c>
      <c r="C740" t="s">
        <v>16</v>
      </c>
      <c r="D740" t="s">
        <v>80</v>
      </c>
      <c r="E740" t="s">
        <v>60</v>
      </c>
      <c r="F740">
        <v>31</v>
      </c>
      <c r="G740" t="s">
        <v>139</v>
      </c>
      <c r="H740" t="s">
        <v>20</v>
      </c>
      <c r="I740" t="s">
        <v>112</v>
      </c>
      <c r="J740" t="s">
        <v>22</v>
      </c>
      <c r="K740">
        <v>3.5</v>
      </c>
      <c r="L740" t="s">
        <v>23</v>
      </c>
      <c r="M740" t="s">
        <v>23</v>
      </c>
      <c r="N740">
        <v>27</v>
      </c>
      <c r="O740" t="s">
        <v>24</v>
      </c>
      <c r="P740" t="s">
        <v>51</v>
      </c>
    </row>
    <row r="741" spans="1:16" ht="14.5" x14ac:dyDescent="0.35">
      <c r="A741">
        <v>740</v>
      </c>
      <c r="B741">
        <v>64</v>
      </c>
      <c r="C741" t="s">
        <v>16</v>
      </c>
      <c r="D741" t="s">
        <v>52</v>
      </c>
      <c r="E741" t="s">
        <v>18</v>
      </c>
      <c r="F741">
        <v>29</v>
      </c>
      <c r="G741" t="s">
        <v>139</v>
      </c>
      <c r="H741" t="s">
        <v>32</v>
      </c>
      <c r="I741" t="s">
        <v>65</v>
      </c>
      <c r="J741" t="s">
        <v>47</v>
      </c>
      <c r="K741">
        <v>3.5</v>
      </c>
      <c r="L741" t="s">
        <v>23</v>
      </c>
      <c r="M741" t="s">
        <v>23</v>
      </c>
      <c r="N741">
        <v>26</v>
      </c>
      <c r="O741" t="s">
        <v>24</v>
      </c>
      <c r="P741" t="s">
        <v>67</v>
      </c>
    </row>
    <row r="742" spans="1:16" ht="14.5" x14ac:dyDescent="0.35">
      <c r="A742">
        <v>741</v>
      </c>
      <c r="B742">
        <v>26</v>
      </c>
      <c r="C742" t="s">
        <v>16</v>
      </c>
      <c r="D742" t="s">
        <v>30</v>
      </c>
      <c r="E742" t="s">
        <v>18</v>
      </c>
      <c r="F742">
        <v>69</v>
      </c>
      <c r="G742" t="s">
        <v>138</v>
      </c>
      <c r="H742" t="s">
        <v>39</v>
      </c>
      <c r="I742" t="s">
        <v>112</v>
      </c>
      <c r="J742" t="s">
        <v>47</v>
      </c>
      <c r="K742">
        <v>2.8</v>
      </c>
      <c r="L742" t="s">
        <v>23</v>
      </c>
      <c r="M742" t="s">
        <v>23</v>
      </c>
      <c r="N742">
        <v>22</v>
      </c>
      <c r="O742" t="s">
        <v>34</v>
      </c>
      <c r="P742" t="s">
        <v>25</v>
      </c>
    </row>
    <row r="743" spans="1:16" ht="14.5" x14ac:dyDescent="0.35">
      <c r="A743">
        <v>742</v>
      </c>
      <c r="B743">
        <v>22</v>
      </c>
      <c r="C743" t="s">
        <v>16</v>
      </c>
      <c r="D743" t="s">
        <v>104</v>
      </c>
      <c r="E743" t="s">
        <v>18</v>
      </c>
      <c r="F743">
        <v>79</v>
      </c>
      <c r="G743" t="s">
        <v>57</v>
      </c>
      <c r="H743" t="s">
        <v>83</v>
      </c>
      <c r="I743" t="s">
        <v>125</v>
      </c>
      <c r="J743" t="s">
        <v>47</v>
      </c>
      <c r="K743">
        <v>4.7</v>
      </c>
      <c r="L743" t="s">
        <v>23</v>
      </c>
      <c r="M743" t="s">
        <v>23</v>
      </c>
      <c r="N743">
        <v>23</v>
      </c>
      <c r="O743" t="s">
        <v>66</v>
      </c>
      <c r="P743" t="s">
        <v>88</v>
      </c>
    </row>
    <row r="744" spans="1:16" ht="14.5" x14ac:dyDescent="0.35">
      <c r="A744">
        <v>743</v>
      </c>
      <c r="B744">
        <v>64</v>
      </c>
      <c r="C744" t="s">
        <v>16</v>
      </c>
      <c r="D744" t="s">
        <v>86</v>
      </c>
      <c r="E744" t="s">
        <v>18</v>
      </c>
      <c r="F744">
        <v>39</v>
      </c>
      <c r="G744" t="s">
        <v>98</v>
      </c>
      <c r="H744" t="s">
        <v>39</v>
      </c>
      <c r="I744" t="s">
        <v>54</v>
      </c>
      <c r="J744" t="s">
        <v>47</v>
      </c>
      <c r="K744">
        <v>3.1</v>
      </c>
      <c r="L744" t="s">
        <v>23</v>
      </c>
      <c r="M744" t="s">
        <v>23</v>
      </c>
      <c r="N744">
        <v>21</v>
      </c>
      <c r="O744" t="s">
        <v>77</v>
      </c>
      <c r="P744" t="s">
        <v>51</v>
      </c>
    </row>
    <row r="745" spans="1:16" ht="14.5" x14ac:dyDescent="0.35">
      <c r="A745">
        <v>744</v>
      </c>
      <c r="B745">
        <v>21</v>
      </c>
      <c r="C745" t="s">
        <v>16</v>
      </c>
      <c r="D745" t="s">
        <v>80</v>
      </c>
      <c r="E745" t="s">
        <v>60</v>
      </c>
      <c r="F745">
        <v>84</v>
      </c>
      <c r="G745" t="s">
        <v>89</v>
      </c>
      <c r="H745" t="s">
        <v>20</v>
      </c>
      <c r="I745" t="s">
        <v>21</v>
      </c>
      <c r="J745" t="s">
        <v>50</v>
      </c>
      <c r="K745">
        <v>4.9000000000000004</v>
      </c>
      <c r="L745" t="s">
        <v>23</v>
      </c>
      <c r="M745" t="s">
        <v>23</v>
      </c>
      <c r="N745">
        <v>36</v>
      </c>
      <c r="O745" t="s">
        <v>29</v>
      </c>
      <c r="P745" t="s">
        <v>35</v>
      </c>
    </row>
    <row r="746" spans="1:16" ht="14.5" x14ac:dyDescent="0.35">
      <c r="A746">
        <v>745</v>
      </c>
      <c r="B746">
        <v>67</v>
      </c>
      <c r="C746" t="s">
        <v>16</v>
      </c>
      <c r="D746" t="s">
        <v>128</v>
      </c>
      <c r="E746" t="s">
        <v>37</v>
      </c>
      <c r="F746">
        <v>66</v>
      </c>
      <c r="G746" t="s">
        <v>106</v>
      </c>
      <c r="H746" t="s">
        <v>32</v>
      </c>
      <c r="I746" t="s">
        <v>54</v>
      </c>
      <c r="J746" t="s">
        <v>33</v>
      </c>
      <c r="K746">
        <v>4.0999999999999996</v>
      </c>
      <c r="L746" t="s">
        <v>23</v>
      </c>
      <c r="M746" t="s">
        <v>23</v>
      </c>
      <c r="N746">
        <v>42</v>
      </c>
      <c r="O746" t="s">
        <v>77</v>
      </c>
      <c r="P746" t="s">
        <v>67</v>
      </c>
    </row>
    <row r="747" spans="1:16" ht="14.5" x14ac:dyDescent="0.35">
      <c r="A747">
        <v>746</v>
      </c>
      <c r="B747">
        <v>46</v>
      </c>
      <c r="C747" t="s">
        <v>16</v>
      </c>
      <c r="D747" t="s">
        <v>104</v>
      </c>
      <c r="E747" t="s">
        <v>18</v>
      </c>
      <c r="F747">
        <v>92</v>
      </c>
      <c r="G747" t="s">
        <v>142</v>
      </c>
      <c r="H747" t="s">
        <v>20</v>
      </c>
      <c r="I747" t="s">
        <v>112</v>
      </c>
      <c r="J747" t="s">
        <v>50</v>
      </c>
      <c r="K747">
        <v>4.7</v>
      </c>
      <c r="L747" t="s">
        <v>23</v>
      </c>
      <c r="M747" t="s">
        <v>23</v>
      </c>
      <c r="N747">
        <v>4</v>
      </c>
      <c r="O747" t="s">
        <v>24</v>
      </c>
      <c r="P747" t="s">
        <v>79</v>
      </c>
    </row>
    <row r="748" spans="1:16" ht="14.5" x14ac:dyDescent="0.35">
      <c r="A748">
        <v>747</v>
      </c>
      <c r="B748">
        <v>40</v>
      </c>
      <c r="C748" t="s">
        <v>16</v>
      </c>
      <c r="D748" t="s">
        <v>36</v>
      </c>
      <c r="E748" t="s">
        <v>37</v>
      </c>
      <c r="F748">
        <v>45</v>
      </c>
      <c r="G748" t="s">
        <v>142</v>
      </c>
      <c r="H748" t="s">
        <v>39</v>
      </c>
      <c r="I748" t="s">
        <v>99</v>
      </c>
      <c r="J748" t="s">
        <v>22</v>
      </c>
      <c r="K748">
        <v>2.5</v>
      </c>
      <c r="L748" t="s">
        <v>23</v>
      </c>
      <c r="M748" t="s">
        <v>23</v>
      </c>
      <c r="N748">
        <v>47</v>
      </c>
      <c r="O748" t="s">
        <v>34</v>
      </c>
      <c r="P748" t="s">
        <v>43</v>
      </c>
    </row>
    <row r="749" spans="1:16" ht="14.5" x14ac:dyDescent="0.35">
      <c r="A749">
        <v>748</v>
      </c>
      <c r="B749">
        <v>51</v>
      </c>
      <c r="C749" t="s">
        <v>16</v>
      </c>
      <c r="D749" t="s">
        <v>52</v>
      </c>
      <c r="E749" t="s">
        <v>18</v>
      </c>
      <c r="F749">
        <v>74</v>
      </c>
      <c r="G749" t="s">
        <v>92</v>
      </c>
      <c r="H749" t="s">
        <v>20</v>
      </c>
      <c r="I749" t="s">
        <v>71</v>
      </c>
      <c r="J749" t="s">
        <v>33</v>
      </c>
      <c r="K749">
        <v>4.4000000000000004</v>
      </c>
      <c r="L749" t="s">
        <v>23</v>
      </c>
      <c r="M749" t="s">
        <v>23</v>
      </c>
      <c r="N749">
        <v>13</v>
      </c>
      <c r="O749" t="s">
        <v>66</v>
      </c>
      <c r="P749" t="s">
        <v>35</v>
      </c>
    </row>
    <row r="750" spans="1:16" ht="14.5" x14ac:dyDescent="0.35">
      <c r="A750">
        <v>749</v>
      </c>
      <c r="B750">
        <v>35</v>
      </c>
      <c r="C750" t="s">
        <v>16</v>
      </c>
      <c r="D750" t="s">
        <v>115</v>
      </c>
      <c r="E750" t="s">
        <v>60</v>
      </c>
      <c r="F750">
        <v>39</v>
      </c>
      <c r="G750" t="s">
        <v>138</v>
      </c>
      <c r="H750" t="s">
        <v>20</v>
      </c>
      <c r="I750" t="s">
        <v>101</v>
      </c>
      <c r="J750" t="s">
        <v>50</v>
      </c>
      <c r="K750">
        <v>3.9</v>
      </c>
      <c r="L750" t="s">
        <v>23</v>
      </c>
      <c r="M750" t="s">
        <v>23</v>
      </c>
      <c r="N750">
        <v>8</v>
      </c>
      <c r="O750" t="s">
        <v>66</v>
      </c>
      <c r="P750" t="s">
        <v>51</v>
      </c>
    </row>
    <row r="751" spans="1:16" ht="14.5" x14ac:dyDescent="0.35">
      <c r="A751">
        <v>750</v>
      </c>
      <c r="B751">
        <v>56</v>
      </c>
      <c r="C751" t="s">
        <v>16</v>
      </c>
      <c r="D751" t="s">
        <v>110</v>
      </c>
      <c r="E751" t="s">
        <v>60</v>
      </c>
      <c r="F751">
        <v>71</v>
      </c>
      <c r="G751" t="s">
        <v>92</v>
      </c>
      <c r="H751" t="s">
        <v>39</v>
      </c>
      <c r="I751" t="s">
        <v>69</v>
      </c>
      <c r="J751" t="s">
        <v>22</v>
      </c>
      <c r="K751">
        <v>3.7</v>
      </c>
      <c r="L751" t="s">
        <v>23</v>
      </c>
      <c r="M751" t="s">
        <v>23</v>
      </c>
      <c r="N751">
        <v>11</v>
      </c>
      <c r="O751" t="s">
        <v>77</v>
      </c>
      <c r="P751" t="s">
        <v>51</v>
      </c>
    </row>
    <row r="752" spans="1:16" ht="14.5" x14ac:dyDescent="0.35">
      <c r="A752">
        <v>751</v>
      </c>
      <c r="B752">
        <v>25</v>
      </c>
      <c r="C752" t="s">
        <v>16</v>
      </c>
      <c r="D752" t="s">
        <v>104</v>
      </c>
      <c r="E752" t="s">
        <v>18</v>
      </c>
      <c r="F752">
        <v>95</v>
      </c>
      <c r="G752" t="s">
        <v>119</v>
      </c>
      <c r="H752" t="s">
        <v>20</v>
      </c>
      <c r="I752" t="s">
        <v>74</v>
      </c>
      <c r="J752" t="s">
        <v>50</v>
      </c>
      <c r="K752">
        <v>3.4</v>
      </c>
      <c r="L752" t="s">
        <v>23</v>
      </c>
      <c r="M752" t="s">
        <v>23</v>
      </c>
      <c r="N752">
        <v>5</v>
      </c>
      <c r="O752" t="s">
        <v>24</v>
      </c>
      <c r="P752" t="s">
        <v>43</v>
      </c>
    </row>
    <row r="753" spans="1:16" ht="14.5" x14ac:dyDescent="0.35">
      <c r="A753">
        <v>752</v>
      </c>
      <c r="B753">
        <v>65</v>
      </c>
      <c r="C753" t="s">
        <v>16</v>
      </c>
      <c r="D753" t="s">
        <v>134</v>
      </c>
      <c r="E753" t="s">
        <v>60</v>
      </c>
      <c r="F753">
        <v>72</v>
      </c>
      <c r="G753" t="s">
        <v>114</v>
      </c>
      <c r="H753" t="s">
        <v>20</v>
      </c>
      <c r="I753" t="s">
        <v>117</v>
      </c>
      <c r="J753" t="s">
        <v>50</v>
      </c>
      <c r="K753">
        <v>4.8</v>
      </c>
      <c r="L753" t="s">
        <v>23</v>
      </c>
      <c r="M753" t="s">
        <v>23</v>
      </c>
      <c r="N753">
        <v>1</v>
      </c>
      <c r="O753" t="s">
        <v>34</v>
      </c>
      <c r="P753" t="s">
        <v>79</v>
      </c>
    </row>
    <row r="754" spans="1:16" ht="14.5" x14ac:dyDescent="0.35">
      <c r="A754">
        <v>753</v>
      </c>
      <c r="B754">
        <v>39</v>
      </c>
      <c r="C754" t="s">
        <v>16</v>
      </c>
      <c r="D754" t="s">
        <v>110</v>
      </c>
      <c r="E754" t="s">
        <v>60</v>
      </c>
      <c r="F754">
        <v>85</v>
      </c>
      <c r="G754" t="s">
        <v>114</v>
      </c>
      <c r="H754" t="s">
        <v>20</v>
      </c>
      <c r="I754" t="s">
        <v>125</v>
      </c>
      <c r="J754" t="s">
        <v>50</v>
      </c>
      <c r="K754">
        <v>4.2</v>
      </c>
      <c r="L754" t="s">
        <v>23</v>
      </c>
      <c r="M754" t="s">
        <v>23</v>
      </c>
      <c r="N754">
        <v>17</v>
      </c>
      <c r="O754" t="s">
        <v>40</v>
      </c>
      <c r="P754" t="s">
        <v>88</v>
      </c>
    </row>
    <row r="755" spans="1:16" ht="14.5" x14ac:dyDescent="0.35">
      <c r="A755">
        <v>754</v>
      </c>
      <c r="B755">
        <v>47</v>
      </c>
      <c r="C755" t="s">
        <v>16</v>
      </c>
      <c r="D755" t="s">
        <v>128</v>
      </c>
      <c r="E755" t="s">
        <v>37</v>
      </c>
      <c r="F755">
        <v>54</v>
      </c>
      <c r="G755" t="s">
        <v>31</v>
      </c>
      <c r="H755" t="s">
        <v>39</v>
      </c>
      <c r="I755" t="s">
        <v>76</v>
      </c>
      <c r="J755" t="s">
        <v>50</v>
      </c>
      <c r="K755">
        <v>3.4</v>
      </c>
      <c r="L755" t="s">
        <v>23</v>
      </c>
      <c r="M755" t="s">
        <v>23</v>
      </c>
      <c r="N755">
        <v>27</v>
      </c>
      <c r="O755" t="s">
        <v>24</v>
      </c>
      <c r="P755" t="s">
        <v>51</v>
      </c>
    </row>
    <row r="756" spans="1:16" ht="14.5" x14ac:dyDescent="0.35">
      <c r="A756">
        <v>755</v>
      </c>
      <c r="B756">
        <v>36</v>
      </c>
      <c r="C756" t="s">
        <v>16</v>
      </c>
      <c r="D756" t="s">
        <v>134</v>
      </c>
      <c r="E756" t="s">
        <v>60</v>
      </c>
      <c r="F756">
        <v>41</v>
      </c>
      <c r="G756" t="s">
        <v>89</v>
      </c>
      <c r="H756" t="s">
        <v>20</v>
      </c>
      <c r="I756" t="s">
        <v>62</v>
      </c>
      <c r="J756" t="s">
        <v>33</v>
      </c>
      <c r="K756">
        <v>2.9</v>
      </c>
      <c r="L756" t="s">
        <v>23</v>
      </c>
      <c r="M756" t="s">
        <v>23</v>
      </c>
      <c r="N756">
        <v>3</v>
      </c>
      <c r="O756" t="s">
        <v>77</v>
      </c>
      <c r="P756" t="s">
        <v>51</v>
      </c>
    </row>
    <row r="757" spans="1:16" ht="14.5" x14ac:dyDescent="0.35">
      <c r="A757">
        <v>756</v>
      </c>
      <c r="B757">
        <v>66</v>
      </c>
      <c r="C757" t="s">
        <v>16</v>
      </c>
      <c r="D757" t="s">
        <v>55</v>
      </c>
      <c r="E757" t="s">
        <v>56</v>
      </c>
      <c r="F757">
        <v>24</v>
      </c>
      <c r="G757" t="s">
        <v>94</v>
      </c>
      <c r="H757" t="s">
        <v>39</v>
      </c>
      <c r="I757" t="s">
        <v>74</v>
      </c>
      <c r="J757" t="s">
        <v>33</v>
      </c>
      <c r="K757">
        <v>3.3</v>
      </c>
      <c r="L757" t="s">
        <v>23</v>
      </c>
      <c r="M757" t="s">
        <v>23</v>
      </c>
      <c r="N757">
        <v>22</v>
      </c>
      <c r="O757" t="s">
        <v>40</v>
      </c>
      <c r="P757" t="s">
        <v>35</v>
      </c>
    </row>
    <row r="758" spans="1:16" ht="14.5" x14ac:dyDescent="0.35">
      <c r="A758">
        <v>757</v>
      </c>
      <c r="B758">
        <v>62</v>
      </c>
      <c r="C758" t="s">
        <v>16</v>
      </c>
      <c r="D758" t="s">
        <v>124</v>
      </c>
      <c r="E758" t="s">
        <v>60</v>
      </c>
      <c r="F758">
        <v>99</v>
      </c>
      <c r="G758" t="s">
        <v>49</v>
      </c>
      <c r="H758" t="s">
        <v>32</v>
      </c>
      <c r="I758" t="s">
        <v>112</v>
      </c>
      <c r="J758" t="s">
        <v>47</v>
      </c>
      <c r="K758">
        <v>4.8</v>
      </c>
      <c r="L758" t="s">
        <v>23</v>
      </c>
      <c r="M758" t="s">
        <v>23</v>
      </c>
      <c r="N758">
        <v>24</v>
      </c>
      <c r="O758" t="s">
        <v>29</v>
      </c>
      <c r="P758" t="s">
        <v>25</v>
      </c>
    </row>
    <row r="759" spans="1:16" ht="14.5" x14ac:dyDescent="0.35">
      <c r="A759">
        <v>758</v>
      </c>
      <c r="B759">
        <v>41</v>
      </c>
      <c r="C759" t="s">
        <v>16</v>
      </c>
      <c r="D759" t="s">
        <v>95</v>
      </c>
      <c r="E759" t="s">
        <v>18</v>
      </c>
      <c r="F759">
        <v>32</v>
      </c>
      <c r="G759" t="s">
        <v>139</v>
      </c>
      <c r="H759" t="s">
        <v>39</v>
      </c>
      <c r="I759" t="s">
        <v>99</v>
      </c>
      <c r="J759" t="s">
        <v>50</v>
      </c>
      <c r="K759">
        <v>3.8</v>
      </c>
      <c r="L759" t="s">
        <v>23</v>
      </c>
      <c r="M759" t="s">
        <v>23</v>
      </c>
      <c r="N759">
        <v>18</v>
      </c>
      <c r="O759" t="s">
        <v>77</v>
      </c>
      <c r="P759" t="s">
        <v>51</v>
      </c>
    </row>
    <row r="760" spans="1:16" ht="14.5" x14ac:dyDescent="0.35">
      <c r="A760">
        <v>759</v>
      </c>
      <c r="B760">
        <v>66</v>
      </c>
      <c r="C760" t="s">
        <v>16</v>
      </c>
      <c r="D760" t="s">
        <v>63</v>
      </c>
      <c r="E760" t="s">
        <v>37</v>
      </c>
      <c r="F760">
        <v>71</v>
      </c>
      <c r="G760" t="s">
        <v>31</v>
      </c>
      <c r="H760" t="s">
        <v>20</v>
      </c>
      <c r="I760" t="s">
        <v>91</v>
      </c>
      <c r="J760" t="s">
        <v>47</v>
      </c>
      <c r="K760">
        <v>4.5999999999999996</v>
      </c>
      <c r="L760" t="s">
        <v>23</v>
      </c>
      <c r="M760" t="s">
        <v>23</v>
      </c>
      <c r="N760">
        <v>39</v>
      </c>
      <c r="O760" t="s">
        <v>66</v>
      </c>
      <c r="P760" t="s">
        <v>88</v>
      </c>
    </row>
    <row r="761" spans="1:16" ht="14.5" x14ac:dyDescent="0.35">
      <c r="A761">
        <v>760</v>
      </c>
      <c r="B761">
        <v>51</v>
      </c>
      <c r="C761" t="s">
        <v>16</v>
      </c>
      <c r="D761" t="s">
        <v>72</v>
      </c>
      <c r="E761" t="s">
        <v>18</v>
      </c>
      <c r="F761">
        <v>49</v>
      </c>
      <c r="G761" t="s">
        <v>38</v>
      </c>
      <c r="H761" t="s">
        <v>83</v>
      </c>
      <c r="I761" t="s">
        <v>87</v>
      </c>
      <c r="J761" t="s">
        <v>22</v>
      </c>
      <c r="K761">
        <v>2.6</v>
      </c>
      <c r="L761" t="s">
        <v>23</v>
      </c>
      <c r="M761" t="s">
        <v>23</v>
      </c>
      <c r="N761">
        <v>25</v>
      </c>
      <c r="O761" t="s">
        <v>34</v>
      </c>
      <c r="P761" t="s">
        <v>25</v>
      </c>
    </row>
    <row r="762" spans="1:16" ht="14.5" x14ac:dyDescent="0.35">
      <c r="A762">
        <v>761</v>
      </c>
      <c r="B762">
        <v>33</v>
      </c>
      <c r="C762" t="s">
        <v>16</v>
      </c>
      <c r="D762" t="s">
        <v>134</v>
      </c>
      <c r="E762" t="s">
        <v>60</v>
      </c>
      <c r="F762">
        <v>50</v>
      </c>
      <c r="G762" t="s">
        <v>139</v>
      </c>
      <c r="H762" t="s">
        <v>83</v>
      </c>
      <c r="I762" t="s">
        <v>74</v>
      </c>
      <c r="J762" t="s">
        <v>50</v>
      </c>
      <c r="K762">
        <v>3.4</v>
      </c>
      <c r="L762" t="s">
        <v>23</v>
      </c>
      <c r="M762" t="s">
        <v>23</v>
      </c>
      <c r="N762">
        <v>6</v>
      </c>
      <c r="O762" t="s">
        <v>29</v>
      </c>
      <c r="P762" t="s">
        <v>43</v>
      </c>
    </row>
    <row r="763" spans="1:16" ht="14.5" x14ac:dyDescent="0.35">
      <c r="A763">
        <v>762</v>
      </c>
      <c r="B763">
        <v>57</v>
      </c>
      <c r="C763" t="s">
        <v>16</v>
      </c>
      <c r="D763" t="s">
        <v>97</v>
      </c>
      <c r="E763" t="s">
        <v>60</v>
      </c>
      <c r="F763">
        <v>91</v>
      </c>
      <c r="G763" t="s">
        <v>98</v>
      </c>
      <c r="H763" t="s">
        <v>20</v>
      </c>
      <c r="I763" t="s">
        <v>125</v>
      </c>
      <c r="J763" t="s">
        <v>50</v>
      </c>
      <c r="K763">
        <v>4.2</v>
      </c>
      <c r="L763" t="s">
        <v>23</v>
      </c>
      <c r="M763" t="s">
        <v>23</v>
      </c>
      <c r="N763">
        <v>26</v>
      </c>
      <c r="O763" t="s">
        <v>66</v>
      </c>
      <c r="P763" t="s">
        <v>35</v>
      </c>
    </row>
    <row r="764" spans="1:16" ht="14.5" x14ac:dyDescent="0.35">
      <c r="A764">
        <v>763</v>
      </c>
      <c r="B764">
        <v>45</v>
      </c>
      <c r="C764" t="s">
        <v>16</v>
      </c>
      <c r="D764" t="s">
        <v>124</v>
      </c>
      <c r="E764" t="s">
        <v>60</v>
      </c>
      <c r="F764">
        <v>46</v>
      </c>
      <c r="G764" t="s">
        <v>121</v>
      </c>
      <c r="H764" t="s">
        <v>39</v>
      </c>
      <c r="I764" t="s">
        <v>62</v>
      </c>
      <c r="J764" t="s">
        <v>50</v>
      </c>
      <c r="K764">
        <v>3.9</v>
      </c>
      <c r="L764" t="s">
        <v>23</v>
      </c>
      <c r="M764" t="s">
        <v>23</v>
      </c>
      <c r="N764">
        <v>43</v>
      </c>
      <c r="O764" t="s">
        <v>77</v>
      </c>
      <c r="P764" t="s">
        <v>25</v>
      </c>
    </row>
    <row r="765" spans="1:16" ht="14.5" x14ac:dyDescent="0.35">
      <c r="A765">
        <v>764</v>
      </c>
      <c r="B765">
        <v>61</v>
      </c>
      <c r="C765" t="s">
        <v>16</v>
      </c>
      <c r="D765" t="s">
        <v>26</v>
      </c>
      <c r="E765" t="s">
        <v>18</v>
      </c>
      <c r="F765">
        <v>50</v>
      </c>
      <c r="G765" t="s">
        <v>89</v>
      </c>
      <c r="H765" t="s">
        <v>39</v>
      </c>
      <c r="I765" t="s">
        <v>101</v>
      </c>
      <c r="J765" t="s">
        <v>33</v>
      </c>
      <c r="K765">
        <v>2.9</v>
      </c>
      <c r="L765" t="s">
        <v>23</v>
      </c>
      <c r="M765" t="s">
        <v>23</v>
      </c>
      <c r="N765">
        <v>6</v>
      </c>
      <c r="O765" t="s">
        <v>34</v>
      </c>
      <c r="P765" t="s">
        <v>79</v>
      </c>
    </row>
    <row r="766" spans="1:16" ht="14.5" x14ac:dyDescent="0.35">
      <c r="A766">
        <v>765</v>
      </c>
      <c r="B766">
        <v>55</v>
      </c>
      <c r="C766" t="s">
        <v>16</v>
      </c>
      <c r="D766" t="s">
        <v>78</v>
      </c>
      <c r="E766" t="s">
        <v>18</v>
      </c>
      <c r="F766">
        <v>39</v>
      </c>
      <c r="G766" t="s">
        <v>132</v>
      </c>
      <c r="H766" t="s">
        <v>83</v>
      </c>
      <c r="I766" t="s">
        <v>58</v>
      </c>
      <c r="J766" t="s">
        <v>50</v>
      </c>
      <c r="K766">
        <v>4.2</v>
      </c>
      <c r="L766" t="s">
        <v>23</v>
      </c>
      <c r="M766" t="s">
        <v>23</v>
      </c>
      <c r="N766">
        <v>6</v>
      </c>
      <c r="O766" t="s">
        <v>77</v>
      </c>
      <c r="P766" t="s">
        <v>51</v>
      </c>
    </row>
    <row r="767" spans="1:16" ht="14.5" x14ac:dyDescent="0.35">
      <c r="A767">
        <v>766</v>
      </c>
      <c r="B767">
        <v>54</v>
      </c>
      <c r="C767" t="s">
        <v>16</v>
      </c>
      <c r="D767" t="s">
        <v>44</v>
      </c>
      <c r="E767" t="s">
        <v>37</v>
      </c>
      <c r="F767">
        <v>99</v>
      </c>
      <c r="G767" t="s">
        <v>111</v>
      </c>
      <c r="H767" t="s">
        <v>39</v>
      </c>
      <c r="I767" t="s">
        <v>62</v>
      </c>
      <c r="J767" t="s">
        <v>47</v>
      </c>
      <c r="K767">
        <v>3</v>
      </c>
      <c r="L767" t="s">
        <v>23</v>
      </c>
      <c r="M767" t="s">
        <v>23</v>
      </c>
      <c r="N767">
        <v>13</v>
      </c>
      <c r="O767" t="s">
        <v>29</v>
      </c>
      <c r="P767" t="s">
        <v>51</v>
      </c>
    </row>
    <row r="768" spans="1:16" ht="14.5" x14ac:dyDescent="0.35">
      <c r="A768">
        <v>767</v>
      </c>
      <c r="B768">
        <v>57</v>
      </c>
      <c r="C768" t="s">
        <v>16</v>
      </c>
      <c r="D768" t="s">
        <v>134</v>
      </c>
      <c r="E768" t="s">
        <v>60</v>
      </c>
      <c r="F768">
        <v>48</v>
      </c>
      <c r="G768" t="s">
        <v>98</v>
      </c>
      <c r="H768" t="s">
        <v>39</v>
      </c>
      <c r="I768" t="s">
        <v>100</v>
      </c>
      <c r="J768" t="s">
        <v>22</v>
      </c>
      <c r="K768">
        <v>3.6</v>
      </c>
      <c r="L768" t="s">
        <v>23</v>
      </c>
      <c r="M768" t="s">
        <v>23</v>
      </c>
      <c r="N768">
        <v>13</v>
      </c>
      <c r="O768" t="s">
        <v>40</v>
      </c>
      <c r="P768" t="s">
        <v>79</v>
      </c>
    </row>
    <row r="769" spans="1:16" ht="14.5" x14ac:dyDescent="0.35">
      <c r="A769">
        <v>768</v>
      </c>
      <c r="B769">
        <v>27</v>
      </c>
      <c r="C769" t="s">
        <v>16</v>
      </c>
      <c r="D769" t="s">
        <v>55</v>
      </c>
      <c r="E769" t="s">
        <v>56</v>
      </c>
      <c r="F769">
        <v>77</v>
      </c>
      <c r="G769" t="s">
        <v>129</v>
      </c>
      <c r="H769" t="s">
        <v>39</v>
      </c>
      <c r="I769" t="s">
        <v>101</v>
      </c>
      <c r="J769" t="s">
        <v>50</v>
      </c>
      <c r="K769">
        <v>2.5</v>
      </c>
      <c r="L769" t="s">
        <v>23</v>
      </c>
      <c r="M769" t="s">
        <v>23</v>
      </c>
      <c r="N769">
        <v>11</v>
      </c>
      <c r="O769" t="s">
        <v>29</v>
      </c>
      <c r="P769" t="s">
        <v>43</v>
      </c>
    </row>
    <row r="770" spans="1:16" ht="14.5" x14ac:dyDescent="0.35">
      <c r="A770">
        <v>769</v>
      </c>
      <c r="B770">
        <v>64</v>
      </c>
      <c r="C770" t="s">
        <v>16</v>
      </c>
      <c r="D770" t="s">
        <v>123</v>
      </c>
      <c r="E770" t="s">
        <v>60</v>
      </c>
      <c r="F770">
        <v>95</v>
      </c>
      <c r="G770" t="s">
        <v>106</v>
      </c>
      <c r="H770" t="s">
        <v>83</v>
      </c>
      <c r="I770" t="s">
        <v>99</v>
      </c>
      <c r="J770" t="s">
        <v>33</v>
      </c>
      <c r="K770">
        <v>2.6</v>
      </c>
      <c r="L770" t="s">
        <v>23</v>
      </c>
      <c r="M770" t="s">
        <v>23</v>
      </c>
      <c r="N770">
        <v>45</v>
      </c>
      <c r="O770" t="s">
        <v>24</v>
      </c>
      <c r="P770" t="s">
        <v>35</v>
      </c>
    </row>
    <row r="771" spans="1:16" ht="14.5" x14ac:dyDescent="0.35">
      <c r="A771">
        <v>770</v>
      </c>
      <c r="B771">
        <v>52</v>
      </c>
      <c r="C771" t="s">
        <v>16</v>
      </c>
      <c r="D771" t="s">
        <v>116</v>
      </c>
      <c r="E771" t="s">
        <v>18</v>
      </c>
      <c r="F771">
        <v>100</v>
      </c>
      <c r="G771" t="s">
        <v>70</v>
      </c>
      <c r="H771" t="s">
        <v>39</v>
      </c>
      <c r="I771" t="s">
        <v>58</v>
      </c>
      <c r="J771" t="s">
        <v>33</v>
      </c>
      <c r="K771">
        <v>4.3</v>
      </c>
      <c r="L771" t="s">
        <v>23</v>
      </c>
      <c r="M771" t="s">
        <v>23</v>
      </c>
      <c r="N771">
        <v>8</v>
      </c>
      <c r="O771" t="s">
        <v>40</v>
      </c>
      <c r="P771" t="s">
        <v>79</v>
      </c>
    </row>
    <row r="772" spans="1:16" ht="14.5" x14ac:dyDescent="0.35">
      <c r="A772">
        <v>771</v>
      </c>
      <c r="B772">
        <v>19</v>
      </c>
      <c r="C772" t="s">
        <v>16</v>
      </c>
      <c r="D772" t="s">
        <v>44</v>
      </c>
      <c r="E772" t="s">
        <v>37</v>
      </c>
      <c r="F772">
        <v>54</v>
      </c>
      <c r="G772" t="s">
        <v>120</v>
      </c>
      <c r="H772" t="s">
        <v>39</v>
      </c>
      <c r="I772" t="s">
        <v>21</v>
      </c>
      <c r="J772" t="s">
        <v>33</v>
      </c>
      <c r="K772">
        <v>3.3</v>
      </c>
      <c r="L772" t="s">
        <v>23</v>
      </c>
      <c r="M772" t="s">
        <v>23</v>
      </c>
      <c r="N772">
        <v>8</v>
      </c>
      <c r="O772" t="s">
        <v>34</v>
      </c>
      <c r="P772" t="s">
        <v>43</v>
      </c>
    </row>
    <row r="773" spans="1:16" ht="14.5" x14ac:dyDescent="0.35">
      <c r="A773">
        <v>772</v>
      </c>
      <c r="B773">
        <v>22</v>
      </c>
      <c r="C773" t="s">
        <v>16</v>
      </c>
      <c r="D773" t="s">
        <v>26</v>
      </c>
      <c r="E773" t="s">
        <v>18</v>
      </c>
      <c r="F773">
        <v>68</v>
      </c>
      <c r="G773" t="s">
        <v>68</v>
      </c>
      <c r="H773" t="s">
        <v>20</v>
      </c>
      <c r="I773" t="s">
        <v>100</v>
      </c>
      <c r="J773" t="s">
        <v>50</v>
      </c>
      <c r="K773">
        <v>2.6</v>
      </c>
      <c r="L773" t="s">
        <v>23</v>
      </c>
      <c r="M773" t="s">
        <v>23</v>
      </c>
      <c r="N773">
        <v>34</v>
      </c>
      <c r="O773" t="s">
        <v>66</v>
      </c>
      <c r="P773" t="s">
        <v>25</v>
      </c>
    </row>
    <row r="774" spans="1:16" ht="14.5" x14ac:dyDescent="0.35">
      <c r="A774">
        <v>773</v>
      </c>
      <c r="B774">
        <v>18</v>
      </c>
      <c r="C774" t="s">
        <v>16</v>
      </c>
      <c r="D774" t="s">
        <v>30</v>
      </c>
      <c r="E774" t="s">
        <v>18</v>
      </c>
      <c r="F774">
        <v>22</v>
      </c>
      <c r="G774" t="s">
        <v>106</v>
      </c>
      <c r="H774" t="s">
        <v>20</v>
      </c>
      <c r="I774" t="s">
        <v>76</v>
      </c>
      <c r="J774" t="s">
        <v>50</v>
      </c>
      <c r="K774">
        <v>3.6</v>
      </c>
      <c r="L774" t="s">
        <v>23</v>
      </c>
      <c r="M774" t="s">
        <v>23</v>
      </c>
      <c r="N774">
        <v>40</v>
      </c>
      <c r="O774" t="s">
        <v>77</v>
      </c>
      <c r="P774" t="s">
        <v>67</v>
      </c>
    </row>
    <row r="775" spans="1:16" ht="14.5" x14ac:dyDescent="0.35">
      <c r="A775">
        <v>774</v>
      </c>
      <c r="B775">
        <v>29</v>
      </c>
      <c r="C775" t="s">
        <v>16</v>
      </c>
      <c r="D775" t="s">
        <v>115</v>
      </c>
      <c r="E775" t="s">
        <v>60</v>
      </c>
      <c r="F775">
        <v>84</v>
      </c>
      <c r="G775" t="s">
        <v>90</v>
      </c>
      <c r="H775" t="s">
        <v>20</v>
      </c>
      <c r="I775" t="s">
        <v>117</v>
      </c>
      <c r="J775" t="s">
        <v>22</v>
      </c>
      <c r="K775">
        <v>2.6</v>
      </c>
      <c r="L775" t="s">
        <v>23</v>
      </c>
      <c r="M775" t="s">
        <v>23</v>
      </c>
      <c r="N775">
        <v>14</v>
      </c>
      <c r="O775" t="s">
        <v>77</v>
      </c>
      <c r="P775" t="s">
        <v>67</v>
      </c>
    </row>
    <row r="776" spans="1:16" ht="14.5" x14ac:dyDescent="0.35">
      <c r="A776">
        <v>775</v>
      </c>
      <c r="B776">
        <v>42</v>
      </c>
      <c r="C776" t="s">
        <v>16</v>
      </c>
      <c r="D776" t="s">
        <v>115</v>
      </c>
      <c r="E776" t="s">
        <v>60</v>
      </c>
      <c r="F776">
        <v>46</v>
      </c>
      <c r="G776" t="s">
        <v>98</v>
      </c>
      <c r="H776" t="s">
        <v>39</v>
      </c>
      <c r="I776" t="s">
        <v>125</v>
      </c>
      <c r="J776" t="s">
        <v>47</v>
      </c>
      <c r="K776">
        <v>3.5</v>
      </c>
      <c r="L776" t="s">
        <v>23</v>
      </c>
      <c r="M776" t="s">
        <v>23</v>
      </c>
      <c r="N776">
        <v>11</v>
      </c>
      <c r="O776" t="s">
        <v>34</v>
      </c>
      <c r="P776" t="s">
        <v>51</v>
      </c>
    </row>
    <row r="777" spans="1:16" ht="14.5" x14ac:dyDescent="0.35">
      <c r="A777">
        <v>776</v>
      </c>
      <c r="B777">
        <v>49</v>
      </c>
      <c r="C777" t="s">
        <v>16</v>
      </c>
      <c r="D777" t="s">
        <v>59</v>
      </c>
      <c r="E777" t="s">
        <v>60</v>
      </c>
      <c r="F777">
        <v>53</v>
      </c>
      <c r="G777" t="s">
        <v>19</v>
      </c>
      <c r="H777" t="s">
        <v>32</v>
      </c>
      <c r="I777" t="s">
        <v>71</v>
      </c>
      <c r="J777" t="s">
        <v>22</v>
      </c>
      <c r="K777">
        <v>3</v>
      </c>
      <c r="L777" t="s">
        <v>23</v>
      </c>
      <c r="M777" t="s">
        <v>23</v>
      </c>
      <c r="N777">
        <v>8</v>
      </c>
      <c r="O777" t="s">
        <v>40</v>
      </c>
      <c r="P777" t="s">
        <v>79</v>
      </c>
    </row>
    <row r="778" spans="1:16" ht="14.5" x14ac:dyDescent="0.35">
      <c r="A778">
        <v>777</v>
      </c>
      <c r="B778">
        <v>49</v>
      </c>
      <c r="C778" t="s">
        <v>16</v>
      </c>
      <c r="D778" t="s">
        <v>48</v>
      </c>
      <c r="E778" t="s">
        <v>18</v>
      </c>
      <c r="F778">
        <v>60</v>
      </c>
      <c r="G778" t="s">
        <v>81</v>
      </c>
      <c r="H778" t="s">
        <v>39</v>
      </c>
      <c r="I778" t="s">
        <v>28</v>
      </c>
      <c r="J778" t="s">
        <v>33</v>
      </c>
      <c r="K778">
        <v>5</v>
      </c>
      <c r="L778" t="s">
        <v>23</v>
      </c>
      <c r="M778" t="s">
        <v>23</v>
      </c>
      <c r="N778">
        <v>8</v>
      </c>
      <c r="O778" t="s">
        <v>24</v>
      </c>
      <c r="P778" t="s">
        <v>88</v>
      </c>
    </row>
    <row r="779" spans="1:16" ht="14.5" x14ac:dyDescent="0.35">
      <c r="A779">
        <v>778</v>
      </c>
      <c r="B779">
        <v>55</v>
      </c>
      <c r="C779" t="s">
        <v>16</v>
      </c>
      <c r="D779" t="s">
        <v>116</v>
      </c>
      <c r="E779" t="s">
        <v>18</v>
      </c>
      <c r="F779">
        <v>32</v>
      </c>
      <c r="G779" t="s">
        <v>45</v>
      </c>
      <c r="H779" t="s">
        <v>83</v>
      </c>
      <c r="I779" t="s">
        <v>58</v>
      </c>
      <c r="J779" t="s">
        <v>33</v>
      </c>
      <c r="K779">
        <v>2.5</v>
      </c>
      <c r="L779" t="s">
        <v>23</v>
      </c>
      <c r="M779" t="s">
        <v>23</v>
      </c>
      <c r="N779">
        <v>37</v>
      </c>
      <c r="O779" t="s">
        <v>24</v>
      </c>
      <c r="P779" t="s">
        <v>35</v>
      </c>
    </row>
    <row r="780" spans="1:16" ht="14.5" x14ac:dyDescent="0.35">
      <c r="A780">
        <v>779</v>
      </c>
      <c r="B780">
        <v>29</v>
      </c>
      <c r="C780" t="s">
        <v>16</v>
      </c>
      <c r="D780" t="s">
        <v>116</v>
      </c>
      <c r="E780" t="s">
        <v>18</v>
      </c>
      <c r="F780">
        <v>50</v>
      </c>
      <c r="G780" t="s">
        <v>31</v>
      </c>
      <c r="H780" t="s">
        <v>39</v>
      </c>
      <c r="I780" t="s">
        <v>125</v>
      </c>
      <c r="J780" t="s">
        <v>47</v>
      </c>
      <c r="K780">
        <v>2.9</v>
      </c>
      <c r="L780" t="s">
        <v>23</v>
      </c>
      <c r="M780" t="s">
        <v>23</v>
      </c>
      <c r="N780">
        <v>23</v>
      </c>
      <c r="O780" t="s">
        <v>77</v>
      </c>
      <c r="P780" t="s">
        <v>43</v>
      </c>
    </row>
    <row r="781" spans="1:16" ht="14.5" x14ac:dyDescent="0.35">
      <c r="A781">
        <v>780</v>
      </c>
      <c r="B781">
        <v>60</v>
      </c>
      <c r="C781" t="s">
        <v>16</v>
      </c>
      <c r="D781" t="s">
        <v>72</v>
      </c>
      <c r="E781" t="s">
        <v>18</v>
      </c>
      <c r="F781">
        <v>94</v>
      </c>
      <c r="G781" t="s">
        <v>131</v>
      </c>
      <c r="H781" t="s">
        <v>39</v>
      </c>
      <c r="I781" t="s">
        <v>135</v>
      </c>
      <c r="J781" t="s">
        <v>33</v>
      </c>
      <c r="K781">
        <v>4.5999999999999996</v>
      </c>
      <c r="L781" t="s">
        <v>23</v>
      </c>
      <c r="M781" t="s">
        <v>23</v>
      </c>
      <c r="N781">
        <v>38</v>
      </c>
      <c r="O781" t="s">
        <v>29</v>
      </c>
      <c r="P781" t="s">
        <v>43</v>
      </c>
    </row>
    <row r="782" spans="1:16" ht="14.5" x14ac:dyDescent="0.35">
      <c r="A782">
        <v>781</v>
      </c>
      <c r="B782">
        <v>34</v>
      </c>
      <c r="C782" t="s">
        <v>16</v>
      </c>
      <c r="D782" t="s">
        <v>63</v>
      </c>
      <c r="E782" t="s">
        <v>37</v>
      </c>
      <c r="F782">
        <v>26</v>
      </c>
      <c r="G782" t="s">
        <v>75</v>
      </c>
      <c r="H782" t="s">
        <v>39</v>
      </c>
      <c r="I782" t="s">
        <v>42</v>
      </c>
      <c r="J782" t="s">
        <v>33</v>
      </c>
      <c r="K782">
        <v>3.6</v>
      </c>
      <c r="L782" t="s">
        <v>23</v>
      </c>
      <c r="M782" t="s">
        <v>23</v>
      </c>
      <c r="N782">
        <v>38</v>
      </c>
      <c r="O782" t="s">
        <v>29</v>
      </c>
      <c r="P782" t="s">
        <v>51</v>
      </c>
    </row>
    <row r="783" spans="1:16" ht="14.5" x14ac:dyDescent="0.35">
      <c r="A783">
        <v>782</v>
      </c>
      <c r="B783">
        <v>30</v>
      </c>
      <c r="C783" t="s">
        <v>16</v>
      </c>
      <c r="D783" t="s">
        <v>110</v>
      </c>
      <c r="E783" t="s">
        <v>60</v>
      </c>
      <c r="F783">
        <v>44</v>
      </c>
      <c r="G783" t="s">
        <v>120</v>
      </c>
      <c r="H783" t="s">
        <v>20</v>
      </c>
      <c r="I783" t="s">
        <v>117</v>
      </c>
      <c r="J783" t="s">
        <v>22</v>
      </c>
      <c r="K783">
        <v>3</v>
      </c>
      <c r="L783" t="s">
        <v>23</v>
      </c>
      <c r="M783" t="s">
        <v>23</v>
      </c>
      <c r="N783">
        <v>12</v>
      </c>
      <c r="O783" t="s">
        <v>34</v>
      </c>
      <c r="P783" t="s">
        <v>25</v>
      </c>
    </row>
    <row r="784" spans="1:16" ht="14.5" x14ac:dyDescent="0.35">
      <c r="A784">
        <v>783</v>
      </c>
      <c r="B784">
        <v>28</v>
      </c>
      <c r="C784" t="s">
        <v>16</v>
      </c>
      <c r="D784" t="s">
        <v>95</v>
      </c>
      <c r="E784" t="s">
        <v>18</v>
      </c>
      <c r="F784">
        <v>57</v>
      </c>
      <c r="G784" t="s">
        <v>68</v>
      </c>
      <c r="H784" t="s">
        <v>39</v>
      </c>
      <c r="I784" t="s">
        <v>87</v>
      </c>
      <c r="J784" t="s">
        <v>47</v>
      </c>
      <c r="K784">
        <v>4.5</v>
      </c>
      <c r="L784" t="s">
        <v>23</v>
      </c>
      <c r="M784" t="s">
        <v>23</v>
      </c>
      <c r="N784">
        <v>15</v>
      </c>
      <c r="O784" t="s">
        <v>29</v>
      </c>
      <c r="P784" t="s">
        <v>35</v>
      </c>
    </row>
    <row r="785" spans="1:16" ht="14.5" x14ac:dyDescent="0.35">
      <c r="A785">
        <v>784</v>
      </c>
      <c r="B785">
        <v>63</v>
      </c>
      <c r="C785" t="s">
        <v>16</v>
      </c>
      <c r="D785" t="s">
        <v>104</v>
      </c>
      <c r="E785" t="s">
        <v>18</v>
      </c>
      <c r="F785">
        <v>65</v>
      </c>
      <c r="G785" t="s">
        <v>53</v>
      </c>
      <c r="H785" t="s">
        <v>20</v>
      </c>
      <c r="I785" t="s">
        <v>65</v>
      </c>
      <c r="J785" t="s">
        <v>22</v>
      </c>
      <c r="K785">
        <v>4.5</v>
      </c>
      <c r="L785" t="s">
        <v>23</v>
      </c>
      <c r="M785" t="s">
        <v>23</v>
      </c>
      <c r="N785">
        <v>38</v>
      </c>
      <c r="O785" t="s">
        <v>40</v>
      </c>
      <c r="P785" t="s">
        <v>25</v>
      </c>
    </row>
    <row r="786" spans="1:16" ht="14.5" x14ac:dyDescent="0.35">
      <c r="A786">
        <v>785</v>
      </c>
      <c r="B786">
        <v>31</v>
      </c>
      <c r="C786" t="s">
        <v>16</v>
      </c>
      <c r="D786" t="s">
        <v>30</v>
      </c>
      <c r="E786" t="s">
        <v>18</v>
      </c>
      <c r="F786">
        <v>72</v>
      </c>
      <c r="G786" t="s">
        <v>81</v>
      </c>
      <c r="H786" t="s">
        <v>39</v>
      </c>
      <c r="I786" t="s">
        <v>91</v>
      </c>
      <c r="J786" t="s">
        <v>22</v>
      </c>
      <c r="K786">
        <v>3.2</v>
      </c>
      <c r="L786" t="s">
        <v>23</v>
      </c>
      <c r="M786" t="s">
        <v>23</v>
      </c>
      <c r="N786">
        <v>41</v>
      </c>
      <c r="O786" t="s">
        <v>66</v>
      </c>
      <c r="P786" t="s">
        <v>88</v>
      </c>
    </row>
    <row r="787" spans="1:16" ht="14.5" x14ac:dyDescent="0.35">
      <c r="A787">
        <v>786</v>
      </c>
      <c r="B787">
        <v>46</v>
      </c>
      <c r="C787" t="s">
        <v>16</v>
      </c>
      <c r="D787" t="s">
        <v>52</v>
      </c>
      <c r="E787" t="s">
        <v>18</v>
      </c>
      <c r="F787">
        <v>62</v>
      </c>
      <c r="G787" t="s">
        <v>53</v>
      </c>
      <c r="H787" t="s">
        <v>32</v>
      </c>
      <c r="I787" t="s">
        <v>65</v>
      </c>
      <c r="J787" t="s">
        <v>33</v>
      </c>
      <c r="K787">
        <v>4</v>
      </c>
      <c r="L787" t="s">
        <v>23</v>
      </c>
      <c r="M787" t="s">
        <v>23</v>
      </c>
      <c r="N787">
        <v>37</v>
      </c>
      <c r="O787" t="s">
        <v>40</v>
      </c>
      <c r="P787" t="s">
        <v>25</v>
      </c>
    </row>
    <row r="788" spans="1:16" ht="14.5" x14ac:dyDescent="0.35">
      <c r="A788">
        <v>787</v>
      </c>
      <c r="B788">
        <v>70</v>
      </c>
      <c r="C788" t="s">
        <v>16</v>
      </c>
      <c r="D788" t="s">
        <v>115</v>
      </c>
      <c r="E788" t="s">
        <v>60</v>
      </c>
      <c r="F788">
        <v>21</v>
      </c>
      <c r="G788" t="s">
        <v>107</v>
      </c>
      <c r="H788" t="s">
        <v>32</v>
      </c>
      <c r="I788" t="s">
        <v>76</v>
      </c>
      <c r="J788" t="s">
        <v>22</v>
      </c>
      <c r="K788">
        <v>4.8</v>
      </c>
      <c r="L788" t="s">
        <v>23</v>
      </c>
      <c r="M788" t="s">
        <v>23</v>
      </c>
      <c r="N788">
        <v>16</v>
      </c>
      <c r="O788" t="s">
        <v>66</v>
      </c>
      <c r="P788" t="s">
        <v>88</v>
      </c>
    </row>
    <row r="789" spans="1:16" ht="14.5" x14ac:dyDescent="0.35">
      <c r="A789">
        <v>788</v>
      </c>
      <c r="B789">
        <v>53</v>
      </c>
      <c r="C789" t="s">
        <v>16</v>
      </c>
      <c r="D789" t="s">
        <v>59</v>
      </c>
      <c r="E789" t="s">
        <v>60</v>
      </c>
      <c r="F789">
        <v>85</v>
      </c>
      <c r="G789" t="s">
        <v>142</v>
      </c>
      <c r="H789" t="s">
        <v>32</v>
      </c>
      <c r="I789" t="s">
        <v>87</v>
      </c>
      <c r="J789" t="s">
        <v>33</v>
      </c>
      <c r="K789">
        <v>3.7</v>
      </c>
      <c r="L789" t="s">
        <v>23</v>
      </c>
      <c r="M789" t="s">
        <v>23</v>
      </c>
      <c r="N789">
        <v>25</v>
      </c>
      <c r="O789" t="s">
        <v>24</v>
      </c>
      <c r="P789" t="s">
        <v>35</v>
      </c>
    </row>
    <row r="790" spans="1:16" ht="14.5" x14ac:dyDescent="0.35">
      <c r="A790">
        <v>789</v>
      </c>
      <c r="B790">
        <v>50</v>
      </c>
      <c r="C790" t="s">
        <v>16</v>
      </c>
      <c r="D790" t="s">
        <v>86</v>
      </c>
      <c r="E790" t="s">
        <v>18</v>
      </c>
      <c r="F790">
        <v>51</v>
      </c>
      <c r="G790" t="s">
        <v>38</v>
      </c>
      <c r="H790" t="s">
        <v>83</v>
      </c>
      <c r="I790" t="s">
        <v>125</v>
      </c>
      <c r="J790" t="s">
        <v>47</v>
      </c>
      <c r="K790">
        <v>3.8</v>
      </c>
      <c r="L790" t="s">
        <v>23</v>
      </c>
      <c r="M790" t="s">
        <v>23</v>
      </c>
      <c r="N790">
        <v>18</v>
      </c>
      <c r="O790" t="s">
        <v>66</v>
      </c>
      <c r="P790" t="s">
        <v>51</v>
      </c>
    </row>
    <row r="791" spans="1:16" ht="14.5" x14ac:dyDescent="0.35">
      <c r="A791">
        <v>790</v>
      </c>
      <c r="B791">
        <v>33</v>
      </c>
      <c r="C791" t="s">
        <v>16</v>
      </c>
      <c r="D791" t="s">
        <v>59</v>
      </c>
      <c r="E791" t="s">
        <v>60</v>
      </c>
      <c r="F791">
        <v>84</v>
      </c>
      <c r="G791" t="s">
        <v>126</v>
      </c>
      <c r="H791" t="s">
        <v>32</v>
      </c>
      <c r="I791" t="s">
        <v>65</v>
      </c>
      <c r="J791" t="s">
        <v>50</v>
      </c>
      <c r="K791">
        <v>2.7</v>
      </c>
      <c r="L791" t="s">
        <v>23</v>
      </c>
      <c r="M791" t="s">
        <v>23</v>
      </c>
      <c r="N791">
        <v>4</v>
      </c>
      <c r="O791" t="s">
        <v>34</v>
      </c>
      <c r="P791" t="s">
        <v>67</v>
      </c>
    </row>
    <row r="792" spans="1:16" ht="14.5" x14ac:dyDescent="0.35">
      <c r="A792">
        <v>791</v>
      </c>
      <c r="B792">
        <v>22</v>
      </c>
      <c r="C792" t="s">
        <v>16</v>
      </c>
      <c r="D792" t="s">
        <v>26</v>
      </c>
      <c r="E792" t="s">
        <v>18</v>
      </c>
      <c r="F792">
        <v>37</v>
      </c>
      <c r="G792" t="s">
        <v>53</v>
      </c>
      <c r="H792" t="s">
        <v>39</v>
      </c>
      <c r="I792" t="s">
        <v>117</v>
      </c>
      <c r="J792" t="s">
        <v>47</v>
      </c>
      <c r="K792">
        <v>4.9000000000000004</v>
      </c>
      <c r="L792" t="s">
        <v>23</v>
      </c>
      <c r="M792" t="s">
        <v>23</v>
      </c>
      <c r="N792">
        <v>12</v>
      </c>
      <c r="O792" t="s">
        <v>66</v>
      </c>
      <c r="P792" t="s">
        <v>51</v>
      </c>
    </row>
    <row r="793" spans="1:16" ht="14.5" x14ac:dyDescent="0.35">
      <c r="A793">
        <v>792</v>
      </c>
      <c r="B793">
        <v>50</v>
      </c>
      <c r="C793" t="s">
        <v>16</v>
      </c>
      <c r="D793" t="s">
        <v>110</v>
      </c>
      <c r="E793" t="s">
        <v>60</v>
      </c>
      <c r="F793">
        <v>44</v>
      </c>
      <c r="G793" t="s">
        <v>89</v>
      </c>
      <c r="H793" t="s">
        <v>32</v>
      </c>
      <c r="I793" t="s">
        <v>127</v>
      </c>
      <c r="J793" t="s">
        <v>47</v>
      </c>
      <c r="K793">
        <v>3.1</v>
      </c>
      <c r="L793" t="s">
        <v>23</v>
      </c>
      <c r="M793" t="s">
        <v>23</v>
      </c>
      <c r="N793">
        <v>35</v>
      </c>
      <c r="O793" t="s">
        <v>40</v>
      </c>
      <c r="P793" t="s">
        <v>25</v>
      </c>
    </row>
    <row r="794" spans="1:16" ht="14.5" x14ac:dyDescent="0.35">
      <c r="A794">
        <v>793</v>
      </c>
      <c r="B794">
        <v>34</v>
      </c>
      <c r="C794" t="s">
        <v>16</v>
      </c>
      <c r="D794" t="s">
        <v>44</v>
      </c>
      <c r="E794" t="s">
        <v>37</v>
      </c>
      <c r="F794">
        <v>45</v>
      </c>
      <c r="G794" t="s">
        <v>118</v>
      </c>
      <c r="H794" t="s">
        <v>39</v>
      </c>
      <c r="I794" t="s">
        <v>74</v>
      </c>
      <c r="J794" t="s">
        <v>33</v>
      </c>
      <c r="K794">
        <v>4.2</v>
      </c>
      <c r="L794" t="s">
        <v>23</v>
      </c>
      <c r="M794" t="s">
        <v>23</v>
      </c>
      <c r="N794">
        <v>45</v>
      </c>
      <c r="O794" t="s">
        <v>24</v>
      </c>
      <c r="P794" t="s">
        <v>35</v>
      </c>
    </row>
    <row r="795" spans="1:16" ht="14.5" x14ac:dyDescent="0.35">
      <c r="A795">
        <v>794</v>
      </c>
      <c r="B795">
        <v>24</v>
      </c>
      <c r="C795" t="s">
        <v>16</v>
      </c>
      <c r="D795" t="s">
        <v>86</v>
      </c>
      <c r="E795" t="s">
        <v>18</v>
      </c>
      <c r="F795">
        <v>35</v>
      </c>
      <c r="G795" t="s">
        <v>81</v>
      </c>
      <c r="H795" t="s">
        <v>20</v>
      </c>
      <c r="I795" t="s">
        <v>28</v>
      </c>
      <c r="J795" t="s">
        <v>47</v>
      </c>
      <c r="K795">
        <v>3.8</v>
      </c>
      <c r="L795" t="s">
        <v>23</v>
      </c>
      <c r="M795" t="s">
        <v>23</v>
      </c>
      <c r="N795">
        <v>16</v>
      </c>
      <c r="O795" t="s">
        <v>34</v>
      </c>
      <c r="P795" t="s">
        <v>79</v>
      </c>
    </row>
    <row r="796" spans="1:16" ht="14.5" x14ac:dyDescent="0.35">
      <c r="A796">
        <v>795</v>
      </c>
      <c r="B796">
        <v>69</v>
      </c>
      <c r="C796" t="s">
        <v>16</v>
      </c>
      <c r="D796" t="s">
        <v>123</v>
      </c>
      <c r="E796" t="s">
        <v>60</v>
      </c>
      <c r="F796">
        <v>50</v>
      </c>
      <c r="G796" t="s">
        <v>19</v>
      </c>
      <c r="H796" t="s">
        <v>83</v>
      </c>
      <c r="I796" t="s">
        <v>125</v>
      </c>
      <c r="J796" t="s">
        <v>22</v>
      </c>
      <c r="K796">
        <v>4.2</v>
      </c>
      <c r="L796" t="s">
        <v>23</v>
      </c>
      <c r="M796" t="s">
        <v>23</v>
      </c>
      <c r="N796">
        <v>10</v>
      </c>
      <c r="O796" t="s">
        <v>77</v>
      </c>
      <c r="P796" t="s">
        <v>25</v>
      </c>
    </row>
    <row r="797" spans="1:16" ht="14.5" x14ac:dyDescent="0.35">
      <c r="A797">
        <v>796</v>
      </c>
      <c r="B797">
        <v>39</v>
      </c>
      <c r="C797" t="s">
        <v>16</v>
      </c>
      <c r="D797" t="s">
        <v>36</v>
      </c>
      <c r="E797" t="s">
        <v>37</v>
      </c>
      <c r="F797">
        <v>26</v>
      </c>
      <c r="G797" t="s">
        <v>75</v>
      </c>
      <c r="H797" t="s">
        <v>39</v>
      </c>
      <c r="I797" t="s">
        <v>109</v>
      </c>
      <c r="J797" t="s">
        <v>47</v>
      </c>
      <c r="K797">
        <v>4.5999999999999996</v>
      </c>
      <c r="L797" t="s">
        <v>23</v>
      </c>
      <c r="M797" t="s">
        <v>23</v>
      </c>
      <c r="N797">
        <v>34</v>
      </c>
      <c r="O797" t="s">
        <v>24</v>
      </c>
      <c r="P797" t="s">
        <v>43</v>
      </c>
    </row>
    <row r="798" spans="1:16" ht="14.5" x14ac:dyDescent="0.35">
      <c r="A798">
        <v>797</v>
      </c>
      <c r="B798">
        <v>42</v>
      </c>
      <c r="C798" t="s">
        <v>16</v>
      </c>
      <c r="D798" t="s">
        <v>116</v>
      </c>
      <c r="E798" t="s">
        <v>18</v>
      </c>
      <c r="F798">
        <v>78</v>
      </c>
      <c r="G798" t="s">
        <v>108</v>
      </c>
      <c r="H798" t="s">
        <v>83</v>
      </c>
      <c r="I798" t="s">
        <v>85</v>
      </c>
      <c r="J798" t="s">
        <v>50</v>
      </c>
      <c r="K798">
        <v>4</v>
      </c>
      <c r="L798" t="s">
        <v>23</v>
      </c>
      <c r="M798" t="s">
        <v>23</v>
      </c>
      <c r="N798">
        <v>43</v>
      </c>
      <c r="O798" t="s">
        <v>34</v>
      </c>
      <c r="P798" t="s">
        <v>43</v>
      </c>
    </row>
    <row r="799" spans="1:16" ht="14.5" x14ac:dyDescent="0.35">
      <c r="A799">
        <v>798</v>
      </c>
      <c r="B799">
        <v>42</v>
      </c>
      <c r="C799" t="s">
        <v>16</v>
      </c>
      <c r="D799" t="s">
        <v>55</v>
      </c>
      <c r="E799" t="s">
        <v>56</v>
      </c>
      <c r="F799">
        <v>82</v>
      </c>
      <c r="G799" t="s">
        <v>119</v>
      </c>
      <c r="H799" t="s">
        <v>39</v>
      </c>
      <c r="I799" t="s">
        <v>74</v>
      </c>
      <c r="J799" t="s">
        <v>50</v>
      </c>
      <c r="K799">
        <v>4</v>
      </c>
      <c r="L799" t="s">
        <v>23</v>
      </c>
      <c r="M799" t="s">
        <v>23</v>
      </c>
      <c r="N799">
        <v>38</v>
      </c>
      <c r="O799" t="s">
        <v>77</v>
      </c>
      <c r="P799" t="s">
        <v>35</v>
      </c>
    </row>
    <row r="800" spans="1:16" ht="14.5" x14ac:dyDescent="0.35">
      <c r="A800">
        <v>799</v>
      </c>
      <c r="B800">
        <v>29</v>
      </c>
      <c r="C800" t="s">
        <v>16</v>
      </c>
      <c r="D800" t="s">
        <v>116</v>
      </c>
      <c r="E800" t="s">
        <v>18</v>
      </c>
      <c r="F800">
        <v>39</v>
      </c>
      <c r="G800" t="s">
        <v>111</v>
      </c>
      <c r="H800" t="s">
        <v>39</v>
      </c>
      <c r="I800" t="s">
        <v>74</v>
      </c>
      <c r="J800" t="s">
        <v>33</v>
      </c>
      <c r="K800">
        <v>3.8</v>
      </c>
      <c r="L800" t="s">
        <v>23</v>
      </c>
      <c r="M800" t="s">
        <v>23</v>
      </c>
      <c r="N800">
        <v>48</v>
      </c>
      <c r="O800" t="s">
        <v>40</v>
      </c>
      <c r="P800" t="s">
        <v>88</v>
      </c>
    </row>
    <row r="801" spans="1:16" ht="14.5" x14ac:dyDescent="0.35">
      <c r="A801">
        <v>800</v>
      </c>
      <c r="B801">
        <v>55</v>
      </c>
      <c r="C801" t="s">
        <v>16</v>
      </c>
      <c r="D801" t="s">
        <v>124</v>
      </c>
      <c r="E801" t="s">
        <v>60</v>
      </c>
      <c r="F801">
        <v>55</v>
      </c>
      <c r="G801" t="s">
        <v>98</v>
      </c>
      <c r="H801" t="s">
        <v>20</v>
      </c>
      <c r="I801" t="s">
        <v>101</v>
      </c>
      <c r="J801" t="s">
        <v>47</v>
      </c>
      <c r="K801">
        <v>3.3</v>
      </c>
      <c r="L801" t="s">
        <v>23</v>
      </c>
      <c r="M801" t="s">
        <v>23</v>
      </c>
      <c r="N801">
        <v>31</v>
      </c>
      <c r="O801" t="s">
        <v>40</v>
      </c>
      <c r="P801" t="s">
        <v>43</v>
      </c>
    </row>
    <row r="802" spans="1:16" ht="14.5" x14ac:dyDescent="0.35">
      <c r="A802">
        <v>801</v>
      </c>
      <c r="B802">
        <v>32</v>
      </c>
      <c r="C802" t="s">
        <v>16</v>
      </c>
      <c r="D802" t="s">
        <v>116</v>
      </c>
      <c r="E802" t="s">
        <v>18</v>
      </c>
      <c r="F802">
        <v>20</v>
      </c>
      <c r="G802" t="s">
        <v>131</v>
      </c>
      <c r="H802" t="s">
        <v>32</v>
      </c>
      <c r="I802" t="s">
        <v>71</v>
      </c>
      <c r="J802" t="s">
        <v>47</v>
      </c>
      <c r="K802">
        <v>2.6</v>
      </c>
      <c r="L802" t="s">
        <v>23</v>
      </c>
      <c r="M802" t="s">
        <v>23</v>
      </c>
      <c r="N802">
        <v>20</v>
      </c>
      <c r="O802" t="s">
        <v>29</v>
      </c>
      <c r="P802" t="s">
        <v>88</v>
      </c>
    </row>
    <row r="803" spans="1:16" ht="14.5" x14ac:dyDescent="0.35">
      <c r="A803">
        <v>802</v>
      </c>
      <c r="B803">
        <v>25</v>
      </c>
      <c r="C803" t="s">
        <v>16</v>
      </c>
      <c r="D803" t="s">
        <v>124</v>
      </c>
      <c r="E803" t="s">
        <v>60</v>
      </c>
      <c r="F803">
        <v>29</v>
      </c>
      <c r="G803" t="s">
        <v>121</v>
      </c>
      <c r="H803" t="s">
        <v>20</v>
      </c>
      <c r="I803" t="s">
        <v>135</v>
      </c>
      <c r="J803" t="s">
        <v>50</v>
      </c>
      <c r="K803">
        <v>4.9000000000000004</v>
      </c>
      <c r="L803" t="s">
        <v>23</v>
      </c>
      <c r="M803" t="s">
        <v>23</v>
      </c>
      <c r="N803">
        <v>12</v>
      </c>
      <c r="O803" t="s">
        <v>34</v>
      </c>
      <c r="P803" t="s">
        <v>25</v>
      </c>
    </row>
    <row r="804" spans="1:16" ht="14.5" x14ac:dyDescent="0.35">
      <c r="A804">
        <v>803</v>
      </c>
      <c r="B804">
        <v>38</v>
      </c>
      <c r="C804" t="s">
        <v>16</v>
      </c>
      <c r="D804" t="s">
        <v>86</v>
      </c>
      <c r="E804" t="s">
        <v>18</v>
      </c>
      <c r="F804">
        <v>41</v>
      </c>
      <c r="G804" t="s">
        <v>70</v>
      </c>
      <c r="H804" t="s">
        <v>39</v>
      </c>
      <c r="I804" t="s">
        <v>76</v>
      </c>
      <c r="J804" t="s">
        <v>22</v>
      </c>
      <c r="K804">
        <v>3.5</v>
      </c>
      <c r="L804" t="s">
        <v>23</v>
      </c>
      <c r="M804" t="s">
        <v>23</v>
      </c>
      <c r="N804">
        <v>2</v>
      </c>
      <c r="O804" t="s">
        <v>66</v>
      </c>
      <c r="P804" t="s">
        <v>35</v>
      </c>
    </row>
    <row r="805" spans="1:16" ht="14.5" x14ac:dyDescent="0.35">
      <c r="A805">
        <v>804</v>
      </c>
      <c r="B805">
        <v>32</v>
      </c>
      <c r="C805" t="s">
        <v>16</v>
      </c>
      <c r="D805" t="s">
        <v>52</v>
      </c>
      <c r="E805" t="s">
        <v>18</v>
      </c>
      <c r="F805">
        <v>38</v>
      </c>
      <c r="G805" t="s">
        <v>130</v>
      </c>
      <c r="H805" t="s">
        <v>20</v>
      </c>
      <c r="I805" t="s">
        <v>58</v>
      </c>
      <c r="J805" t="s">
        <v>22</v>
      </c>
      <c r="K805">
        <v>2.8</v>
      </c>
      <c r="L805" t="s">
        <v>23</v>
      </c>
      <c r="M805" t="s">
        <v>23</v>
      </c>
      <c r="N805">
        <v>30</v>
      </c>
      <c r="O805" t="s">
        <v>24</v>
      </c>
      <c r="P805" t="s">
        <v>88</v>
      </c>
    </row>
    <row r="806" spans="1:16" ht="14.5" x14ac:dyDescent="0.35">
      <c r="A806">
        <v>805</v>
      </c>
      <c r="B806">
        <v>43</v>
      </c>
      <c r="C806" t="s">
        <v>16</v>
      </c>
      <c r="D806" t="s">
        <v>128</v>
      </c>
      <c r="E806" t="s">
        <v>37</v>
      </c>
      <c r="F806">
        <v>47</v>
      </c>
      <c r="G806" t="s">
        <v>82</v>
      </c>
      <c r="H806" t="s">
        <v>39</v>
      </c>
      <c r="I806" t="s">
        <v>28</v>
      </c>
      <c r="J806" t="s">
        <v>47</v>
      </c>
      <c r="K806">
        <v>2.6</v>
      </c>
      <c r="L806" t="s">
        <v>23</v>
      </c>
      <c r="M806" t="s">
        <v>23</v>
      </c>
      <c r="N806">
        <v>28</v>
      </c>
      <c r="O806" t="s">
        <v>24</v>
      </c>
      <c r="P806" t="s">
        <v>51</v>
      </c>
    </row>
    <row r="807" spans="1:16" ht="14.5" x14ac:dyDescent="0.35">
      <c r="A807">
        <v>806</v>
      </c>
      <c r="B807">
        <v>41</v>
      </c>
      <c r="C807" t="s">
        <v>16</v>
      </c>
      <c r="D807" t="s">
        <v>72</v>
      </c>
      <c r="E807" t="s">
        <v>18</v>
      </c>
      <c r="F807">
        <v>30</v>
      </c>
      <c r="G807" t="s">
        <v>130</v>
      </c>
      <c r="H807" t="s">
        <v>20</v>
      </c>
      <c r="I807" t="s">
        <v>46</v>
      </c>
      <c r="J807" t="s">
        <v>47</v>
      </c>
      <c r="K807">
        <v>3.7</v>
      </c>
      <c r="L807" t="s">
        <v>23</v>
      </c>
      <c r="M807" t="s">
        <v>23</v>
      </c>
      <c r="N807">
        <v>40</v>
      </c>
      <c r="O807" t="s">
        <v>77</v>
      </c>
      <c r="P807" t="s">
        <v>79</v>
      </c>
    </row>
    <row r="808" spans="1:16" ht="14.5" x14ac:dyDescent="0.35">
      <c r="A808">
        <v>807</v>
      </c>
      <c r="B808">
        <v>56</v>
      </c>
      <c r="C808" t="s">
        <v>16</v>
      </c>
      <c r="D808" t="s">
        <v>30</v>
      </c>
      <c r="E808" t="s">
        <v>18</v>
      </c>
      <c r="F808">
        <v>56</v>
      </c>
      <c r="G808" t="s">
        <v>94</v>
      </c>
      <c r="H808" t="s">
        <v>20</v>
      </c>
      <c r="I808" t="s">
        <v>54</v>
      </c>
      <c r="J808" t="s">
        <v>47</v>
      </c>
      <c r="K808">
        <v>2.7</v>
      </c>
      <c r="L808" t="s">
        <v>23</v>
      </c>
      <c r="M808" t="s">
        <v>23</v>
      </c>
      <c r="N808">
        <v>46</v>
      </c>
      <c r="O808" t="s">
        <v>40</v>
      </c>
      <c r="P808" t="s">
        <v>51</v>
      </c>
    </row>
    <row r="809" spans="1:16" ht="14.5" x14ac:dyDescent="0.35">
      <c r="A809">
        <v>808</v>
      </c>
      <c r="B809">
        <v>27</v>
      </c>
      <c r="C809" t="s">
        <v>16</v>
      </c>
      <c r="D809" t="s">
        <v>104</v>
      </c>
      <c r="E809" t="s">
        <v>18</v>
      </c>
      <c r="F809">
        <v>89</v>
      </c>
      <c r="G809" t="s">
        <v>75</v>
      </c>
      <c r="H809" t="s">
        <v>32</v>
      </c>
      <c r="I809" t="s">
        <v>101</v>
      </c>
      <c r="J809" t="s">
        <v>22</v>
      </c>
      <c r="K809">
        <v>3.3</v>
      </c>
      <c r="L809" t="s">
        <v>23</v>
      </c>
      <c r="M809" t="s">
        <v>23</v>
      </c>
      <c r="N809">
        <v>15</v>
      </c>
      <c r="O809" t="s">
        <v>34</v>
      </c>
      <c r="P809" t="s">
        <v>35</v>
      </c>
    </row>
    <row r="810" spans="1:16" ht="14.5" x14ac:dyDescent="0.35">
      <c r="A810">
        <v>809</v>
      </c>
      <c r="B810">
        <v>46</v>
      </c>
      <c r="C810" t="s">
        <v>16</v>
      </c>
      <c r="D810" t="s">
        <v>63</v>
      </c>
      <c r="E810" t="s">
        <v>37</v>
      </c>
      <c r="F810">
        <v>96</v>
      </c>
      <c r="G810" t="s">
        <v>141</v>
      </c>
      <c r="H810" t="s">
        <v>20</v>
      </c>
      <c r="I810" t="s">
        <v>84</v>
      </c>
      <c r="J810" t="s">
        <v>50</v>
      </c>
      <c r="K810">
        <v>4.5999999999999996</v>
      </c>
      <c r="L810" t="s">
        <v>23</v>
      </c>
      <c r="M810" t="s">
        <v>23</v>
      </c>
      <c r="N810">
        <v>38</v>
      </c>
      <c r="O810" t="s">
        <v>29</v>
      </c>
      <c r="P810" t="s">
        <v>88</v>
      </c>
    </row>
    <row r="811" spans="1:16" ht="14.5" x14ac:dyDescent="0.35">
      <c r="A811">
        <v>810</v>
      </c>
      <c r="B811">
        <v>48</v>
      </c>
      <c r="C811" t="s">
        <v>16</v>
      </c>
      <c r="D811" t="s">
        <v>128</v>
      </c>
      <c r="E811" t="s">
        <v>37</v>
      </c>
      <c r="F811">
        <v>81</v>
      </c>
      <c r="G811" t="s">
        <v>122</v>
      </c>
      <c r="H811" t="s">
        <v>39</v>
      </c>
      <c r="I811" t="s">
        <v>74</v>
      </c>
      <c r="J811" t="s">
        <v>50</v>
      </c>
      <c r="K811">
        <v>4.9000000000000004</v>
      </c>
      <c r="L811" t="s">
        <v>23</v>
      </c>
      <c r="M811" t="s">
        <v>23</v>
      </c>
      <c r="N811">
        <v>30</v>
      </c>
      <c r="O811" t="s">
        <v>40</v>
      </c>
      <c r="P811" t="s">
        <v>67</v>
      </c>
    </row>
    <row r="812" spans="1:16" ht="14.5" x14ac:dyDescent="0.35">
      <c r="A812">
        <v>811</v>
      </c>
      <c r="B812">
        <v>52</v>
      </c>
      <c r="C812" t="s">
        <v>16</v>
      </c>
      <c r="D812" t="s">
        <v>110</v>
      </c>
      <c r="E812" t="s">
        <v>60</v>
      </c>
      <c r="F812">
        <v>83</v>
      </c>
      <c r="G812" t="s">
        <v>138</v>
      </c>
      <c r="H812" t="s">
        <v>32</v>
      </c>
      <c r="I812" t="s">
        <v>84</v>
      </c>
      <c r="J812" t="s">
        <v>50</v>
      </c>
      <c r="K812">
        <v>4.9000000000000004</v>
      </c>
      <c r="L812" t="s">
        <v>23</v>
      </c>
      <c r="M812" t="s">
        <v>23</v>
      </c>
      <c r="N812">
        <v>32</v>
      </c>
      <c r="O812" t="s">
        <v>77</v>
      </c>
      <c r="P812" t="s">
        <v>67</v>
      </c>
    </row>
    <row r="813" spans="1:16" ht="14.5" x14ac:dyDescent="0.35">
      <c r="A813">
        <v>812</v>
      </c>
      <c r="B813">
        <v>18</v>
      </c>
      <c r="C813" t="s">
        <v>16</v>
      </c>
      <c r="D813" t="s">
        <v>44</v>
      </c>
      <c r="E813" t="s">
        <v>37</v>
      </c>
      <c r="F813">
        <v>35</v>
      </c>
      <c r="G813" t="s">
        <v>106</v>
      </c>
      <c r="H813" t="s">
        <v>39</v>
      </c>
      <c r="I813" t="s">
        <v>87</v>
      </c>
      <c r="J813" t="s">
        <v>22</v>
      </c>
      <c r="K813">
        <v>2.7</v>
      </c>
      <c r="L813" t="s">
        <v>23</v>
      </c>
      <c r="M813" t="s">
        <v>23</v>
      </c>
      <c r="N813">
        <v>36</v>
      </c>
      <c r="O813" t="s">
        <v>24</v>
      </c>
      <c r="P813" t="s">
        <v>51</v>
      </c>
    </row>
    <row r="814" spans="1:16" ht="14.5" x14ac:dyDescent="0.35">
      <c r="A814">
        <v>813</v>
      </c>
      <c r="B814">
        <v>64</v>
      </c>
      <c r="C814" t="s">
        <v>16</v>
      </c>
      <c r="D814" t="s">
        <v>128</v>
      </c>
      <c r="E814" t="s">
        <v>37</v>
      </c>
      <c r="F814">
        <v>56</v>
      </c>
      <c r="G814" t="s">
        <v>111</v>
      </c>
      <c r="H814" t="s">
        <v>39</v>
      </c>
      <c r="I814" t="s">
        <v>69</v>
      </c>
      <c r="J814" t="s">
        <v>47</v>
      </c>
      <c r="K814">
        <v>3.2</v>
      </c>
      <c r="L814" t="s">
        <v>23</v>
      </c>
      <c r="M814" t="s">
        <v>23</v>
      </c>
      <c r="N814">
        <v>32</v>
      </c>
      <c r="O814" t="s">
        <v>34</v>
      </c>
      <c r="P814" t="s">
        <v>35</v>
      </c>
    </row>
    <row r="815" spans="1:16" ht="14.5" x14ac:dyDescent="0.35">
      <c r="A815">
        <v>814</v>
      </c>
      <c r="B815">
        <v>54</v>
      </c>
      <c r="C815" t="s">
        <v>16</v>
      </c>
      <c r="D815" t="s">
        <v>59</v>
      </c>
      <c r="E815" t="s">
        <v>60</v>
      </c>
      <c r="F815">
        <v>45</v>
      </c>
      <c r="G815" t="s">
        <v>49</v>
      </c>
      <c r="H815" t="s">
        <v>32</v>
      </c>
      <c r="I815" t="s">
        <v>69</v>
      </c>
      <c r="J815" t="s">
        <v>47</v>
      </c>
      <c r="K815">
        <v>2.9</v>
      </c>
      <c r="L815" t="s">
        <v>23</v>
      </c>
      <c r="M815" t="s">
        <v>23</v>
      </c>
      <c r="N815">
        <v>14</v>
      </c>
      <c r="O815" t="s">
        <v>77</v>
      </c>
      <c r="P815" t="s">
        <v>43</v>
      </c>
    </row>
    <row r="816" spans="1:16" ht="14.5" x14ac:dyDescent="0.35">
      <c r="A816">
        <v>815</v>
      </c>
      <c r="B816">
        <v>31</v>
      </c>
      <c r="C816" t="s">
        <v>16</v>
      </c>
      <c r="D816" t="s">
        <v>48</v>
      </c>
      <c r="E816" t="s">
        <v>18</v>
      </c>
      <c r="F816">
        <v>62</v>
      </c>
      <c r="G816" t="s">
        <v>139</v>
      </c>
      <c r="H816" t="s">
        <v>39</v>
      </c>
      <c r="I816" t="s">
        <v>62</v>
      </c>
      <c r="J816" t="s">
        <v>22</v>
      </c>
      <c r="K816">
        <v>3.8</v>
      </c>
      <c r="L816" t="s">
        <v>23</v>
      </c>
      <c r="M816" t="s">
        <v>23</v>
      </c>
      <c r="N816">
        <v>8</v>
      </c>
      <c r="O816" t="s">
        <v>40</v>
      </c>
      <c r="P816" t="s">
        <v>79</v>
      </c>
    </row>
    <row r="817" spans="1:16" ht="14.5" x14ac:dyDescent="0.35">
      <c r="A817">
        <v>816</v>
      </c>
      <c r="B817">
        <v>30</v>
      </c>
      <c r="C817" t="s">
        <v>16</v>
      </c>
      <c r="D817" t="s">
        <v>115</v>
      </c>
      <c r="E817" t="s">
        <v>60</v>
      </c>
      <c r="F817">
        <v>84</v>
      </c>
      <c r="G817" t="s">
        <v>57</v>
      </c>
      <c r="H817" t="s">
        <v>20</v>
      </c>
      <c r="I817" t="s">
        <v>76</v>
      </c>
      <c r="J817" t="s">
        <v>33</v>
      </c>
      <c r="K817">
        <v>3</v>
      </c>
      <c r="L817" t="s">
        <v>23</v>
      </c>
      <c r="M817" t="s">
        <v>23</v>
      </c>
      <c r="N817">
        <v>27</v>
      </c>
      <c r="O817" t="s">
        <v>24</v>
      </c>
      <c r="P817" t="s">
        <v>67</v>
      </c>
    </row>
    <row r="818" spans="1:16" ht="14.5" x14ac:dyDescent="0.35">
      <c r="A818">
        <v>817</v>
      </c>
      <c r="B818">
        <v>26</v>
      </c>
      <c r="C818" t="s">
        <v>16</v>
      </c>
      <c r="D818" t="s">
        <v>26</v>
      </c>
      <c r="E818" t="s">
        <v>18</v>
      </c>
      <c r="F818">
        <v>24</v>
      </c>
      <c r="G818" t="s">
        <v>106</v>
      </c>
      <c r="H818" t="s">
        <v>20</v>
      </c>
      <c r="I818" t="s">
        <v>100</v>
      </c>
      <c r="J818" t="s">
        <v>47</v>
      </c>
      <c r="K818">
        <v>3.9</v>
      </c>
      <c r="L818" t="s">
        <v>23</v>
      </c>
      <c r="M818" t="s">
        <v>23</v>
      </c>
      <c r="N818">
        <v>24</v>
      </c>
      <c r="O818" t="s">
        <v>77</v>
      </c>
      <c r="P818" t="s">
        <v>79</v>
      </c>
    </row>
    <row r="819" spans="1:16" ht="14.5" x14ac:dyDescent="0.35">
      <c r="A819">
        <v>818</v>
      </c>
      <c r="B819">
        <v>25</v>
      </c>
      <c r="C819" t="s">
        <v>16</v>
      </c>
      <c r="D819" t="s">
        <v>59</v>
      </c>
      <c r="E819" t="s">
        <v>60</v>
      </c>
      <c r="F819">
        <v>21</v>
      </c>
      <c r="G819" t="s">
        <v>98</v>
      </c>
      <c r="H819" t="s">
        <v>32</v>
      </c>
      <c r="I819" t="s">
        <v>21</v>
      </c>
      <c r="J819" t="s">
        <v>33</v>
      </c>
      <c r="K819">
        <v>4.7</v>
      </c>
      <c r="L819" t="s">
        <v>23</v>
      </c>
      <c r="M819" t="s">
        <v>23</v>
      </c>
      <c r="N819">
        <v>30</v>
      </c>
      <c r="O819" t="s">
        <v>40</v>
      </c>
      <c r="P819" t="s">
        <v>25</v>
      </c>
    </row>
    <row r="820" spans="1:16" ht="14.5" x14ac:dyDescent="0.35">
      <c r="A820">
        <v>819</v>
      </c>
      <c r="B820">
        <v>59</v>
      </c>
      <c r="C820" t="s">
        <v>16</v>
      </c>
      <c r="D820" t="s">
        <v>48</v>
      </c>
      <c r="E820" t="s">
        <v>18</v>
      </c>
      <c r="F820">
        <v>91</v>
      </c>
      <c r="G820" t="s">
        <v>126</v>
      </c>
      <c r="H820" t="s">
        <v>39</v>
      </c>
      <c r="I820" t="s">
        <v>91</v>
      </c>
      <c r="J820" t="s">
        <v>22</v>
      </c>
      <c r="K820">
        <v>4.9000000000000004</v>
      </c>
      <c r="L820" t="s">
        <v>23</v>
      </c>
      <c r="M820" t="s">
        <v>23</v>
      </c>
      <c r="N820">
        <v>34</v>
      </c>
      <c r="O820" t="s">
        <v>77</v>
      </c>
      <c r="P820" t="s">
        <v>79</v>
      </c>
    </row>
    <row r="821" spans="1:16" ht="14.5" x14ac:dyDescent="0.35">
      <c r="A821">
        <v>820</v>
      </c>
      <c r="B821">
        <v>55</v>
      </c>
      <c r="C821" t="s">
        <v>16</v>
      </c>
      <c r="D821" t="s">
        <v>80</v>
      </c>
      <c r="E821" t="s">
        <v>60</v>
      </c>
      <c r="F821">
        <v>36</v>
      </c>
      <c r="G821" t="s">
        <v>103</v>
      </c>
      <c r="H821" t="s">
        <v>32</v>
      </c>
      <c r="I821" t="s">
        <v>76</v>
      </c>
      <c r="J821" t="s">
        <v>22</v>
      </c>
      <c r="K821">
        <v>4.8</v>
      </c>
      <c r="L821" t="s">
        <v>23</v>
      </c>
      <c r="M821" t="s">
        <v>23</v>
      </c>
      <c r="N821">
        <v>28</v>
      </c>
      <c r="O821" t="s">
        <v>77</v>
      </c>
      <c r="P821" t="s">
        <v>51</v>
      </c>
    </row>
    <row r="822" spans="1:16" ht="14.5" x14ac:dyDescent="0.35">
      <c r="A822">
        <v>821</v>
      </c>
      <c r="B822">
        <v>56</v>
      </c>
      <c r="C822" t="s">
        <v>16</v>
      </c>
      <c r="D822" t="s">
        <v>44</v>
      </c>
      <c r="E822" t="s">
        <v>37</v>
      </c>
      <c r="F822">
        <v>39</v>
      </c>
      <c r="G822" t="s">
        <v>53</v>
      </c>
      <c r="H822" t="s">
        <v>39</v>
      </c>
      <c r="I822" t="s">
        <v>42</v>
      </c>
      <c r="J822" t="s">
        <v>33</v>
      </c>
      <c r="K822">
        <v>2.5</v>
      </c>
      <c r="L822" t="s">
        <v>23</v>
      </c>
      <c r="M822" t="s">
        <v>23</v>
      </c>
      <c r="N822">
        <v>27</v>
      </c>
      <c r="O822" t="s">
        <v>77</v>
      </c>
      <c r="P822" t="s">
        <v>79</v>
      </c>
    </row>
    <row r="823" spans="1:16" ht="14.5" x14ac:dyDescent="0.35">
      <c r="A823">
        <v>822</v>
      </c>
      <c r="B823">
        <v>62</v>
      </c>
      <c r="C823" t="s">
        <v>16</v>
      </c>
      <c r="D823" t="s">
        <v>95</v>
      </c>
      <c r="E823" t="s">
        <v>18</v>
      </c>
      <c r="F823">
        <v>39</v>
      </c>
      <c r="G823" t="s">
        <v>120</v>
      </c>
      <c r="H823" t="s">
        <v>39</v>
      </c>
      <c r="I823" t="s">
        <v>87</v>
      </c>
      <c r="J823" t="s">
        <v>33</v>
      </c>
      <c r="K823">
        <v>3.9</v>
      </c>
      <c r="L823" t="s">
        <v>23</v>
      </c>
      <c r="M823" t="s">
        <v>23</v>
      </c>
      <c r="N823">
        <v>31</v>
      </c>
      <c r="O823" t="s">
        <v>34</v>
      </c>
      <c r="P823" t="s">
        <v>67</v>
      </c>
    </row>
    <row r="824" spans="1:16" ht="14.5" x14ac:dyDescent="0.35">
      <c r="A824">
        <v>823</v>
      </c>
      <c r="B824">
        <v>35</v>
      </c>
      <c r="C824" t="s">
        <v>16</v>
      </c>
      <c r="D824" t="s">
        <v>48</v>
      </c>
      <c r="E824" t="s">
        <v>18</v>
      </c>
      <c r="F824">
        <v>59</v>
      </c>
      <c r="G824" t="s">
        <v>82</v>
      </c>
      <c r="H824" t="s">
        <v>20</v>
      </c>
      <c r="I824" t="s">
        <v>127</v>
      </c>
      <c r="J824" t="s">
        <v>22</v>
      </c>
      <c r="K824">
        <v>3.4</v>
      </c>
      <c r="L824" t="s">
        <v>23</v>
      </c>
      <c r="M824" t="s">
        <v>23</v>
      </c>
      <c r="N824">
        <v>23</v>
      </c>
      <c r="O824" t="s">
        <v>66</v>
      </c>
      <c r="P824" t="s">
        <v>43</v>
      </c>
    </row>
    <row r="825" spans="1:16" ht="14.5" x14ac:dyDescent="0.35">
      <c r="A825">
        <v>824</v>
      </c>
      <c r="B825">
        <v>51</v>
      </c>
      <c r="C825" t="s">
        <v>16</v>
      </c>
      <c r="D825" t="s">
        <v>80</v>
      </c>
      <c r="E825" t="s">
        <v>60</v>
      </c>
      <c r="F825">
        <v>27</v>
      </c>
      <c r="G825" t="s">
        <v>133</v>
      </c>
      <c r="H825" t="s">
        <v>39</v>
      </c>
      <c r="I825" t="s">
        <v>87</v>
      </c>
      <c r="J825" t="s">
        <v>22</v>
      </c>
      <c r="K825">
        <v>2.5</v>
      </c>
      <c r="L825" t="s">
        <v>23</v>
      </c>
      <c r="M825" t="s">
        <v>23</v>
      </c>
      <c r="N825">
        <v>11</v>
      </c>
      <c r="O825" t="s">
        <v>34</v>
      </c>
      <c r="P825" t="s">
        <v>51</v>
      </c>
    </row>
    <row r="826" spans="1:16" ht="14.5" x14ac:dyDescent="0.35">
      <c r="A826">
        <v>825</v>
      </c>
      <c r="B826">
        <v>61</v>
      </c>
      <c r="C826" t="s">
        <v>16</v>
      </c>
      <c r="D826" t="s">
        <v>17</v>
      </c>
      <c r="E826" t="s">
        <v>18</v>
      </c>
      <c r="F826">
        <v>94</v>
      </c>
      <c r="G826" t="s">
        <v>133</v>
      </c>
      <c r="H826" t="s">
        <v>39</v>
      </c>
      <c r="I826" t="s">
        <v>46</v>
      </c>
      <c r="J826" t="s">
        <v>33</v>
      </c>
      <c r="K826">
        <v>3</v>
      </c>
      <c r="L826" t="s">
        <v>23</v>
      </c>
      <c r="M826" t="s">
        <v>23</v>
      </c>
      <c r="N826">
        <v>48</v>
      </c>
      <c r="O826" t="s">
        <v>29</v>
      </c>
      <c r="P826" t="s">
        <v>51</v>
      </c>
    </row>
    <row r="827" spans="1:16" ht="14.5" x14ac:dyDescent="0.35">
      <c r="A827">
        <v>826</v>
      </c>
      <c r="B827">
        <v>27</v>
      </c>
      <c r="C827" t="s">
        <v>16</v>
      </c>
      <c r="D827" t="s">
        <v>124</v>
      </c>
      <c r="E827" t="s">
        <v>60</v>
      </c>
      <c r="F827">
        <v>94</v>
      </c>
      <c r="G827" t="s">
        <v>136</v>
      </c>
      <c r="H827" t="s">
        <v>83</v>
      </c>
      <c r="I827" t="s">
        <v>101</v>
      </c>
      <c r="J827" t="s">
        <v>50</v>
      </c>
      <c r="K827">
        <v>3.6</v>
      </c>
      <c r="L827" t="s">
        <v>23</v>
      </c>
      <c r="M827" t="s">
        <v>23</v>
      </c>
      <c r="N827">
        <v>17</v>
      </c>
      <c r="O827" t="s">
        <v>29</v>
      </c>
      <c r="P827" t="s">
        <v>79</v>
      </c>
    </row>
    <row r="828" spans="1:16" ht="14.5" x14ac:dyDescent="0.35">
      <c r="A828">
        <v>827</v>
      </c>
      <c r="B828">
        <v>54</v>
      </c>
      <c r="C828" t="s">
        <v>16</v>
      </c>
      <c r="D828" t="s">
        <v>72</v>
      </c>
      <c r="E828" t="s">
        <v>18</v>
      </c>
      <c r="F828">
        <v>94</v>
      </c>
      <c r="G828" t="s">
        <v>31</v>
      </c>
      <c r="H828" t="s">
        <v>39</v>
      </c>
      <c r="I828" t="s">
        <v>65</v>
      </c>
      <c r="J828" t="s">
        <v>22</v>
      </c>
      <c r="K828">
        <v>3.6</v>
      </c>
      <c r="L828" t="s">
        <v>23</v>
      </c>
      <c r="M828" t="s">
        <v>23</v>
      </c>
      <c r="N828">
        <v>36</v>
      </c>
      <c r="O828" t="s">
        <v>40</v>
      </c>
      <c r="P828" t="s">
        <v>35</v>
      </c>
    </row>
    <row r="829" spans="1:16" ht="14.5" x14ac:dyDescent="0.35">
      <c r="A829">
        <v>828</v>
      </c>
      <c r="B829">
        <v>31</v>
      </c>
      <c r="C829" t="s">
        <v>16</v>
      </c>
      <c r="D829" t="s">
        <v>63</v>
      </c>
      <c r="E829" t="s">
        <v>37</v>
      </c>
      <c r="F829">
        <v>51</v>
      </c>
      <c r="G829" t="s">
        <v>103</v>
      </c>
      <c r="H829" t="s">
        <v>32</v>
      </c>
      <c r="I829" t="s">
        <v>87</v>
      </c>
      <c r="J829" t="s">
        <v>50</v>
      </c>
      <c r="K829">
        <v>4.0999999999999996</v>
      </c>
      <c r="L829" t="s">
        <v>23</v>
      </c>
      <c r="M829" t="s">
        <v>23</v>
      </c>
      <c r="N829">
        <v>33</v>
      </c>
      <c r="O829" t="s">
        <v>66</v>
      </c>
      <c r="P829" t="s">
        <v>25</v>
      </c>
    </row>
    <row r="830" spans="1:16" ht="14.5" x14ac:dyDescent="0.35">
      <c r="A830">
        <v>829</v>
      </c>
      <c r="B830">
        <v>24</v>
      </c>
      <c r="C830" t="s">
        <v>16</v>
      </c>
      <c r="D830" t="s">
        <v>116</v>
      </c>
      <c r="E830" t="s">
        <v>18</v>
      </c>
      <c r="F830">
        <v>62</v>
      </c>
      <c r="G830" t="s">
        <v>98</v>
      </c>
      <c r="H830" t="s">
        <v>39</v>
      </c>
      <c r="I830" t="s">
        <v>91</v>
      </c>
      <c r="J830" t="s">
        <v>50</v>
      </c>
      <c r="K830">
        <v>3.7</v>
      </c>
      <c r="L830" t="s">
        <v>23</v>
      </c>
      <c r="M830" t="s">
        <v>23</v>
      </c>
      <c r="N830">
        <v>27</v>
      </c>
      <c r="O830" t="s">
        <v>40</v>
      </c>
      <c r="P830" t="s">
        <v>67</v>
      </c>
    </row>
    <row r="831" spans="1:16" ht="14.5" x14ac:dyDescent="0.35">
      <c r="A831">
        <v>830</v>
      </c>
      <c r="B831">
        <v>42</v>
      </c>
      <c r="C831" t="s">
        <v>16</v>
      </c>
      <c r="D831" t="s">
        <v>116</v>
      </c>
      <c r="E831" t="s">
        <v>18</v>
      </c>
      <c r="F831">
        <v>57</v>
      </c>
      <c r="G831" t="s">
        <v>126</v>
      </c>
      <c r="H831" t="s">
        <v>32</v>
      </c>
      <c r="I831" t="s">
        <v>58</v>
      </c>
      <c r="J831" t="s">
        <v>33</v>
      </c>
      <c r="K831">
        <v>3.1</v>
      </c>
      <c r="L831" t="s">
        <v>23</v>
      </c>
      <c r="M831" t="s">
        <v>23</v>
      </c>
      <c r="N831">
        <v>14</v>
      </c>
      <c r="O831" t="s">
        <v>34</v>
      </c>
      <c r="P831" t="s">
        <v>25</v>
      </c>
    </row>
    <row r="832" spans="1:16" ht="14.5" x14ac:dyDescent="0.35">
      <c r="A832">
        <v>831</v>
      </c>
      <c r="B832">
        <v>41</v>
      </c>
      <c r="C832" t="s">
        <v>16</v>
      </c>
      <c r="D832" t="s">
        <v>52</v>
      </c>
      <c r="E832" t="s">
        <v>18</v>
      </c>
      <c r="F832">
        <v>76</v>
      </c>
      <c r="G832" t="s">
        <v>45</v>
      </c>
      <c r="H832" t="s">
        <v>39</v>
      </c>
      <c r="I832" t="s">
        <v>28</v>
      </c>
      <c r="J832" t="s">
        <v>50</v>
      </c>
      <c r="K832">
        <v>4.2</v>
      </c>
      <c r="L832" t="s">
        <v>23</v>
      </c>
      <c r="M832" t="s">
        <v>23</v>
      </c>
      <c r="N832">
        <v>5</v>
      </c>
      <c r="O832" t="s">
        <v>34</v>
      </c>
      <c r="P832" t="s">
        <v>43</v>
      </c>
    </row>
    <row r="833" spans="1:16" ht="14.5" x14ac:dyDescent="0.35">
      <c r="A833">
        <v>832</v>
      </c>
      <c r="B833">
        <v>66</v>
      </c>
      <c r="C833" t="s">
        <v>16</v>
      </c>
      <c r="D833" t="s">
        <v>134</v>
      </c>
      <c r="E833" t="s">
        <v>60</v>
      </c>
      <c r="F833">
        <v>63</v>
      </c>
      <c r="G833" t="s">
        <v>140</v>
      </c>
      <c r="H833" t="s">
        <v>39</v>
      </c>
      <c r="I833" t="s">
        <v>99</v>
      </c>
      <c r="J833" t="s">
        <v>47</v>
      </c>
      <c r="K833">
        <v>4.3</v>
      </c>
      <c r="L833" t="s">
        <v>23</v>
      </c>
      <c r="M833" t="s">
        <v>23</v>
      </c>
      <c r="N833">
        <v>47</v>
      </c>
      <c r="O833" t="s">
        <v>29</v>
      </c>
      <c r="P833" t="s">
        <v>88</v>
      </c>
    </row>
    <row r="834" spans="1:16" ht="14.5" x14ac:dyDescent="0.35">
      <c r="A834">
        <v>833</v>
      </c>
      <c r="B834">
        <v>58</v>
      </c>
      <c r="C834" t="s">
        <v>16</v>
      </c>
      <c r="D834" t="s">
        <v>93</v>
      </c>
      <c r="E834" t="s">
        <v>56</v>
      </c>
      <c r="F834">
        <v>80</v>
      </c>
      <c r="G834" t="s">
        <v>90</v>
      </c>
      <c r="H834" t="s">
        <v>20</v>
      </c>
      <c r="I834" t="s">
        <v>135</v>
      </c>
      <c r="J834" t="s">
        <v>50</v>
      </c>
      <c r="K834">
        <v>2.5</v>
      </c>
      <c r="L834" t="s">
        <v>23</v>
      </c>
      <c r="M834" t="s">
        <v>23</v>
      </c>
      <c r="N834">
        <v>28</v>
      </c>
      <c r="O834" t="s">
        <v>29</v>
      </c>
      <c r="P834" t="s">
        <v>67</v>
      </c>
    </row>
    <row r="835" spans="1:16" ht="14.5" x14ac:dyDescent="0.35">
      <c r="A835">
        <v>834</v>
      </c>
      <c r="B835">
        <v>43</v>
      </c>
      <c r="C835" t="s">
        <v>16</v>
      </c>
      <c r="D835" t="s">
        <v>59</v>
      </c>
      <c r="E835" t="s">
        <v>60</v>
      </c>
      <c r="F835">
        <v>68</v>
      </c>
      <c r="G835" t="s">
        <v>92</v>
      </c>
      <c r="H835" t="s">
        <v>39</v>
      </c>
      <c r="I835" t="s">
        <v>65</v>
      </c>
      <c r="J835" t="s">
        <v>50</v>
      </c>
      <c r="K835">
        <v>3.5</v>
      </c>
      <c r="L835" t="s">
        <v>23</v>
      </c>
      <c r="M835" t="s">
        <v>23</v>
      </c>
      <c r="N835">
        <v>11</v>
      </c>
      <c r="O835" t="s">
        <v>34</v>
      </c>
      <c r="P835" t="s">
        <v>43</v>
      </c>
    </row>
    <row r="836" spans="1:16" ht="14.5" x14ac:dyDescent="0.35">
      <c r="A836">
        <v>835</v>
      </c>
      <c r="B836">
        <v>52</v>
      </c>
      <c r="C836" t="s">
        <v>16</v>
      </c>
      <c r="D836" t="s">
        <v>123</v>
      </c>
      <c r="E836" t="s">
        <v>60</v>
      </c>
      <c r="F836">
        <v>89</v>
      </c>
      <c r="G836" t="s">
        <v>98</v>
      </c>
      <c r="H836" t="s">
        <v>39</v>
      </c>
      <c r="I836" t="s">
        <v>117</v>
      </c>
      <c r="J836" t="s">
        <v>47</v>
      </c>
      <c r="K836">
        <v>3.1</v>
      </c>
      <c r="L836" t="s">
        <v>23</v>
      </c>
      <c r="M836" t="s">
        <v>23</v>
      </c>
      <c r="N836">
        <v>18</v>
      </c>
      <c r="O836" t="s">
        <v>34</v>
      </c>
      <c r="P836" t="s">
        <v>35</v>
      </c>
    </row>
    <row r="837" spans="1:16" ht="14.5" x14ac:dyDescent="0.35">
      <c r="A837">
        <v>836</v>
      </c>
      <c r="B837">
        <v>35</v>
      </c>
      <c r="C837" t="s">
        <v>16</v>
      </c>
      <c r="D837" t="s">
        <v>128</v>
      </c>
      <c r="E837" t="s">
        <v>37</v>
      </c>
      <c r="F837">
        <v>26</v>
      </c>
      <c r="G837" t="s">
        <v>119</v>
      </c>
      <c r="H837" t="s">
        <v>20</v>
      </c>
      <c r="I837" t="s">
        <v>117</v>
      </c>
      <c r="J837" t="s">
        <v>47</v>
      </c>
      <c r="K837">
        <v>2.5</v>
      </c>
      <c r="L837" t="s">
        <v>23</v>
      </c>
      <c r="M837" t="s">
        <v>23</v>
      </c>
      <c r="N837">
        <v>21</v>
      </c>
      <c r="O837" t="s">
        <v>77</v>
      </c>
      <c r="P837" t="s">
        <v>35</v>
      </c>
    </row>
    <row r="838" spans="1:16" ht="14.5" x14ac:dyDescent="0.35">
      <c r="A838">
        <v>837</v>
      </c>
      <c r="B838">
        <v>23</v>
      </c>
      <c r="C838" t="s">
        <v>16</v>
      </c>
      <c r="D838" t="s">
        <v>134</v>
      </c>
      <c r="E838" t="s">
        <v>60</v>
      </c>
      <c r="F838">
        <v>90</v>
      </c>
      <c r="G838" t="s">
        <v>57</v>
      </c>
      <c r="H838" t="s">
        <v>20</v>
      </c>
      <c r="I838" t="s">
        <v>74</v>
      </c>
      <c r="J838" t="s">
        <v>22</v>
      </c>
      <c r="K838">
        <v>3.9</v>
      </c>
      <c r="L838" t="s">
        <v>23</v>
      </c>
      <c r="M838" t="s">
        <v>23</v>
      </c>
      <c r="N838">
        <v>22</v>
      </c>
      <c r="O838" t="s">
        <v>29</v>
      </c>
      <c r="P838" t="s">
        <v>67</v>
      </c>
    </row>
    <row r="839" spans="1:16" ht="14.5" x14ac:dyDescent="0.35">
      <c r="A839">
        <v>838</v>
      </c>
      <c r="B839">
        <v>25</v>
      </c>
      <c r="C839" t="s">
        <v>16</v>
      </c>
      <c r="D839" t="s">
        <v>95</v>
      </c>
      <c r="E839" t="s">
        <v>18</v>
      </c>
      <c r="F839">
        <v>28</v>
      </c>
      <c r="G839" t="s">
        <v>106</v>
      </c>
      <c r="H839" t="s">
        <v>20</v>
      </c>
      <c r="I839" t="s">
        <v>101</v>
      </c>
      <c r="J839" t="s">
        <v>33</v>
      </c>
      <c r="K839">
        <v>4.9000000000000004</v>
      </c>
      <c r="L839" t="s">
        <v>23</v>
      </c>
      <c r="M839" t="s">
        <v>23</v>
      </c>
      <c r="N839">
        <v>33</v>
      </c>
      <c r="O839" t="s">
        <v>29</v>
      </c>
      <c r="P839" t="s">
        <v>88</v>
      </c>
    </row>
    <row r="840" spans="1:16" ht="14.5" x14ac:dyDescent="0.35">
      <c r="A840">
        <v>839</v>
      </c>
      <c r="B840">
        <v>33</v>
      </c>
      <c r="C840" t="s">
        <v>16</v>
      </c>
      <c r="D840" t="s">
        <v>55</v>
      </c>
      <c r="E840" t="s">
        <v>56</v>
      </c>
      <c r="F840">
        <v>29</v>
      </c>
      <c r="G840" t="s">
        <v>19</v>
      </c>
      <c r="H840" t="s">
        <v>39</v>
      </c>
      <c r="I840" t="s">
        <v>21</v>
      </c>
      <c r="J840" t="s">
        <v>33</v>
      </c>
      <c r="K840">
        <v>4.3</v>
      </c>
      <c r="L840" t="s">
        <v>23</v>
      </c>
      <c r="M840" t="s">
        <v>23</v>
      </c>
      <c r="N840">
        <v>49</v>
      </c>
      <c r="O840" t="s">
        <v>34</v>
      </c>
      <c r="P840" t="s">
        <v>43</v>
      </c>
    </row>
    <row r="841" spans="1:16" ht="14.5" x14ac:dyDescent="0.35">
      <c r="A841">
        <v>840</v>
      </c>
      <c r="B841">
        <v>48</v>
      </c>
      <c r="C841" t="s">
        <v>16</v>
      </c>
      <c r="D841" t="s">
        <v>48</v>
      </c>
      <c r="E841" t="s">
        <v>18</v>
      </c>
      <c r="F841">
        <v>31</v>
      </c>
      <c r="G841" t="s">
        <v>106</v>
      </c>
      <c r="H841" t="s">
        <v>20</v>
      </c>
      <c r="I841" t="s">
        <v>76</v>
      </c>
      <c r="J841" t="s">
        <v>33</v>
      </c>
      <c r="K841">
        <v>2.6</v>
      </c>
      <c r="L841" t="s">
        <v>23</v>
      </c>
      <c r="M841" t="s">
        <v>23</v>
      </c>
      <c r="N841">
        <v>10</v>
      </c>
      <c r="O841" t="s">
        <v>77</v>
      </c>
      <c r="P841" t="s">
        <v>88</v>
      </c>
    </row>
    <row r="842" spans="1:16" ht="14.5" x14ac:dyDescent="0.35">
      <c r="A842">
        <v>841</v>
      </c>
      <c r="B842">
        <v>42</v>
      </c>
      <c r="C842" t="s">
        <v>16</v>
      </c>
      <c r="D842" t="s">
        <v>48</v>
      </c>
      <c r="E842" t="s">
        <v>18</v>
      </c>
      <c r="F842">
        <v>24</v>
      </c>
      <c r="G842" t="s">
        <v>81</v>
      </c>
      <c r="H842" t="s">
        <v>20</v>
      </c>
      <c r="I842" t="s">
        <v>76</v>
      </c>
      <c r="J842" t="s">
        <v>47</v>
      </c>
      <c r="K842">
        <v>4.2</v>
      </c>
      <c r="L842" t="s">
        <v>23</v>
      </c>
      <c r="M842" t="s">
        <v>23</v>
      </c>
      <c r="N842">
        <v>18</v>
      </c>
      <c r="O842" t="s">
        <v>40</v>
      </c>
      <c r="P842" t="s">
        <v>35</v>
      </c>
    </row>
    <row r="843" spans="1:16" ht="14.5" x14ac:dyDescent="0.35">
      <c r="A843">
        <v>842</v>
      </c>
      <c r="B843">
        <v>55</v>
      </c>
      <c r="C843" t="s">
        <v>16</v>
      </c>
      <c r="D843" t="s">
        <v>26</v>
      </c>
      <c r="E843" t="s">
        <v>18</v>
      </c>
      <c r="F843">
        <v>88</v>
      </c>
      <c r="G843" t="s">
        <v>96</v>
      </c>
      <c r="H843" t="s">
        <v>39</v>
      </c>
      <c r="I843" t="s">
        <v>109</v>
      </c>
      <c r="J843" t="s">
        <v>47</v>
      </c>
      <c r="K843">
        <v>2.6</v>
      </c>
      <c r="L843" t="s">
        <v>23</v>
      </c>
      <c r="M843" t="s">
        <v>23</v>
      </c>
      <c r="N843">
        <v>28</v>
      </c>
      <c r="O843" t="s">
        <v>40</v>
      </c>
      <c r="P843" t="s">
        <v>25</v>
      </c>
    </row>
    <row r="844" spans="1:16" ht="14.5" x14ac:dyDescent="0.35">
      <c r="A844">
        <v>843</v>
      </c>
      <c r="B844">
        <v>59</v>
      </c>
      <c r="C844" t="s">
        <v>16</v>
      </c>
      <c r="D844" t="s">
        <v>48</v>
      </c>
      <c r="E844" t="s">
        <v>18</v>
      </c>
      <c r="F844">
        <v>87</v>
      </c>
      <c r="G844" t="s">
        <v>61</v>
      </c>
      <c r="H844" t="s">
        <v>39</v>
      </c>
      <c r="I844" t="s">
        <v>74</v>
      </c>
      <c r="J844" t="s">
        <v>33</v>
      </c>
      <c r="K844">
        <v>3.6</v>
      </c>
      <c r="L844" t="s">
        <v>23</v>
      </c>
      <c r="M844" t="s">
        <v>23</v>
      </c>
      <c r="N844">
        <v>25</v>
      </c>
      <c r="O844" t="s">
        <v>40</v>
      </c>
      <c r="P844" t="s">
        <v>35</v>
      </c>
    </row>
    <row r="845" spans="1:16" ht="14.5" x14ac:dyDescent="0.35">
      <c r="A845">
        <v>844</v>
      </c>
      <c r="B845">
        <v>65</v>
      </c>
      <c r="C845" t="s">
        <v>16</v>
      </c>
      <c r="D845" t="s">
        <v>95</v>
      </c>
      <c r="E845" t="s">
        <v>18</v>
      </c>
      <c r="F845">
        <v>80</v>
      </c>
      <c r="G845" t="s">
        <v>129</v>
      </c>
      <c r="H845" t="s">
        <v>32</v>
      </c>
      <c r="I845" t="s">
        <v>109</v>
      </c>
      <c r="J845" t="s">
        <v>47</v>
      </c>
      <c r="K845">
        <v>3.2</v>
      </c>
      <c r="L845" t="s">
        <v>23</v>
      </c>
      <c r="M845" t="s">
        <v>23</v>
      </c>
      <c r="N845">
        <v>6</v>
      </c>
      <c r="O845" t="s">
        <v>40</v>
      </c>
      <c r="P845" t="s">
        <v>35</v>
      </c>
    </row>
    <row r="846" spans="1:16" ht="14.5" x14ac:dyDescent="0.35">
      <c r="A846">
        <v>845</v>
      </c>
      <c r="B846">
        <v>59</v>
      </c>
      <c r="C846" t="s">
        <v>16</v>
      </c>
      <c r="D846" t="s">
        <v>36</v>
      </c>
      <c r="E846" t="s">
        <v>37</v>
      </c>
      <c r="F846">
        <v>48</v>
      </c>
      <c r="G846" t="s">
        <v>61</v>
      </c>
      <c r="H846" t="s">
        <v>20</v>
      </c>
      <c r="I846" t="s">
        <v>65</v>
      </c>
      <c r="J846" t="s">
        <v>22</v>
      </c>
      <c r="K846">
        <v>4.4000000000000004</v>
      </c>
      <c r="L846" t="s">
        <v>23</v>
      </c>
      <c r="M846" t="s">
        <v>23</v>
      </c>
      <c r="N846">
        <v>44</v>
      </c>
      <c r="O846" t="s">
        <v>24</v>
      </c>
      <c r="P846" t="s">
        <v>67</v>
      </c>
    </row>
    <row r="847" spans="1:16" ht="14.5" x14ac:dyDescent="0.35">
      <c r="A847">
        <v>846</v>
      </c>
      <c r="B847">
        <v>31</v>
      </c>
      <c r="C847" t="s">
        <v>16</v>
      </c>
      <c r="D847" t="s">
        <v>124</v>
      </c>
      <c r="E847" t="s">
        <v>60</v>
      </c>
      <c r="F847">
        <v>21</v>
      </c>
      <c r="G847" t="s">
        <v>142</v>
      </c>
      <c r="H847" t="s">
        <v>83</v>
      </c>
      <c r="I847" t="s">
        <v>54</v>
      </c>
      <c r="J847" t="s">
        <v>22</v>
      </c>
      <c r="K847">
        <v>3.7</v>
      </c>
      <c r="L847" t="s">
        <v>23</v>
      </c>
      <c r="M847" t="s">
        <v>23</v>
      </c>
      <c r="N847">
        <v>30</v>
      </c>
      <c r="O847" t="s">
        <v>24</v>
      </c>
      <c r="P847" t="s">
        <v>79</v>
      </c>
    </row>
    <row r="848" spans="1:16" ht="14.5" x14ac:dyDescent="0.35">
      <c r="A848">
        <v>847</v>
      </c>
      <c r="B848">
        <v>49</v>
      </c>
      <c r="C848" t="s">
        <v>16</v>
      </c>
      <c r="D848" t="s">
        <v>128</v>
      </c>
      <c r="E848" t="s">
        <v>37</v>
      </c>
      <c r="F848">
        <v>72</v>
      </c>
      <c r="G848" t="s">
        <v>19</v>
      </c>
      <c r="H848" t="s">
        <v>39</v>
      </c>
      <c r="I848" t="s">
        <v>62</v>
      </c>
      <c r="J848" t="s">
        <v>33</v>
      </c>
      <c r="K848">
        <v>3.7</v>
      </c>
      <c r="L848" t="s">
        <v>23</v>
      </c>
      <c r="M848" t="s">
        <v>23</v>
      </c>
      <c r="N848">
        <v>42</v>
      </c>
      <c r="O848" t="s">
        <v>77</v>
      </c>
      <c r="P848" t="s">
        <v>51</v>
      </c>
    </row>
    <row r="849" spans="1:16" ht="14.5" x14ac:dyDescent="0.35">
      <c r="A849">
        <v>848</v>
      </c>
      <c r="B849">
        <v>53</v>
      </c>
      <c r="C849" t="s">
        <v>16</v>
      </c>
      <c r="D849" t="s">
        <v>95</v>
      </c>
      <c r="E849" t="s">
        <v>18</v>
      </c>
      <c r="F849">
        <v>44</v>
      </c>
      <c r="G849" t="s">
        <v>118</v>
      </c>
      <c r="H849" t="s">
        <v>20</v>
      </c>
      <c r="I849" t="s">
        <v>135</v>
      </c>
      <c r="J849" t="s">
        <v>50</v>
      </c>
      <c r="K849">
        <v>4.0999999999999996</v>
      </c>
      <c r="L849" t="s">
        <v>23</v>
      </c>
      <c r="M849" t="s">
        <v>23</v>
      </c>
      <c r="N849">
        <v>30</v>
      </c>
      <c r="O849" t="s">
        <v>40</v>
      </c>
      <c r="P849" t="s">
        <v>79</v>
      </c>
    </row>
    <row r="850" spans="1:16" ht="14.5" x14ac:dyDescent="0.35">
      <c r="A850">
        <v>849</v>
      </c>
      <c r="B850">
        <v>48</v>
      </c>
      <c r="C850" t="s">
        <v>16</v>
      </c>
      <c r="D850" t="s">
        <v>36</v>
      </c>
      <c r="E850" t="s">
        <v>37</v>
      </c>
      <c r="F850">
        <v>73</v>
      </c>
      <c r="G850" t="s">
        <v>70</v>
      </c>
      <c r="H850" t="s">
        <v>39</v>
      </c>
      <c r="I850" t="s">
        <v>84</v>
      </c>
      <c r="J850" t="s">
        <v>50</v>
      </c>
      <c r="K850">
        <v>3.6</v>
      </c>
      <c r="L850" t="s">
        <v>23</v>
      </c>
      <c r="M850" t="s">
        <v>23</v>
      </c>
      <c r="N850">
        <v>33</v>
      </c>
      <c r="O850" t="s">
        <v>34</v>
      </c>
      <c r="P850" t="s">
        <v>67</v>
      </c>
    </row>
    <row r="851" spans="1:16" ht="14.5" x14ac:dyDescent="0.35">
      <c r="A851">
        <v>850</v>
      </c>
      <c r="B851">
        <v>23</v>
      </c>
      <c r="C851" t="s">
        <v>16</v>
      </c>
      <c r="D851" t="s">
        <v>30</v>
      </c>
      <c r="E851" t="s">
        <v>18</v>
      </c>
      <c r="F851">
        <v>61</v>
      </c>
      <c r="G851" t="s">
        <v>61</v>
      </c>
      <c r="H851" t="s">
        <v>32</v>
      </c>
      <c r="I851" t="s">
        <v>54</v>
      </c>
      <c r="J851" t="s">
        <v>33</v>
      </c>
      <c r="K851">
        <v>4.3</v>
      </c>
      <c r="L851" t="s">
        <v>23</v>
      </c>
      <c r="M851" t="s">
        <v>23</v>
      </c>
      <c r="N851">
        <v>24</v>
      </c>
      <c r="O851" t="s">
        <v>40</v>
      </c>
      <c r="P851" t="s">
        <v>51</v>
      </c>
    </row>
    <row r="852" spans="1:16" ht="14.5" x14ac:dyDescent="0.35">
      <c r="A852">
        <v>851</v>
      </c>
      <c r="B852">
        <v>68</v>
      </c>
      <c r="C852" t="s">
        <v>16</v>
      </c>
      <c r="D852" t="s">
        <v>63</v>
      </c>
      <c r="E852" t="s">
        <v>37</v>
      </c>
      <c r="F852">
        <v>20</v>
      </c>
      <c r="G852" t="s">
        <v>130</v>
      </c>
      <c r="H852" t="s">
        <v>20</v>
      </c>
      <c r="I852" t="s">
        <v>42</v>
      </c>
      <c r="J852" t="s">
        <v>22</v>
      </c>
      <c r="K852">
        <v>2.6</v>
      </c>
      <c r="L852" t="s">
        <v>23</v>
      </c>
      <c r="M852" t="s">
        <v>23</v>
      </c>
      <c r="N852">
        <v>13</v>
      </c>
      <c r="O852" t="s">
        <v>24</v>
      </c>
      <c r="P852" t="s">
        <v>79</v>
      </c>
    </row>
    <row r="853" spans="1:16" ht="14.5" x14ac:dyDescent="0.35">
      <c r="A853">
        <v>852</v>
      </c>
      <c r="B853">
        <v>35</v>
      </c>
      <c r="C853" t="s">
        <v>16</v>
      </c>
      <c r="D853" t="s">
        <v>36</v>
      </c>
      <c r="E853" t="s">
        <v>37</v>
      </c>
      <c r="F853">
        <v>86</v>
      </c>
      <c r="G853" t="s">
        <v>31</v>
      </c>
      <c r="H853" t="s">
        <v>39</v>
      </c>
      <c r="I853" t="s">
        <v>99</v>
      </c>
      <c r="J853" t="s">
        <v>47</v>
      </c>
      <c r="K853">
        <v>2.9</v>
      </c>
      <c r="L853" t="s">
        <v>23</v>
      </c>
      <c r="M853" t="s">
        <v>23</v>
      </c>
      <c r="N853">
        <v>19</v>
      </c>
      <c r="O853" t="s">
        <v>77</v>
      </c>
      <c r="P853" t="s">
        <v>79</v>
      </c>
    </row>
    <row r="854" spans="1:16" ht="14.5" x14ac:dyDescent="0.35">
      <c r="A854">
        <v>853</v>
      </c>
      <c r="B854">
        <v>34</v>
      </c>
      <c r="C854" t="s">
        <v>16</v>
      </c>
      <c r="D854" t="s">
        <v>72</v>
      </c>
      <c r="E854" t="s">
        <v>18</v>
      </c>
      <c r="F854">
        <v>60</v>
      </c>
      <c r="G854" t="s">
        <v>94</v>
      </c>
      <c r="H854" t="s">
        <v>20</v>
      </c>
      <c r="I854" t="s">
        <v>125</v>
      </c>
      <c r="J854" t="s">
        <v>33</v>
      </c>
      <c r="K854">
        <v>4.2</v>
      </c>
      <c r="L854" t="s">
        <v>23</v>
      </c>
      <c r="M854" t="s">
        <v>23</v>
      </c>
      <c r="N854">
        <v>23</v>
      </c>
      <c r="O854" t="s">
        <v>77</v>
      </c>
      <c r="P854" t="s">
        <v>88</v>
      </c>
    </row>
    <row r="855" spans="1:16" ht="14.5" x14ac:dyDescent="0.35">
      <c r="A855">
        <v>854</v>
      </c>
      <c r="B855">
        <v>62</v>
      </c>
      <c r="C855" t="s">
        <v>16</v>
      </c>
      <c r="D855" t="s">
        <v>115</v>
      </c>
      <c r="E855" t="s">
        <v>60</v>
      </c>
      <c r="F855">
        <v>43</v>
      </c>
      <c r="G855" t="s">
        <v>70</v>
      </c>
      <c r="H855" t="s">
        <v>20</v>
      </c>
      <c r="I855" t="s">
        <v>112</v>
      </c>
      <c r="J855" t="s">
        <v>22</v>
      </c>
      <c r="K855">
        <v>4</v>
      </c>
      <c r="L855" t="s">
        <v>23</v>
      </c>
      <c r="M855" t="s">
        <v>23</v>
      </c>
      <c r="N855">
        <v>35</v>
      </c>
      <c r="O855" t="s">
        <v>29</v>
      </c>
      <c r="P855" t="s">
        <v>79</v>
      </c>
    </row>
    <row r="856" spans="1:16" ht="14.5" x14ac:dyDescent="0.35">
      <c r="A856">
        <v>855</v>
      </c>
      <c r="B856">
        <v>21</v>
      </c>
      <c r="C856" t="s">
        <v>16</v>
      </c>
      <c r="D856" t="s">
        <v>86</v>
      </c>
      <c r="E856" t="s">
        <v>18</v>
      </c>
      <c r="F856">
        <v>44</v>
      </c>
      <c r="G856" t="s">
        <v>90</v>
      </c>
      <c r="H856" t="s">
        <v>20</v>
      </c>
      <c r="I856" t="s">
        <v>135</v>
      </c>
      <c r="J856" t="s">
        <v>33</v>
      </c>
      <c r="K856">
        <v>4.3</v>
      </c>
      <c r="L856" t="s">
        <v>23</v>
      </c>
      <c r="M856" t="s">
        <v>23</v>
      </c>
      <c r="N856">
        <v>22</v>
      </c>
      <c r="O856" t="s">
        <v>24</v>
      </c>
      <c r="P856" t="s">
        <v>79</v>
      </c>
    </row>
    <row r="857" spans="1:16" ht="14.5" x14ac:dyDescent="0.35">
      <c r="A857">
        <v>856</v>
      </c>
      <c r="B857">
        <v>70</v>
      </c>
      <c r="C857" t="s">
        <v>16</v>
      </c>
      <c r="D857" t="s">
        <v>116</v>
      </c>
      <c r="E857" t="s">
        <v>18</v>
      </c>
      <c r="F857">
        <v>76</v>
      </c>
      <c r="G857" t="s">
        <v>41</v>
      </c>
      <c r="H857" t="s">
        <v>20</v>
      </c>
      <c r="I857" t="s">
        <v>71</v>
      </c>
      <c r="J857" t="s">
        <v>33</v>
      </c>
      <c r="K857">
        <v>3</v>
      </c>
      <c r="L857" t="s">
        <v>23</v>
      </c>
      <c r="M857" t="s">
        <v>23</v>
      </c>
      <c r="N857">
        <v>14</v>
      </c>
      <c r="O857" t="s">
        <v>34</v>
      </c>
      <c r="P857" t="s">
        <v>51</v>
      </c>
    </row>
    <row r="858" spans="1:16" ht="14.5" x14ac:dyDescent="0.35">
      <c r="A858">
        <v>857</v>
      </c>
      <c r="B858">
        <v>55</v>
      </c>
      <c r="C858" t="s">
        <v>16</v>
      </c>
      <c r="D858" t="s">
        <v>48</v>
      </c>
      <c r="E858" t="s">
        <v>18</v>
      </c>
      <c r="F858">
        <v>33</v>
      </c>
      <c r="G858" t="s">
        <v>111</v>
      </c>
      <c r="H858" t="s">
        <v>39</v>
      </c>
      <c r="I858" t="s">
        <v>71</v>
      </c>
      <c r="J858" t="s">
        <v>47</v>
      </c>
      <c r="K858">
        <v>3.5</v>
      </c>
      <c r="L858" t="s">
        <v>23</v>
      </c>
      <c r="M858" t="s">
        <v>23</v>
      </c>
      <c r="N858">
        <v>47</v>
      </c>
      <c r="O858" t="s">
        <v>77</v>
      </c>
      <c r="P858" t="s">
        <v>25</v>
      </c>
    </row>
    <row r="859" spans="1:16" ht="14.5" x14ac:dyDescent="0.35">
      <c r="A859">
        <v>858</v>
      </c>
      <c r="B859">
        <v>43</v>
      </c>
      <c r="C859" t="s">
        <v>16</v>
      </c>
      <c r="D859" t="s">
        <v>52</v>
      </c>
      <c r="E859" t="s">
        <v>18</v>
      </c>
      <c r="F859">
        <v>60</v>
      </c>
      <c r="G859" t="s">
        <v>61</v>
      </c>
      <c r="H859" t="s">
        <v>20</v>
      </c>
      <c r="I859" t="s">
        <v>100</v>
      </c>
      <c r="J859" t="s">
        <v>50</v>
      </c>
      <c r="K859">
        <v>3</v>
      </c>
      <c r="L859" t="s">
        <v>23</v>
      </c>
      <c r="M859" t="s">
        <v>23</v>
      </c>
      <c r="N859">
        <v>50</v>
      </c>
      <c r="O859" t="s">
        <v>77</v>
      </c>
      <c r="P859" t="s">
        <v>88</v>
      </c>
    </row>
    <row r="860" spans="1:16" ht="14.5" x14ac:dyDescent="0.35">
      <c r="A860">
        <v>859</v>
      </c>
      <c r="B860">
        <v>19</v>
      </c>
      <c r="C860" t="s">
        <v>16</v>
      </c>
      <c r="D860" t="s">
        <v>93</v>
      </c>
      <c r="E860" t="s">
        <v>56</v>
      </c>
      <c r="F860">
        <v>26</v>
      </c>
      <c r="G860" t="s">
        <v>92</v>
      </c>
      <c r="H860" t="s">
        <v>20</v>
      </c>
      <c r="I860" t="s">
        <v>69</v>
      </c>
      <c r="J860" t="s">
        <v>50</v>
      </c>
      <c r="K860">
        <v>3.1</v>
      </c>
      <c r="L860" t="s">
        <v>23</v>
      </c>
      <c r="M860" t="s">
        <v>23</v>
      </c>
      <c r="N860">
        <v>33</v>
      </c>
      <c r="O860" t="s">
        <v>40</v>
      </c>
      <c r="P860" t="s">
        <v>35</v>
      </c>
    </row>
    <row r="861" spans="1:16" ht="14.5" x14ac:dyDescent="0.35">
      <c r="A861">
        <v>860</v>
      </c>
      <c r="B861">
        <v>47</v>
      </c>
      <c r="C861" t="s">
        <v>16</v>
      </c>
      <c r="D861" t="s">
        <v>95</v>
      </c>
      <c r="E861" t="s">
        <v>18</v>
      </c>
      <c r="F861">
        <v>73</v>
      </c>
      <c r="G861" t="s">
        <v>141</v>
      </c>
      <c r="H861" t="s">
        <v>39</v>
      </c>
      <c r="I861" t="s">
        <v>76</v>
      </c>
      <c r="J861" t="s">
        <v>22</v>
      </c>
      <c r="K861">
        <v>4</v>
      </c>
      <c r="L861" t="s">
        <v>23</v>
      </c>
      <c r="M861" t="s">
        <v>23</v>
      </c>
      <c r="N861">
        <v>7</v>
      </c>
      <c r="O861" t="s">
        <v>77</v>
      </c>
      <c r="P861" t="s">
        <v>79</v>
      </c>
    </row>
    <row r="862" spans="1:16" ht="14.5" x14ac:dyDescent="0.35">
      <c r="A862">
        <v>861</v>
      </c>
      <c r="B862">
        <v>26</v>
      </c>
      <c r="C862" t="s">
        <v>16</v>
      </c>
      <c r="D862" t="s">
        <v>63</v>
      </c>
      <c r="E862" t="s">
        <v>37</v>
      </c>
      <c r="F862">
        <v>87</v>
      </c>
      <c r="G862" t="s">
        <v>122</v>
      </c>
      <c r="H862" t="s">
        <v>39</v>
      </c>
      <c r="I862" t="s">
        <v>28</v>
      </c>
      <c r="J862" t="s">
        <v>33</v>
      </c>
      <c r="K862">
        <v>4.0999999999999996</v>
      </c>
      <c r="L862" t="s">
        <v>23</v>
      </c>
      <c r="M862" t="s">
        <v>23</v>
      </c>
      <c r="N862">
        <v>3</v>
      </c>
      <c r="O862" t="s">
        <v>29</v>
      </c>
      <c r="P862" t="s">
        <v>79</v>
      </c>
    </row>
    <row r="863" spans="1:16" ht="14.5" x14ac:dyDescent="0.35">
      <c r="A863">
        <v>862</v>
      </c>
      <c r="B863">
        <v>46</v>
      </c>
      <c r="C863" t="s">
        <v>16</v>
      </c>
      <c r="D863" t="s">
        <v>78</v>
      </c>
      <c r="E863" t="s">
        <v>18</v>
      </c>
      <c r="F863">
        <v>100</v>
      </c>
      <c r="G863" t="s">
        <v>132</v>
      </c>
      <c r="H863" t="s">
        <v>83</v>
      </c>
      <c r="I863" t="s">
        <v>87</v>
      </c>
      <c r="J863" t="s">
        <v>33</v>
      </c>
      <c r="K863">
        <v>3.3</v>
      </c>
      <c r="L863" t="s">
        <v>23</v>
      </c>
      <c r="M863" t="s">
        <v>23</v>
      </c>
      <c r="N863">
        <v>35</v>
      </c>
      <c r="O863" t="s">
        <v>34</v>
      </c>
      <c r="P863" t="s">
        <v>88</v>
      </c>
    </row>
    <row r="864" spans="1:16" ht="14.5" x14ac:dyDescent="0.35">
      <c r="A864">
        <v>863</v>
      </c>
      <c r="B864">
        <v>19</v>
      </c>
      <c r="C864" t="s">
        <v>16</v>
      </c>
      <c r="D864" t="s">
        <v>55</v>
      </c>
      <c r="E864" t="s">
        <v>56</v>
      </c>
      <c r="F864">
        <v>84</v>
      </c>
      <c r="G864" t="s">
        <v>64</v>
      </c>
      <c r="H864" t="s">
        <v>39</v>
      </c>
      <c r="I864" t="s">
        <v>54</v>
      </c>
      <c r="J864" t="s">
        <v>22</v>
      </c>
      <c r="K864">
        <v>4.9000000000000004</v>
      </c>
      <c r="L864" t="s">
        <v>23</v>
      </c>
      <c r="M864" t="s">
        <v>23</v>
      </c>
      <c r="N864">
        <v>13</v>
      </c>
      <c r="O864" t="s">
        <v>40</v>
      </c>
      <c r="P864" t="s">
        <v>25</v>
      </c>
    </row>
    <row r="865" spans="1:16" ht="14.5" x14ac:dyDescent="0.35">
      <c r="A865">
        <v>864</v>
      </c>
      <c r="B865">
        <v>49</v>
      </c>
      <c r="C865" t="s">
        <v>16</v>
      </c>
      <c r="D865" t="s">
        <v>44</v>
      </c>
      <c r="E865" t="s">
        <v>37</v>
      </c>
      <c r="F865">
        <v>41</v>
      </c>
      <c r="G865" t="s">
        <v>120</v>
      </c>
      <c r="H865" t="s">
        <v>39</v>
      </c>
      <c r="I865" t="s">
        <v>100</v>
      </c>
      <c r="J865" t="s">
        <v>47</v>
      </c>
      <c r="K865">
        <v>3.9</v>
      </c>
      <c r="L865" t="s">
        <v>23</v>
      </c>
      <c r="M865" t="s">
        <v>23</v>
      </c>
      <c r="N865">
        <v>42</v>
      </c>
      <c r="O865" t="s">
        <v>40</v>
      </c>
      <c r="P865" t="s">
        <v>25</v>
      </c>
    </row>
    <row r="866" spans="1:16" ht="14.5" x14ac:dyDescent="0.35">
      <c r="A866">
        <v>865</v>
      </c>
      <c r="B866">
        <v>51</v>
      </c>
      <c r="C866" t="s">
        <v>16</v>
      </c>
      <c r="D866" t="s">
        <v>30</v>
      </c>
      <c r="E866" t="s">
        <v>18</v>
      </c>
      <c r="F866">
        <v>59</v>
      </c>
      <c r="G866" t="s">
        <v>19</v>
      </c>
      <c r="H866" t="s">
        <v>32</v>
      </c>
      <c r="I866" t="s">
        <v>54</v>
      </c>
      <c r="J866" t="s">
        <v>22</v>
      </c>
      <c r="K866">
        <v>3.9</v>
      </c>
      <c r="L866" t="s">
        <v>23</v>
      </c>
      <c r="M866" t="s">
        <v>23</v>
      </c>
      <c r="N866">
        <v>5</v>
      </c>
      <c r="O866" t="s">
        <v>40</v>
      </c>
      <c r="P866" t="s">
        <v>43</v>
      </c>
    </row>
    <row r="867" spans="1:16" ht="14.5" x14ac:dyDescent="0.35">
      <c r="A867">
        <v>866</v>
      </c>
      <c r="B867">
        <v>64</v>
      </c>
      <c r="C867" t="s">
        <v>16</v>
      </c>
      <c r="D867" t="s">
        <v>17</v>
      </c>
      <c r="E867" t="s">
        <v>18</v>
      </c>
      <c r="F867">
        <v>26</v>
      </c>
      <c r="G867" t="s">
        <v>103</v>
      </c>
      <c r="H867" t="s">
        <v>20</v>
      </c>
      <c r="I867" t="s">
        <v>54</v>
      </c>
      <c r="J867" t="s">
        <v>22</v>
      </c>
      <c r="K867">
        <v>4.8</v>
      </c>
      <c r="L867" t="s">
        <v>23</v>
      </c>
      <c r="M867" t="s">
        <v>23</v>
      </c>
      <c r="N867">
        <v>23</v>
      </c>
      <c r="O867" t="s">
        <v>24</v>
      </c>
      <c r="P867" t="s">
        <v>43</v>
      </c>
    </row>
    <row r="868" spans="1:16" ht="14.5" x14ac:dyDescent="0.35">
      <c r="A868">
        <v>867</v>
      </c>
      <c r="B868">
        <v>67</v>
      </c>
      <c r="C868" t="s">
        <v>16</v>
      </c>
      <c r="D868" t="s">
        <v>80</v>
      </c>
      <c r="E868" t="s">
        <v>60</v>
      </c>
      <c r="F868">
        <v>69</v>
      </c>
      <c r="G868" t="s">
        <v>121</v>
      </c>
      <c r="H868" t="s">
        <v>39</v>
      </c>
      <c r="I868" t="s">
        <v>84</v>
      </c>
      <c r="J868" t="s">
        <v>47</v>
      </c>
      <c r="K868">
        <v>2.7</v>
      </c>
      <c r="L868" t="s">
        <v>23</v>
      </c>
      <c r="M868" t="s">
        <v>23</v>
      </c>
      <c r="N868">
        <v>11</v>
      </c>
      <c r="O868" t="s">
        <v>40</v>
      </c>
      <c r="P868" t="s">
        <v>67</v>
      </c>
    </row>
    <row r="869" spans="1:16" ht="14.5" x14ac:dyDescent="0.35">
      <c r="A869">
        <v>868</v>
      </c>
      <c r="B869">
        <v>37</v>
      </c>
      <c r="C869" t="s">
        <v>16</v>
      </c>
      <c r="D869" t="s">
        <v>93</v>
      </c>
      <c r="E869" t="s">
        <v>56</v>
      </c>
      <c r="F869">
        <v>20</v>
      </c>
      <c r="G869" t="s">
        <v>103</v>
      </c>
      <c r="H869" t="s">
        <v>39</v>
      </c>
      <c r="I869" t="s">
        <v>42</v>
      </c>
      <c r="J869" t="s">
        <v>33</v>
      </c>
      <c r="K869">
        <v>3.1</v>
      </c>
      <c r="L869" t="s">
        <v>23</v>
      </c>
      <c r="M869" t="s">
        <v>23</v>
      </c>
      <c r="N869">
        <v>23</v>
      </c>
      <c r="O869" t="s">
        <v>66</v>
      </c>
      <c r="P869" t="s">
        <v>25</v>
      </c>
    </row>
    <row r="870" spans="1:16" ht="14.5" x14ac:dyDescent="0.35">
      <c r="A870">
        <v>869</v>
      </c>
      <c r="B870">
        <v>40</v>
      </c>
      <c r="C870" t="s">
        <v>16</v>
      </c>
      <c r="D870" t="s">
        <v>72</v>
      </c>
      <c r="E870" t="s">
        <v>18</v>
      </c>
      <c r="F870">
        <v>83</v>
      </c>
      <c r="G870" t="s">
        <v>89</v>
      </c>
      <c r="H870" t="s">
        <v>39</v>
      </c>
      <c r="I870" t="s">
        <v>87</v>
      </c>
      <c r="J870" t="s">
        <v>47</v>
      </c>
      <c r="K870">
        <v>3.2</v>
      </c>
      <c r="L870" t="s">
        <v>23</v>
      </c>
      <c r="M870" t="s">
        <v>23</v>
      </c>
      <c r="N870">
        <v>2</v>
      </c>
      <c r="O870" t="s">
        <v>34</v>
      </c>
      <c r="P870" t="s">
        <v>88</v>
      </c>
    </row>
    <row r="871" spans="1:16" ht="14.5" x14ac:dyDescent="0.35">
      <c r="A871">
        <v>870</v>
      </c>
      <c r="B871">
        <v>38</v>
      </c>
      <c r="C871" t="s">
        <v>16</v>
      </c>
      <c r="D871" t="s">
        <v>115</v>
      </c>
      <c r="E871" t="s">
        <v>60</v>
      </c>
      <c r="F871">
        <v>54</v>
      </c>
      <c r="G871" t="s">
        <v>73</v>
      </c>
      <c r="H871" t="s">
        <v>39</v>
      </c>
      <c r="I871" t="s">
        <v>58</v>
      </c>
      <c r="J871" t="s">
        <v>33</v>
      </c>
      <c r="K871">
        <v>2.7</v>
      </c>
      <c r="L871" t="s">
        <v>23</v>
      </c>
      <c r="M871" t="s">
        <v>23</v>
      </c>
      <c r="N871">
        <v>33</v>
      </c>
      <c r="O871" t="s">
        <v>40</v>
      </c>
      <c r="P871" t="s">
        <v>35</v>
      </c>
    </row>
    <row r="872" spans="1:16" ht="14.5" x14ac:dyDescent="0.35">
      <c r="A872">
        <v>871</v>
      </c>
      <c r="B872">
        <v>66</v>
      </c>
      <c r="C872" t="s">
        <v>16</v>
      </c>
      <c r="D872" t="s">
        <v>95</v>
      </c>
      <c r="E872" t="s">
        <v>18</v>
      </c>
      <c r="F872">
        <v>66</v>
      </c>
      <c r="G872" t="s">
        <v>57</v>
      </c>
      <c r="H872" t="s">
        <v>39</v>
      </c>
      <c r="I872" t="s">
        <v>135</v>
      </c>
      <c r="J872" t="s">
        <v>50</v>
      </c>
      <c r="K872">
        <v>2.5</v>
      </c>
      <c r="L872" t="s">
        <v>23</v>
      </c>
      <c r="M872" t="s">
        <v>23</v>
      </c>
      <c r="N872">
        <v>6</v>
      </c>
      <c r="O872" t="s">
        <v>66</v>
      </c>
      <c r="P872" t="s">
        <v>67</v>
      </c>
    </row>
    <row r="873" spans="1:16" ht="14.5" x14ac:dyDescent="0.35">
      <c r="A873">
        <v>872</v>
      </c>
      <c r="B873">
        <v>47</v>
      </c>
      <c r="C873" t="s">
        <v>16</v>
      </c>
      <c r="D873" t="s">
        <v>59</v>
      </c>
      <c r="E873" t="s">
        <v>60</v>
      </c>
      <c r="F873">
        <v>42</v>
      </c>
      <c r="G873" t="s">
        <v>68</v>
      </c>
      <c r="H873" t="s">
        <v>39</v>
      </c>
      <c r="I873" t="s">
        <v>54</v>
      </c>
      <c r="J873" t="s">
        <v>33</v>
      </c>
      <c r="K873">
        <v>2.6</v>
      </c>
      <c r="L873" t="s">
        <v>23</v>
      </c>
      <c r="M873" t="s">
        <v>23</v>
      </c>
      <c r="N873">
        <v>45</v>
      </c>
      <c r="O873" t="s">
        <v>77</v>
      </c>
      <c r="P873" t="s">
        <v>51</v>
      </c>
    </row>
    <row r="874" spans="1:16" ht="14.5" x14ac:dyDescent="0.35">
      <c r="A874">
        <v>873</v>
      </c>
      <c r="B874">
        <v>56</v>
      </c>
      <c r="C874" t="s">
        <v>16</v>
      </c>
      <c r="D874" t="s">
        <v>30</v>
      </c>
      <c r="E874" t="s">
        <v>18</v>
      </c>
      <c r="F874">
        <v>33</v>
      </c>
      <c r="G874" t="s">
        <v>105</v>
      </c>
      <c r="H874" t="s">
        <v>39</v>
      </c>
      <c r="I874" t="s">
        <v>62</v>
      </c>
      <c r="J874" t="s">
        <v>33</v>
      </c>
      <c r="K874">
        <v>2.9</v>
      </c>
      <c r="L874" t="s">
        <v>23</v>
      </c>
      <c r="M874" t="s">
        <v>23</v>
      </c>
      <c r="N874">
        <v>25</v>
      </c>
      <c r="O874" t="s">
        <v>29</v>
      </c>
      <c r="P874" t="s">
        <v>51</v>
      </c>
    </row>
    <row r="875" spans="1:16" ht="14.5" x14ac:dyDescent="0.35">
      <c r="A875">
        <v>874</v>
      </c>
      <c r="B875">
        <v>51</v>
      </c>
      <c r="C875" t="s">
        <v>16</v>
      </c>
      <c r="D875" t="s">
        <v>128</v>
      </c>
      <c r="E875" t="s">
        <v>37</v>
      </c>
      <c r="F875">
        <v>77</v>
      </c>
      <c r="G875" t="s">
        <v>82</v>
      </c>
      <c r="H875" t="s">
        <v>39</v>
      </c>
      <c r="I875" t="s">
        <v>62</v>
      </c>
      <c r="J875" t="s">
        <v>47</v>
      </c>
      <c r="K875">
        <v>4.2</v>
      </c>
      <c r="L875" t="s">
        <v>23</v>
      </c>
      <c r="M875" t="s">
        <v>23</v>
      </c>
      <c r="N875">
        <v>24</v>
      </c>
      <c r="O875" t="s">
        <v>24</v>
      </c>
      <c r="P875" t="s">
        <v>51</v>
      </c>
    </row>
    <row r="876" spans="1:16" ht="14.5" x14ac:dyDescent="0.35">
      <c r="A876">
        <v>875</v>
      </c>
      <c r="B876">
        <v>25</v>
      </c>
      <c r="C876" t="s">
        <v>16</v>
      </c>
      <c r="D876" t="s">
        <v>93</v>
      </c>
      <c r="E876" t="s">
        <v>56</v>
      </c>
      <c r="F876">
        <v>65</v>
      </c>
      <c r="G876" t="s">
        <v>27</v>
      </c>
      <c r="H876" t="s">
        <v>39</v>
      </c>
      <c r="I876" t="s">
        <v>127</v>
      </c>
      <c r="J876" t="s">
        <v>50</v>
      </c>
      <c r="K876">
        <v>4.4000000000000004</v>
      </c>
      <c r="L876" t="s">
        <v>23</v>
      </c>
      <c r="M876" t="s">
        <v>23</v>
      </c>
      <c r="N876">
        <v>10</v>
      </c>
      <c r="O876" t="s">
        <v>24</v>
      </c>
      <c r="P876" t="s">
        <v>88</v>
      </c>
    </row>
    <row r="877" spans="1:16" ht="14.5" x14ac:dyDescent="0.35">
      <c r="A877">
        <v>876</v>
      </c>
      <c r="B877">
        <v>37</v>
      </c>
      <c r="C877" t="s">
        <v>16</v>
      </c>
      <c r="D877" t="s">
        <v>36</v>
      </c>
      <c r="E877" t="s">
        <v>37</v>
      </c>
      <c r="F877">
        <v>39</v>
      </c>
      <c r="G877" t="s">
        <v>105</v>
      </c>
      <c r="H877" t="s">
        <v>20</v>
      </c>
      <c r="I877" t="s">
        <v>21</v>
      </c>
      <c r="J877" t="s">
        <v>47</v>
      </c>
      <c r="K877">
        <v>4.0999999999999996</v>
      </c>
      <c r="L877" t="s">
        <v>23</v>
      </c>
      <c r="M877" t="s">
        <v>23</v>
      </c>
      <c r="N877">
        <v>7</v>
      </c>
      <c r="O877" t="s">
        <v>66</v>
      </c>
      <c r="P877" t="s">
        <v>88</v>
      </c>
    </row>
    <row r="878" spans="1:16" ht="14.5" x14ac:dyDescent="0.35">
      <c r="A878">
        <v>877</v>
      </c>
      <c r="B878">
        <v>41</v>
      </c>
      <c r="C878" t="s">
        <v>16</v>
      </c>
      <c r="D878" t="s">
        <v>124</v>
      </c>
      <c r="E878" t="s">
        <v>60</v>
      </c>
      <c r="F878">
        <v>51</v>
      </c>
      <c r="G878" t="s">
        <v>136</v>
      </c>
      <c r="H878" t="s">
        <v>20</v>
      </c>
      <c r="I878" t="s">
        <v>21</v>
      </c>
      <c r="J878" t="s">
        <v>47</v>
      </c>
      <c r="K878">
        <v>3.8</v>
      </c>
      <c r="L878" t="s">
        <v>23</v>
      </c>
      <c r="M878" t="s">
        <v>23</v>
      </c>
      <c r="N878">
        <v>1</v>
      </c>
      <c r="O878" t="s">
        <v>77</v>
      </c>
      <c r="P878" t="s">
        <v>35</v>
      </c>
    </row>
    <row r="879" spans="1:16" ht="14.5" x14ac:dyDescent="0.35">
      <c r="A879">
        <v>878</v>
      </c>
      <c r="B879">
        <v>64</v>
      </c>
      <c r="C879" t="s">
        <v>16</v>
      </c>
      <c r="D879" t="s">
        <v>59</v>
      </c>
      <c r="E879" t="s">
        <v>60</v>
      </c>
      <c r="F879">
        <v>65</v>
      </c>
      <c r="G879" t="s">
        <v>136</v>
      </c>
      <c r="H879" t="s">
        <v>39</v>
      </c>
      <c r="I879" t="s">
        <v>112</v>
      </c>
      <c r="J879" t="s">
        <v>22</v>
      </c>
      <c r="K879">
        <v>4.9000000000000004</v>
      </c>
      <c r="L879" t="s">
        <v>23</v>
      </c>
      <c r="M879" t="s">
        <v>23</v>
      </c>
      <c r="N879">
        <v>45</v>
      </c>
      <c r="O879" t="s">
        <v>24</v>
      </c>
      <c r="P879" t="s">
        <v>88</v>
      </c>
    </row>
    <row r="880" spans="1:16" ht="14.5" x14ac:dyDescent="0.35">
      <c r="A880">
        <v>879</v>
      </c>
      <c r="B880">
        <v>23</v>
      </c>
      <c r="C880" t="s">
        <v>16</v>
      </c>
      <c r="D880" t="s">
        <v>80</v>
      </c>
      <c r="E880" t="s">
        <v>60</v>
      </c>
      <c r="F880">
        <v>89</v>
      </c>
      <c r="G880" t="s">
        <v>113</v>
      </c>
      <c r="H880" t="s">
        <v>32</v>
      </c>
      <c r="I880" t="s">
        <v>85</v>
      </c>
      <c r="J880" t="s">
        <v>47</v>
      </c>
      <c r="K880">
        <v>4.9000000000000004</v>
      </c>
      <c r="L880" t="s">
        <v>23</v>
      </c>
      <c r="M880" t="s">
        <v>23</v>
      </c>
      <c r="N880">
        <v>37</v>
      </c>
      <c r="O880" t="s">
        <v>77</v>
      </c>
      <c r="P880" t="s">
        <v>35</v>
      </c>
    </row>
    <row r="881" spans="1:16" ht="14.5" x14ac:dyDescent="0.35">
      <c r="A881">
        <v>880</v>
      </c>
      <c r="B881">
        <v>62</v>
      </c>
      <c r="C881" t="s">
        <v>16</v>
      </c>
      <c r="D881" t="s">
        <v>78</v>
      </c>
      <c r="E881" t="s">
        <v>18</v>
      </c>
      <c r="F881">
        <v>76</v>
      </c>
      <c r="G881" t="s">
        <v>45</v>
      </c>
      <c r="H881" t="s">
        <v>32</v>
      </c>
      <c r="I881" t="s">
        <v>84</v>
      </c>
      <c r="J881" t="s">
        <v>33</v>
      </c>
      <c r="K881">
        <v>4.0999999999999996</v>
      </c>
      <c r="L881" t="s">
        <v>23</v>
      </c>
      <c r="M881" t="s">
        <v>23</v>
      </c>
      <c r="N881">
        <v>14</v>
      </c>
      <c r="O881" t="s">
        <v>40</v>
      </c>
      <c r="P881" t="s">
        <v>51</v>
      </c>
    </row>
    <row r="882" spans="1:16" ht="14.5" x14ac:dyDescent="0.35">
      <c r="A882">
        <v>881</v>
      </c>
      <c r="B882">
        <v>39</v>
      </c>
      <c r="C882" t="s">
        <v>16</v>
      </c>
      <c r="D882" t="s">
        <v>123</v>
      </c>
      <c r="E882" t="s">
        <v>60</v>
      </c>
      <c r="F882">
        <v>75</v>
      </c>
      <c r="G882" t="s">
        <v>98</v>
      </c>
      <c r="H882" t="s">
        <v>20</v>
      </c>
      <c r="I882" t="s">
        <v>99</v>
      </c>
      <c r="J882" t="s">
        <v>33</v>
      </c>
      <c r="K882">
        <v>3.1</v>
      </c>
      <c r="L882" t="s">
        <v>23</v>
      </c>
      <c r="M882" t="s">
        <v>23</v>
      </c>
      <c r="N882">
        <v>25</v>
      </c>
      <c r="O882" t="s">
        <v>77</v>
      </c>
      <c r="P882" t="s">
        <v>79</v>
      </c>
    </row>
    <row r="883" spans="1:16" ht="14.5" x14ac:dyDescent="0.35">
      <c r="A883">
        <v>882</v>
      </c>
      <c r="B883">
        <v>52</v>
      </c>
      <c r="C883" t="s">
        <v>16</v>
      </c>
      <c r="D883" t="s">
        <v>36</v>
      </c>
      <c r="E883" t="s">
        <v>37</v>
      </c>
      <c r="F883">
        <v>61</v>
      </c>
      <c r="G883" t="s">
        <v>122</v>
      </c>
      <c r="H883" t="s">
        <v>39</v>
      </c>
      <c r="I883" t="s">
        <v>58</v>
      </c>
      <c r="J883" t="s">
        <v>47</v>
      </c>
      <c r="K883">
        <v>2.7</v>
      </c>
      <c r="L883" t="s">
        <v>23</v>
      </c>
      <c r="M883" t="s">
        <v>23</v>
      </c>
      <c r="N883">
        <v>18</v>
      </c>
      <c r="O883" t="s">
        <v>24</v>
      </c>
      <c r="P883" t="s">
        <v>43</v>
      </c>
    </row>
    <row r="884" spans="1:16" ht="14.5" x14ac:dyDescent="0.35">
      <c r="A884">
        <v>883</v>
      </c>
      <c r="B884">
        <v>50</v>
      </c>
      <c r="C884" t="s">
        <v>16</v>
      </c>
      <c r="D884" t="s">
        <v>128</v>
      </c>
      <c r="E884" t="s">
        <v>37</v>
      </c>
      <c r="F884">
        <v>35</v>
      </c>
      <c r="G884" t="s">
        <v>132</v>
      </c>
      <c r="H884" t="s">
        <v>39</v>
      </c>
      <c r="I884" t="s">
        <v>100</v>
      </c>
      <c r="J884" t="s">
        <v>50</v>
      </c>
      <c r="K884">
        <v>3.8</v>
      </c>
      <c r="L884" t="s">
        <v>23</v>
      </c>
      <c r="M884" t="s">
        <v>23</v>
      </c>
      <c r="N884">
        <v>37</v>
      </c>
      <c r="O884" t="s">
        <v>29</v>
      </c>
      <c r="P884" t="s">
        <v>88</v>
      </c>
    </row>
    <row r="885" spans="1:16" ht="14.5" x14ac:dyDescent="0.35">
      <c r="A885">
        <v>884</v>
      </c>
      <c r="B885">
        <v>28</v>
      </c>
      <c r="C885" t="s">
        <v>16</v>
      </c>
      <c r="D885" t="s">
        <v>44</v>
      </c>
      <c r="E885" t="s">
        <v>37</v>
      </c>
      <c r="F885">
        <v>37</v>
      </c>
      <c r="G885" t="s">
        <v>129</v>
      </c>
      <c r="H885" t="s">
        <v>32</v>
      </c>
      <c r="I885" t="s">
        <v>71</v>
      </c>
      <c r="J885" t="s">
        <v>50</v>
      </c>
      <c r="K885">
        <v>4.3</v>
      </c>
      <c r="L885" t="s">
        <v>23</v>
      </c>
      <c r="M885" t="s">
        <v>23</v>
      </c>
      <c r="N885">
        <v>30</v>
      </c>
      <c r="O885" t="s">
        <v>66</v>
      </c>
      <c r="P885" t="s">
        <v>79</v>
      </c>
    </row>
    <row r="886" spans="1:16" ht="14.5" x14ac:dyDescent="0.35">
      <c r="A886">
        <v>885</v>
      </c>
      <c r="B886">
        <v>67</v>
      </c>
      <c r="C886" t="s">
        <v>16</v>
      </c>
      <c r="D886" t="s">
        <v>78</v>
      </c>
      <c r="E886" t="s">
        <v>18</v>
      </c>
      <c r="F886">
        <v>91</v>
      </c>
      <c r="G886" t="s">
        <v>68</v>
      </c>
      <c r="H886" t="s">
        <v>20</v>
      </c>
      <c r="I886" t="s">
        <v>125</v>
      </c>
      <c r="J886" t="s">
        <v>22</v>
      </c>
      <c r="K886">
        <v>4.0999999999999996</v>
      </c>
      <c r="L886" t="s">
        <v>23</v>
      </c>
      <c r="M886" t="s">
        <v>23</v>
      </c>
      <c r="N886">
        <v>34</v>
      </c>
      <c r="O886" t="s">
        <v>66</v>
      </c>
      <c r="P886" t="s">
        <v>35</v>
      </c>
    </row>
    <row r="887" spans="1:16" ht="14.5" x14ac:dyDescent="0.35">
      <c r="A887">
        <v>886</v>
      </c>
      <c r="B887">
        <v>41</v>
      </c>
      <c r="C887" t="s">
        <v>16</v>
      </c>
      <c r="D887" t="s">
        <v>72</v>
      </c>
      <c r="E887" t="s">
        <v>18</v>
      </c>
      <c r="F887">
        <v>99</v>
      </c>
      <c r="G887" t="s">
        <v>114</v>
      </c>
      <c r="H887" t="s">
        <v>20</v>
      </c>
      <c r="I887" t="s">
        <v>65</v>
      </c>
      <c r="J887" t="s">
        <v>50</v>
      </c>
      <c r="K887">
        <v>4.4000000000000004</v>
      </c>
      <c r="L887" t="s">
        <v>23</v>
      </c>
      <c r="M887" t="s">
        <v>23</v>
      </c>
      <c r="N887">
        <v>49</v>
      </c>
      <c r="O887" t="s">
        <v>77</v>
      </c>
      <c r="P887" t="s">
        <v>88</v>
      </c>
    </row>
    <row r="888" spans="1:16" ht="14.5" x14ac:dyDescent="0.35">
      <c r="A888">
        <v>887</v>
      </c>
      <c r="B888">
        <v>19</v>
      </c>
      <c r="C888" t="s">
        <v>16</v>
      </c>
      <c r="D888" t="s">
        <v>52</v>
      </c>
      <c r="E888" t="s">
        <v>18</v>
      </c>
      <c r="F888">
        <v>54</v>
      </c>
      <c r="G888" t="s">
        <v>131</v>
      </c>
      <c r="H888" t="s">
        <v>32</v>
      </c>
      <c r="I888" t="s">
        <v>101</v>
      </c>
      <c r="J888" t="s">
        <v>47</v>
      </c>
      <c r="K888">
        <v>3.6</v>
      </c>
      <c r="L888" t="s">
        <v>23</v>
      </c>
      <c r="M888" t="s">
        <v>23</v>
      </c>
      <c r="N888">
        <v>48</v>
      </c>
      <c r="O888" t="s">
        <v>66</v>
      </c>
      <c r="P888" t="s">
        <v>79</v>
      </c>
    </row>
    <row r="889" spans="1:16" ht="14.5" x14ac:dyDescent="0.35">
      <c r="A889">
        <v>888</v>
      </c>
      <c r="B889">
        <v>70</v>
      </c>
      <c r="C889" t="s">
        <v>16</v>
      </c>
      <c r="D889" t="s">
        <v>59</v>
      </c>
      <c r="E889" t="s">
        <v>60</v>
      </c>
      <c r="F889">
        <v>47</v>
      </c>
      <c r="G889" t="s">
        <v>139</v>
      </c>
      <c r="H889" t="s">
        <v>20</v>
      </c>
      <c r="I889" t="s">
        <v>42</v>
      </c>
      <c r="J889" t="s">
        <v>22</v>
      </c>
      <c r="K889">
        <v>3.3</v>
      </c>
      <c r="L889" t="s">
        <v>23</v>
      </c>
      <c r="M889" t="s">
        <v>23</v>
      </c>
      <c r="N889">
        <v>33</v>
      </c>
      <c r="O889" t="s">
        <v>40</v>
      </c>
      <c r="P889" t="s">
        <v>25</v>
      </c>
    </row>
    <row r="890" spans="1:16" ht="14.5" x14ac:dyDescent="0.35">
      <c r="A890">
        <v>889</v>
      </c>
      <c r="B890">
        <v>49</v>
      </c>
      <c r="C890" t="s">
        <v>16</v>
      </c>
      <c r="D890" t="s">
        <v>110</v>
      </c>
      <c r="E890" t="s">
        <v>60</v>
      </c>
      <c r="F890">
        <v>77</v>
      </c>
      <c r="G890" t="s">
        <v>73</v>
      </c>
      <c r="H890" t="s">
        <v>32</v>
      </c>
      <c r="I890" t="s">
        <v>71</v>
      </c>
      <c r="J890" t="s">
        <v>33</v>
      </c>
      <c r="K890">
        <v>3.6</v>
      </c>
      <c r="L890" t="s">
        <v>23</v>
      </c>
      <c r="M890" t="s">
        <v>23</v>
      </c>
      <c r="N890">
        <v>44</v>
      </c>
      <c r="O890" t="s">
        <v>29</v>
      </c>
      <c r="P890" t="s">
        <v>43</v>
      </c>
    </row>
    <row r="891" spans="1:16" ht="14.5" x14ac:dyDescent="0.35">
      <c r="A891">
        <v>890</v>
      </c>
      <c r="B891">
        <v>59</v>
      </c>
      <c r="C891" t="s">
        <v>16</v>
      </c>
      <c r="D891" t="s">
        <v>124</v>
      </c>
      <c r="E891" t="s">
        <v>60</v>
      </c>
      <c r="F891">
        <v>84</v>
      </c>
      <c r="G891" t="s">
        <v>108</v>
      </c>
      <c r="H891" t="s">
        <v>32</v>
      </c>
      <c r="I891" t="s">
        <v>69</v>
      </c>
      <c r="J891" t="s">
        <v>50</v>
      </c>
      <c r="K891">
        <v>2.8</v>
      </c>
      <c r="L891" t="s">
        <v>23</v>
      </c>
      <c r="M891" t="s">
        <v>23</v>
      </c>
      <c r="N891">
        <v>50</v>
      </c>
      <c r="O891" t="s">
        <v>24</v>
      </c>
      <c r="P891" t="s">
        <v>35</v>
      </c>
    </row>
    <row r="892" spans="1:16" ht="14.5" x14ac:dyDescent="0.35">
      <c r="A892">
        <v>891</v>
      </c>
      <c r="B892">
        <v>52</v>
      </c>
      <c r="C892" t="s">
        <v>16</v>
      </c>
      <c r="D892" t="s">
        <v>134</v>
      </c>
      <c r="E892" t="s">
        <v>60</v>
      </c>
      <c r="F892">
        <v>51</v>
      </c>
      <c r="G892" t="s">
        <v>75</v>
      </c>
      <c r="H892" t="s">
        <v>32</v>
      </c>
      <c r="I892" t="s">
        <v>65</v>
      </c>
      <c r="J892" t="s">
        <v>33</v>
      </c>
      <c r="K892">
        <v>4.3</v>
      </c>
      <c r="L892" t="s">
        <v>23</v>
      </c>
      <c r="M892" t="s">
        <v>23</v>
      </c>
      <c r="N892">
        <v>47</v>
      </c>
      <c r="O892" t="s">
        <v>34</v>
      </c>
      <c r="P892" t="s">
        <v>79</v>
      </c>
    </row>
    <row r="893" spans="1:16" ht="14.5" x14ac:dyDescent="0.35">
      <c r="A893">
        <v>892</v>
      </c>
      <c r="B893">
        <v>20</v>
      </c>
      <c r="C893" t="s">
        <v>16</v>
      </c>
      <c r="D893" t="s">
        <v>78</v>
      </c>
      <c r="E893" t="s">
        <v>18</v>
      </c>
      <c r="F893">
        <v>26</v>
      </c>
      <c r="G893" t="s">
        <v>129</v>
      </c>
      <c r="H893" t="s">
        <v>32</v>
      </c>
      <c r="I893" t="s">
        <v>84</v>
      </c>
      <c r="J893" t="s">
        <v>47</v>
      </c>
      <c r="K893">
        <v>3.9</v>
      </c>
      <c r="L893" t="s">
        <v>23</v>
      </c>
      <c r="M893" t="s">
        <v>23</v>
      </c>
      <c r="N893">
        <v>24</v>
      </c>
      <c r="O893" t="s">
        <v>40</v>
      </c>
      <c r="P893" t="s">
        <v>88</v>
      </c>
    </row>
    <row r="894" spans="1:16" ht="14.5" x14ac:dyDescent="0.35">
      <c r="A894">
        <v>893</v>
      </c>
      <c r="B894">
        <v>31</v>
      </c>
      <c r="C894" t="s">
        <v>16</v>
      </c>
      <c r="D894" t="s">
        <v>52</v>
      </c>
      <c r="E894" t="s">
        <v>18</v>
      </c>
      <c r="F894">
        <v>64</v>
      </c>
      <c r="G894" t="s">
        <v>121</v>
      </c>
      <c r="H894" t="s">
        <v>20</v>
      </c>
      <c r="I894" t="s">
        <v>21</v>
      </c>
      <c r="J894" t="s">
        <v>47</v>
      </c>
      <c r="K894">
        <v>2.7</v>
      </c>
      <c r="L894" t="s">
        <v>23</v>
      </c>
      <c r="M894" t="s">
        <v>23</v>
      </c>
      <c r="N894">
        <v>43</v>
      </c>
      <c r="O894" t="s">
        <v>77</v>
      </c>
      <c r="P894" t="s">
        <v>79</v>
      </c>
    </row>
    <row r="895" spans="1:16" ht="14.5" x14ac:dyDescent="0.35">
      <c r="A895">
        <v>894</v>
      </c>
      <c r="B895">
        <v>33</v>
      </c>
      <c r="C895" t="s">
        <v>16</v>
      </c>
      <c r="D895" t="s">
        <v>123</v>
      </c>
      <c r="E895" t="s">
        <v>60</v>
      </c>
      <c r="F895">
        <v>51</v>
      </c>
      <c r="G895" t="s">
        <v>136</v>
      </c>
      <c r="H895" t="s">
        <v>39</v>
      </c>
      <c r="I895" t="s">
        <v>99</v>
      </c>
      <c r="J895" t="s">
        <v>33</v>
      </c>
      <c r="K895">
        <v>4.7</v>
      </c>
      <c r="L895" t="s">
        <v>23</v>
      </c>
      <c r="M895" t="s">
        <v>23</v>
      </c>
      <c r="N895">
        <v>14</v>
      </c>
      <c r="O895" t="s">
        <v>24</v>
      </c>
      <c r="P895" t="s">
        <v>79</v>
      </c>
    </row>
    <row r="896" spans="1:16" ht="14.5" x14ac:dyDescent="0.35">
      <c r="A896">
        <v>895</v>
      </c>
      <c r="B896">
        <v>44</v>
      </c>
      <c r="C896" t="s">
        <v>16</v>
      </c>
      <c r="D896" t="s">
        <v>95</v>
      </c>
      <c r="E896" t="s">
        <v>18</v>
      </c>
      <c r="F896">
        <v>60</v>
      </c>
      <c r="G896" t="s">
        <v>45</v>
      </c>
      <c r="H896" t="s">
        <v>20</v>
      </c>
      <c r="I896" t="s">
        <v>65</v>
      </c>
      <c r="J896" t="s">
        <v>33</v>
      </c>
      <c r="K896">
        <v>3.8</v>
      </c>
      <c r="L896" t="s">
        <v>23</v>
      </c>
      <c r="M896" t="s">
        <v>23</v>
      </c>
      <c r="N896">
        <v>3</v>
      </c>
      <c r="O896" t="s">
        <v>77</v>
      </c>
      <c r="P896" t="s">
        <v>51</v>
      </c>
    </row>
    <row r="897" spans="1:16" ht="14.5" x14ac:dyDescent="0.35">
      <c r="A897">
        <v>896</v>
      </c>
      <c r="B897">
        <v>40</v>
      </c>
      <c r="C897" t="s">
        <v>16</v>
      </c>
      <c r="D897" t="s">
        <v>115</v>
      </c>
      <c r="E897" t="s">
        <v>60</v>
      </c>
      <c r="F897">
        <v>69</v>
      </c>
      <c r="G897" t="s">
        <v>82</v>
      </c>
      <c r="H897" t="s">
        <v>83</v>
      </c>
      <c r="I897" t="s">
        <v>69</v>
      </c>
      <c r="J897" t="s">
        <v>33</v>
      </c>
      <c r="K897">
        <v>4.7</v>
      </c>
      <c r="L897" t="s">
        <v>23</v>
      </c>
      <c r="M897" t="s">
        <v>23</v>
      </c>
      <c r="N897">
        <v>33</v>
      </c>
      <c r="O897" t="s">
        <v>77</v>
      </c>
      <c r="P897" t="s">
        <v>51</v>
      </c>
    </row>
    <row r="898" spans="1:16" ht="14.5" x14ac:dyDescent="0.35">
      <c r="A898">
        <v>897</v>
      </c>
      <c r="B898">
        <v>69</v>
      </c>
      <c r="C898" t="s">
        <v>16</v>
      </c>
      <c r="D898" t="s">
        <v>97</v>
      </c>
      <c r="E898" t="s">
        <v>60</v>
      </c>
      <c r="F898">
        <v>29</v>
      </c>
      <c r="G898" t="s">
        <v>64</v>
      </c>
      <c r="H898" t="s">
        <v>39</v>
      </c>
      <c r="I898" t="s">
        <v>84</v>
      </c>
      <c r="J898" t="s">
        <v>33</v>
      </c>
      <c r="K898">
        <v>4.7</v>
      </c>
      <c r="L898" t="s">
        <v>23</v>
      </c>
      <c r="M898" t="s">
        <v>23</v>
      </c>
      <c r="N898">
        <v>38</v>
      </c>
      <c r="O898" t="s">
        <v>29</v>
      </c>
      <c r="P898" t="s">
        <v>25</v>
      </c>
    </row>
    <row r="899" spans="1:16" ht="14.5" x14ac:dyDescent="0.35">
      <c r="A899">
        <v>898</v>
      </c>
      <c r="B899">
        <v>29</v>
      </c>
      <c r="C899" t="s">
        <v>16</v>
      </c>
      <c r="D899" t="s">
        <v>48</v>
      </c>
      <c r="E899" t="s">
        <v>18</v>
      </c>
      <c r="F899">
        <v>91</v>
      </c>
      <c r="G899" t="s">
        <v>106</v>
      </c>
      <c r="H899" t="s">
        <v>39</v>
      </c>
      <c r="I899" t="s">
        <v>21</v>
      </c>
      <c r="J899" t="s">
        <v>33</v>
      </c>
      <c r="K899">
        <v>3.4</v>
      </c>
      <c r="L899" t="s">
        <v>23</v>
      </c>
      <c r="M899" t="s">
        <v>23</v>
      </c>
      <c r="N899">
        <v>46</v>
      </c>
      <c r="O899" t="s">
        <v>24</v>
      </c>
      <c r="P899" t="s">
        <v>35</v>
      </c>
    </row>
    <row r="900" spans="1:16" ht="14.5" x14ac:dyDescent="0.35">
      <c r="A900">
        <v>899</v>
      </c>
      <c r="B900">
        <v>54</v>
      </c>
      <c r="C900" t="s">
        <v>16</v>
      </c>
      <c r="D900" t="s">
        <v>124</v>
      </c>
      <c r="E900" t="s">
        <v>60</v>
      </c>
      <c r="F900">
        <v>70</v>
      </c>
      <c r="G900" t="s">
        <v>98</v>
      </c>
      <c r="H900" t="s">
        <v>20</v>
      </c>
      <c r="I900" t="s">
        <v>99</v>
      </c>
      <c r="J900" t="s">
        <v>33</v>
      </c>
      <c r="K900">
        <v>3.5</v>
      </c>
      <c r="L900" t="s">
        <v>23</v>
      </c>
      <c r="M900" t="s">
        <v>23</v>
      </c>
      <c r="N900">
        <v>19</v>
      </c>
      <c r="O900" t="s">
        <v>66</v>
      </c>
      <c r="P900" t="s">
        <v>88</v>
      </c>
    </row>
    <row r="901" spans="1:16" ht="14.5" x14ac:dyDescent="0.35">
      <c r="A901">
        <v>900</v>
      </c>
      <c r="B901">
        <v>65</v>
      </c>
      <c r="C901" t="s">
        <v>16</v>
      </c>
      <c r="D901" t="s">
        <v>26</v>
      </c>
      <c r="E901" t="s">
        <v>18</v>
      </c>
      <c r="F901">
        <v>58</v>
      </c>
      <c r="G901" t="s">
        <v>38</v>
      </c>
      <c r="H901" t="s">
        <v>39</v>
      </c>
      <c r="I901" t="s">
        <v>91</v>
      </c>
      <c r="J901" t="s">
        <v>47</v>
      </c>
      <c r="K901">
        <v>4</v>
      </c>
      <c r="L901" t="s">
        <v>23</v>
      </c>
      <c r="M901" t="s">
        <v>23</v>
      </c>
      <c r="N901">
        <v>20</v>
      </c>
      <c r="O901" t="s">
        <v>40</v>
      </c>
      <c r="P901" t="s">
        <v>43</v>
      </c>
    </row>
    <row r="902" spans="1:16" ht="14.5" x14ac:dyDescent="0.35">
      <c r="A902">
        <v>901</v>
      </c>
      <c r="B902">
        <v>54</v>
      </c>
      <c r="C902" t="s">
        <v>16</v>
      </c>
      <c r="D902" t="s">
        <v>115</v>
      </c>
      <c r="E902" t="s">
        <v>60</v>
      </c>
      <c r="F902">
        <v>98</v>
      </c>
      <c r="G902" t="s">
        <v>57</v>
      </c>
      <c r="H902" t="s">
        <v>20</v>
      </c>
      <c r="I902" t="s">
        <v>21</v>
      </c>
      <c r="J902" t="s">
        <v>50</v>
      </c>
      <c r="K902">
        <v>3.3</v>
      </c>
      <c r="L902" t="s">
        <v>23</v>
      </c>
      <c r="M902" t="s">
        <v>23</v>
      </c>
      <c r="N902">
        <v>42</v>
      </c>
      <c r="O902" t="s">
        <v>66</v>
      </c>
      <c r="P902" t="s">
        <v>51</v>
      </c>
    </row>
    <row r="903" spans="1:16" ht="14.5" x14ac:dyDescent="0.35">
      <c r="A903">
        <v>902</v>
      </c>
      <c r="B903">
        <v>60</v>
      </c>
      <c r="C903" t="s">
        <v>16</v>
      </c>
      <c r="D903" t="s">
        <v>110</v>
      </c>
      <c r="E903" t="s">
        <v>60</v>
      </c>
      <c r="F903">
        <v>68</v>
      </c>
      <c r="G903" t="s">
        <v>61</v>
      </c>
      <c r="H903" t="s">
        <v>20</v>
      </c>
      <c r="I903" t="s">
        <v>74</v>
      </c>
      <c r="J903" t="s">
        <v>47</v>
      </c>
      <c r="K903">
        <v>4.7</v>
      </c>
      <c r="L903" t="s">
        <v>23</v>
      </c>
      <c r="M903" t="s">
        <v>23</v>
      </c>
      <c r="N903">
        <v>34</v>
      </c>
      <c r="O903" t="s">
        <v>29</v>
      </c>
      <c r="P903" t="s">
        <v>79</v>
      </c>
    </row>
    <row r="904" spans="1:16" ht="14.5" x14ac:dyDescent="0.35">
      <c r="A904">
        <v>903</v>
      </c>
      <c r="B904">
        <v>43</v>
      </c>
      <c r="C904" t="s">
        <v>16</v>
      </c>
      <c r="D904" t="s">
        <v>115</v>
      </c>
      <c r="E904" t="s">
        <v>60</v>
      </c>
      <c r="F904">
        <v>44</v>
      </c>
      <c r="G904" t="s">
        <v>19</v>
      </c>
      <c r="H904" t="s">
        <v>39</v>
      </c>
      <c r="I904" t="s">
        <v>109</v>
      </c>
      <c r="J904" t="s">
        <v>47</v>
      </c>
      <c r="K904">
        <v>2.8</v>
      </c>
      <c r="L904" t="s">
        <v>23</v>
      </c>
      <c r="M904" t="s">
        <v>23</v>
      </c>
      <c r="N904">
        <v>5</v>
      </c>
      <c r="O904" t="s">
        <v>29</v>
      </c>
      <c r="P904" t="s">
        <v>79</v>
      </c>
    </row>
    <row r="905" spans="1:16" ht="14.5" x14ac:dyDescent="0.35">
      <c r="A905">
        <v>904</v>
      </c>
      <c r="B905">
        <v>44</v>
      </c>
      <c r="C905" t="s">
        <v>16</v>
      </c>
      <c r="D905" t="s">
        <v>93</v>
      </c>
      <c r="E905" t="s">
        <v>56</v>
      </c>
      <c r="F905">
        <v>45</v>
      </c>
      <c r="G905" t="s">
        <v>140</v>
      </c>
      <c r="H905" t="s">
        <v>39</v>
      </c>
      <c r="I905" t="s">
        <v>135</v>
      </c>
      <c r="J905" t="s">
        <v>22</v>
      </c>
      <c r="K905">
        <v>3.3</v>
      </c>
      <c r="L905" t="s">
        <v>23</v>
      </c>
      <c r="M905" t="s">
        <v>23</v>
      </c>
      <c r="N905">
        <v>3</v>
      </c>
      <c r="O905" t="s">
        <v>40</v>
      </c>
      <c r="P905" t="s">
        <v>51</v>
      </c>
    </row>
    <row r="906" spans="1:16" ht="14.5" x14ac:dyDescent="0.35">
      <c r="A906">
        <v>905</v>
      </c>
      <c r="B906">
        <v>69</v>
      </c>
      <c r="C906" t="s">
        <v>16</v>
      </c>
      <c r="D906" t="s">
        <v>104</v>
      </c>
      <c r="E906" t="s">
        <v>18</v>
      </c>
      <c r="F906">
        <v>99</v>
      </c>
      <c r="G906" t="s">
        <v>111</v>
      </c>
      <c r="H906" t="s">
        <v>20</v>
      </c>
      <c r="I906" t="s">
        <v>127</v>
      </c>
      <c r="J906" t="s">
        <v>33</v>
      </c>
      <c r="K906">
        <v>2.9</v>
      </c>
      <c r="L906" t="s">
        <v>23</v>
      </c>
      <c r="M906" t="s">
        <v>23</v>
      </c>
      <c r="N906">
        <v>46</v>
      </c>
      <c r="O906" t="s">
        <v>40</v>
      </c>
      <c r="P906" t="s">
        <v>88</v>
      </c>
    </row>
    <row r="907" spans="1:16" ht="14.5" x14ac:dyDescent="0.35">
      <c r="A907">
        <v>906</v>
      </c>
      <c r="B907">
        <v>46</v>
      </c>
      <c r="C907" t="s">
        <v>16</v>
      </c>
      <c r="D907" t="s">
        <v>72</v>
      </c>
      <c r="E907" t="s">
        <v>18</v>
      </c>
      <c r="F907">
        <v>68</v>
      </c>
      <c r="G907" t="s">
        <v>82</v>
      </c>
      <c r="H907" t="s">
        <v>32</v>
      </c>
      <c r="I907" t="s">
        <v>100</v>
      </c>
      <c r="J907" t="s">
        <v>33</v>
      </c>
      <c r="K907">
        <v>2.8</v>
      </c>
      <c r="L907" t="s">
        <v>23</v>
      </c>
      <c r="M907" t="s">
        <v>23</v>
      </c>
      <c r="N907">
        <v>16</v>
      </c>
      <c r="O907" t="s">
        <v>24</v>
      </c>
      <c r="P907" t="s">
        <v>43</v>
      </c>
    </row>
    <row r="908" spans="1:16" ht="14.5" x14ac:dyDescent="0.35">
      <c r="A908">
        <v>907</v>
      </c>
      <c r="B908">
        <v>41</v>
      </c>
      <c r="C908" t="s">
        <v>16</v>
      </c>
      <c r="D908" t="s">
        <v>86</v>
      </c>
      <c r="E908" t="s">
        <v>18</v>
      </c>
      <c r="F908">
        <v>56</v>
      </c>
      <c r="G908" t="s">
        <v>122</v>
      </c>
      <c r="H908" t="s">
        <v>39</v>
      </c>
      <c r="I908" t="s">
        <v>99</v>
      </c>
      <c r="J908" t="s">
        <v>33</v>
      </c>
      <c r="K908">
        <v>4.2</v>
      </c>
      <c r="L908" t="s">
        <v>23</v>
      </c>
      <c r="M908" t="s">
        <v>23</v>
      </c>
      <c r="N908">
        <v>21</v>
      </c>
      <c r="O908" t="s">
        <v>77</v>
      </c>
      <c r="P908" t="s">
        <v>67</v>
      </c>
    </row>
    <row r="909" spans="1:16" ht="14.5" x14ac:dyDescent="0.35">
      <c r="A909">
        <v>908</v>
      </c>
      <c r="B909">
        <v>32</v>
      </c>
      <c r="C909" t="s">
        <v>16</v>
      </c>
      <c r="D909" t="s">
        <v>26</v>
      </c>
      <c r="E909" t="s">
        <v>18</v>
      </c>
      <c r="F909">
        <v>43</v>
      </c>
      <c r="G909" t="s">
        <v>61</v>
      </c>
      <c r="H909" t="s">
        <v>20</v>
      </c>
      <c r="I909" t="s">
        <v>100</v>
      </c>
      <c r="J909" t="s">
        <v>22</v>
      </c>
      <c r="K909">
        <v>4.4000000000000004</v>
      </c>
      <c r="L909" t="s">
        <v>23</v>
      </c>
      <c r="M909" t="s">
        <v>23</v>
      </c>
      <c r="N909">
        <v>34</v>
      </c>
      <c r="O909" t="s">
        <v>34</v>
      </c>
      <c r="P909" t="s">
        <v>67</v>
      </c>
    </row>
    <row r="910" spans="1:16" ht="14.5" x14ac:dyDescent="0.35">
      <c r="A910">
        <v>909</v>
      </c>
      <c r="B910">
        <v>26</v>
      </c>
      <c r="C910" t="s">
        <v>16</v>
      </c>
      <c r="D910" t="s">
        <v>80</v>
      </c>
      <c r="E910" t="s">
        <v>60</v>
      </c>
      <c r="F910">
        <v>99</v>
      </c>
      <c r="G910" t="s">
        <v>118</v>
      </c>
      <c r="H910" t="s">
        <v>39</v>
      </c>
      <c r="I910" t="s">
        <v>42</v>
      </c>
      <c r="J910" t="s">
        <v>22</v>
      </c>
      <c r="K910">
        <v>3.6</v>
      </c>
      <c r="L910" t="s">
        <v>23</v>
      </c>
      <c r="M910" t="s">
        <v>23</v>
      </c>
      <c r="N910">
        <v>9</v>
      </c>
      <c r="O910" t="s">
        <v>40</v>
      </c>
      <c r="P910" t="s">
        <v>88</v>
      </c>
    </row>
    <row r="911" spans="1:16" ht="14.5" x14ac:dyDescent="0.35">
      <c r="A911">
        <v>910</v>
      </c>
      <c r="B911">
        <v>61</v>
      </c>
      <c r="C911" t="s">
        <v>16</v>
      </c>
      <c r="D911" t="s">
        <v>124</v>
      </c>
      <c r="E911" t="s">
        <v>60</v>
      </c>
      <c r="F911">
        <v>56</v>
      </c>
      <c r="G911" t="s">
        <v>53</v>
      </c>
      <c r="H911" t="s">
        <v>20</v>
      </c>
      <c r="I911" t="s">
        <v>58</v>
      </c>
      <c r="J911" t="s">
        <v>50</v>
      </c>
      <c r="K911">
        <v>2.7</v>
      </c>
      <c r="L911" t="s">
        <v>23</v>
      </c>
      <c r="M911" t="s">
        <v>23</v>
      </c>
      <c r="N911">
        <v>36</v>
      </c>
      <c r="O911" t="s">
        <v>40</v>
      </c>
      <c r="P911" t="s">
        <v>35</v>
      </c>
    </row>
    <row r="912" spans="1:16" ht="14.5" x14ac:dyDescent="0.35">
      <c r="A912">
        <v>911</v>
      </c>
      <c r="B912">
        <v>49</v>
      </c>
      <c r="C912" t="s">
        <v>16</v>
      </c>
      <c r="D912" t="s">
        <v>95</v>
      </c>
      <c r="E912" t="s">
        <v>18</v>
      </c>
      <c r="F912">
        <v>25</v>
      </c>
      <c r="G912" t="s">
        <v>122</v>
      </c>
      <c r="H912" t="s">
        <v>32</v>
      </c>
      <c r="I912" t="s">
        <v>62</v>
      </c>
      <c r="J912" t="s">
        <v>33</v>
      </c>
      <c r="K912">
        <v>3.4</v>
      </c>
      <c r="L912" t="s">
        <v>23</v>
      </c>
      <c r="M912" t="s">
        <v>23</v>
      </c>
      <c r="N912">
        <v>22</v>
      </c>
      <c r="O912" t="s">
        <v>34</v>
      </c>
      <c r="P912" t="s">
        <v>79</v>
      </c>
    </row>
    <row r="913" spans="1:16" ht="14.5" x14ac:dyDescent="0.35">
      <c r="A913">
        <v>912</v>
      </c>
      <c r="B913">
        <v>53</v>
      </c>
      <c r="C913" t="s">
        <v>16</v>
      </c>
      <c r="D913" t="s">
        <v>86</v>
      </c>
      <c r="E913" t="s">
        <v>18</v>
      </c>
      <c r="F913">
        <v>74</v>
      </c>
      <c r="G913" t="s">
        <v>120</v>
      </c>
      <c r="H913" t="s">
        <v>39</v>
      </c>
      <c r="I913" t="s">
        <v>85</v>
      </c>
      <c r="J913" t="s">
        <v>22</v>
      </c>
      <c r="K913">
        <v>2.8</v>
      </c>
      <c r="L913" t="s">
        <v>23</v>
      </c>
      <c r="M913" t="s">
        <v>23</v>
      </c>
      <c r="N913">
        <v>2</v>
      </c>
      <c r="O913" t="s">
        <v>66</v>
      </c>
      <c r="P913" t="s">
        <v>51</v>
      </c>
    </row>
    <row r="914" spans="1:16" ht="14.5" x14ac:dyDescent="0.35">
      <c r="A914">
        <v>913</v>
      </c>
      <c r="B914">
        <v>24</v>
      </c>
      <c r="C914" t="s">
        <v>16</v>
      </c>
      <c r="D914" t="s">
        <v>95</v>
      </c>
      <c r="E914" t="s">
        <v>18</v>
      </c>
      <c r="F914">
        <v>56</v>
      </c>
      <c r="G914" t="s">
        <v>64</v>
      </c>
      <c r="H914" t="s">
        <v>39</v>
      </c>
      <c r="I914" t="s">
        <v>87</v>
      </c>
      <c r="J914" t="s">
        <v>22</v>
      </c>
      <c r="K914">
        <v>3.4</v>
      </c>
      <c r="L914" t="s">
        <v>23</v>
      </c>
      <c r="M914" t="s">
        <v>23</v>
      </c>
      <c r="N914">
        <v>32</v>
      </c>
      <c r="O914" t="s">
        <v>66</v>
      </c>
      <c r="P914" t="s">
        <v>79</v>
      </c>
    </row>
    <row r="915" spans="1:16" ht="14.5" x14ac:dyDescent="0.35">
      <c r="A915">
        <v>914</v>
      </c>
      <c r="B915">
        <v>37</v>
      </c>
      <c r="C915" t="s">
        <v>16</v>
      </c>
      <c r="D915" t="s">
        <v>44</v>
      </c>
      <c r="E915" t="s">
        <v>37</v>
      </c>
      <c r="F915">
        <v>47</v>
      </c>
      <c r="G915" t="s">
        <v>131</v>
      </c>
      <c r="H915" t="s">
        <v>39</v>
      </c>
      <c r="I915" t="s">
        <v>125</v>
      </c>
      <c r="J915" t="s">
        <v>50</v>
      </c>
      <c r="K915">
        <v>2.6</v>
      </c>
      <c r="L915" t="s">
        <v>23</v>
      </c>
      <c r="M915" t="s">
        <v>23</v>
      </c>
      <c r="N915">
        <v>29</v>
      </c>
      <c r="O915" t="s">
        <v>29</v>
      </c>
      <c r="P915" t="s">
        <v>88</v>
      </c>
    </row>
    <row r="916" spans="1:16" ht="14.5" x14ac:dyDescent="0.35">
      <c r="A916">
        <v>915</v>
      </c>
      <c r="B916">
        <v>43</v>
      </c>
      <c r="C916" t="s">
        <v>16</v>
      </c>
      <c r="D916" t="s">
        <v>72</v>
      </c>
      <c r="E916" t="s">
        <v>18</v>
      </c>
      <c r="F916">
        <v>67</v>
      </c>
      <c r="G916" t="s">
        <v>140</v>
      </c>
      <c r="H916" t="s">
        <v>20</v>
      </c>
      <c r="I916" t="s">
        <v>65</v>
      </c>
      <c r="J916" t="s">
        <v>47</v>
      </c>
      <c r="K916">
        <v>4.0999999999999996</v>
      </c>
      <c r="L916" t="s">
        <v>23</v>
      </c>
      <c r="M916" t="s">
        <v>23</v>
      </c>
      <c r="N916">
        <v>27</v>
      </c>
      <c r="O916" t="s">
        <v>24</v>
      </c>
      <c r="P916" t="s">
        <v>88</v>
      </c>
    </row>
    <row r="917" spans="1:16" ht="14.5" x14ac:dyDescent="0.35">
      <c r="A917">
        <v>916</v>
      </c>
      <c r="B917">
        <v>31</v>
      </c>
      <c r="C917" t="s">
        <v>16</v>
      </c>
      <c r="D917" t="s">
        <v>72</v>
      </c>
      <c r="E917" t="s">
        <v>18</v>
      </c>
      <c r="F917">
        <v>22</v>
      </c>
      <c r="G917" t="s">
        <v>38</v>
      </c>
      <c r="H917" t="s">
        <v>20</v>
      </c>
      <c r="I917" t="s">
        <v>65</v>
      </c>
      <c r="J917" t="s">
        <v>22</v>
      </c>
      <c r="K917">
        <v>2.9</v>
      </c>
      <c r="L917" t="s">
        <v>23</v>
      </c>
      <c r="M917" t="s">
        <v>23</v>
      </c>
      <c r="N917">
        <v>33</v>
      </c>
      <c r="O917" t="s">
        <v>34</v>
      </c>
      <c r="P917" t="s">
        <v>25</v>
      </c>
    </row>
    <row r="918" spans="1:16" ht="14.5" x14ac:dyDescent="0.35">
      <c r="A918">
        <v>917</v>
      </c>
      <c r="B918">
        <v>49</v>
      </c>
      <c r="C918" t="s">
        <v>16</v>
      </c>
      <c r="D918" t="s">
        <v>30</v>
      </c>
      <c r="E918" t="s">
        <v>18</v>
      </c>
      <c r="F918">
        <v>34</v>
      </c>
      <c r="G918" t="s">
        <v>106</v>
      </c>
      <c r="H918" t="s">
        <v>32</v>
      </c>
      <c r="I918" t="s">
        <v>135</v>
      </c>
      <c r="J918" t="s">
        <v>33</v>
      </c>
      <c r="K918">
        <v>2.7</v>
      </c>
      <c r="L918" t="s">
        <v>23</v>
      </c>
      <c r="M918" t="s">
        <v>23</v>
      </c>
      <c r="N918">
        <v>16</v>
      </c>
      <c r="O918" t="s">
        <v>24</v>
      </c>
      <c r="P918" t="s">
        <v>79</v>
      </c>
    </row>
    <row r="919" spans="1:16" ht="14.5" x14ac:dyDescent="0.35">
      <c r="A919">
        <v>918</v>
      </c>
      <c r="B919">
        <v>69</v>
      </c>
      <c r="C919" t="s">
        <v>16</v>
      </c>
      <c r="D919" t="s">
        <v>26</v>
      </c>
      <c r="E919" t="s">
        <v>18</v>
      </c>
      <c r="F919">
        <v>64</v>
      </c>
      <c r="G919" t="s">
        <v>61</v>
      </c>
      <c r="H919" t="s">
        <v>39</v>
      </c>
      <c r="I919" t="s">
        <v>28</v>
      </c>
      <c r="J919" t="s">
        <v>33</v>
      </c>
      <c r="K919">
        <v>3.7</v>
      </c>
      <c r="L919" t="s">
        <v>23</v>
      </c>
      <c r="M919" t="s">
        <v>23</v>
      </c>
      <c r="N919">
        <v>11</v>
      </c>
      <c r="O919" t="s">
        <v>66</v>
      </c>
      <c r="P919" t="s">
        <v>51</v>
      </c>
    </row>
    <row r="920" spans="1:16" ht="14.5" x14ac:dyDescent="0.35">
      <c r="A920">
        <v>919</v>
      </c>
      <c r="B920">
        <v>65</v>
      </c>
      <c r="C920" t="s">
        <v>16</v>
      </c>
      <c r="D920" t="s">
        <v>52</v>
      </c>
      <c r="E920" t="s">
        <v>18</v>
      </c>
      <c r="F920">
        <v>42</v>
      </c>
      <c r="G920" t="s">
        <v>89</v>
      </c>
      <c r="H920" t="s">
        <v>39</v>
      </c>
      <c r="I920" t="s">
        <v>112</v>
      </c>
      <c r="J920" t="s">
        <v>33</v>
      </c>
      <c r="K920">
        <v>4.3</v>
      </c>
      <c r="L920" t="s">
        <v>23</v>
      </c>
      <c r="M920" t="s">
        <v>23</v>
      </c>
      <c r="N920">
        <v>11</v>
      </c>
      <c r="O920" t="s">
        <v>29</v>
      </c>
      <c r="P920" t="s">
        <v>25</v>
      </c>
    </row>
    <row r="921" spans="1:16" ht="14.5" x14ac:dyDescent="0.35">
      <c r="A921">
        <v>920</v>
      </c>
      <c r="B921">
        <v>41</v>
      </c>
      <c r="C921" t="s">
        <v>16</v>
      </c>
      <c r="D921" t="s">
        <v>48</v>
      </c>
      <c r="E921" t="s">
        <v>18</v>
      </c>
      <c r="F921">
        <v>82</v>
      </c>
      <c r="G921" t="s">
        <v>31</v>
      </c>
      <c r="H921" t="s">
        <v>20</v>
      </c>
      <c r="I921" t="s">
        <v>87</v>
      </c>
      <c r="J921" t="s">
        <v>22</v>
      </c>
      <c r="K921">
        <v>2.6</v>
      </c>
      <c r="L921" t="s">
        <v>23</v>
      </c>
      <c r="M921" t="s">
        <v>23</v>
      </c>
      <c r="N921">
        <v>17</v>
      </c>
      <c r="O921" t="s">
        <v>77</v>
      </c>
      <c r="P921" t="s">
        <v>67</v>
      </c>
    </row>
    <row r="922" spans="1:16" ht="14.5" x14ac:dyDescent="0.35">
      <c r="A922">
        <v>921</v>
      </c>
      <c r="B922">
        <v>37</v>
      </c>
      <c r="C922" t="s">
        <v>16</v>
      </c>
      <c r="D922" t="s">
        <v>124</v>
      </c>
      <c r="E922" t="s">
        <v>60</v>
      </c>
      <c r="F922">
        <v>81</v>
      </c>
      <c r="G922" t="s">
        <v>64</v>
      </c>
      <c r="H922" t="s">
        <v>83</v>
      </c>
      <c r="I922" t="s">
        <v>71</v>
      </c>
      <c r="J922" t="s">
        <v>47</v>
      </c>
      <c r="K922">
        <v>4.3</v>
      </c>
      <c r="L922" t="s">
        <v>23</v>
      </c>
      <c r="M922" t="s">
        <v>23</v>
      </c>
      <c r="N922">
        <v>37</v>
      </c>
      <c r="O922" t="s">
        <v>29</v>
      </c>
      <c r="P922" t="s">
        <v>35</v>
      </c>
    </row>
    <row r="923" spans="1:16" ht="14.5" x14ac:dyDescent="0.35">
      <c r="A923">
        <v>922</v>
      </c>
      <c r="B923">
        <v>70</v>
      </c>
      <c r="C923" t="s">
        <v>16</v>
      </c>
      <c r="D923" t="s">
        <v>55</v>
      </c>
      <c r="E923" t="s">
        <v>56</v>
      </c>
      <c r="F923">
        <v>24</v>
      </c>
      <c r="G923" t="s">
        <v>138</v>
      </c>
      <c r="H923" t="s">
        <v>20</v>
      </c>
      <c r="I923" t="s">
        <v>58</v>
      </c>
      <c r="J923" t="s">
        <v>47</v>
      </c>
      <c r="K923">
        <v>4.0999999999999996</v>
      </c>
      <c r="L923" t="s">
        <v>23</v>
      </c>
      <c r="M923" t="s">
        <v>23</v>
      </c>
      <c r="N923">
        <v>18</v>
      </c>
      <c r="O923" t="s">
        <v>40</v>
      </c>
      <c r="P923" t="s">
        <v>35</v>
      </c>
    </row>
    <row r="924" spans="1:16" ht="14.5" x14ac:dyDescent="0.35">
      <c r="A924">
        <v>923</v>
      </c>
      <c r="B924">
        <v>63</v>
      </c>
      <c r="C924" t="s">
        <v>16</v>
      </c>
      <c r="D924" t="s">
        <v>44</v>
      </c>
      <c r="E924" t="s">
        <v>37</v>
      </c>
      <c r="F924">
        <v>60</v>
      </c>
      <c r="G924" t="s">
        <v>133</v>
      </c>
      <c r="H924" t="s">
        <v>39</v>
      </c>
      <c r="I924" t="s">
        <v>100</v>
      </c>
      <c r="J924" t="s">
        <v>50</v>
      </c>
      <c r="K924">
        <v>4.2</v>
      </c>
      <c r="L924" t="s">
        <v>23</v>
      </c>
      <c r="M924" t="s">
        <v>23</v>
      </c>
      <c r="N924">
        <v>13</v>
      </c>
      <c r="O924" t="s">
        <v>34</v>
      </c>
      <c r="P924" t="s">
        <v>79</v>
      </c>
    </row>
    <row r="925" spans="1:16" ht="14.5" x14ac:dyDescent="0.35">
      <c r="A925">
        <v>924</v>
      </c>
      <c r="B925">
        <v>55</v>
      </c>
      <c r="C925" t="s">
        <v>16</v>
      </c>
      <c r="D925" t="s">
        <v>48</v>
      </c>
      <c r="E925" t="s">
        <v>18</v>
      </c>
      <c r="F925">
        <v>24</v>
      </c>
      <c r="G925" t="s">
        <v>64</v>
      </c>
      <c r="H925" t="s">
        <v>39</v>
      </c>
      <c r="I925" t="s">
        <v>58</v>
      </c>
      <c r="J925" t="s">
        <v>33</v>
      </c>
      <c r="K925">
        <v>4.2</v>
      </c>
      <c r="L925" t="s">
        <v>23</v>
      </c>
      <c r="M925" t="s">
        <v>23</v>
      </c>
      <c r="N925">
        <v>7</v>
      </c>
      <c r="O925" t="s">
        <v>40</v>
      </c>
      <c r="P925" t="s">
        <v>35</v>
      </c>
    </row>
    <row r="926" spans="1:16" ht="14.5" x14ac:dyDescent="0.35">
      <c r="A926">
        <v>925</v>
      </c>
      <c r="B926">
        <v>52</v>
      </c>
      <c r="C926" t="s">
        <v>16</v>
      </c>
      <c r="D926" t="s">
        <v>116</v>
      </c>
      <c r="E926" t="s">
        <v>18</v>
      </c>
      <c r="F926">
        <v>78</v>
      </c>
      <c r="G926" t="s">
        <v>102</v>
      </c>
      <c r="H926" t="s">
        <v>83</v>
      </c>
      <c r="I926" t="s">
        <v>109</v>
      </c>
      <c r="J926" t="s">
        <v>22</v>
      </c>
      <c r="K926">
        <v>3.1</v>
      </c>
      <c r="L926" t="s">
        <v>23</v>
      </c>
      <c r="M926" t="s">
        <v>23</v>
      </c>
      <c r="N926">
        <v>37</v>
      </c>
      <c r="O926" t="s">
        <v>29</v>
      </c>
      <c r="P926" t="s">
        <v>51</v>
      </c>
    </row>
    <row r="927" spans="1:16" ht="14.5" x14ac:dyDescent="0.35">
      <c r="A927">
        <v>926</v>
      </c>
      <c r="B927">
        <v>22</v>
      </c>
      <c r="C927" t="s">
        <v>16</v>
      </c>
      <c r="D927" t="s">
        <v>30</v>
      </c>
      <c r="E927" t="s">
        <v>18</v>
      </c>
      <c r="F927">
        <v>88</v>
      </c>
      <c r="G927" t="s">
        <v>108</v>
      </c>
      <c r="H927" t="s">
        <v>20</v>
      </c>
      <c r="I927" t="s">
        <v>76</v>
      </c>
      <c r="J927" t="s">
        <v>22</v>
      </c>
      <c r="K927">
        <v>4.9000000000000004</v>
      </c>
      <c r="L927" t="s">
        <v>23</v>
      </c>
      <c r="M927" t="s">
        <v>23</v>
      </c>
      <c r="N927">
        <v>8</v>
      </c>
      <c r="O927" t="s">
        <v>29</v>
      </c>
      <c r="P927" t="s">
        <v>79</v>
      </c>
    </row>
    <row r="928" spans="1:16" ht="14.5" x14ac:dyDescent="0.35">
      <c r="A928">
        <v>927</v>
      </c>
      <c r="B928">
        <v>54</v>
      </c>
      <c r="C928" t="s">
        <v>16</v>
      </c>
      <c r="D928" t="s">
        <v>30</v>
      </c>
      <c r="E928" t="s">
        <v>18</v>
      </c>
      <c r="F928">
        <v>63</v>
      </c>
      <c r="G928" t="s">
        <v>31</v>
      </c>
      <c r="H928" t="s">
        <v>83</v>
      </c>
      <c r="I928" t="s">
        <v>87</v>
      </c>
      <c r="J928" t="s">
        <v>33</v>
      </c>
      <c r="K928">
        <v>4.4000000000000004</v>
      </c>
      <c r="L928" t="s">
        <v>23</v>
      </c>
      <c r="M928" t="s">
        <v>23</v>
      </c>
      <c r="N928">
        <v>11</v>
      </c>
      <c r="O928" t="s">
        <v>29</v>
      </c>
      <c r="P928" t="s">
        <v>67</v>
      </c>
    </row>
    <row r="929" spans="1:16" ht="14.5" x14ac:dyDescent="0.35">
      <c r="A929">
        <v>928</v>
      </c>
      <c r="B929">
        <v>28</v>
      </c>
      <c r="C929" t="s">
        <v>16</v>
      </c>
      <c r="D929" t="s">
        <v>44</v>
      </c>
      <c r="E929" t="s">
        <v>37</v>
      </c>
      <c r="F929">
        <v>78</v>
      </c>
      <c r="G929" t="s">
        <v>121</v>
      </c>
      <c r="H929" t="s">
        <v>20</v>
      </c>
      <c r="I929" t="s">
        <v>85</v>
      </c>
      <c r="J929" t="s">
        <v>47</v>
      </c>
      <c r="K929">
        <v>4.4000000000000004</v>
      </c>
      <c r="L929" t="s">
        <v>23</v>
      </c>
      <c r="M929" t="s">
        <v>23</v>
      </c>
      <c r="N929">
        <v>8</v>
      </c>
      <c r="O929" t="s">
        <v>24</v>
      </c>
      <c r="P929" t="s">
        <v>67</v>
      </c>
    </row>
    <row r="930" spans="1:16" ht="14.5" x14ac:dyDescent="0.35">
      <c r="A930">
        <v>929</v>
      </c>
      <c r="B930">
        <v>67</v>
      </c>
      <c r="C930" t="s">
        <v>16</v>
      </c>
      <c r="D930" t="s">
        <v>72</v>
      </c>
      <c r="E930" t="s">
        <v>18</v>
      </c>
      <c r="F930">
        <v>37</v>
      </c>
      <c r="G930" t="s">
        <v>64</v>
      </c>
      <c r="H930" t="s">
        <v>83</v>
      </c>
      <c r="I930" t="s">
        <v>125</v>
      </c>
      <c r="J930" t="s">
        <v>22</v>
      </c>
      <c r="K930">
        <v>3.4</v>
      </c>
      <c r="L930" t="s">
        <v>23</v>
      </c>
      <c r="M930" t="s">
        <v>23</v>
      </c>
      <c r="N930">
        <v>31</v>
      </c>
      <c r="O930" t="s">
        <v>29</v>
      </c>
      <c r="P930" t="s">
        <v>88</v>
      </c>
    </row>
    <row r="931" spans="1:16" ht="14.5" x14ac:dyDescent="0.35">
      <c r="A931">
        <v>930</v>
      </c>
      <c r="B931">
        <v>59</v>
      </c>
      <c r="C931" t="s">
        <v>16</v>
      </c>
      <c r="D931" t="s">
        <v>128</v>
      </c>
      <c r="E931" t="s">
        <v>37</v>
      </c>
      <c r="F931">
        <v>94</v>
      </c>
      <c r="G931" t="s">
        <v>136</v>
      </c>
      <c r="H931" t="s">
        <v>39</v>
      </c>
      <c r="I931" t="s">
        <v>46</v>
      </c>
      <c r="J931" t="s">
        <v>50</v>
      </c>
      <c r="K931">
        <v>4.5</v>
      </c>
      <c r="L931" t="s">
        <v>23</v>
      </c>
      <c r="M931" t="s">
        <v>23</v>
      </c>
      <c r="N931">
        <v>26</v>
      </c>
      <c r="O931" t="s">
        <v>77</v>
      </c>
      <c r="P931" t="s">
        <v>25</v>
      </c>
    </row>
    <row r="932" spans="1:16" ht="14.5" x14ac:dyDescent="0.35">
      <c r="A932">
        <v>931</v>
      </c>
      <c r="B932">
        <v>26</v>
      </c>
      <c r="C932" t="s">
        <v>16</v>
      </c>
      <c r="D932" t="s">
        <v>104</v>
      </c>
      <c r="E932" t="s">
        <v>18</v>
      </c>
      <c r="F932">
        <v>78</v>
      </c>
      <c r="G932" t="s">
        <v>68</v>
      </c>
      <c r="H932" t="s">
        <v>20</v>
      </c>
      <c r="I932" t="s">
        <v>87</v>
      </c>
      <c r="J932" t="s">
        <v>50</v>
      </c>
      <c r="K932">
        <v>4.5</v>
      </c>
      <c r="L932" t="s">
        <v>23</v>
      </c>
      <c r="M932" t="s">
        <v>23</v>
      </c>
      <c r="N932">
        <v>20</v>
      </c>
      <c r="O932" t="s">
        <v>34</v>
      </c>
      <c r="P932" t="s">
        <v>67</v>
      </c>
    </row>
    <row r="933" spans="1:16" ht="14.5" x14ac:dyDescent="0.35">
      <c r="A933">
        <v>932</v>
      </c>
      <c r="B933">
        <v>24</v>
      </c>
      <c r="C933" t="s">
        <v>16</v>
      </c>
      <c r="D933" t="s">
        <v>55</v>
      </c>
      <c r="E933" t="s">
        <v>56</v>
      </c>
      <c r="F933">
        <v>36</v>
      </c>
      <c r="G933" t="s">
        <v>136</v>
      </c>
      <c r="H933" t="s">
        <v>39</v>
      </c>
      <c r="I933" t="s">
        <v>58</v>
      </c>
      <c r="J933" t="s">
        <v>22</v>
      </c>
      <c r="K933">
        <v>4.0999999999999996</v>
      </c>
      <c r="L933" t="s">
        <v>23</v>
      </c>
      <c r="M933" t="s">
        <v>23</v>
      </c>
      <c r="N933">
        <v>24</v>
      </c>
      <c r="O933" t="s">
        <v>66</v>
      </c>
      <c r="P933" t="s">
        <v>25</v>
      </c>
    </row>
    <row r="934" spans="1:16" ht="14.5" x14ac:dyDescent="0.35">
      <c r="A934">
        <v>933</v>
      </c>
      <c r="B934">
        <v>62</v>
      </c>
      <c r="C934" t="s">
        <v>16</v>
      </c>
      <c r="D934" t="s">
        <v>78</v>
      </c>
      <c r="E934" t="s">
        <v>18</v>
      </c>
      <c r="F934">
        <v>24</v>
      </c>
      <c r="G934" t="s">
        <v>107</v>
      </c>
      <c r="H934" t="s">
        <v>20</v>
      </c>
      <c r="I934" t="s">
        <v>135</v>
      </c>
      <c r="J934" t="s">
        <v>22</v>
      </c>
      <c r="K934">
        <v>3.2</v>
      </c>
      <c r="L934" t="s">
        <v>23</v>
      </c>
      <c r="M934" t="s">
        <v>23</v>
      </c>
      <c r="N934">
        <v>45</v>
      </c>
      <c r="O934" t="s">
        <v>77</v>
      </c>
      <c r="P934" t="s">
        <v>67</v>
      </c>
    </row>
    <row r="935" spans="1:16" ht="14.5" x14ac:dyDescent="0.35">
      <c r="A935">
        <v>934</v>
      </c>
      <c r="B935">
        <v>70</v>
      </c>
      <c r="C935" t="s">
        <v>16</v>
      </c>
      <c r="D935" t="s">
        <v>44</v>
      </c>
      <c r="E935" t="s">
        <v>37</v>
      </c>
      <c r="F935">
        <v>84</v>
      </c>
      <c r="G935" t="s">
        <v>103</v>
      </c>
      <c r="H935" t="s">
        <v>39</v>
      </c>
      <c r="I935" t="s">
        <v>127</v>
      </c>
      <c r="J935" t="s">
        <v>33</v>
      </c>
      <c r="K935">
        <v>2.7</v>
      </c>
      <c r="L935" t="s">
        <v>23</v>
      </c>
      <c r="M935" t="s">
        <v>23</v>
      </c>
      <c r="N935">
        <v>33</v>
      </c>
      <c r="O935" t="s">
        <v>77</v>
      </c>
      <c r="P935" t="s">
        <v>79</v>
      </c>
    </row>
    <row r="936" spans="1:16" ht="14.5" x14ac:dyDescent="0.35">
      <c r="A936">
        <v>935</v>
      </c>
      <c r="B936">
        <v>45</v>
      </c>
      <c r="C936" t="s">
        <v>16</v>
      </c>
      <c r="D936" t="s">
        <v>30</v>
      </c>
      <c r="E936" t="s">
        <v>18</v>
      </c>
      <c r="F936">
        <v>47</v>
      </c>
      <c r="G936" t="s">
        <v>41</v>
      </c>
      <c r="H936" t="s">
        <v>32</v>
      </c>
      <c r="I936" t="s">
        <v>125</v>
      </c>
      <c r="J936" t="s">
        <v>33</v>
      </c>
      <c r="K936">
        <v>3.7</v>
      </c>
      <c r="L936" t="s">
        <v>23</v>
      </c>
      <c r="M936" t="s">
        <v>23</v>
      </c>
      <c r="N936">
        <v>21</v>
      </c>
      <c r="O936" t="s">
        <v>66</v>
      </c>
      <c r="P936" t="s">
        <v>79</v>
      </c>
    </row>
    <row r="937" spans="1:16" ht="14.5" x14ac:dyDescent="0.35">
      <c r="A937">
        <v>936</v>
      </c>
      <c r="B937">
        <v>58</v>
      </c>
      <c r="C937" t="s">
        <v>16</v>
      </c>
      <c r="D937" t="s">
        <v>95</v>
      </c>
      <c r="E937" t="s">
        <v>18</v>
      </c>
      <c r="F937">
        <v>51</v>
      </c>
      <c r="G937" t="s">
        <v>114</v>
      </c>
      <c r="H937" t="s">
        <v>20</v>
      </c>
      <c r="I937" t="s">
        <v>46</v>
      </c>
      <c r="J937" t="s">
        <v>50</v>
      </c>
      <c r="K937">
        <v>2.6</v>
      </c>
      <c r="L937" t="s">
        <v>23</v>
      </c>
      <c r="M937" t="s">
        <v>23</v>
      </c>
      <c r="N937">
        <v>2</v>
      </c>
      <c r="O937" t="s">
        <v>66</v>
      </c>
      <c r="P937" t="s">
        <v>25</v>
      </c>
    </row>
    <row r="938" spans="1:16" ht="14.5" x14ac:dyDescent="0.35">
      <c r="A938">
        <v>937</v>
      </c>
      <c r="B938">
        <v>31</v>
      </c>
      <c r="C938" t="s">
        <v>16</v>
      </c>
      <c r="D938" t="s">
        <v>63</v>
      </c>
      <c r="E938" t="s">
        <v>37</v>
      </c>
      <c r="F938">
        <v>84</v>
      </c>
      <c r="G938" t="s">
        <v>27</v>
      </c>
      <c r="H938" t="s">
        <v>39</v>
      </c>
      <c r="I938" t="s">
        <v>62</v>
      </c>
      <c r="J938" t="s">
        <v>47</v>
      </c>
      <c r="K938">
        <v>2.7</v>
      </c>
      <c r="L938" t="s">
        <v>23</v>
      </c>
      <c r="M938" t="s">
        <v>23</v>
      </c>
      <c r="N938">
        <v>28</v>
      </c>
      <c r="O938" t="s">
        <v>29</v>
      </c>
      <c r="P938" t="s">
        <v>35</v>
      </c>
    </row>
    <row r="939" spans="1:16" ht="14.5" x14ac:dyDescent="0.35">
      <c r="A939">
        <v>938</v>
      </c>
      <c r="B939">
        <v>32</v>
      </c>
      <c r="C939" t="s">
        <v>16</v>
      </c>
      <c r="D939" t="s">
        <v>52</v>
      </c>
      <c r="E939" t="s">
        <v>18</v>
      </c>
      <c r="F939">
        <v>24</v>
      </c>
      <c r="G939" t="s">
        <v>137</v>
      </c>
      <c r="H939" t="s">
        <v>39</v>
      </c>
      <c r="I939" t="s">
        <v>127</v>
      </c>
      <c r="J939" t="s">
        <v>47</v>
      </c>
      <c r="K939">
        <v>2.7</v>
      </c>
      <c r="L939" t="s">
        <v>23</v>
      </c>
      <c r="M939" t="s">
        <v>23</v>
      </c>
      <c r="N939">
        <v>18</v>
      </c>
      <c r="O939" t="s">
        <v>24</v>
      </c>
      <c r="P939" t="s">
        <v>51</v>
      </c>
    </row>
    <row r="940" spans="1:16" ht="14.5" x14ac:dyDescent="0.35">
      <c r="A940">
        <v>939</v>
      </c>
      <c r="B940">
        <v>36</v>
      </c>
      <c r="C940" t="s">
        <v>16</v>
      </c>
      <c r="D940" t="s">
        <v>17</v>
      </c>
      <c r="E940" t="s">
        <v>18</v>
      </c>
      <c r="F940">
        <v>97</v>
      </c>
      <c r="G940" t="s">
        <v>141</v>
      </c>
      <c r="H940" t="s">
        <v>32</v>
      </c>
      <c r="I940" t="s">
        <v>76</v>
      </c>
      <c r="J940" t="s">
        <v>50</v>
      </c>
      <c r="K940">
        <v>4.8</v>
      </c>
      <c r="L940" t="s">
        <v>23</v>
      </c>
      <c r="M940" t="s">
        <v>23</v>
      </c>
      <c r="N940">
        <v>21</v>
      </c>
      <c r="O940" t="s">
        <v>77</v>
      </c>
      <c r="P940" t="s">
        <v>25</v>
      </c>
    </row>
    <row r="941" spans="1:16" ht="14.5" x14ac:dyDescent="0.35">
      <c r="A941">
        <v>940</v>
      </c>
      <c r="B941">
        <v>25</v>
      </c>
      <c r="C941" t="s">
        <v>16</v>
      </c>
      <c r="D941" t="s">
        <v>104</v>
      </c>
      <c r="E941" t="s">
        <v>18</v>
      </c>
      <c r="F941">
        <v>89</v>
      </c>
      <c r="G941" t="s">
        <v>75</v>
      </c>
      <c r="H941" t="s">
        <v>20</v>
      </c>
      <c r="I941" t="s">
        <v>117</v>
      </c>
      <c r="J941" t="s">
        <v>22</v>
      </c>
      <c r="K941">
        <v>4.8</v>
      </c>
      <c r="L941" t="s">
        <v>23</v>
      </c>
      <c r="M941" t="s">
        <v>23</v>
      </c>
      <c r="N941">
        <v>24</v>
      </c>
      <c r="O941" t="s">
        <v>34</v>
      </c>
      <c r="P941" t="s">
        <v>79</v>
      </c>
    </row>
    <row r="942" spans="1:16" ht="14.5" x14ac:dyDescent="0.35">
      <c r="A942">
        <v>941</v>
      </c>
      <c r="B942">
        <v>48</v>
      </c>
      <c r="C942" t="s">
        <v>16</v>
      </c>
      <c r="D942" t="s">
        <v>124</v>
      </c>
      <c r="E942" t="s">
        <v>60</v>
      </c>
      <c r="F942">
        <v>44</v>
      </c>
      <c r="G942" t="s">
        <v>103</v>
      </c>
      <c r="H942" t="s">
        <v>32</v>
      </c>
      <c r="I942" t="s">
        <v>28</v>
      </c>
      <c r="J942" t="s">
        <v>33</v>
      </c>
      <c r="K942">
        <v>2.6</v>
      </c>
      <c r="L942" t="s">
        <v>23</v>
      </c>
      <c r="M942" t="s">
        <v>23</v>
      </c>
      <c r="N942">
        <v>15</v>
      </c>
      <c r="O942" t="s">
        <v>40</v>
      </c>
      <c r="P942" t="s">
        <v>88</v>
      </c>
    </row>
    <row r="943" spans="1:16" ht="14.5" x14ac:dyDescent="0.35">
      <c r="A943">
        <v>942</v>
      </c>
      <c r="B943">
        <v>39</v>
      </c>
      <c r="C943" t="s">
        <v>16</v>
      </c>
      <c r="D943" t="s">
        <v>59</v>
      </c>
      <c r="E943" t="s">
        <v>60</v>
      </c>
      <c r="F943">
        <v>35</v>
      </c>
      <c r="G943" t="s">
        <v>106</v>
      </c>
      <c r="H943" t="s">
        <v>20</v>
      </c>
      <c r="I943" t="s">
        <v>85</v>
      </c>
      <c r="J943" t="s">
        <v>22</v>
      </c>
      <c r="K943">
        <v>4.5</v>
      </c>
      <c r="L943" t="s">
        <v>23</v>
      </c>
      <c r="M943" t="s">
        <v>23</v>
      </c>
      <c r="N943">
        <v>38</v>
      </c>
      <c r="O943" t="s">
        <v>40</v>
      </c>
      <c r="P943" t="s">
        <v>88</v>
      </c>
    </row>
    <row r="944" spans="1:16" ht="14.5" x14ac:dyDescent="0.35">
      <c r="A944">
        <v>943</v>
      </c>
      <c r="B944">
        <v>26</v>
      </c>
      <c r="C944" t="s">
        <v>16</v>
      </c>
      <c r="D944" t="s">
        <v>72</v>
      </c>
      <c r="E944" t="s">
        <v>18</v>
      </c>
      <c r="F944">
        <v>91</v>
      </c>
      <c r="G944" t="s">
        <v>108</v>
      </c>
      <c r="H944" t="s">
        <v>39</v>
      </c>
      <c r="I944" t="s">
        <v>100</v>
      </c>
      <c r="J944" t="s">
        <v>22</v>
      </c>
      <c r="K944">
        <v>3.2</v>
      </c>
      <c r="L944" t="s">
        <v>23</v>
      </c>
      <c r="M944" t="s">
        <v>23</v>
      </c>
      <c r="N944">
        <v>38</v>
      </c>
      <c r="O944" t="s">
        <v>40</v>
      </c>
      <c r="P944" t="s">
        <v>67</v>
      </c>
    </row>
    <row r="945" spans="1:16" ht="14.5" x14ac:dyDescent="0.35">
      <c r="A945">
        <v>944</v>
      </c>
      <c r="B945">
        <v>32</v>
      </c>
      <c r="C945" t="s">
        <v>16</v>
      </c>
      <c r="D945" t="s">
        <v>115</v>
      </c>
      <c r="E945" t="s">
        <v>60</v>
      </c>
      <c r="F945">
        <v>63</v>
      </c>
      <c r="G945" t="s">
        <v>92</v>
      </c>
      <c r="H945" t="s">
        <v>20</v>
      </c>
      <c r="I945" t="s">
        <v>100</v>
      </c>
      <c r="J945" t="s">
        <v>22</v>
      </c>
      <c r="K945">
        <v>3.8</v>
      </c>
      <c r="L945" t="s">
        <v>23</v>
      </c>
      <c r="M945" t="s">
        <v>23</v>
      </c>
      <c r="N945">
        <v>13</v>
      </c>
      <c r="O945" t="s">
        <v>24</v>
      </c>
      <c r="P945" t="s">
        <v>25</v>
      </c>
    </row>
    <row r="946" spans="1:16" ht="14.5" x14ac:dyDescent="0.35">
      <c r="A946">
        <v>945</v>
      </c>
      <c r="B946">
        <v>54</v>
      </c>
      <c r="C946" t="s">
        <v>16</v>
      </c>
      <c r="D946" t="s">
        <v>124</v>
      </c>
      <c r="E946" t="s">
        <v>60</v>
      </c>
      <c r="F946">
        <v>97</v>
      </c>
      <c r="G946" t="s">
        <v>107</v>
      </c>
      <c r="H946" t="s">
        <v>32</v>
      </c>
      <c r="I946" t="s">
        <v>21</v>
      </c>
      <c r="J946" t="s">
        <v>33</v>
      </c>
      <c r="K946">
        <v>4.8</v>
      </c>
      <c r="L946" t="s">
        <v>23</v>
      </c>
      <c r="M946" t="s">
        <v>23</v>
      </c>
      <c r="N946">
        <v>39</v>
      </c>
      <c r="O946" t="s">
        <v>29</v>
      </c>
      <c r="P946" t="s">
        <v>67</v>
      </c>
    </row>
    <row r="947" spans="1:16" ht="14.5" x14ac:dyDescent="0.35">
      <c r="A947">
        <v>946</v>
      </c>
      <c r="B947">
        <v>38</v>
      </c>
      <c r="C947" t="s">
        <v>16</v>
      </c>
      <c r="D947" t="s">
        <v>128</v>
      </c>
      <c r="E947" t="s">
        <v>37</v>
      </c>
      <c r="F947">
        <v>38</v>
      </c>
      <c r="G947" t="s">
        <v>139</v>
      </c>
      <c r="H947" t="s">
        <v>39</v>
      </c>
      <c r="I947" t="s">
        <v>74</v>
      </c>
      <c r="J947" t="s">
        <v>47</v>
      </c>
      <c r="K947">
        <v>4.0999999999999996</v>
      </c>
      <c r="L947" t="s">
        <v>23</v>
      </c>
      <c r="M947" t="s">
        <v>23</v>
      </c>
      <c r="N947">
        <v>8</v>
      </c>
      <c r="O947" t="s">
        <v>24</v>
      </c>
      <c r="P947" t="s">
        <v>88</v>
      </c>
    </row>
    <row r="948" spans="1:16" ht="14.5" x14ac:dyDescent="0.35">
      <c r="A948">
        <v>947</v>
      </c>
      <c r="B948">
        <v>46</v>
      </c>
      <c r="C948" t="s">
        <v>16</v>
      </c>
      <c r="D948" t="s">
        <v>55</v>
      </c>
      <c r="E948" t="s">
        <v>56</v>
      </c>
      <c r="F948">
        <v>24</v>
      </c>
      <c r="G948" t="s">
        <v>129</v>
      </c>
      <c r="H948" t="s">
        <v>83</v>
      </c>
      <c r="I948" t="s">
        <v>135</v>
      </c>
      <c r="J948" t="s">
        <v>33</v>
      </c>
      <c r="K948">
        <v>2.8</v>
      </c>
      <c r="L948" t="s">
        <v>23</v>
      </c>
      <c r="M948" t="s">
        <v>23</v>
      </c>
      <c r="N948">
        <v>4</v>
      </c>
      <c r="O948" t="s">
        <v>40</v>
      </c>
      <c r="P948" t="s">
        <v>51</v>
      </c>
    </row>
    <row r="949" spans="1:16" ht="14.5" x14ac:dyDescent="0.35">
      <c r="A949">
        <v>948</v>
      </c>
      <c r="B949">
        <v>57</v>
      </c>
      <c r="C949" t="s">
        <v>16</v>
      </c>
      <c r="D949" t="s">
        <v>17</v>
      </c>
      <c r="E949" t="s">
        <v>18</v>
      </c>
      <c r="F949">
        <v>32</v>
      </c>
      <c r="G949" t="s">
        <v>107</v>
      </c>
      <c r="H949" t="s">
        <v>39</v>
      </c>
      <c r="I949" t="s">
        <v>54</v>
      </c>
      <c r="J949" t="s">
        <v>22</v>
      </c>
      <c r="K949">
        <v>3.9</v>
      </c>
      <c r="L949" t="s">
        <v>23</v>
      </c>
      <c r="M949" t="s">
        <v>23</v>
      </c>
      <c r="N949">
        <v>6</v>
      </c>
      <c r="O949" t="s">
        <v>29</v>
      </c>
      <c r="P949" t="s">
        <v>88</v>
      </c>
    </row>
    <row r="950" spans="1:16" ht="14.5" x14ac:dyDescent="0.35">
      <c r="A950">
        <v>949</v>
      </c>
      <c r="B950">
        <v>49</v>
      </c>
      <c r="C950" t="s">
        <v>16</v>
      </c>
      <c r="D950" t="s">
        <v>115</v>
      </c>
      <c r="E950" t="s">
        <v>60</v>
      </c>
      <c r="F950">
        <v>90</v>
      </c>
      <c r="G950" t="s">
        <v>81</v>
      </c>
      <c r="H950" t="s">
        <v>20</v>
      </c>
      <c r="I950" t="s">
        <v>69</v>
      </c>
      <c r="J950" t="s">
        <v>47</v>
      </c>
      <c r="K950">
        <v>4.9000000000000004</v>
      </c>
      <c r="L950" t="s">
        <v>23</v>
      </c>
      <c r="M950" t="s">
        <v>23</v>
      </c>
      <c r="N950">
        <v>11</v>
      </c>
      <c r="O950" t="s">
        <v>24</v>
      </c>
      <c r="P950" t="s">
        <v>88</v>
      </c>
    </row>
    <row r="951" spans="1:16" ht="14.5" x14ac:dyDescent="0.35">
      <c r="A951">
        <v>950</v>
      </c>
      <c r="B951">
        <v>33</v>
      </c>
      <c r="C951" t="s">
        <v>16</v>
      </c>
      <c r="D951" t="s">
        <v>30</v>
      </c>
      <c r="E951" t="s">
        <v>18</v>
      </c>
      <c r="F951">
        <v>36</v>
      </c>
      <c r="G951" t="s">
        <v>49</v>
      </c>
      <c r="H951" t="s">
        <v>39</v>
      </c>
      <c r="I951" t="s">
        <v>69</v>
      </c>
      <c r="J951" t="s">
        <v>47</v>
      </c>
      <c r="K951">
        <v>3.4</v>
      </c>
      <c r="L951" t="s">
        <v>23</v>
      </c>
      <c r="M951" t="s">
        <v>23</v>
      </c>
      <c r="N951">
        <v>49</v>
      </c>
      <c r="O951" t="s">
        <v>24</v>
      </c>
      <c r="P951" t="s">
        <v>79</v>
      </c>
    </row>
    <row r="952" spans="1:16" ht="14.5" x14ac:dyDescent="0.35">
      <c r="A952">
        <v>951</v>
      </c>
      <c r="B952">
        <v>54</v>
      </c>
      <c r="C952" t="s">
        <v>16</v>
      </c>
      <c r="D952" t="s">
        <v>123</v>
      </c>
      <c r="E952" t="s">
        <v>60</v>
      </c>
      <c r="F952">
        <v>37</v>
      </c>
      <c r="G952" t="s">
        <v>121</v>
      </c>
      <c r="H952" t="s">
        <v>83</v>
      </c>
      <c r="I952" t="s">
        <v>42</v>
      </c>
      <c r="J952" t="s">
        <v>22</v>
      </c>
      <c r="K952">
        <v>4.0999999999999996</v>
      </c>
      <c r="L952" t="s">
        <v>23</v>
      </c>
      <c r="M952" t="s">
        <v>23</v>
      </c>
      <c r="N952">
        <v>30</v>
      </c>
      <c r="O952" t="s">
        <v>40</v>
      </c>
      <c r="P952" t="s">
        <v>51</v>
      </c>
    </row>
    <row r="953" spans="1:16" ht="14.5" x14ac:dyDescent="0.35">
      <c r="A953">
        <v>952</v>
      </c>
      <c r="B953">
        <v>47</v>
      </c>
      <c r="C953" t="s">
        <v>16</v>
      </c>
      <c r="D953" t="s">
        <v>72</v>
      </c>
      <c r="E953" t="s">
        <v>18</v>
      </c>
      <c r="F953">
        <v>51</v>
      </c>
      <c r="G953" t="s">
        <v>111</v>
      </c>
      <c r="H953" t="s">
        <v>39</v>
      </c>
      <c r="I953" t="s">
        <v>100</v>
      </c>
      <c r="J953" t="s">
        <v>47</v>
      </c>
      <c r="K953">
        <v>2.9</v>
      </c>
      <c r="L953" t="s">
        <v>23</v>
      </c>
      <c r="M953" t="s">
        <v>23</v>
      </c>
      <c r="N953">
        <v>34</v>
      </c>
      <c r="O953" t="s">
        <v>66</v>
      </c>
      <c r="P953" t="s">
        <v>79</v>
      </c>
    </row>
    <row r="954" spans="1:16" ht="14.5" x14ac:dyDescent="0.35">
      <c r="A954">
        <v>953</v>
      </c>
      <c r="B954">
        <v>36</v>
      </c>
      <c r="C954" t="s">
        <v>16</v>
      </c>
      <c r="D954" t="s">
        <v>115</v>
      </c>
      <c r="E954" t="s">
        <v>60</v>
      </c>
      <c r="F954">
        <v>71</v>
      </c>
      <c r="G954" t="s">
        <v>126</v>
      </c>
      <c r="H954" t="s">
        <v>32</v>
      </c>
      <c r="I954" t="s">
        <v>99</v>
      </c>
      <c r="J954" t="s">
        <v>50</v>
      </c>
      <c r="K954">
        <v>3.1</v>
      </c>
      <c r="L954" t="s">
        <v>23</v>
      </c>
      <c r="M954" t="s">
        <v>23</v>
      </c>
      <c r="N954">
        <v>28</v>
      </c>
      <c r="O954" t="s">
        <v>40</v>
      </c>
      <c r="P954" t="s">
        <v>79</v>
      </c>
    </row>
    <row r="955" spans="1:16" ht="14.5" x14ac:dyDescent="0.35">
      <c r="A955">
        <v>954</v>
      </c>
      <c r="B955">
        <v>68</v>
      </c>
      <c r="C955" t="s">
        <v>16</v>
      </c>
      <c r="D955" t="s">
        <v>80</v>
      </c>
      <c r="E955" t="s">
        <v>60</v>
      </c>
      <c r="F955">
        <v>50</v>
      </c>
      <c r="G955" t="s">
        <v>131</v>
      </c>
      <c r="H955" t="s">
        <v>32</v>
      </c>
      <c r="I955" t="s">
        <v>100</v>
      </c>
      <c r="J955" t="s">
        <v>33</v>
      </c>
      <c r="K955">
        <v>3.6</v>
      </c>
      <c r="L955" t="s">
        <v>23</v>
      </c>
      <c r="M955" t="s">
        <v>23</v>
      </c>
      <c r="N955">
        <v>36</v>
      </c>
      <c r="O955" t="s">
        <v>24</v>
      </c>
      <c r="P955" t="s">
        <v>51</v>
      </c>
    </row>
    <row r="956" spans="1:16" ht="14.5" x14ac:dyDescent="0.35">
      <c r="A956">
        <v>955</v>
      </c>
      <c r="B956">
        <v>60</v>
      </c>
      <c r="C956" t="s">
        <v>16</v>
      </c>
      <c r="D956" t="s">
        <v>115</v>
      </c>
      <c r="E956" t="s">
        <v>60</v>
      </c>
      <c r="F956">
        <v>74</v>
      </c>
      <c r="G956" t="s">
        <v>53</v>
      </c>
      <c r="H956" t="s">
        <v>32</v>
      </c>
      <c r="I956" t="s">
        <v>42</v>
      </c>
      <c r="J956" t="s">
        <v>50</v>
      </c>
      <c r="K956">
        <v>3.5</v>
      </c>
      <c r="L956" t="s">
        <v>23</v>
      </c>
      <c r="M956" t="s">
        <v>23</v>
      </c>
      <c r="N956">
        <v>18</v>
      </c>
      <c r="O956" t="s">
        <v>34</v>
      </c>
      <c r="P956" t="s">
        <v>88</v>
      </c>
    </row>
    <row r="957" spans="1:16" ht="14.5" x14ac:dyDescent="0.35">
      <c r="A957">
        <v>956</v>
      </c>
      <c r="B957">
        <v>55</v>
      </c>
      <c r="C957" t="s">
        <v>16</v>
      </c>
      <c r="D957" t="s">
        <v>72</v>
      </c>
      <c r="E957" t="s">
        <v>18</v>
      </c>
      <c r="F957">
        <v>75</v>
      </c>
      <c r="G957" t="s">
        <v>82</v>
      </c>
      <c r="H957" t="s">
        <v>20</v>
      </c>
      <c r="I957" t="s">
        <v>84</v>
      </c>
      <c r="J957" t="s">
        <v>47</v>
      </c>
      <c r="K957">
        <v>3.4</v>
      </c>
      <c r="L957" t="s">
        <v>23</v>
      </c>
      <c r="M957" t="s">
        <v>23</v>
      </c>
      <c r="N957">
        <v>4</v>
      </c>
      <c r="O957" t="s">
        <v>40</v>
      </c>
      <c r="P957" t="s">
        <v>79</v>
      </c>
    </row>
    <row r="958" spans="1:16" ht="14.5" x14ac:dyDescent="0.35">
      <c r="A958">
        <v>957</v>
      </c>
      <c r="B958">
        <v>29</v>
      </c>
      <c r="C958" t="s">
        <v>16</v>
      </c>
      <c r="D958" t="s">
        <v>48</v>
      </c>
      <c r="E958" t="s">
        <v>18</v>
      </c>
      <c r="F958">
        <v>99</v>
      </c>
      <c r="G958" t="s">
        <v>82</v>
      </c>
      <c r="H958" t="s">
        <v>83</v>
      </c>
      <c r="I958" t="s">
        <v>100</v>
      </c>
      <c r="J958" t="s">
        <v>33</v>
      </c>
      <c r="K958">
        <v>2.9</v>
      </c>
      <c r="L958" t="s">
        <v>23</v>
      </c>
      <c r="M958" t="s">
        <v>23</v>
      </c>
      <c r="N958">
        <v>42</v>
      </c>
      <c r="O958" t="s">
        <v>77</v>
      </c>
      <c r="P958" t="s">
        <v>51</v>
      </c>
    </row>
    <row r="959" spans="1:16" ht="14.5" x14ac:dyDescent="0.35">
      <c r="A959">
        <v>958</v>
      </c>
      <c r="B959">
        <v>38</v>
      </c>
      <c r="C959" t="s">
        <v>16</v>
      </c>
      <c r="D959" t="s">
        <v>110</v>
      </c>
      <c r="E959" t="s">
        <v>60</v>
      </c>
      <c r="F959">
        <v>23</v>
      </c>
      <c r="G959" t="s">
        <v>107</v>
      </c>
      <c r="H959" t="s">
        <v>83</v>
      </c>
      <c r="I959" t="s">
        <v>74</v>
      </c>
      <c r="J959" t="s">
        <v>33</v>
      </c>
      <c r="K959">
        <v>4.7</v>
      </c>
      <c r="L959" t="s">
        <v>23</v>
      </c>
      <c r="M959" t="s">
        <v>23</v>
      </c>
      <c r="N959">
        <v>11</v>
      </c>
      <c r="O959" t="s">
        <v>29</v>
      </c>
      <c r="P959" t="s">
        <v>51</v>
      </c>
    </row>
    <row r="960" spans="1:16" ht="14.5" x14ac:dyDescent="0.35">
      <c r="A960">
        <v>959</v>
      </c>
      <c r="B960">
        <v>70</v>
      </c>
      <c r="C960" t="s">
        <v>16</v>
      </c>
      <c r="D960" t="s">
        <v>44</v>
      </c>
      <c r="E960" t="s">
        <v>37</v>
      </c>
      <c r="F960">
        <v>53</v>
      </c>
      <c r="G960" t="s">
        <v>140</v>
      </c>
      <c r="H960" t="s">
        <v>83</v>
      </c>
      <c r="I960" t="s">
        <v>109</v>
      </c>
      <c r="J960" t="s">
        <v>22</v>
      </c>
      <c r="K960">
        <v>4.4000000000000004</v>
      </c>
      <c r="L960" t="s">
        <v>23</v>
      </c>
      <c r="M960" t="s">
        <v>23</v>
      </c>
      <c r="N960">
        <v>31</v>
      </c>
      <c r="O960" t="s">
        <v>34</v>
      </c>
      <c r="P960" t="s">
        <v>67</v>
      </c>
    </row>
    <row r="961" spans="1:16" ht="14.5" x14ac:dyDescent="0.35">
      <c r="A961">
        <v>960</v>
      </c>
      <c r="B961">
        <v>36</v>
      </c>
      <c r="C961" t="s">
        <v>16</v>
      </c>
      <c r="D961" t="s">
        <v>78</v>
      </c>
      <c r="E961" t="s">
        <v>18</v>
      </c>
      <c r="F961">
        <v>99</v>
      </c>
      <c r="G961" t="s">
        <v>98</v>
      </c>
      <c r="H961" t="s">
        <v>39</v>
      </c>
      <c r="I961" t="s">
        <v>100</v>
      </c>
      <c r="J961" t="s">
        <v>33</v>
      </c>
      <c r="K961">
        <v>2.6</v>
      </c>
      <c r="L961" t="s">
        <v>23</v>
      </c>
      <c r="M961" t="s">
        <v>23</v>
      </c>
      <c r="N961">
        <v>12</v>
      </c>
      <c r="O961" t="s">
        <v>29</v>
      </c>
      <c r="P961" t="s">
        <v>25</v>
      </c>
    </row>
    <row r="962" spans="1:16" ht="14.5" x14ac:dyDescent="0.35">
      <c r="A962">
        <v>961</v>
      </c>
      <c r="B962">
        <v>18</v>
      </c>
      <c r="C962" t="s">
        <v>16</v>
      </c>
      <c r="D962" t="s">
        <v>97</v>
      </c>
      <c r="E962" t="s">
        <v>60</v>
      </c>
      <c r="F962">
        <v>48</v>
      </c>
      <c r="G962" t="s">
        <v>53</v>
      </c>
      <c r="H962" t="s">
        <v>83</v>
      </c>
      <c r="I962" t="s">
        <v>117</v>
      </c>
      <c r="J962" t="s">
        <v>33</v>
      </c>
      <c r="K962">
        <v>4.4000000000000004</v>
      </c>
      <c r="L962" t="s">
        <v>23</v>
      </c>
      <c r="M962" t="s">
        <v>23</v>
      </c>
      <c r="N962">
        <v>20</v>
      </c>
      <c r="O962" t="s">
        <v>24</v>
      </c>
      <c r="P962" t="s">
        <v>51</v>
      </c>
    </row>
    <row r="963" spans="1:16" ht="14.5" x14ac:dyDescent="0.35">
      <c r="A963">
        <v>962</v>
      </c>
      <c r="B963">
        <v>62</v>
      </c>
      <c r="C963" t="s">
        <v>16</v>
      </c>
      <c r="D963" t="s">
        <v>128</v>
      </c>
      <c r="E963" t="s">
        <v>37</v>
      </c>
      <c r="F963">
        <v>72</v>
      </c>
      <c r="G963" t="s">
        <v>129</v>
      </c>
      <c r="H963" t="s">
        <v>20</v>
      </c>
      <c r="I963" t="s">
        <v>69</v>
      </c>
      <c r="J963" t="s">
        <v>50</v>
      </c>
      <c r="K963">
        <v>3.7</v>
      </c>
      <c r="L963" t="s">
        <v>23</v>
      </c>
      <c r="M963" t="s">
        <v>23</v>
      </c>
      <c r="N963">
        <v>37</v>
      </c>
      <c r="O963" t="s">
        <v>77</v>
      </c>
      <c r="P963" t="s">
        <v>51</v>
      </c>
    </row>
    <row r="964" spans="1:16" ht="14.5" x14ac:dyDescent="0.35">
      <c r="A964">
        <v>963</v>
      </c>
      <c r="B964">
        <v>29</v>
      </c>
      <c r="C964" t="s">
        <v>16</v>
      </c>
      <c r="D964" t="s">
        <v>80</v>
      </c>
      <c r="E964" t="s">
        <v>60</v>
      </c>
      <c r="F964">
        <v>64</v>
      </c>
      <c r="G964" t="s">
        <v>142</v>
      </c>
      <c r="H964" t="s">
        <v>20</v>
      </c>
      <c r="I964" t="s">
        <v>87</v>
      </c>
      <c r="J964" t="s">
        <v>33</v>
      </c>
      <c r="K964">
        <v>4.4000000000000004</v>
      </c>
      <c r="L964" t="s">
        <v>23</v>
      </c>
      <c r="M964" t="s">
        <v>23</v>
      </c>
      <c r="N964">
        <v>26</v>
      </c>
      <c r="O964" t="s">
        <v>77</v>
      </c>
      <c r="P964" t="s">
        <v>25</v>
      </c>
    </row>
    <row r="965" spans="1:16" ht="14.5" x14ac:dyDescent="0.35">
      <c r="A965">
        <v>964</v>
      </c>
      <c r="B965">
        <v>21</v>
      </c>
      <c r="C965" t="s">
        <v>16</v>
      </c>
      <c r="D965" t="s">
        <v>128</v>
      </c>
      <c r="E965" t="s">
        <v>37</v>
      </c>
      <c r="F965">
        <v>63</v>
      </c>
      <c r="G965" t="s">
        <v>122</v>
      </c>
      <c r="H965" t="s">
        <v>20</v>
      </c>
      <c r="I965" t="s">
        <v>87</v>
      </c>
      <c r="J965" t="s">
        <v>33</v>
      </c>
      <c r="K965">
        <v>2.5</v>
      </c>
      <c r="L965" t="s">
        <v>23</v>
      </c>
      <c r="M965" t="s">
        <v>23</v>
      </c>
      <c r="N965">
        <v>14</v>
      </c>
      <c r="O965" t="s">
        <v>34</v>
      </c>
      <c r="P965" t="s">
        <v>35</v>
      </c>
    </row>
    <row r="966" spans="1:16" ht="14.5" x14ac:dyDescent="0.35">
      <c r="A966">
        <v>965</v>
      </c>
      <c r="B966">
        <v>42</v>
      </c>
      <c r="C966" t="s">
        <v>16</v>
      </c>
      <c r="D966" t="s">
        <v>36</v>
      </c>
      <c r="E966" t="s">
        <v>37</v>
      </c>
      <c r="F966">
        <v>51</v>
      </c>
      <c r="G966" t="s">
        <v>108</v>
      </c>
      <c r="H966" t="s">
        <v>39</v>
      </c>
      <c r="I966" t="s">
        <v>109</v>
      </c>
      <c r="J966" t="s">
        <v>33</v>
      </c>
      <c r="K966">
        <v>2.6</v>
      </c>
      <c r="L966" t="s">
        <v>23</v>
      </c>
      <c r="M966" t="s">
        <v>23</v>
      </c>
      <c r="N966">
        <v>12</v>
      </c>
      <c r="O966" t="s">
        <v>24</v>
      </c>
      <c r="P966" t="s">
        <v>67</v>
      </c>
    </row>
    <row r="967" spans="1:16" ht="14.5" x14ac:dyDescent="0.35">
      <c r="A967">
        <v>966</v>
      </c>
      <c r="B967">
        <v>43</v>
      </c>
      <c r="C967" t="s">
        <v>16</v>
      </c>
      <c r="D967" t="s">
        <v>128</v>
      </c>
      <c r="E967" t="s">
        <v>37</v>
      </c>
      <c r="F967">
        <v>55</v>
      </c>
      <c r="G967" t="s">
        <v>70</v>
      </c>
      <c r="H967" t="s">
        <v>20</v>
      </c>
      <c r="I967" t="s">
        <v>85</v>
      </c>
      <c r="J967" t="s">
        <v>33</v>
      </c>
      <c r="K967">
        <v>5</v>
      </c>
      <c r="L967" t="s">
        <v>23</v>
      </c>
      <c r="M967" t="s">
        <v>23</v>
      </c>
      <c r="N967">
        <v>10</v>
      </c>
      <c r="O967" t="s">
        <v>34</v>
      </c>
      <c r="P967" t="s">
        <v>43</v>
      </c>
    </row>
    <row r="968" spans="1:16" ht="14.5" x14ac:dyDescent="0.35">
      <c r="A968">
        <v>967</v>
      </c>
      <c r="B968">
        <v>58</v>
      </c>
      <c r="C968" t="s">
        <v>16</v>
      </c>
      <c r="D968" t="s">
        <v>72</v>
      </c>
      <c r="E968" t="s">
        <v>18</v>
      </c>
      <c r="F968">
        <v>55</v>
      </c>
      <c r="G968" t="s">
        <v>19</v>
      </c>
      <c r="H968" t="s">
        <v>39</v>
      </c>
      <c r="I968" t="s">
        <v>101</v>
      </c>
      <c r="J968" t="s">
        <v>33</v>
      </c>
      <c r="K968">
        <v>4.9000000000000004</v>
      </c>
      <c r="L968" t="s">
        <v>23</v>
      </c>
      <c r="M968" t="s">
        <v>23</v>
      </c>
      <c r="N968">
        <v>19</v>
      </c>
      <c r="O968" t="s">
        <v>29</v>
      </c>
      <c r="P968" t="s">
        <v>43</v>
      </c>
    </row>
    <row r="969" spans="1:16" ht="14.5" x14ac:dyDescent="0.35">
      <c r="A969">
        <v>968</v>
      </c>
      <c r="B969">
        <v>27</v>
      </c>
      <c r="C969" t="s">
        <v>16</v>
      </c>
      <c r="D969" t="s">
        <v>95</v>
      </c>
      <c r="E969" t="s">
        <v>18</v>
      </c>
      <c r="F969">
        <v>26</v>
      </c>
      <c r="G969" t="s">
        <v>133</v>
      </c>
      <c r="H969" t="s">
        <v>32</v>
      </c>
      <c r="I969" t="s">
        <v>58</v>
      </c>
      <c r="J969" t="s">
        <v>47</v>
      </c>
      <c r="K969">
        <v>3.7</v>
      </c>
      <c r="L969" t="s">
        <v>23</v>
      </c>
      <c r="M969" t="s">
        <v>23</v>
      </c>
      <c r="N969">
        <v>4</v>
      </c>
      <c r="O969" t="s">
        <v>29</v>
      </c>
      <c r="P969" t="s">
        <v>35</v>
      </c>
    </row>
    <row r="970" spans="1:16" ht="14.5" x14ac:dyDescent="0.35">
      <c r="A970">
        <v>969</v>
      </c>
      <c r="B970">
        <v>57</v>
      </c>
      <c r="C970" t="s">
        <v>16</v>
      </c>
      <c r="D970" t="s">
        <v>52</v>
      </c>
      <c r="E970" t="s">
        <v>18</v>
      </c>
      <c r="F970">
        <v>67</v>
      </c>
      <c r="G970" t="s">
        <v>89</v>
      </c>
      <c r="H970" t="s">
        <v>20</v>
      </c>
      <c r="I970" t="s">
        <v>21</v>
      </c>
      <c r="J970" t="s">
        <v>47</v>
      </c>
      <c r="K970">
        <v>3.1</v>
      </c>
      <c r="L970" t="s">
        <v>23</v>
      </c>
      <c r="M970" t="s">
        <v>23</v>
      </c>
      <c r="N970">
        <v>48</v>
      </c>
      <c r="O970" t="s">
        <v>66</v>
      </c>
      <c r="P970" t="s">
        <v>51</v>
      </c>
    </row>
    <row r="971" spans="1:16" ht="14.5" x14ac:dyDescent="0.35">
      <c r="A971">
        <v>970</v>
      </c>
      <c r="B971">
        <v>40</v>
      </c>
      <c r="C971" t="s">
        <v>16</v>
      </c>
      <c r="D971" t="s">
        <v>55</v>
      </c>
      <c r="E971" t="s">
        <v>56</v>
      </c>
      <c r="F971">
        <v>31</v>
      </c>
      <c r="G971" t="s">
        <v>90</v>
      </c>
      <c r="H971" t="s">
        <v>32</v>
      </c>
      <c r="I971" t="s">
        <v>62</v>
      </c>
      <c r="J971" t="s">
        <v>50</v>
      </c>
      <c r="K971">
        <v>3.2</v>
      </c>
      <c r="L971" t="s">
        <v>23</v>
      </c>
      <c r="M971" t="s">
        <v>23</v>
      </c>
      <c r="N971">
        <v>37</v>
      </c>
      <c r="O971" t="s">
        <v>40</v>
      </c>
      <c r="P971" t="s">
        <v>79</v>
      </c>
    </row>
    <row r="972" spans="1:16" ht="14.5" x14ac:dyDescent="0.35">
      <c r="A972">
        <v>971</v>
      </c>
      <c r="B972">
        <v>45</v>
      </c>
      <c r="C972" t="s">
        <v>16</v>
      </c>
      <c r="D972" t="s">
        <v>30</v>
      </c>
      <c r="E972" t="s">
        <v>18</v>
      </c>
      <c r="F972">
        <v>66</v>
      </c>
      <c r="G972" t="s">
        <v>90</v>
      </c>
      <c r="H972" t="s">
        <v>32</v>
      </c>
      <c r="I972" t="s">
        <v>28</v>
      </c>
      <c r="J972" t="s">
        <v>22</v>
      </c>
      <c r="K972">
        <v>4.4000000000000004</v>
      </c>
      <c r="L972" t="s">
        <v>23</v>
      </c>
      <c r="M972" t="s">
        <v>23</v>
      </c>
      <c r="N972">
        <v>4</v>
      </c>
      <c r="O972" t="s">
        <v>29</v>
      </c>
      <c r="P972" t="s">
        <v>79</v>
      </c>
    </row>
    <row r="973" spans="1:16" ht="14.5" x14ac:dyDescent="0.35">
      <c r="A973">
        <v>972</v>
      </c>
      <c r="B973">
        <v>47</v>
      </c>
      <c r="C973" t="s">
        <v>16</v>
      </c>
      <c r="D973" t="s">
        <v>80</v>
      </c>
      <c r="E973" t="s">
        <v>60</v>
      </c>
      <c r="F973">
        <v>67</v>
      </c>
      <c r="G973" t="s">
        <v>107</v>
      </c>
      <c r="H973" t="s">
        <v>39</v>
      </c>
      <c r="I973" t="s">
        <v>100</v>
      </c>
      <c r="J973" t="s">
        <v>47</v>
      </c>
      <c r="K973">
        <v>4.3</v>
      </c>
      <c r="L973" t="s">
        <v>23</v>
      </c>
      <c r="M973" t="s">
        <v>23</v>
      </c>
      <c r="N973">
        <v>15</v>
      </c>
      <c r="O973" t="s">
        <v>34</v>
      </c>
      <c r="P973" t="s">
        <v>35</v>
      </c>
    </row>
    <row r="974" spans="1:16" ht="14.5" x14ac:dyDescent="0.35">
      <c r="A974">
        <v>973</v>
      </c>
      <c r="B974">
        <v>61</v>
      </c>
      <c r="C974" t="s">
        <v>16</v>
      </c>
      <c r="D974" t="s">
        <v>44</v>
      </c>
      <c r="E974" t="s">
        <v>37</v>
      </c>
      <c r="F974">
        <v>61</v>
      </c>
      <c r="G974" t="s">
        <v>103</v>
      </c>
      <c r="H974" t="s">
        <v>20</v>
      </c>
      <c r="I974" t="s">
        <v>71</v>
      </c>
      <c r="J974" t="s">
        <v>22</v>
      </c>
      <c r="K974">
        <v>3</v>
      </c>
      <c r="L974" t="s">
        <v>23</v>
      </c>
      <c r="M974" t="s">
        <v>23</v>
      </c>
      <c r="N974">
        <v>33</v>
      </c>
      <c r="O974" t="s">
        <v>34</v>
      </c>
      <c r="P974" t="s">
        <v>35</v>
      </c>
    </row>
    <row r="975" spans="1:16" ht="14.5" x14ac:dyDescent="0.35">
      <c r="A975">
        <v>974</v>
      </c>
      <c r="B975">
        <v>60</v>
      </c>
      <c r="C975" t="s">
        <v>16</v>
      </c>
      <c r="D975" t="s">
        <v>93</v>
      </c>
      <c r="E975" t="s">
        <v>56</v>
      </c>
      <c r="F975">
        <v>75</v>
      </c>
      <c r="G975" t="s">
        <v>103</v>
      </c>
      <c r="H975" t="s">
        <v>39</v>
      </c>
      <c r="I975" t="s">
        <v>76</v>
      </c>
      <c r="J975" t="s">
        <v>50</v>
      </c>
      <c r="K975">
        <v>3.5</v>
      </c>
      <c r="L975" t="s">
        <v>23</v>
      </c>
      <c r="M975" t="s">
        <v>23</v>
      </c>
      <c r="N975">
        <v>30</v>
      </c>
      <c r="O975" t="s">
        <v>66</v>
      </c>
      <c r="P975" t="s">
        <v>51</v>
      </c>
    </row>
    <row r="976" spans="1:16" ht="14.5" x14ac:dyDescent="0.35">
      <c r="A976">
        <v>975</v>
      </c>
      <c r="B976">
        <v>69</v>
      </c>
      <c r="C976" t="s">
        <v>16</v>
      </c>
      <c r="D976" t="s">
        <v>78</v>
      </c>
      <c r="E976" t="s">
        <v>18</v>
      </c>
      <c r="F976">
        <v>90</v>
      </c>
      <c r="G976" t="s">
        <v>89</v>
      </c>
      <c r="H976" t="s">
        <v>39</v>
      </c>
      <c r="I976" t="s">
        <v>109</v>
      </c>
      <c r="J976" t="s">
        <v>33</v>
      </c>
      <c r="K976">
        <v>3.6</v>
      </c>
      <c r="L976" t="s">
        <v>23</v>
      </c>
      <c r="M976" t="s">
        <v>23</v>
      </c>
      <c r="N976">
        <v>23</v>
      </c>
      <c r="O976" t="s">
        <v>66</v>
      </c>
      <c r="P976" t="s">
        <v>79</v>
      </c>
    </row>
    <row r="977" spans="1:16" ht="14.5" x14ac:dyDescent="0.35">
      <c r="A977">
        <v>976</v>
      </c>
      <c r="B977">
        <v>58</v>
      </c>
      <c r="C977" t="s">
        <v>16</v>
      </c>
      <c r="D977" t="s">
        <v>26</v>
      </c>
      <c r="E977" t="s">
        <v>18</v>
      </c>
      <c r="F977">
        <v>40</v>
      </c>
      <c r="G977" t="s">
        <v>140</v>
      </c>
      <c r="H977" t="s">
        <v>39</v>
      </c>
      <c r="I977" t="s">
        <v>69</v>
      </c>
      <c r="J977" t="s">
        <v>47</v>
      </c>
      <c r="K977">
        <v>3.8</v>
      </c>
      <c r="L977" t="s">
        <v>23</v>
      </c>
      <c r="M977" t="s">
        <v>23</v>
      </c>
      <c r="N977">
        <v>2</v>
      </c>
      <c r="O977" t="s">
        <v>66</v>
      </c>
      <c r="P977" t="s">
        <v>35</v>
      </c>
    </row>
    <row r="978" spans="1:16" ht="14.5" x14ac:dyDescent="0.35">
      <c r="A978">
        <v>977</v>
      </c>
      <c r="B978">
        <v>34</v>
      </c>
      <c r="C978" t="s">
        <v>16</v>
      </c>
      <c r="D978" t="s">
        <v>104</v>
      </c>
      <c r="E978" t="s">
        <v>18</v>
      </c>
      <c r="F978">
        <v>90</v>
      </c>
      <c r="G978" t="s">
        <v>94</v>
      </c>
      <c r="H978" t="s">
        <v>39</v>
      </c>
      <c r="I978" t="s">
        <v>21</v>
      </c>
      <c r="J978" t="s">
        <v>50</v>
      </c>
      <c r="K978">
        <v>3.6</v>
      </c>
      <c r="L978" t="s">
        <v>23</v>
      </c>
      <c r="M978" t="s">
        <v>23</v>
      </c>
      <c r="N978">
        <v>50</v>
      </c>
      <c r="O978" t="s">
        <v>34</v>
      </c>
      <c r="P978" t="s">
        <v>88</v>
      </c>
    </row>
    <row r="979" spans="1:16" ht="14.5" x14ac:dyDescent="0.35">
      <c r="A979">
        <v>978</v>
      </c>
      <c r="B979">
        <v>20</v>
      </c>
      <c r="C979" t="s">
        <v>16</v>
      </c>
      <c r="D979" t="s">
        <v>124</v>
      </c>
      <c r="E979" t="s">
        <v>60</v>
      </c>
      <c r="F979">
        <v>20</v>
      </c>
      <c r="G979" t="s">
        <v>140</v>
      </c>
      <c r="H979" t="s">
        <v>39</v>
      </c>
      <c r="I979" t="s">
        <v>85</v>
      </c>
      <c r="J979" t="s">
        <v>33</v>
      </c>
      <c r="K979">
        <v>4.5999999999999996</v>
      </c>
      <c r="L979" t="s">
        <v>23</v>
      </c>
      <c r="M979" t="s">
        <v>23</v>
      </c>
      <c r="N979">
        <v>34</v>
      </c>
      <c r="O979" t="s">
        <v>29</v>
      </c>
      <c r="P979" t="s">
        <v>67</v>
      </c>
    </row>
    <row r="980" spans="1:16" ht="14.5" x14ac:dyDescent="0.35">
      <c r="A980">
        <v>979</v>
      </c>
      <c r="B980">
        <v>56</v>
      </c>
      <c r="C980" t="s">
        <v>16</v>
      </c>
      <c r="D980" t="s">
        <v>134</v>
      </c>
      <c r="E980" t="s">
        <v>60</v>
      </c>
      <c r="F980">
        <v>40</v>
      </c>
      <c r="G980" t="s">
        <v>103</v>
      </c>
      <c r="H980" t="s">
        <v>39</v>
      </c>
      <c r="I980" t="s">
        <v>42</v>
      </c>
      <c r="J980" t="s">
        <v>47</v>
      </c>
      <c r="K980">
        <v>2.5</v>
      </c>
      <c r="L980" t="s">
        <v>23</v>
      </c>
      <c r="M980" t="s">
        <v>23</v>
      </c>
      <c r="N980">
        <v>33</v>
      </c>
      <c r="O980" t="s">
        <v>34</v>
      </c>
      <c r="P980" t="s">
        <v>35</v>
      </c>
    </row>
    <row r="981" spans="1:16" ht="14.5" x14ac:dyDescent="0.35">
      <c r="A981">
        <v>980</v>
      </c>
      <c r="B981">
        <v>64</v>
      </c>
      <c r="C981" t="s">
        <v>16</v>
      </c>
      <c r="D981" t="s">
        <v>115</v>
      </c>
      <c r="E981" t="s">
        <v>60</v>
      </c>
      <c r="F981">
        <v>33</v>
      </c>
      <c r="G981" t="s">
        <v>73</v>
      </c>
      <c r="H981" t="s">
        <v>32</v>
      </c>
      <c r="I981" t="s">
        <v>101</v>
      </c>
      <c r="J981" t="s">
        <v>50</v>
      </c>
      <c r="K981">
        <v>3.5</v>
      </c>
      <c r="L981" t="s">
        <v>23</v>
      </c>
      <c r="M981" t="s">
        <v>23</v>
      </c>
      <c r="N981">
        <v>34</v>
      </c>
      <c r="O981" t="s">
        <v>77</v>
      </c>
      <c r="P981" t="s">
        <v>79</v>
      </c>
    </row>
    <row r="982" spans="1:16" ht="14.5" x14ac:dyDescent="0.35">
      <c r="A982">
        <v>981</v>
      </c>
      <c r="B982">
        <v>56</v>
      </c>
      <c r="C982" t="s">
        <v>16</v>
      </c>
      <c r="D982" t="s">
        <v>128</v>
      </c>
      <c r="E982" t="s">
        <v>37</v>
      </c>
      <c r="F982">
        <v>98</v>
      </c>
      <c r="G982" t="s">
        <v>119</v>
      </c>
      <c r="H982" t="s">
        <v>32</v>
      </c>
      <c r="I982" t="s">
        <v>127</v>
      </c>
      <c r="J982" t="s">
        <v>33</v>
      </c>
      <c r="K982">
        <v>4</v>
      </c>
      <c r="L982" t="s">
        <v>23</v>
      </c>
      <c r="M982" t="s">
        <v>23</v>
      </c>
      <c r="N982">
        <v>39</v>
      </c>
      <c r="O982" t="s">
        <v>40</v>
      </c>
      <c r="P982" t="s">
        <v>88</v>
      </c>
    </row>
    <row r="983" spans="1:16" ht="14.5" x14ac:dyDescent="0.35">
      <c r="A983">
        <v>982</v>
      </c>
      <c r="B983">
        <v>27</v>
      </c>
      <c r="C983" t="s">
        <v>16</v>
      </c>
      <c r="D983" t="s">
        <v>124</v>
      </c>
      <c r="E983" t="s">
        <v>60</v>
      </c>
      <c r="F983">
        <v>42</v>
      </c>
      <c r="G983" t="s">
        <v>119</v>
      </c>
      <c r="H983" t="s">
        <v>39</v>
      </c>
      <c r="I983" t="s">
        <v>58</v>
      </c>
      <c r="J983" t="s">
        <v>33</v>
      </c>
      <c r="K983">
        <v>3.5</v>
      </c>
      <c r="L983" t="s">
        <v>23</v>
      </c>
      <c r="M983" t="s">
        <v>23</v>
      </c>
      <c r="N983">
        <v>47</v>
      </c>
      <c r="O983" t="s">
        <v>34</v>
      </c>
      <c r="P983" t="s">
        <v>51</v>
      </c>
    </row>
    <row r="984" spans="1:16" ht="14.5" x14ac:dyDescent="0.35">
      <c r="A984">
        <v>983</v>
      </c>
      <c r="B984">
        <v>35</v>
      </c>
      <c r="C984" t="s">
        <v>16</v>
      </c>
      <c r="D984" t="s">
        <v>55</v>
      </c>
      <c r="E984" t="s">
        <v>56</v>
      </c>
      <c r="F984">
        <v>62</v>
      </c>
      <c r="G984" t="s">
        <v>96</v>
      </c>
      <c r="H984" t="s">
        <v>32</v>
      </c>
      <c r="I984" t="s">
        <v>99</v>
      </c>
      <c r="J984" t="s">
        <v>47</v>
      </c>
      <c r="K984">
        <v>3.2</v>
      </c>
      <c r="L984" t="s">
        <v>23</v>
      </c>
      <c r="M984" t="s">
        <v>23</v>
      </c>
      <c r="N984">
        <v>37</v>
      </c>
      <c r="O984" t="s">
        <v>40</v>
      </c>
      <c r="P984" t="s">
        <v>79</v>
      </c>
    </row>
    <row r="985" spans="1:16" ht="14.5" x14ac:dyDescent="0.35">
      <c r="A985">
        <v>984</v>
      </c>
      <c r="B985">
        <v>24</v>
      </c>
      <c r="C985" t="s">
        <v>16</v>
      </c>
      <c r="D985" t="s">
        <v>115</v>
      </c>
      <c r="E985" t="s">
        <v>60</v>
      </c>
      <c r="F985">
        <v>45</v>
      </c>
      <c r="G985" t="s">
        <v>121</v>
      </c>
      <c r="H985" t="s">
        <v>20</v>
      </c>
      <c r="I985" t="s">
        <v>117</v>
      </c>
      <c r="J985" t="s">
        <v>22</v>
      </c>
      <c r="K985">
        <v>3.5</v>
      </c>
      <c r="L985" t="s">
        <v>23</v>
      </c>
      <c r="M985" t="s">
        <v>23</v>
      </c>
      <c r="N985">
        <v>40</v>
      </c>
      <c r="O985" t="s">
        <v>24</v>
      </c>
      <c r="P985" t="s">
        <v>67</v>
      </c>
    </row>
    <row r="986" spans="1:16" ht="14.5" x14ac:dyDescent="0.35">
      <c r="A986">
        <v>985</v>
      </c>
      <c r="B986">
        <v>26</v>
      </c>
      <c r="C986" t="s">
        <v>16</v>
      </c>
      <c r="D986" t="s">
        <v>63</v>
      </c>
      <c r="E986" t="s">
        <v>37</v>
      </c>
      <c r="F986">
        <v>78</v>
      </c>
      <c r="G986" t="s">
        <v>131</v>
      </c>
      <c r="H986" t="s">
        <v>39</v>
      </c>
      <c r="I986" t="s">
        <v>87</v>
      </c>
      <c r="J986" t="s">
        <v>47</v>
      </c>
      <c r="K986">
        <v>3.4</v>
      </c>
      <c r="L986" t="s">
        <v>23</v>
      </c>
      <c r="M986" t="s">
        <v>23</v>
      </c>
      <c r="N986">
        <v>8</v>
      </c>
      <c r="O986" t="s">
        <v>34</v>
      </c>
      <c r="P986" t="s">
        <v>67</v>
      </c>
    </row>
    <row r="987" spans="1:16" ht="14.5" x14ac:dyDescent="0.35">
      <c r="A987">
        <v>986</v>
      </c>
      <c r="B987">
        <v>32</v>
      </c>
      <c r="C987" t="s">
        <v>16</v>
      </c>
      <c r="D987" t="s">
        <v>59</v>
      </c>
      <c r="E987" t="s">
        <v>60</v>
      </c>
      <c r="F987">
        <v>80</v>
      </c>
      <c r="G987" t="s">
        <v>57</v>
      </c>
      <c r="H987" t="s">
        <v>39</v>
      </c>
      <c r="I987" t="s">
        <v>21</v>
      </c>
      <c r="J987" t="s">
        <v>50</v>
      </c>
      <c r="K987">
        <v>5</v>
      </c>
      <c r="L987" t="s">
        <v>23</v>
      </c>
      <c r="M987" t="s">
        <v>23</v>
      </c>
      <c r="N987">
        <v>12</v>
      </c>
      <c r="O987" t="s">
        <v>66</v>
      </c>
      <c r="P987" t="s">
        <v>43</v>
      </c>
    </row>
    <row r="988" spans="1:16" ht="14.5" x14ac:dyDescent="0.35">
      <c r="A988">
        <v>987</v>
      </c>
      <c r="B988">
        <v>54</v>
      </c>
      <c r="C988" t="s">
        <v>16</v>
      </c>
      <c r="D988" t="s">
        <v>110</v>
      </c>
      <c r="E988" t="s">
        <v>60</v>
      </c>
      <c r="F988">
        <v>96</v>
      </c>
      <c r="G988" t="s">
        <v>130</v>
      </c>
      <c r="H988" t="s">
        <v>32</v>
      </c>
      <c r="I988" t="s">
        <v>91</v>
      </c>
      <c r="J988" t="s">
        <v>33</v>
      </c>
      <c r="K988">
        <v>4.5</v>
      </c>
      <c r="L988" t="s">
        <v>23</v>
      </c>
      <c r="M988" t="s">
        <v>23</v>
      </c>
      <c r="N988">
        <v>36</v>
      </c>
      <c r="O988" t="s">
        <v>66</v>
      </c>
      <c r="P988" t="s">
        <v>79</v>
      </c>
    </row>
    <row r="989" spans="1:16" ht="14.5" x14ac:dyDescent="0.35">
      <c r="A989">
        <v>988</v>
      </c>
      <c r="B989">
        <v>62</v>
      </c>
      <c r="C989" t="s">
        <v>16</v>
      </c>
      <c r="D989" t="s">
        <v>59</v>
      </c>
      <c r="E989" t="s">
        <v>60</v>
      </c>
      <c r="F989">
        <v>47</v>
      </c>
      <c r="G989" t="s">
        <v>57</v>
      </c>
      <c r="H989" t="s">
        <v>39</v>
      </c>
      <c r="I989" t="s">
        <v>54</v>
      </c>
      <c r="J989" t="s">
        <v>47</v>
      </c>
      <c r="K989">
        <v>2.8</v>
      </c>
      <c r="L989" t="s">
        <v>23</v>
      </c>
      <c r="M989" t="s">
        <v>23</v>
      </c>
      <c r="N989">
        <v>48</v>
      </c>
      <c r="O989" t="s">
        <v>40</v>
      </c>
      <c r="P989" t="s">
        <v>35</v>
      </c>
    </row>
    <row r="990" spans="1:16" ht="14.5" x14ac:dyDescent="0.35">
      <c r="A990">
        <v>989</v>
      </c>
      <c r="B990">
        <v>50</v>
      </c>
      <c r="C990" t="s">
        <v>16</v>
      </c>
      <c r="D990" t="s">
        <v>86</v>
      </c>
      <c r="E990" t="s">
        <v>18</v>
      </c>
      <c r="F990">
        <v>84</v>
      </c>
      <c r="G990" t="s">
        <v>114</v>
      </c>
      <c r="H990" t="s">
        <v>39</v>
      </c>
      <c r="I990" t="s">
        <v>112</v>
      </c>
      <c r="J990" t="s">
        <v>22</v>
      </c>
      <c r="K990">
        <v>4.9000000000000004</v>
      </c>
      <c r="L990" t="s">
        <v>23</v>
      </c>
      <c r="M990" t="s">
        <v>23</v>
      </c>
      <c r="N990">
        <v>47</v>
      </c>
      <c r="O990" t="s">
        <v>40</v>
      </c>
      <c r="P990" t="s">
        <v>25</v>
      </c>
    </row>
    <row r="991" spans="1:16" ht="14.5" x14ac:dyDescent="0.35">
      <c r="A991">
        <v>990</v>
      </c>
      <c r="B991">
        <v>70</v>
      </c>
      <c r="C991" t="s">
        <v>16</v>
      </c>
      <c r="D991" t="s">
        <v>63</v>
      </c>
      <c r="E991" t="s">
        <v>37</v>
      </c>
      <c r="F991">
        <v>31</v>
      </c>
      <c r="G991" t="s">
        <v>96</v>
      </c>
      <c r="H991" t="s">
        <v>39</v>
      </c>
      <c r="I991" t="s">
        <v>109</v>
      </c>
      <c r="J991" t="s">
        <v>33</v>
      </c>
      <c r="K991">
        <v>3.1</v>
      </c>
      <c r="L991" t="s">
        <v>23</v>
      </c>
      <c r="M991" t="s">
        <v>23</v>
      </c>
      <c r="N991">
        <v>2</v>
      </c>
      <c r="O991" t="s">
        <v>66</v>
      </c>
      <c r="P991" t="s">
        <v>79</v>
      </c>
    </row>
    <row r="992" spans="1:16" ht="14.5" x14ac:dyDescent="0.35">
      <c r="A992">
        <v>991</v>
      </c>
      <c r="B992">
        <v>48</v>
      </c>
      <c r="C992" t="s">
        <v>16</v>
      </c>
      <c r="D992" t="s">
        <v>80</v>
      </c>
      <c r="E992" t="s">
        <v>60</v>
      </c>
      <c r="F992">
        <v>63</v>
      </c>
      <c r="G992" t="s">
        <v>140</v>
      </c>
      <c r="H992" t="s">
        <v>32</v>
      </c>
      <c r="I992" t="s">
        <v>125</v>
      </c>
      <c r="J992" t="s">
        <v>33</v>
      </c>
      <c r="K992">
        <v>4.8</v>
      </c>
      <c r="L992" t="s">
        <v>23</v>
      </c>
      <c r="M992" t="s">
        <v>23</v>
      </c>
      <c r="N992">
        <v>24</v>
      </c>
      <c r="O992" t="s">
        <v>29</v>
      </c>
      <c r="P992" t="s">
        <v>35</v>
      </c>
    </row>
    <row r="993" spans="1:16" ht="14.5" x14ac:dyDescent="0.35">
      <c r="A993">
        <v>992</v>
      </c>
      <c r="B993">
        <v>20</v>
      </c>
      <c r="C993" t="s">
        <v>16</v>
      </c>
      <c r="D993" t="s">
        <v>52</v>
      </c>
      <c r="E993" t="s">
        <v>18</v>
      </c>
      <c r="F993">
        <v>97</v>
      </c>
      <c r="G993" t="s">
        <v>141</v>
      </c>
      <c r="H993" t="s">
        <v>83</v>
      </c>
      <c r="I993" t="s">
        <v>46</v>
      </c>
      <c r="J993" t="s">
        <v>33</v>
      </c>
      <c r="K993">
        <v>2.7</v>
      </c>
      <c r="L993" t="s">
        <v>23</v>
      </c>
      <c r="M993" t="s">
        <v>23</v>
      </c>
      <c r="N993">
        <v>40</v>
      </c>
      <c r="O993" t="s">
        <v>66</v>
      </c>
      <c r="P993" t="s">
        <v>67</v>
      </c>
    </row>
    <row r="994" spans="1:16" ht="14.5" x14ac:dyDescent="0.35">
      <c r="A994">
        <v>993</v>
      </c>
      <c r="B994">
        <v>46</v>
      </c>
      <c r="C994" t="s">
        <v>16</v>
      </c>
      <c r="D994" t="s">
        <v>93</v>
      </c>
      <c r="E994" t="s">
        <v>56</v>
      </c>
      <c r="F994">
        <v>99</v>
      </c>
      <c r="G994" t="s">
        <v>53</v>
      </c>
      <c r="H994" t="s">
        <v>39</v>
      </c>
      <c r="I994" t="s">
        <v>21</v>
      </c>
      <c r="J994" t="s">
        <v>22</v>
      </c>
      <c r="K994">
        <v>4.5999999999999996</v>
      </c>
      <c r="L994" t="s">
        <v>23</v>
      </c>
      <c r="M994" t="s">
        <v>23</v>
      </c>
      <c r="N994">
        <v>50</v>
      </c>
      <c r="O994" t="s">
        <v>77</v>
      </c>
      <c r="P994" t="s">
        <v>35</v>
      </c>
    </row>
    <row r="995" spans="1:16" ht="14.5" x14ac:dyDescent="0.35">
      <c r="A995">
        <v>994</v>
      </c>
      <c r="B995">
        <v>51</v>
      </c>
      <c r="C995" t="s">
        <v>16</v>
      </c>
      <c r="D995" t="s">
        <v>36</v>
      </c>
      <c r="E995" t="s">
        <v>37</v>
      </c>
      <c r="F995">
        <v>90</v>
      </c>
      <c r="G995" t="s">
        <v>137</v>
      </c>
      <c r="H995" t="s">
        <v>39</v>
      </c>
      <c r="I995" t="s">
        <v>91</v>
      </c>
      <c r="J995" t="s">
        <v>22</v>
      </c>
      <c r="K995">
        <v>4.4000000000000004</v>
      </c>
      <c r="L995" t="s">
        <v>23</v>
      </c>
      <c r="M995" t="s">
        <v>23</v>
      </c>
      <c r="N995">
        <v>25</v>
      </c>
      <c r="O995" t="s">
        <v>29</v>
      </c>
      <c r="P995" t="s">
        <v>35</v>
      </c>
    </row>
    <row r="996" spans="1:16" ht="14.5" x14ac:dyDescent="0.35">
      <c r="A996">
        <v>995</v>
      </c>
      <c r="B996">
        <v>53</v>
      </c>
      <c r="C996" t="s">
        <v>16</v>
      </c>
      <c r="D996" t="s">
        <v>63</v>
      </c>
      <c r="E996" t="s">
        <v>37</v>
      </c>
      <c r="F996">
        <v>68</v>
      </c>
      <c r="G996" t="s">
        <v>75</v>
      </c>
      <c r="H996" t="s">
        <v>20</v>
      </c>
      <c r="I996" t="s">
        <v>74</v>
      </c>
      <c r="J996" t="s">
        <v>50</v>
      </c>
      <c r="K996">
        <v>3.2</v>
      </c>
      <c r="L996" t="s">
        <v>23</v>
      </c>
      <c r="M996" t="s">
        <v>23</v>
      </c>
      <c r="N996">
        <v>20</v>
      </c>
      <c r="O996" t="s">
        <v>77</v>
      </c>
      <c r="P996" t="s">
        <v>79</v>
      </c>
    </row>
    <row r="997" spans="1:16" ht="14.5" x14ac:dyDescent="0.35">
      <c r="A997">
        <v>996</v>
      </c>
      <c r="B997">
        <v>44</v>
      </c>
      <c r="C997" t="s">
        <v>16</v>
      </c>
      <c r="D997" t="s">
        <v>97</v>
      </c>
      <c r="E997" t="s">
        <v>60</v>
      </c>
      <c r="F997">
        <v>80</v>
      </c>
      <c r="G997" t="s">
        <v>126</v>
      </c>
      <c r="H997" t="s">
        <v>39</v>
      </c>
      <c r="I997" t="s">
        <v>127</v>
      </c>
      <c r="J997" t="s">
        <v>33</v>
      </c>
      <c r="K997">
        <v>3</v>
      </c>
      <c r="L997" t="s">
        <v>23</v>
      </c>
      <c r="M997" t="s">
        <v>23</v>
      </c>
      <c r="N997">
        <v>10</v>
      </c>
      <c r="O997" t="s">
        <v>24</v>
      </c>
      <c r="P997" t="s">
        <v>35</v>
      </c>
    </row>
    <row r="998" spans="1:16" ht="14.5" x14ac:dyDescent="0.35">
      <c r="A998">
        <v>997</v>
      </c>
      <c r="B998">
        <v>29</v>
      </c>
      <c r="C998" t="s">
        <v>16</v>
      </c>
      <c r="D998" t="s">
        <v>36</v>
      </c>
      <c r="E998" t="s">
        <v>37</v>
      </c>
      <c r="F998">
        <v>91</v>
      </c>
      <c r="G998" t="s">
        <v>70</v>
      </c>
      <c r="H998" t="s">
        <v>20</v>
      </c>
      <c r="I998" t="s">
        <v>28</v>
      </c>
      <c r="J998" t="s">
        <v>47</v>
      </c>
      <c r="K998">
        <v>4.9000000000000004</v>
      </c>
      <c r="L998" t="s">
        <v>23</v>
      </c>
      <c r="M998" t="s">
        <v>23</v>
      </c>
      <c r="N998">
        <v>32</v>
      </c>
      <c r="O998" t="s">
        <v>66</v>
      </c>
      <c r="P998" t="s">
        <v>51</v>
      </c>
    </row>
    <row r="999" spans="1:16" ht="14.5" x14ac:dyDescent="0.35">
      <c r="A999">
        <v>998</v>
      </c>
      <c r="B999">
        <v>64</v>
      </c>
      <c r="C999" t="s">
        <v>16</v>
      </c>
      <c r="D999" t="s">
        <v>86</v>
      </c>
      <c r="E999" t="s">
        <v>18</v>
      </c>
      <c r="F999">
        <v>30</v>
      </c>
      <c r="G999" t="s">
        <v>19</v>
      </c>
      <c r="H999" t="s">
        <v>39</v>
      </c>
      <c r="I999" t="s">
        <v>100</v>
      </c>
      <c r="J999" t="s">
        <v>33</v>
      </c>
      <c r="K999">
        <v>3.6</v>
      </c>
      <c r="L999" t="s">
        <v>23</v>
      </c>
      <c r="M999" t="s">
        <v>23</v>
      </c>
      <c r="N999">
        <v>31</v>
      </c>
      <c r="O999" t="s">
        <v>29</v>
      </c>
      <c r="P999" t="s">
        <v>25</v>
      </c>
    </row>
    <row r="1000" spans="1:16" ht="14.5" x14ac:dyDescent="0.35">
      <c r="A1000">
        <v>999</v>
      </c>
      <c r="B1000">
        <v>51</v>
      </c>
      <c r="C1000" t="s">
        <v>16</v>
      </c>
      <c r="D1000" t="s">
        <v>63</v>
      </c>
      <c r="E1000" t="s">
        <v>37</v>
      </c>
      <c r="F1000">
        <v>90</v>
      </c>
      <c r="G1000" t="s">
        <v>130</v>
      </c>
      <c r="H1000" t="s">
        <v>39</v>
      </c>
      <c r="I1000" t="s">
        <v>46</v>
      </c>
      <c r="J1000" t="s">
        <v>33</v>
      </c>
      <c r="K1000">
        <v>3.8</v>
      </c>
      <c r="L1000" t="s">
        <v>23</v>
      </c>
      <c r="M1000" t="s">
        <v>23</v>
      </c>
      <c r="N1000">
        <v>48</v>
      </c>
      <c r="O1000" t="s">
        <v>66</v>
      </c>
      <c r="P1000" t="s">
        <v>67</v>
      </c>
    </row>
    <row r="1001" spans="1:16" ht="14.5" x14ac:dyDescent="0.35">
      <c r="A1001">
        <v>1000</v>
      </c>
      <c r="B1001">
        <v>50</v>
      </c>
      <c r="C1001" t="s">
        <v>16</v>
      </c>
      <c r="D1001" t="s">
        <v>116</v>
      </c>
      <c r="E1001" t="s">
        <v>18</v>
      </c>
      <c r="F1001">
        <v>28</v>
      </c>
      <c r="G1001" t="s">
        <v>121</v>
      </c>
      <c r="H1001" t="s">
        <v>20</v>
      </c>
      <c r="I1001" t="s">
        <v>101</v>
      </c>
      <c r="J1001" t="s">
        <v>33</v>
      </c>
      <c r="K1001">
        <v>2.9</v>
      </c>
      <c r="L1001" t="s">
        <v>23</v>
      </c>
      <c r="M1001" t="s">
        <v>23</v>
      </c>
      <c r="N1001">
        <v>23</v>
      </c>
      <c r="O1001" t="s">
        <v>77</v>
      </c>
      <c r="P1001" t="s">
        <v>79</v>
      </c>
    </row>
    <row r="1002" spans="1:16" ht="14.5" x14ac:dyDescent="0.35">
      <c r="A1002">
        <v>1001</v>
      </c>
      <c r="B1002">
        <v>43</v>
      </c>
      <c r="C1002" t="s">
        <v>16</v>
      </c>
      <c r="D1002" t="s">
        <v>116</v>
      </c>
      <c r="E1002" t="s">
        <v>18</v>
      </c>
      <c r="F1002">
        <v>46</v>
      </c>
      <c r="G1002" t="s">
        <v>133</v>
      </c>
      <c r="H1002" t="s">
        <v>39</v>
      </c>
      <c r="I1002" t="s">
        <v>99</v>
      </c>
      <c r="J1002" t="s">
        <v>22</v>
      </c>
      <c r="K1002">
        <v>3.9</v>
      </c>
      <c r="L1002" t="s">
        <v>23</v>
      </c>
      <c r="M1002" t="s">
        <v>23</v>
      </c>
      <c r="N1002">
        <v>1</v>
      </c>
      <c r="O1002" t="s">
        <v>66</v>
      </c>
      <c r="P1002" t="s">
        <v>67</v>
      </c>
    </row>
    <row r="1003" spans="1:16" ht="14.5" x14ac:dyDescent="0.35">
      <c r="A1003">
        <v>1002</v>
      </c>
      <c r="B1003">
        <v>61</v>
      </c>
      <c r="C1003" t="s">
        <v>16</v>
      </c>
      <c r="D1003" t="s">
        <v>72</v>
      </c>
      <c r="E1003" t="s">
        <v>18</v>
      </c>
      <c r="F1003">
        <v>60</v>
      </c>
      <c r="G1003" t="s">
        <v>140</v>
      </c>
      <c r="H1003" t="s">
        <v>39</v>
      </c>
      <c r="I1003" t="s">
        <v>112</v>
      </c>
      <c r="J1003" t="s">
        <v>50</v>
      </c>
      <c r="K1003">
        <v>3.6</v>
      </c>
      <c r="L1003" t="s">
        <v>23</v>
      </c>
      <c r="M1003" t="s">
        <v>23</v>
      </c>
      <c r="N1003">
        <v>4</v>
      </c>
      <c r="O1003" t="s">
        <v>77</v>
      </c>
      <c r="P1003" t="s">
        <v>25</v>
      </c>
    </row>
    <row r="1004" spans="1:16" ht="14.5" x14ac:dyDescent="0.35">
      <c r="A1004">
        <v>1003</v>
      </c>
      <c r="B1004">
        <v>55</v>
      </c>
      <c r="C1004" t="s">
        <v>16</v>
      </c>
      <c r="D1004" t="s">
        <v>63</v>
      </c>
      <c r="E1004" t="s">
        <v>37</v>
      </c>
      <c r="F1004">
        <v>59</v>
      </c>
      <c r="G1004" t="s">
        <v>105</v>
      </c>
      <c r="H1004" t="s">
        <v>39</v>
      </c>
      <c r="I1004" t="s">
        <v>46</v>
      </c>
      <c r="J1004" t="s">
        <v>33</v>
      </c>
      <c r="K1004">
        <v>3.5</v>
      </c>
      <c r="L1004" t="s">
        <v>23</v>
      </c>
      <c r="M1004" t="s">
        <v>23</v>
      </c>
      <c r="N1004">
        <v>3</v>
      </c>
      <c r="O1004" t="s">
        <v>66</v>
      </c>
      <c r="P1004" t="s">
        <v>67</v>
      </c>
    </row>
    <row r="1005" spans="1:16" ht="14.5" x14ac:dyDescent="0.35">
      <c r="A1005">
        <v>1004</v>
      </c>
      <c r="B1005">
        <v>56</v>
      </c>
      <c r="C1005" t="s">
        <v>16</v>
      </c>
      <c r="D1005" t="s">
        <v>115</v>
      </c>
      <c r="E1005" t="s">
        <v>60</v>
      </c>
      <c r="F1005">
        <v>68</v>
      </c>
      <c r="G1005" t="s">
        <v>114</v>
      </c>
      <c r="H1005" t="s">
        <v>39</v>
      </c>
      <c r="I1005" t="s">
        <v>87</v>
      </c>
      <c r="J1005" t="s">
        <v>50</v>
      </c>
      <c r="K1005">
        <v>4</v>
      </c>
      <c r="L1005" t="s">
        <v>23</v>
      </c>
      <c r="M1005" t="s">
        <v>23</v>
      </c>
      <c r="N1005">
        <v>3</v>
      </c>
      <c r="O1005" t="s">
        <v>29</v>
      </c>
      <c r="P1005" t="s">
        <v>67</v>
      </c>
    </row>
    <row r="1006" spans="1:16" ht="14.5" x14ac:dyDescent="0.35">
      <c r="A1006">
        <v>1005</v>
      </c>
      <c r="B1006">
        <v>33</v>
      </c>
      <c r="C1006" t="s">
        <v>16</v>
      </c>
      <c r="D1006" t="s">
        <v>123</v>
      </c>
      <c r="E1006" t="s">
        <v>60</v>
      </c>
      <c r="F1006">
        <v>79</v>
      </c>
      <c r="G1006" t="s">
        <v>113</v>
      </c>
      <c r="H1006" t="s">
        <v>39</v>
      </c>
      <c r="I1006" t="s">
        <v>85</v>
      </c>
      <c r="J1006" t="s">
        <v>47</v>
      </c>
      <c r="K1006">
        <v>4.8</v>
      </c>
      <c r="L1006" t="s">
        <v>23</v>
      </c>
      <c r="M1006" t="s">
        <v>23</v>
      </c>
      <c r="N1006">
        <v>44</v>
      </c>
      <c r="O1006" t="s">
        <v>29</v>
      </c>
      <c r="P1006" t="s">
        <v>43</v>
      </c>
    </row>
    <row r="1007" spans="1:16" ht="14.5" x14ac:dyDescent="0.35">
      <c r="A1007">
        <v>1006</v>
      </c>
      <c r="B1007">
        <v>43</v>
      </c>
      <c r="C1007" t="s">
        <v>16</v>
      </c>
      <c r="D1007" t="s">
        <v>123</v>
      </c>
      <c r="E1007" t="s">
        <v>60</v>
      </c>
      <c r="F1007">
        <v>94</v>
      </c>
      <c r="G1007" t="s">
        <v>75</v>
      </c>
      <c r="H1007" t="s">
        <v>39</v>
      </c>
      <c r="I1007" t="s">
        <v>71</v>
      </c>
      <c r="J1007" t="s">
        <v>22</v>
      </c>
      <c r="K1007">
        <v>3.9</v>
      </c>
      <c r="L1007" t="s">
        <v>23</v>
      </c>
      <c r="M1007" t="s">
        <v>23</v>
      </c>
      <c r="N1007">
        <v>5</v>
      </c>
      <c r="O1007" t="s">
        <v>77</v>
      </c>
      <c r="P1007" t="s">
        <v>67</v>
      </c>
    </row>
    <row r="1008" spans="1:16" ht="14.5" x14ac:dyDescent="0.35">
      <c r="A1008">
        <v>1007</v>
      </c>
      <c r="B1008">
        <v>21</v>
      </c>
      <c r="C1008" t="s">
        <v>16</v>
      </c>
      <c r="D1008" t="s">
        <v>86</v>
      </c>
      <c r="E1008" t="s">
        <v>18</v>
      </c>
      <c r="F1008">
        <v>83</v>
      </c>
      <c r="G1008" t="s">
        <v>142</v>
      </c>
      <c r="H1008" t="s">
        <v>32</v>
      </c>
      <c r="I1008" t="s">
        <v>84</v>
      </c>
      <c r="J1008" t="s">
        <v>47</v>
      </c>
      <c r="K1008">
        <v>4.5</v>
      </c>
      <c r="L1008" t="s">
        <v>23</v>
      </c>
      <c r="M1008" t="s">
        <v>23</v>
      </c>
      <c r="N1008">
        <v>50</v>
      </c>
      <c r="O1008" t="s">
        <v>24</v>
      </c>
      <c r="P1008" t="s">
        <v>51</v>
      </c>
    </row>
    <row r="1009" spans="1:16" ht="14.5" x14ac:dyDescent="0.35">
      <c r="A1009">
        <v>1008</v>
      </c>
      <c r="B1009">
        <v>58</v>
      </c>
      <c r="C1009" t="s">
        <v>16</v>
      </c>
      <c r="D1009" t="s">
        <v>134</v>
      </c>
      <c r="E1009" t="s">
        <v>60</v>
      </c>
      <c r="F1009">
        <v>62</v>
      </c>
      <c r="G1009" t="s">
        <v>133</v>
      </c>
      <c r="H1009" t="s">
        <v>83</v>
      </c>
      <c r="I1009" t="s">
        <v>42</v>
      </c>
      <c r="J1009" t="s">
        <v>33</v>
      </c>
      <c r="K1009">
        <v>4.8</v>
      </c>
      <c r="L1009" t="s">
        <v>23</v>
      </c>
      <c r="M1009" t="s">
        <v>23</v>
      </c>
      <c r="N1009">
        <v>2</v>
      </c>
      <c r="O1009" t="s">
        <v>34</v>
      </c>
      <c r="P1009" t="s">
        <v>43</v>
      </c>
    </row>
    <row r="1010" spans="1:16" ht="14.5" x14ac:dyDescent="0.35">
      <c r="A1010">
        <v>1009</v>
      </c>
      <c r="B1010">
        <v>41</v>
      </c>
      <c r="C1010" t="s">
        <v>16</v>
      </c>
      <c r="D1010" t="s">
        <v>110</v>
      </c>
      <c r="E1010" t="s">
        <v>60</v>
      </c>
      <c r="F1010">
        <v>85</v>
      </c>
      <c r="G1010" t="s">
        <v>121</v>
      </c>
      <c r="H1010" t="s">
        <v>39</v>
      </c>
      <c r="I1010" t="s">
        <v>62</v>
      </c>
      <c r="J1010" t="s">
        <v>33</v>
      </c>
      <c r="K1010">
        <v>2.6</v>
      </c>
      <c r="L1010" t="s">
        <v>23</v>
      </c>
      <c r="M1010" t="s">
        <v>23</v>
      </c>
      <c r="N1010">
        <v>29</v>
      </c>
      <c r="O1010" t="s">
        <v>40</v>
      </c>
      <c r="P1010" t="s">
        <v>43</v>
      </c>
    </row>
    <row r="1011" spans="1:16" ht="14.5" x14ac:dyDescent="0.35">
      <c r="A1011">
        <v>1010</v>
      </c>
      <c r="B1011">
        <v>39</v>
      </c>
      <c r="C1011" t="s">
        <v>16</v>
      </c>
      <c r="D1011" t="s">
        <v>95</v>
      </c>
      <c r="E1011" t="s">
        <v>18</v>
      </c>
      <c r="F1011">
        <v>30</v>
      </c>
      <c r="G1011" t="s">
        <v>53</v>
      </c>
      <c r="H1011" t="s">
        <v>39</v>
      </c>
      <c r="I1011" t="s">
        <v>58</v>
      </c>
      <c r="J1011" t="s">
        <v>47</v>
      </c>
      <c r="K1011">
        <v>3.1</v>
      </c>
      <c r="L1011" t="s">
        <v>23</v>
      </c>
      <c r="M1011" t="s">
        <v>23</v>
      </c>
      <c r="N1011">
        <v>11</v>
      </c>
      <c r="O1011" t="s">
        <v>24</v>
      </c>
      <c r="P1011" t="s">
        <v>43</v>
      </c>
    </row>
    <row r="1012" spans="1:16" ht="14.5" x14ac:dyDescent="0.35">
      <c r="A1012">
        <v>1011</v>
      </c>
      <c r="B1012">
        <v>54</v>
      </c>
      <c r="C1012" t="s">
        <v>16</v>
      </c>
      <c r="D1012" t="s">
        <v>30</v>
      </c>
      <c r="E1012" t="s">
        <v>18</v>
      </c>
      <c r="F1012">
        <v>24</v>
      </c>
      <c r="G1012" t="s">
        <v>138</v>
      </c>
      <c r="H1012" t="s">
        <v>83</v>
      </c>
      <c r="I1012" t="s">
        <v>21</v>
      </c>
      <c r="J1012" t="s">
        <v>33</v>
      </c>
      <c r="K1012">
        <v>4.7</v>
      </c>
      <c r="L1012" t="s">
        <v>23</v>
      </c>
      <c r="M1012" t="s">
        <v>23</v>
      </c>
      <c r="N1012">
        <v>37</v>
      </c>
      <c r="O1012" t="s">
        <v>34</v>
      </c>
      <c r="P1012" t="s">
        <v>25</v>
      </c>
    </row>
    <row r="1013" spans="1:16" ht="14.5" x14ac:dyDescent="0.35">
      <c r="A1013">
        <v>1012</v>
      </c>
      <c r="B1013">
        <v>43</v>
      </c>
      <c r="C1013" t="s">
        <v>16</v>
      </c>
      <c r="D1013" t="s">
        <v>123</v>
      </c>
      <c r="E1013" t="s">
        <v>60</v>
      </c>
      <c r="F1013">
        <v>25</v>
      </c>
      <c r="G1013" t="s">
        <v>49</v>
      </c>
      <c r="H1013" t="s">
        <v>20</v>
      </c>
      <c r="I1013" t="s">
        <v>117</v>
      </c>
      <c r="J1013" t="s">
        <v>33</v>
      </c>
      <c r="K1013">
        <v>2.9</v>
      </c>
      <c r="L1013" t="s">
        <v>23</v>
      </c>
      <c r="M1013" t="s">
        <v>23</v>
      </c>
      <c r="N1013">
        <v>32</v>
      </c>
      <c r="O1013" t="s">
        <v>77</v>
      </c>
      <c r="P1013" t="s">
        <v>25</v>
      </c>
    </row>
    <row r="1014" spans="1:16" ht="14.5" x14ac:dyDescent="0.35">
      <c r="A1014">
        <v>1013</v>
      </c>
      <c r="B1014">
        <v>28</v>
      </c>
      <c r="C1014" t="s">
        <v>16</v>
      </c>
      <c r="D1014" t="s">
        <v>36</v>
      </c>
      <c r="E1014" t="s">
        <v>37</v>
      </c>
      <c r="F1014">
        <v>37</v>
      </c>
      <c r="G1014" t="s">
        <v>121</v>
      </c>
      <c r="H1014" t="s">
        <v>20</v>
      </c>
      <c r="I1014" t="s">
        <v>76</v>
      </c>
      <c r="J1014" t="s">
        <v>47</v>
      </c>
      <c r="K1014">
        <v>3.8</v>
      </c>
      <c r="L1014" t="s">
        <v>23</v>
      </c>
      <c r="M1014" t="s">
        <v>23</v>
      </c>
      <c r="N1014">
        <v>27</v>
      </c>
      <c r="O1014" t="s">
        <v>34</v>
      </c>
      <c r="P1014" t="s">
        <v>43</v>
      </c>
    </row>
    <row r="1015" spans="1:16" ht="14.5" x14ac:dyDescent="0.35">
      <c r="A1015">
        <v>1014</v>
      </c>
      <c r="B1015">
        <v>59</v>
      </c>
      <c r="C1015" t="s">
        <v>16</v>
      </c>
      <c r="D1015" t="s">
        <v>124</v>
      </c>
      <c r="E1015" t="s">
        <v>60</v>
      </c>
      <c r="F1015">
        <v>69</v>
      </c>
      <c r="G1015" t="s">
        <v>122</v>
      </c>
      <c r="H1015" t="s">
        <v>83</v>
      </c>
      <c r="I1015" t="s">
        <v>87</v>
      </c>
      <c r="J1015" t="s">
        <v>47</v>
      </c>
      <c r="K1015">
        <v>3.8</v>
      </c>
      <c r="L1015" t="s">
        <v>23</v>
      </c>
      <c r="M1015" t="s">
        <v>23</v>
      </c>
      <c r="N1015">
        <v>31</v>
      </c>
      <c r="O1015" t="s">
        <v>24</v>
      </c>
      <c r="P1015" t="s">
        <v>67</v>
      </c>
    </row>
    <row r="1016" spans="1:16" ht="14.5" x14ac:dyDescent="0.35">
      <c r="A1016">
        <v>1015</v>
      </c>
      <c r="B1016">
        <v>28</v>
      </c>
      <c r="C1016" t="s">
        <v>16</v>
      </c>
      <c r="D1016" t="s">
        <v>63</v>
      </c>
      <c r="E1016" t="s">
        <v>37</v>
      </c>
      <c r="F1016">
        <v>97</v>
      </c>
      <c r="G1016" t="s">
        <v>114</v>
      </c>
      <c r="H1016" t="s">
        <v>39</v>
      </c>
      <c r="I1016" t="s">
        <v>74</v>
      </c>
      <c r="J1016" t="s">
        <v>47</v>
      </c>
      <c r="K1016">
        <v>3</v>
      </c>
      <c r="L1016" t="s">
        <v>23</v>
      </c>
      <c r="M1016" t="s">
        <v>23</v>
      </c>
      <c r="N1016">
        <v>36</v>
      </c>
      <c r="O1016" t="s">
        <v>77</v>
      </c>
      <c r="P1016" t="s">
        <v>25</v>
      </c>
    </row>
    <row r="1017" spans="1:16" ht="14.5" x14ac:dyDescent="0.35">
      <c r="A1017">
        <v>1016</v>
      </c>
      <c r="B1017">
        <v>68</v>
      </c>
      <c r="C1017" t="s">
        <v>16</v>
      </c>
      <c r="D1017" t="s">
        <v>134</v>
      </c>
      <c r="E1017" t="s">
        <v>60</v>
      </c>
      <c r="F1017">
        <v>24</v>
      </c>
      <c r="G1017" t="s">
        <v>89</v>
      </c>
      <c r="H1017" t="s">
        <v>39</v>
      </c>
      <c r="I1017" t="s">
        <v>100</v>
      </c>
      <c r="J1017" t="s">
        <v>47</v>
      </c>
      <c r="K1017">
        <v>4.0999999999999996</v>
      </c>
      <c r="L1017" t="s">
        <v>23</v>
      </c>
      <c r="M1017" t="s">
        <v>23</v>
      </c>
      <c r="N1017">
        <v>34</v>
      </c>
      <c r="O1017" t="s">
        <v>29</v>
      </c>
      <c r="P1017" t="s">
        <v>35</v>
      </c>
    </row>
    <row r="1018" spans="1:16" ht="14.5" x14ac:dyDescent="0.35">
      <c r="A1018">
        <v>1017</v>
      </c>
      <c r="B1018">
        <v>20</v>
      </c>
      <c r="C1018" t="s">
        <v>16</v>
      </c>
      <c r="D1018" t="s">
        <v>124</v>
      </c>
      <c r="E1018" t="s">
        <v>60</v>
      </c>
      <c r="F1018">
        <v>30</v>
      </c>
      <c r="G1018" t="s">
        <v>126</v>
      </c>
      <c r="H1018" t="s">
        <v>83</v>
      </c>
      <c r="I1018" t="s">
        <v>135</v>
      </c>
      <c r="J1018" t="s">
        <v>47</v>
      </c>
      <c r="K1018">
        <v>3.4</v>
      </c>
      <c r="L1018" t="s">
        <v>23</v>
      </c>
      <c r="M1018" t="s">
        <v>23</v>
      </c>
      <c r="N1018">
        <v>15</v>
      </c>
      <c r="O1018" t="s">
        <v>66</v>
      </c>
      <c r="P1018" t="s">
        <v>88</v>
      </c>
    </row>
    <row r="1019" spans="1:16" ht="14.5" x14ac:dyDescent="0.35">
      <c r="A1019">
        <v>1018</v>
      </c>
      <c r="B1019">
        <v>21</v>
      </c>
      <c r="C1019" t="s">
        <v>16</v>
      </c>
      <c r="D1019" t="s">
        <v>93</v>
      </c>
      <c r="E1019" t="s">
        <v>56</v>
      </c>
      <c r="F1019">
        <v>53</v>
      </c>
      <c r="G1019" t="s">
        <v>92</v>
      </c>
      <c r="H1019" t="s">
        <v>20</v>
      </c>
      <c r="I1019" t="s">
        <v>112</v>
      </c>
      <c r="J1019" t="s">
        <v>50</v>
      </c>
      <c r="K1019">
        <v>2.5</v>
      </c>
      <c r="L1019" t="s">
        <v>23</v>
      </c>
      <c r="M1019" t="s">
        <v>23</v>
      </c>
      <c r="N1019">
        <v>14</v>
      </c>
      <c r="O1019" t="s">
        <v>34</v>
      </c>
      <c r="P1019" t="s">
        <v>43</v>
      </c>
    </row>
    <row r="1020" spans="1:16" ht="14.5" x14ac:dyDescent="0.35">
      <c r="A1020">
        <v>1019</v>
      </c>
      <c r="B1020">
        <v>50</v>
      </c>
      <c r="C1020" t="s">
        <v>16</v>
      </c>
      <c r="D1020" t="s">
        <v>72</v>
      </c>
      <c r="E1020" t="s">
        <v>18</v>
      </c>
      <c r="F1020">
        <v>70</v>
      </c>
      <c r="G1020" t="s">
        <v>133</v>
      </c>
      <c r="H1020" t="s">
        <v>83</v>
      </c>
      <c r="I1020" t="s">
        <v>54</v>
      </c>
      <c r="J1020" t="s">
        <v>33</v>
      </c>
      <c r="K1020">
        <v>4.9000000000000004</v>
      </c>
      <c r="L1020" t="s">
        <v>23</v>
      </c>
      <c r="M1020" t="s">
        <v>23</v>
      </c>
      <c r="N1020">
        <v>46</v>
      </c>
      <c r="O1020" t="s">
        <v>29</v>
      </c>
      <c r="P1020" t="s">
        <v>35</v>
      </c>
    </row>
    <row r="1021" spans="1:16" ht="14.5" x14ac:dyDescent="0.35">
      <c r="A1021">
        <v>1020</v>
      </c>
      <c r="B1021">
        <v>32</v>
      </c>
      <c r="C1021" t="s">
        <v>16</v>
      </c>
      <c r="D1021" t="s">
        <v>48</v>
      </c>
      <c r="E1021" t="s">
        <v>18</v>
      </c>
      <c r="F1021">
        <v>76</v>
      </c>
      <c r="G1021" t="s">
        <v>19</v>
      </c>
      <c r="H1021" t="s">
        <v>32</v>
      </c>
      <c r="I1021" t="s">
        <v>109</v>
      </c>
      <c r="J1021" t="s">
        <v>22</v>
      </c>
      <c r="K1021">
        <v>2.8</v>
      </c>
      <c r="L1021" t="s">
        <v>23</v>
      </c>
      <c r="M1021" t="s">
        <v>23</v>
      </c>
      <c r="N1021">
        <v>33</v>
      </c>
      <c r="O1021" t="s">
        <v>24</v>
      </c>
      <c r="P1021" t="s">
        <v>67</v>
      </c>
    </row>
    <row r="1022" spans="1:16" ht="14.5" x14ac:dyDescent="0.35">
      <c r="A1022">
        <v>1021</v>
      </c>
      <c r="B1022">
        <v>24</v>
      </c>
      <c r="C1022" t="s">
        <v>16</v>
      </c>
      <c r="D1022" t="s">
        <v>110</v>
      </c>
      <c r="E1022" t="s">
        <v>60</v>
      </c>
      <c r="F1022">
        <v>95</v>
      </c>
      <c r="G1022" t="s">
        <v>70</v>
      </c>
      <c r="H1022" t="s">
        <v>39</v>
      </c>
      <c r="I1022" t="s">
        <v>85</v>
      </c>
      <c r="J1022" t="s">
        <v>50</v>
      </c>
      <c r="K1022">
        <v>4.5</v>
      </c>
      <c r="L1022" t="s">
        <v>23</v>
      </c>
      <c r="M1022" t="s">
        <v>23</v>
      </c>
      <c r="N1022">
        <v>41</v>
      </c>
      <c r="O1022" t="s">
        <v>77</v>
      </c>
      <c r="P1022" t="s">
        <v>43</v>
      </c>
    </row>
    <row r="1023" spans="1:16" ht="14.5" x14ac:dyDescent="0.35">
      <c r="A1023">
        <v>1022</v>
      </c>
      <c r="B1023">
        <v>55</v>
      </c>
      <c r="C1023" t="s">
        <v>16</v>
      </c>
      <c r="D1023" t="s">
        <v>55</v>
      </c>
      <c r="E1023" t="s">
        <v>56</v>
      </c>
      <c r="F1023">
        <v>51</v>
      </c>
      <c r="G1023" t="s">
        <v>31</v>
      </c>
      <c r="H1023" t="s">
        <v>32</v>
      </c>
      <c r="I1023" t="s">
        <v>84</v>
      </c>
      <c r="J1023" t="s">
        <v>22</v>
      </c>
      <c r="K1023">
        <v>4.9000000000000004</v>
      </c>
      <c r="L1023" t="s">
        <v>23</v>
      </c>
      <c r="M1023" t="s">
        <v>23</v>
      </c>
      <c r="N1023">
        <v>39</v>
      </c>
      <c r="O1023" t="s">
        <v>40</v>
      </c>
      <c r="P1023" t="s">
        <v>35</v>
      </c>
    </row>
    <row r="1024" spans="1:16" ht="14.5" x14ac:dyDescent="0.35">
      <c r="A1024">
        <v>1023</v>
      </c>
      <c r="B1024">
        <v>61</v>
      </c>
      <c r="C1024" t="s">
        <v>16</v>
      </c>
      <c r="D1024" t="s">
        <v>59</v>
      </c>
      <c r="E1024" t="s">
        <v>60</v>
      </c>
      <c r="F1024">
        <v>41</v>
      </c>
      <c r="G1024" t="s">
        <v>136</v>
      </c>
      <c r="H1024" t="s">
        <v>39</v>
      </c>
      <c r="I1024" t="s">
        <v>84</v>
      </c>
      <c r="J1024" t="s">
        <v>22</v>
      </c>
      <c r="K1024">
        <v>4.9000000000000004</v>
      </c>
      <c r="L1024" t="s">
        <v>23</v>
      </c>
      <c r="M1024" t="s">
        <v>23</v>
      </c>
      <c r="N1024">
        <v>7</v>
      </c>
      <c r="O1024" t="s">
        <v>29</v>
      </c>
      <c r="P1024" t="s">
        <v>43</v>
      </c>
    </row>
    <row r="1025" spans="1:16" ht="14.5" x14ac:dyDescent="0.35">
      <c r="A1025">
        <v>1024</v>
      </c>
      <c r="B1025">
        <v>61</v>
      </c>
      <c r="C1025" t="s">
        <v>16</v>
      </c>
      <c r="D1025" t="s">
        <v>80</v>
      </c>
      <c r="E1025" t="s">
        <v>60</v>
      </c>
      <c r="F1025">
        <v>71</v>
      </c>
      <c r="G1025" t="s">
        <v>27</v>
      </c>
      <c r="H1025" t="s">
        <v>32</v>
      </c>
      <c r="I1025" t="s">
        <v>42</v>
      </c>
      <c r="J1025" t="s">
        <v>22</v>
      </c>
      <c r="K1025">
        <v>3.5</v>
      </c>
      <c r="L1025" t="s">
        <v>23</v>
      </c>
      <c r="M1025" t="s">
        <v>23</v>
      </c>
      <c r="N1025">
        <v>29</v>
      </c>
      <c r="O1025" t="s">
        <v>66</v>
      </c>
      <c r="P1025" t="s">
        <v>88</v>
      </c>
    </row>
    <row r="1026" spans="1:16" ht="14.5" x14ac:dyDescent="0.35">
      <c r="A1026">
        <v>1025</v>
      </c>
      <c r="B1026">
        <v>28</v>
      </c>
      <c r="C1026" t="s">
        <v>16</v>
      </c>
      <c r="D1026" t="s">
        <v>104</v>
      </c>
      <c r="E1026" t="s">
        <v>18</v>
      </c>
      <c r="F1026">
        <v>66</v>
      </c>
      <c r="G1026" t="s">
        <v>129</v>
      </c>
      <c r="H1026" t="s">
        <v>39</v>
      </c>
      <c r="I1026" t="s">
        <v>65</v>
      </c>
      <c r="J1026" t="s">
        <v>47</v>
      </c>
      <c r="K1026">
        <v>3.5</v>
      </c>
      <c r="L1026" t="s">
        <v>23</v>
      </c>
      <c r="M1026" t="s">
        <v>23</v>
      </c>
      <c r="N1026">
        <v>18</v>
      </c>
      <c r="O1026" t="s">
        <v>24</v>
      </c>
      <c r="P1026" t="s">
        <v>51</v>
      </c>
    </row>
    <row r="1027" spans="1:16" ht="14.5" x14ac:dyDescent="0.35">
      <c r="A1027">
        <v>1026</v>
      </c>
      <c r="B1027">
        <v>60</v>
      </c>
      <c r="C1027" t="s">
        <v>16</v>
      </c>
      <c r="D1027" t="s">
        <v>48</v>
      </c>
      <c r="E1027" t="s">
        <v>18</v>
      </c>
      <c r="F1027">
        <v>84</v>
      </c>
      <c r="G1027" t="s">
        <v>136</v>
      </c>
      <c r="H1027" t="s">
        <v>39</v>
      </c>
      <c r="I1027" t="s">
        <v>69</v>
      </c>
      <c r="J1027" t="s">
        <v>22</v>
      </c>
      <c r="K1027">
        <v>4.9000000000000004</v>
      </c>
      <c r="L1027" t="s">
        <v>23</v>
      </c>
      <c r="M1027" t="s">
        <v>23</v>
      </c>
      <c r="N1027">
        <v>15</v>
      </c>
      <c r="O1027" t="s">
        <v>34</v>
      </c>
      <c r="P1027" t="s">
        <v>43</v>
      </c>
    </row>
    <row r="1028" spans="1:16" ht="14.5" x14ac:dyDescent="0.35">
      <c r="A1028">
        <v>1027</v>
      </c>
      <c r="B1028">
        <v>49</v>
      </c>
      <c r="C1028" t="s">
        <v>16</v>
      </c>
      <c r="D1028" t="s">
        <v>59</v>
      </c>
      <c r="E1028" t="s">
        <v>60</v>
      </c>
      <c r="F1028">
        <v>95</v>
      </c>
      <c r="G1028" t="s">
        <v>132</v>
      </c>
      <c r="H1028" t="s">
        <v>20</v>
      </c>
      <c r="I1028" t="s">
        <v>42</v>
      </c>
      <c r="J1028" t="s">
        <v>22</v>
      </c>
      <c r="K1028">
        <v>3</v>
      </c>
      <c r="L1028" t="s">
        <v>23</v>
      </c>
      <c r="M1028" t="s">
        <v>23</v>
      </c>
      <c r="N1028">
        <v>39</v>
      </c>
      <c r="O1028" t="s">
        <v>40</v>
      </c>
      <c r="P1028" t="s">
        <v>67</v>
      </c>
    </row>
    <row r="1029" spans="1:16" ht="14.5" x14ac:dyDescent="0.35">
      <c r="A1029">
        <v>1028</v>
      </c>
      <c r="B1029">
        <v>33</v>
      </c>
      <c r="C1029" t="s">
        <v>16</v>
      </c>
      <c r="D1029" t="s">
        <v>97</v>
      </c>
      <c r="E1029" t="s">
        <v>60</v>
      </c>
      <c r="F1029">
        <v>90</v>
      </c>
      <c r="G1029" t="s">
        <v>114</v>
      </c>
      <c r="H1029" t="s">
        <v>20</v>
      </c>
      <c r="I1029" t="s">
        <v>76</v>
      </c>
      <c r="J1029" t="s">
        <v>47</v>
      </c>
      <c r="K1029">
        <v>2.8</v>
      </c>
      <c r="L1029" t="s">
        <v>23</v>
      </c>
      <c r="M1029" t="s">
        <v>23</v>
      </c>
      <c r="N1029">
        <v>11</v>
      </c>
      <c r="O1029" t="s">
        <v>29</v>
      </c>
      <c r="P1029" t="s">
        <v>79</v>
      </c>
    </row>
    <row r="1030" spans="1:16" ht="14.5" x14ac:dyDescent="0.35">
      <c r="A1030">
        <v>1029</v>
      </c>
      <c r="B1030">
        <v>45</v>
      </c>
      <c r="C1030" t="s">
        <v>16</v>
      </c>
      <c r="D1030" t="s">
        <v>95</v>
      </c>
      <c r="E1030" t="s">
        <v>18</v>
      </c>
      <c r="F1030">
        <v>36</v>
      </c>
      <c r="G1030" t="s">
        <v>136</v>
      </c>
      <c r="H1030" t="s">
        <v>32</v>
      </c>
      <c r="I1030" t="s">
        <v>84</v>
      </c>
      <c r="J1030" t="s">
        <v>47</v>
      </c>
      <c r="K1030">
        <v>3.7</v>
      </c>
      <c r="L1030" t="s">
        <v>23</v>
      </c>
      <c r="M1030" t="s">
        <v>23</v>
      </c>
      <c r="N1030">
        <v>4</v>
      </c>
      <c r="O1030" t="s">
        <v>29</v>
      </c>
      <c r="P1030" t="s">
        <v>25</v>
      </c>
    </row>
    <row r="1031" spans="1:16" ht="14.5" x14ac:dyDescent="0.35">
      <c r="A1031">
        <v>1030</v>
      </c>
      <c r="B1031">
        <v>29</v>
      </c>
      <c r="C1031" t="s">
        <v>16</v>
      </c>
      <c r="D1031" t="s">
        <v>134</v>
      </c>
      <c r="E1031" t="s">
        <v>60</v>
      </c>
      <c r="F1031">
        <v>22</v>
      </c>
      <c r="G1031" t="s">
        <v>114</v>
      </c>
      <c r="H1031" t="s">
        <v>39</v>
      </c>
      <c r="I1031" t="s">
        <v>65</v>
      </c>
      <c r="J1031" t="s">
        <v>33</v>
      </c>
      <c r="K1031">
        <v>3.6</v>
      </c>
      <c r="L1031" t="s">
        <v>23</v>
      </c>
      <c r="M1031" t="s">
        <v>23</v>
      </c>
      <c r="N1031">
        <v>33</v>
      </c>
      <c r="O1031" t="s">
        <v>24</v>
      </c>
      <c r="P1031" t="s">
        <v>67</v>
      </c>
    </row>
    <row r="1032" spans="1:16" ht="14.5" x14ac:dyDescent="0.35">
      <c r="A1032">
        <v>1031</v>
      </c>
      <c r="B1032">
        <v>58</v>
      </c>
      <c r="C1032" t="s">
        <v>16</v>
      </c>
      <c r="D1032" t="s">
        <v>55</v>
      </c>
      <c r="E1032" t="s">
        <v>56</v>
      </c>
      <c r="F1032">
        <v>89</v>
      </c>
      <c r="G1032" t="s">
        <v>19</v>
      </c>
      <c r="H1032" t="s">
        <v>20</v>
      </c>
      <c r="I1032" t="s">
        <v>135</v>
      </c>
      <c r="J1032" t="s">
        <v>22</v>
      </c>
      <c r="K1032">
        <v>3.3</v>
      </c>
      <c r="L1032" t="s">
        <v>23</v>
      </c>
      <c r="M1032" t="s">
        <v>23</v>
      </c>
      <c r="N1032">
        <v>37</v>
      </c>
      <c r="O1032" t="s">
        <v>77</v>
      </c>
      <c r="P1032" t="s">
        <v>51</v>
      </c>
    </row>
    <row r="1033" spans="1:16" ht="14.5" x14ac:dyDescent="0.35">
      <c r="A1033">
        <v>1032</v>
      </c>
      <c r="B1033">
        <v>22</v>
      </c>
      <c r="C1033" t="s">
        <v>16</v>
      </c>
      <c r="D1033" t="s">
        <v>36</v>
      </c>
      <c r="E1033" t="s">
        <v>37</v>
      </c>
      <c r="F1033">
        <v>50</v>
      </c>
      <c r="G1033" t="s">
        <v>113</v>
      </c>
      <c r="H1033" t="s">
        <v>39</v>
      </c>
      <c r="I1033" t="s">
        <v>76</v>
      </c>
      <c r="J1033" t="s">
        <v>33</v>
      </c>
      <c r="K1033">
        <v>3.4</v>
      </c>
      <c r="L1033" t="s">
        <v>23</v>
      </c>
      <c r="M1033" t="s">
        <v>23</v>
      </c>
      <c r="N1033">
        <v>32</v>
      </c>
      <c r="O1033" t="s">
        <v>29</v>
      </c>
      <c r="P1033" t="s">
        <v>51</v>
      </c>
    </row>
    <row r="1034" spans="1:16" ht="14.5" x14ac:dyDescent="0.35">
      <c r="A1034">
        <v>1033</v>
      </c>
      <c r="B1034">
        <v>55</v>
      </c>
      <c r="C1034" t="s">
        <v>16</v>
      </c>
      <c r="D1034" t="s">
        <v>128</v>
      </c>
      <c r="E1034" t="s">
        <v>37</v>
      </c>
      <c r="F1034">
        <v>36</v>
      </c>
      <c r="G1034" t="s">
        <v>27</v>
      </c>
      <c r="H1034" t="s">
        <v>39</v>
      </c>
      <c r="I1034" t="s">
        <v>84</v>
      </c>
      <c r="J1034" t="s">
        <v>50</v>
      </c>
      <c r="K1034">
        <v>4</v>
      </c>
      <c r="L1034" t="s">
        <v>23</v>
      </c>
      <c r="M1034" t="s">
        <v>23</v>
      </c>
      <c r="N1034">
        <v>44</v>
      </c>
      <c r="O1034" t="s">
        <v>34</v>
      </c>
      <c r="P1034" t="s">
        <v>51</v>
      </c>
    </row>
    <row r="1035" spans="1:16" ht="14.5" x14ac:dyDescent="0.35">
      <c r="A1035">
        <v>1034</v>
      </c>
      <c r="B1035">
        <v>19</v>
      </c>
      <c r="C1035" t="s">
        <v>16</v>
      </c>
      <c r="D1035" t="s">
        <v>86</v>
      </c>
      <c r="E1035" t="s">
        <v>18</v>
      </c>
      <c r="F1035">
        <v>52</v>
      </c>
      <c r="G1035" t="s">
        <v>49</v>
      </c>
      <c r="H1035" t="s">
        <v>32</v>
      </c>
      <c r="I1035" t="s">
        <v>58</v>
      </c>
      <c r="J1035" t="s">
        <v>33</v>
      </c>
      <c r="K1035">
        <v>4.5999999999999996</v>
      </c>
      <c r="L1035" t="s">
        <v>23</v>
      </c>
      <c r="M1035" t="s">
        <v>23</v>
      </c>
      <c r="N1035">
        <v>41</v>
      </c>
      <c r="O1035" t="s">
        <v>66</v>
      </c>
      <c r="P1035" t="s">
        <v>51</v>
      </c>
    </row>
    <row r="1036" spans="1:16" ht="14.5" x14ac:dyDescent="0.35">
      <c r="A1036">
        <v>1035</v>
      </c>
      <c r="B1036">
        <v>68</v>
      </c>
      <c r="C1036" t="s">
        <v>16</v>
      </c>
      <c r="D1036" t="s">
        <v>116</v>
      </c>
      <c r="E1036" t="s">
        <v>18</v>
      </c>
      <c r="F1036">
        <v>29</v>
      </c>
      <c r="G1036" t="s">
        <v>119</v>
      </c>
      <c r="H1036" t="s">
        <v>39</v>
      </c>
      <c r="I1036" t="s">
        <v>69</v>
      </c>
      <c r="J1036" t="s">
        <v>50</v>
      </c>
      <c r="K1036">
        <v>4.2</v>
      </c>
      <c r="L1036" t="s">
        <v>23</v>
      </c>
      <c r="M1036" t="s">
        <v>23</v>
      </c>
      <c r="N1036">
        <v>44</v>
      </c>
      <c r="O1036" t="s">
        <v>66</v>
      </c>
      <c r="P1036" t="s">
        <v>35</v>
      </c>
    </row>
    <row r="1037" spans="1:16" ht="14.5" x14ac:dyDescent="0.35">
      <c r="A1037">
        <v>1036</v>
      </c>
      <c r="B1037">
        <v>61</v>
      </c>
      <c r="C1037" t="s">
        <v>16</v>
      </c>
      <c r="D1037" t="s">
        <v>17</v>
      </c>
      <c r="E1037" t="s">
        <v>18</v>
      </c>
      <c r="F1037">
        <v>89</v>
      </c>
      <c r="G1037" t="s">
        <v>133</v>
      </c>
      <c r="H1037" t="s">
        <v>39</v>
      </c>
      <c r="I1037" t="s">
        <v>101</v>
      </c>
      <c r="J1037" t="s">
        <v>50</v>
      </c>
      <c r="K1037">
        <v>2.8</v>
      </c>
      <c r="L1037" t="s">
        <v>23</v>
      </c>
      <c r="M1037" t="s">
        <v>23</v>
      </c>
      <c r="N1037">
        <v>32</v>
      </c>
      <c r="O1037" t="s">
        <v>24</v>
      </c>
      <c r="P1037" t="s">
        <v>43</v>
      </c>
    </row>
    <row r="1038" spans="1:16" ht="14.5" x14ac:dyDescent="0.35">
      <c r="A1038">
        <v>1037</v>
      </c>
      <c r="B1038">
        <v>68</v>
      </c>
      <c r="C1038" t="s">
        <v>16</v>
      </c>
      <c r="D1038" t="s">
        <v>59</v>
      </c>
      <c r="E1038" t="s">
        <v>60</v>
      </c>
      <c r="F1038">
        <v>47</v>
      </c>
      <c r="G1038" t="s">
        <v>68</v>
      </c>
      <c r="H1038" t="s">
        <v>39</v>
      </c>
      <c r="I1038" t="s">
        <v>125</v>
      </c>
      <c r="J1038" t="s">
        <v>50</v>
      </c>
      <c r="K1038">
        <v>3.7</v>
      </c>
      <c r="L1038" t="s">
        <v>23</v>
      </c>
      <c r="M1038" t="s">
        <v>23</v>
      </c>
      <c r="N1038">
        <v>13</v>
      </c>
      <c r="O1038" t="s">
        <v>66</v>
      </c>
      <c r="P1038" t="s">
        <v>79</v>
      </c>
    </row>
    <row r="1039" spans="1:16" ht="14.5" x14ac:dyDescent="0.35">
      <c r="A1039">
        <v>1038</v>
      </c>
      <c r="B1039">
        <v>52</v>
      </c>
      <c r="C1039" t="s">
        <v>16</v>
      </c>
      <c r="D1039" t="s">
        <v>97</v>
      </c>
      <c r="E1039" t="s">
        <v>60</v>
      </c>
      <c r="F1039">
        <v>25</v>
      </c>
      <c r="G1039" t="s">
        <v>38</v>
      </c>
      <c r="H1039" t="s">
        <v>83</v>
      </c>
      <c r="I1039" t="s">
        <v>101</v>
      </c>
      <c r="J1039" t="s">
        <v>33</v>
      </c>
      <c r="K1039">
        <v>3.4</v>
      </c>
      <c r="L1039" t="s">
        <v>23</v>
      </c>
      <c r="M1039" t="s">
        <v>23</v>
      </c>
      <c r="N1039">
        <v>48</v>
      </c>
      <c r="O1039" t="s">
        <v>77</v>
      </c>
      <c r="P1039" t="s">
        <v>51</v>
      </c>
    </row>
    <row r="1040" spans="1:16" ht="14.5" x14ac:dyDescent="0.35">
      <c r="A1040">
        <v>1039</v>
      </c>
      <c r="B1040">
        <v>41</v>
      </c>
      <c r="C1040" t="s">
        <v>16</v>
      </c>
      <c r="D1040" t="s">
        <v>86</v>
      </c>
      <c r="E1040" t="s">
        <v>18</v>
      </c>
      <c r="F1040">
        <v>74</v>
      </c>
      <c r="G1040" t="s">
        <v>136</v>
      </c>
      <c r="H1040" t="s">
        <v>83</v>
      </c>
      <c r="I1040" t="s">
        <v>100</v>
      </c>
      <c r="J1040" t="s">
        <v>50</v>
      </c>
      <c r="K1040">
        <v>3</v>
      </c>
      <c r="L1040" t="s">
        <v>23</v>
      </c>
      <c r="M1040" t="s">
        <v>23</v>
      </c>
      <c r="N1040">
        <v>3</v>
      </c>
      <c r="O1040" t="s">
        <v>66</v>
      </c>
      <c r="P1040" t="s">
        <v>35</v>
      </c>
    </row>
    <row r="1041" spans="1:16" ht="14.5" x14ac:dyDescent="0.35">
      <c r="A1041">
        <v>1040</v>
      </c>
      <c r="B1041">
        <v>29</v>
      </c>
      <c r="C1041" t="s">
        <v>16</v>
      </c>
      <c r="D1041" t="s">
        <v>124</v>
      </c>
      <c r="E1041" t="s">
        <v>60</v>
      </c>
      <c r="F1041">
        <v>46</v>
      </c>
      <c r="G1041" t="s">
        <v>142</v>
      </c>
      <c r="H1041" t="s">
        <v>39</v>
      </c>
      <c r="I1041" t="s">
        <v>127</v>
      </c>
      <c r="J1041" t="s">
        <v>50</v>
      </c>
      <c r="K1041">
        <v>4.8</v>
      </c>
      <c r="L1041" t="s">
        <v>23</v>
      </c>
      <c r="M1041" t="s">
        <v>23</v>
      </c>
      <c r="N1041">
        <v>39</v>
      </c>
      <c r="O1041" t="s">
        <v>24</v>
      </c>
      <c r="P1041" t="s">
        <v>79</v>
      </c>
    </row>
    <row r="1042" spans="1:16" ht="14.5" x14ac:dyDescent="0.35">
      <c r="A1042">
        <v>1041</v>
      </c>
      <c r="B1042">
        <v>68</v>
      </c>
      <c r="C1042" t="s">
        <v>16</v>
      </c>
      <c r="D1042" t="s">
        <v>30</v>
      </c>
      <c r="E1042" t="s">
        <v>18</v>
      </c>
      <c r="F1042">
        <v>22</v>
      </c>
      <c r="G1042" t="s">
        <v>89</v>
      </c>
      <c r="H1042" t="s">
        <v>32</v>
      </c>
      <c r="I1042" t="s">
        <v>127</v>
      </c>
      <c r="J1042" t="s">
        <v>50</v>
      </c>
      <c r="K1042">
        <v>4</v>
      </c>
      <c r="L1042" t="s">
        <v>23</v>
      </c>
      <c r="M1042" t="s">
        <v>23</v>
      </c>
      <c r="N1042">
        <v>7</v>
      </c>
      <c r="O1042" t="s">
        <v>29</v>
      </c>
      <c r="P1042" t="s">
        <v>25</v>
      </c>
    </row>
    <row r="1043" spans="1:16" ht="14.5" x14ac:dyDescent="0.35">
      <c r="A1043">
        <v>1042</v>
      </c>
      <c r="B1043">
        <v>36</v>
      </c>
      <c r="C1043" t="s">
        <v>16</v>
      </c>
      <c r="D1043" t="s">
        <v>48</v>
      </c>
      <c r="E1043" t="s">
        <v>18</v>
      </c>
      <c r="F1043">
        <v>25</v>
      </c>
      <c r="G1043" t="s">
        <v>139</v>
      </c>
      <c r="H1043" t="s">
        <v>39</v>
      </c>
      <c r="I1043" t="s">
        <v>112</v>
      </c>
      <c r="J1043" t="s">
        <v>47</v>
      </c>
      <c r="K1043">
        <v>4.9000000000000004</v>
      </c>
      <c r="L1043" t="s">
        <v>23</v>
      </c>
      <c r="M1043" t="s">
        <v>23</v>
      </c>
      <c r="N1043">
        <v>11</v>
      </c>
      <c r="O1043" t="s">
        <v>29</v>
      </c>
      <c r="P1043" t="s">
        <v>25</v>
      </c>
    </row>
    <row r="1044" spans="1:16" ht="14.5" x14ac:dyDescent="0.35">
      <c r="A1044">
        <v>1043</v>
      </c>
      <c r="B1044">
        <v>55</v>
      </c>
      <c r="C1044" t="s">
        <v>16</v>
      </c>
      <c r="D1044" t="s">
        <v>124</v>
      </c>
      <c r="E1044" t="s">
        <v>60</v>
      </c>
      <c r="F1044">
        <v>80</v>
      </c>
      <c r="G1044" t="s">
        <v>119</v>
      </c>
      <c r="H1044" t="s">
        <v>39</v>
      </c>
      <c r="I1044" t="s">
        <v>28</v>
      </c>
      <c r="J1044" t="s">
        <v>33</v>
      </c>
      <c r="K1044">
        <v>4.9000000000000004</v>
      </c>
      <c r="L1044" t="s">
        <v>23</v>
      </c>
      <c r="M1044" t="s">
        <v>23</v>
      </c>
      <c r="N1044">
        <v>47</v>
      </c>
      <c r="O1044" t="s">
        <v>34</v>
      </c>
      <c r="P1044" t="s">
        <v>35</v>
      </c>
    </row>
    <row r="1045" spans="1:16" ht="14.5" x14ac:dyDescent="0.35">
      <c r="A1045">
        <v>1044</v>
      </c>
      <c r="B1045">
        <v>28</v>
      </c>
      <c r="C1045" t="s">
        <v>16</v>
      </c>
      <c r="D1045" t="s">
        <v>30</v>
      </c>
      <c r="E1045" t="s">
        <v>18</v>
      </c>
      <c r="F1045">
        <v>76</v>
      </c>
      <c r="G1045" t="s">
        <v>68</v>
      </c>
      <c r="H1045" t="s">
        <v>39</v>
      </c>
      <c r="I1045" t="s">
        <v>87</v>
      </c>
      <c r="J1045" t="s">
        <v>33</v>
      </c>
      <c r="K1045">
        <v>3.3</v>
      </c>
      <c r="L1045" t="s">
        <v>23</v>
      </c>
      <c r="M1045" t="s">
        <v>23</v>
      </c>
      <c r="N1045">
        <v>28</v>
      </c>
      <c r="O1045" t="s">
        <v>77</v>
      </c>
      <c r="P1045" t="s">
        <v>25</v>
      </c>
    </row>
    <row r="1046" spans="1:16" ht="14.5" x14ac:dyDescent="0.35">
      <c r="A1046">
        <v>1045</v>
      </c>
      <c r="B1046">
        <v>39</v>
      </c>
      <c r="C1046" t="s">
        <v>16</v>
      </c>
      <c r="D1046" t="s">
        <v>30</v>
      </c>
      <c r="E1046" t="s">
        <v>18</v>
      </c>
      <c r="F1046">
        <v>30</v>
      </c>
      <c r="G1046" t="s">
        <v>41</v>
      </c>
      <c r="H1046" t="s">
        <v>20</v>
      </c>
      <c r="I1046" t="s">
        <v>76</v>
      </c>
      <c r="J1046" t="s">
        <v>47</v>
      </c>
      <c r="K1046">
        <v>4.4000000000000004</v>
      </c>
      <c r="L1046" t="s">
        <v>23</v>
      </c>
      <c r="M1046" t="s">
        <v>23</v>
      </c>
      <c r="N1046">
        <v>17</v>
      </c>
      <c r="O1046" t="s">
        <v>66</v>
      </c>
      <c r="P1046" t="s">
        <v>88</v>
      </c>
    </row>
    <row r="1047" spans="1:16" ht="14.5" x14ac:dyDescent="0.35">
      <c r="A1047">
        <v>1046</v>
      </c>
      <c r="B1047">
        <v>54</v>
      </c>
      <c r="C1047" t="s">
        <v>16</v>
      </c>
      <c r="D1047" t="s">
        <v>26</v>
      </c>
      <c r="E1047" t="s">
        <v>18</v>
      </c>
      <c r="F1047">
        <v>79</v>
      </c>
      <c r="G1047" t="s">
        <v>121</v>
      </c>
      <c r="H1047" t="s">
        <v>20</v>
      </c>
      <c r="I1047" t="s">
        <v>85</v>
      </c>
      <c r="J1047" t="s">
        <v>50</v>
      </c>
      <c r="K1047">
        <v>3.5</v>
      </c>
      <c r="L1047" t="s">
        <v>23</v>
      </c>
      <c r="M1047" t="s">
        <v>23</v>
      </c>
      <c r="N1047">
        <v>11</v>
      </c>
      <c r="O1047" t="s">
        <v>40</v>
      </c>
      <c r="P1047" t="s">
        <v>67</v>
      </c>
    </row>
    <row r="1048" spans="1:16" ht="14.5" x14ac:dyDescent="0.35">
      <c r="A1048">
        <v>1047</v>
      </c>
      <c r="B1048">
        <v>40</v>
      </c>
      <c r="C1048" t="s">
        <v>16</v>
      </c>
      <c r="D1048" t="s">
        <v>44</v>
      </c>
      <c r="E1048" t="s">
        <v>37</v>
      </c>
      <c r="F1048">
        <v>22</v>
      </c>
      <c r="G1048" t="s">
        <v>106</v>
      </c>
      <c r="H1048" t="s">
        <v>39</v>
      </c>
      <c r="I1048" t="s">
        <v>127</v>
      </c>
      <c r="J1048" t="s">
        <v>22</v>
      </c>
      <c r="K1048">
        <v>4.2</v>
      </c>
      <c r="L1048" t="s">
        <v>23</v>
      </c>
      <c r="M1048" t="s">
        <v>23</v>
      </c>
      <c r="N1048">
        <v>12</v>
      </c>
      <c r="O1048" t="s">
        <v>24</v>
      </c>
      <c r="P1048" t="s">
        <v>43</v>
      </c>
    </row>
    <row r="1049" spans="1:16" ht="14.5" x14ac:dyDescent="0.35">
      <c r="A1049">
        <v>1048</v>
      </c>
      <c r="B1049">
        <v>31</v>
      </c>
      <c r="C1049" t="s">
        <v>16</v>
      </c>
      <c r="D1049" t="s">
        <v>116</v>
      </c>
      <c r="E1049" t="s">
        <v>18</v>
      </c>
      <c r="F1049">
        <v>36</v>
      </c>
      <c r="G1049" t="s">
        <v>131</v>
      </c>
      <c r="H1049" t="s">
        <v>32</v>
      </c>
      <c r="I1049" t="s">
        <v>69</v>
      </c>
      <c r="J1049" t="s">
        <v>50</v>
      </c>
      <c r="K1049">
        <v>4.2</v>
      </c>
      <c r="L1049" t="s">
        <v>23</v>
      </c>
      <c r="M1049" t="s">
        <v>23</v>
      </c>
      <c r="N1049">
        <v>7</v>
      </c>
      <c r="O1049" t="s">
        <v>34</v>
      </c>
      <c r="P1049" t="s">
        <v>25</v>
      </c>
    </row>
    <row r="1050" spans="1:16" ht="14.5" x14ac:dyDescent="0.35">
      <c r="A1050">
        <v>1049</v>
      </c>
      <c r="B1050">
        <v>30</v>
      </c>
      <c r="C1050" t="s">
        <v>16</v>
      </c>
      <c r="D1050" t="s">
        <v>116</v>
      </c>
      <c r="E1050" t="s">
        <v>18</v>
      </c>
      <c r="F1050">
        <v>77</v>
      </c>
      <c r="G1050" t="s">
        <v>27</v>
      </c>
      <c r="H1050" t="s">
        <v>20</v>
      </c>
      <c r="I1050" t="s">
        <v>125</v>
      </c>
      <c r="J1050" t="s">
        <v>50</v>
      </c>
      <c r="K1050">
        <v>2.7</v>
      </c>
      <c r="L1050" t="s">
        <v>23</v>
      </c>
      <c r="M1050" t="s">
        <v>23</v>
      </c>
      <c r="N1050">
        <v>19</v>
      </c>
      <c r="O1050" t="s">
        <v>24</v>
      </c>
      <c r="P1050" t="s">
        <v>25</v>
      </c>
    </row>
    <row r="1051" spans="1:16" ht="14.5" x14ac:dyDescent="0.35">
      <c r="A1051">
        <v>1050</v>
      </c>
      <c r="B1051">
        <v>45</v>
      </c>
      <c r="C1051" t="s">
        <v>16</v>
      </c>
      <c r="D1051" t="s">
        <v>80</v>
      </c>
      <c r="E1051" t="s">
        <v>60</v>
      </c>
      <c r="F1051">
        <v>33</v>
      </c>
      <c r="G1051" t="s">
        <v>132</v>
      </c>
      <c r="H1051" t="s">
        <v>32</v>
      </c>
      <c r="I1051" t="s">
        <v>65</v>
      </c>
      <c r="J1051" t="s">
        <v>50</v>
      </c>
      <c r="K1051">
        <v>2.8</v>
      </c>
      <c r="L1051" t="s">
        <v>23</v>
      </c>
      <c r="M1051" t="s">
        <v>23</v>
      </c>
      <c r="N1051">
        <v>24</v>
      </c>
      <c r="O1051" t="s">
        <v>29</v>
      </c>
      <c r="P1051" t="s">
        <v>51</v>
      </c>
    </row>
    <row r="1052" spans="1:16" ht="14.5" x14ac:dyDescent="0.35">
      <c r="A1052">
        <v>1051</v>
      </c>
      <c r="B1052">
        <v>48</v>
      </c>
      <c r="C1052" t="s">
        <v>16</v>
      </c>
      <c r="D1052" t="s">
        <v>44</v>
      </c>
      <c r="E1052" t="s">
        <v>37</v>
      </c>
      <c r="F1052">
        <v>64</v>
      </c>
      <c r="G1052" t="s">
        <v>94</v>
      </c>
      <c r="H1052" t="s">
        <v>39</v>
      </c>
      <c r="I1052" t="s">
        <v>109</v>
      </c>
      <c r="J1052" t="s">
        <v>22</v>
      </c>
      <c r="K1052">
        <v>3.8</v>
      </c>
      <c r="L1052" t="s">
        <v>23</v>
      </c>
      <c r="M1052" t="s">
        <v>23</v>
      </c>
      <c r="N1052">
        <v>19</v>
      </c>
      <c r="O1052" t="s">
        <v>24</v>
      </c>
      <c r="P1052" t="s">
        <v>79</v>
      </c>
    </row>
    <row r="1053" spans="1:16" ht="14.5" x14ac:dyDescent="0.35">
      <c r="A1053">
        <v>1052</v>
      </c>
      <c r="B1053">
        <v>45</v>
      </c>
      <c r="C1053" t="s">
        <v>16</v>
      </c>
      <c r="D1053" t="s">
        <v>116</v>
      </c>
      <c r="E1053" t="s">
        <v>18</v>
      </c>
      <c r="F1053">
        <v>53</v>
      </c>
      <c r="G1053" t="s">
        <v>114</v>
      </c>
      <c r="H1053" t="s">
        <v>39</v>
      </c>
      <c r="I1053" t="s">
        <v>117</v>
      </c>
      <c r="J1053" t="s">
        <v>50</v>
      </c>
      <c r="K1053">
        <v>2.6</v>
      </c>
      <c r="L1053" t="s">
        <v>23</v>
      </c>
      <c r="M1053" t="s">
        <v>23</v>
      </c>
      <c r="N1053">
        <v>39</v>
      </c>
      <c r="O1053" t="s">
        <v>40</v>
      </c>
      <c r="P1053" t="s">
        <v>43</v>
      </c>
    </row>
    <row r="1054" spans="1:16" ht="14.5" x14ac:dyDescent="0.35">
      <c r="A1054">
        <v>1053</v>
      </c>
      <c r="B1054">
        <v>60</v>
      </c>
      <c r="C1054" t="s">
        <v>16</v>
      </c>
      <c r="D1054" t="s">
        <v>63</v>
      </c>
      <c r="E1054" t="s">
        <v>37</v>
      </c>
      <c r="F1054">
        <v>36</v>
      </c>
      <c r="G1054" t="s">
        <v>132</v>
      </c>
      <c r="H1054" t="s">
        <v>83</v>
      </c>
      <c r="I1054" t="s">
        <v>62</v>
      </c>
      <c r="J1054" t="s">
        <v>50</v>
      </c>
      <c r="K1054">
        <v>3</v>
      </c>
      <c r="L1054" t="s">
        <v>23</v>
      </c>
      <c r="M1054" t="s">
        <v>23</v>
      </c>
      <c r="N1054">
        <v>1</v>
      </c>
      <c r="O1054" t="s">
        <v>34</v>
      </c>
      <c r="P1054" t="s">
        <v>25</v>
      </c>
    </row>
    <row r="1055" spans="1:16" ht="14.5" x14ac:dyDescent="0.35">
      <c r="A1055">
        <v>1054</v>
      </c>
      <c r="B1055">
        <v>59</v>
      </c>
      <c r="C1055" t="s">
        <v>16</v>
      </c>
      <c r="D1055" t="s">
        <v>17</v>
      </c>
      <c r="E1055" t="s">
        <v>18</v>
      </c>
      <c r="F1055">
        <v>70</v>
      </c>
      <c r="G1055" t="s">
        <v>102</v>
      </c>
      <c r="H1055" t="s">
        <v>39</v>
      </c>
      <c r="I1055" t="s">
        <v>135</v>
      </c>
      <c r="J1055" t="s">
        <v>33</v>
      </c>
      <c r="K1055">
        <v>3.3</v>
      </c>
      <c r="L1055" t="s">
        <v>143</v>
      </c>
      <c r="M1055" t="s">
        <v>23</v>
      </c>
      <c r="N1055">
        <v>10</v>
      </c>
      <c r="O1055" t="s">
        <v>77</v>
      </c>
      <c r="P1055" t="s">
        <v>67</v>
      </c>
    </row>
    <row r="1056" spans="1:16" ht="14.5" x14ac:dyDescent="0.35">
      <c r="A1056">
        <v>1055</v>
      </c>
      <c r="B1056">
        <v>18</v>
      </c>
      <c r="C1056" t="s">
        <v>16</v>
      </c>
      <c r="D1056" t="s">
        <v>52</v>
      </c>
      <c r="E1056" t="s">
        <v>18</v>
      </c>
      <c r="F1056">
        <v>96</v>
      </c>
      <c r="G1056" t="s">
        <v>64</v>
      </c>
      <c r="H1056" t="s">
        <v>20</v>
      </c>
      <c r="I1056" t="s">
        <v>100</v>
      </c>
      <c r="J1056" t="s">
        <v>22</v>
      </c>
      <c r="K1056">
        <v>4.9000000000000004</v>
      </c>
      <c r="L1056" t="s">
        <v>143</v>
      </c>
      <c r="M1056" t="s">
        <v>23</v>
      </c>
      <c r="N1056">
        <v>48</v>
      </c>
      <c r="O1056" t="s">
        <v>40</v>
      </c>
      <c r="P1056" t="s">
        <v>51</v>
      </c>
    </row>
    <row r="1057" spans="1:16" ht="14.5" x14ac:dyDescent="0.35">
      <c r="A1057">
        <v>1056</v>
      </c>
      <c r="B1057">
        <v>70</v>
      </c>
      <c r="C1057" t="s">
        <v>16</v>
      </c>
      <c r="D1057" t="s">
        <v>93</v>
      </c>
      <c r="E1057" t="s">
        <v>56</v>
      </c>
      <c r="F1057">
        <v>27</v>
      </c>
      <c r="G1057" t="s">
        <v>31</v>
      </c>
      <c r="H1057" t="s">
        <v>39</v>
      </c>
      <c r="I1057" t="s">
        <v>112</v>
      </c>
      <c r="J1057" t="s">
        <v>33</v>
      </c>
      <c r="K1057">
        <v>3.3</v>
      </c>
      <c r="L1057" t="s">
        <v>143</v>
      </c>
      <c r="M1057" t="s">
        <v>23</v>
      </c>
      <c r="N1057">
        <v>24</v>
      </c>
      <c r="O1057" t="s">
        <v>77</v>
      </c>
      <c r="P1057" t="s">
        <v>43</v>
      </c>
    </row>
    <row r="1058" spans="1:16" ht="14.5" x14ac:dyDescent="0.35">
      <c r="A1058">
        <v>1057</v>
      </c>
      <c r="B1058">
        <v>20</v>
      </c>
      <c r="C1058" t="s">
        <v>16</v>
      </c>
      <c r="D1058" t="s">
        <v>26</v>
      </c>
      <c r="E1058" t="s">
        <v>18</v>
      </c>
      <c r="F1058">
        <v>64</v>
      </c>
      <c r="G1058" t="s">
        <v>126</v>
      </c>
      <c r="H1058" t="s">
        <v>20</v>
      </c>
      <c r="I1058" t="s">
        <v>85</v>
      </c>
      <c r="J1058" t="s">
        <v>22</v>
      </c>
      <c r="K1058">
        <v>2.9</v>
      </c>
      <c r="L1058" t="s">
        <v>143</v>
      </c>
      <c r="M1058" t="s">
        <v>23</v>
      </c>
      <c r="N1058">
        <v>42</v>
      </c>
      <c r="O1058" t="s">
        <v>24</v>
      </c>
      <c r="P1058" t="s">
        <v>25</v>
      </c>
    </row>
    <row r="1059" spans="1:16" ht="14.5" x14ac:dyDescent="0.35">
      <c r="A1059">
        <v>1058</v>
      </c>
      <c r="B1059">
        <v>65</v>
      </c>
      <c r="C1059" t="s">
        <v>16</v>
      </c>
      <c r="D1059" t="s">
        <v>93</v>
      </c>
      <c r="E1059" t="s">
        <v>56</v>
      </c>
      <c r="F1059">
        <v>23</v>
      </c>
      <c r="G1059" t="s">
        <v>141</v>
      </c>
      <c r="H1059" t="s">
        <v>32</v>
      </c>
      <c r="I1059" t="s">
        <v>28</v>
      </c>
      <c r="J1059" t="s">
        <v>33</v>
      </c>
      <c r="K1059">
        <v>4.4000000000000004</v>
      </c>
      <c r="L1059" t="s">
        <v>143</v>
      </c>
      <c r="M1059" t="s">
        <v>23</v>
      </c>
      <c r="N1059">
        <v>20</v>
      </c>
      <c r="O1059" t="s">
        <v>34</v>
      </c>
      <c r="P1059" t="s">
        <v>35</v>
      </c>
    </row>
    <row r="1060" spans="1:16" ht="14.5" x14ac:dyDescent="0.35">
      <c r="A1060">
        <v>1059</v>
      </c>
      <c r="B1060">
        <v>29</v>
      </c>
      <c r="C1060" t="s">
        <v>16</v>
      </c>
      <c r="D1060" t="s">
        <v>110</v>
      </c>
      <c r="E1060" t="s">
        <v>60</v>
      </c>
      <c r="F1060">
        <v>33</v>
      </c>
      <c r="G1060" t="s">
        <v>121</v>
      </c>
      <c r="H1060" t="s">
        <v>20</v>
      </c>
      <c r="I1060" t="s">
        <v>74</v>
      </c>
      <c r="J1060" t="s">
        <v>47</v>
      </c>
      <c r="K1060">
        <v>3.1</v>
      </c>
      <c r="L1060" t="s">
        <v>143</v>
      </c>
      <c r="M1060" t="s">
        <v>23</v>
      </c>
      <c r="N1060">
        <v>49</v>
      </c>
      <c r="O1060" t="s">
        <v>66</v>
      </c>
      <c r="P1060" t="s">
        <v>88</v>
      </c>
    </row>
    <row r="1061" spans="1:16" ht="14.5" x14ac:dyDescent="0.35">
      <c r="A1061">
        <v>1060</v>
      </c>
      <c r="B1061">
        <v>22</v>
      </c>
      <c r="C1061" t="s">
        <v>16</v>
      </c>
      <c r="D1061" t="s">
        <v>93</v>
      </c>
      <c r="E1061" t="s">
        <v>56</v>
      </c>
      <c r="F1061">
        <v>34</v>
      </c>
      <c r="G1061" t="s">
        <v>89</v>
      </c>
      <c r="H1061" t="s">
        <v>39</v>
      </c>
      <c r="I1061" t="s">
        <v>109</v>
      </c>
      <c r="J1061" t="s">
        <v>22</v>
      </c>
      <c r="K1061">
        <v>2.5</v>
      </c>
      <c r="L1061" t="s">
        <v>143</v>
      </c>
      <c r="M1061" t="s">
        <v>23</v>
      </c>
      <c r="N1061">
        <v>25</v>
      </c>
      <c r="O1061" t="s">
        <v>77</v>
      </c>
      <c r="P1061" t="s">
        <v>79</v>
      </c>
    </row>
    <row r="1062" spans="1:16" ht="14.5" x14ac:dyDescent="0.35">
      <c r="A1062">
        <v>1061</v>
      </c>
      <c r="B1062">
        <v>27</v>
      </c>
      <c r="C1062" t="s">
        <v>16</v>
      </c>
      <c r="D1062" t="s">
        <v>26</v>
      </c>
      <c r="E1062" t="s">
        <v>18</v>
      </c>
      <c r="F1062">
        <v>35</v>
      </c>
      <c r="G1062" t="s">
        <v>137</v>
      </c>
      <c r="H1062" t="s">
        <v>32</v>
      </c>
      <c r="I1062" t="s">
        <v>21</v>
      </c>
      <c r="J1062" t="s">
        <v>47</v>
      </c>
      <c r="K1062">
        <v>2.6</v>
      </c>
      <c r="L1062" t="s">
        <v>143</v>
      </c>
      <c r="M1062" t="s">
        <v>23</v>
      </c>
      <c r="N1062">
        <v>21</v>
      </c>
      <c r="O1062" t="s">
        <v>77</v>
      </c>
      <c r="P1062" t="s">
        <v>88</v>
      </c>
    </row>
    <row r="1063" spans="1:16" ht="14.5" x14ac:dyDescent="0.35">
      <c r="A1063">
        <v>1062</v>
      </c>
      <c r="B1063">
        <v>36</v>
      </c>
      <c r="C1063" t="s">
        <v>16</v>
      </c>
      <c r="D1063" t="s">
        <v>55</v>
      </c>
      <c r="E1063" t="s">
        <v>56</v>
      </c>
      <c r="F1063">
        <v>62</v>
      </c>
      <c r="G1063" t="s">
        <v>126</v>
      </c>
      <c r="H1063" t="s">
        <v>39</v>
      </c>
      <c r="I1063" t="s">
        <v>21</v>
      </c>
      <c r="J1063" t="s">
        <v>47</v>
      </c>
      <c r="K1063">
        <v>4.4000000000000004</v>
      </c>
      <c r="L1063" t="s">
        <v>143</v>
      </c>
      <c r="M1063" t="s">
        <v>23</v>
      </c>
      <c r="N1063">
        <v>12</v>
      </c>
      <c r="O1063" t="s">
        <v>24</v>
      </c>
      <c r="P1063" t="s">
        <v>88</v>
      </c>
    </row>
    <row r="1064" spans="1:16" ht="14.5" x14ac:dyDescent="0.35">
      <c r="A1064">
        <v>1063</v>
      </c>
      <c r="B1064">
        <v>59</v>
      </c>
      <c r="C1064" t="s">
        <v>16</v>
      </c>
      <c r="D1064" t="s">
        <v>128</v>
      </c>
      <c r="E1064" t="s">
        <v>37</v>
      </c>
      <c r="F1064">
        <v>75</v>
      </c>
      <c r="G1064" t="s">
        <v>114</v>
      </c>
      <c r="H1064" t="s">
        <v>39</v>
      </c>
      <c r="I1064" t="s">
        <v>101</v>
      </c>
      <c r="J1064" t="s">
        <v>50</v>
      </c>
      <c r="K1064">
        <v>2.6</v>
      </c>
      <c r="L1064" t="s">
        <v>143</v>
      </c>
      <c r="M1064" t="s">
        <v>23</v>
      </c>
      <c r="N1064">
        <v>21</v>
      </c>
      <c r="O1064" t="s">
        <v>77</v>
      </c>
      <c r="P1064" t="s">
        <v>88</v>
      </c>
    </row>
    <row r="1065" spans="1:16" ht="14.5" x14ac:dyDescent="0.35">
      <c r="A1065">
        <v>1064</v>
      </c>
      <c r="B1065">
        <v>62</v>
      </c>
      <c r="C1065" t="s">
        <v>16</v>
      </c>
      <c r="D1065" t="s">
        <v>95</v>
      </c>
      <c r="E1065" t="s">
        <v>18</v>
      </c>
      <c r="F1065">
        <v>29</v>
      </c>
      <c r="G1065" t="s">
        <v>81</v>
      </c>
      <c r="H1065" t="s">
        <v>32</v>
      </c>
      <c r="I1065" t="s">
        <v>117</v>
      </c>
      <c r="J1065" t="s">
        <v>47</v>
      </c>
      <c r="K1065">
        <v>3.3</v>
      </c>
      <c r="L1065" t="s">
        <v>143</v>
      </c>
      <c r="M1065" t="s">
        <v>23</v>
      </c>
      <c r="N1065">
        <v>35</v>
      </c>
      <c r="O1065" t="s">
        <v>29</v>
      </c>
      <c r="P1065" t="s">
        <v>79</v>
      </c>
    </row>
    <row r="1066" spans="1:16" ht="14.5" x14ac:dyDescent="0.35">
      <c r="A1066">
        <v>1065</v>
      </c>
      <c r="B1066">
        <v>34</v>
      </c>
      <c r="C1066" t="s">
        <v>16</v>
      </c>
      <c r="D1066" t="s">
        <v>115</v>
      </c>
      <c r="E1066" t="s">
        <v>60</v>
      </c>
      <c r="F1066">
        <v>28</v>
      </c>
      <c r="G1066" t="s">
        <v>45</v>
      </c>
      <c r="H1066" t="s">
        <v>39</v>
      </c>
      <c r="I1066" t="s">
        <v>74</v>
      </c>
      <c r="J1066" t="s">
        <v>33</v>
      </c>
      <c r="K1066">
        <v>3.5</v>
      </c>
      <c r="L1066" t="s">
        <v>143</v>
      </c>
      <c r="M1066" t="s">
        <v>23</v>
      </c>
      <c r="N1066">
        <v>42</v>
      </c>
      <c r="O1066" t="s">
        <v>34</v>
      </c>
      <c r="P1066" t="s">
        <v>88</v>
      </c>
    </row>
    <row r="1067" spans="1:16" ht="14.5" x14ac:dyDescent="0.35">
      <c r="A1067">
        <v>1066</v>
      </c>
      <c r="B1067">
        <v>59</v>
      </c>
      <c r="C1067" t="s">
        <v>16</v>
      </c>
      <c r="D1067" t="s">
        <v>104</v>
      </c>
      <c r="E1067" t="s">
        <v>18</v>
      </c>
      <c r="F1067">
        <v>20</v>
      </c>
      <c r="G1067" t="s">
        <v>81</v>
      </c>
      <c r="H1067" t="s">
        <v>83</v>
      </c>
      <c r="I1067" t="s">
        <v>135</v>
      </c>
      <c r="J1067" t="s">
        <v>33</v>
      </c>
      <c r="K1067">
        <v>4.0999999999999996</v>
      </c>
      <c r="L1067" t="s">
        <v>143</v>
      </c>
      <c r="M1067" t="s">
        <v>23</v>
      </c>
      <c r="N1067">
        <v>3</v>
      </c>
      <c r="O1067" t="s">
        <v>40</v>
      </c>
      <c r="P1067" t="s">
        <v>88</v>
      </c>
    </row>
    <row r="1068" spans="1:16" ht="14.5" x14ac:dyDescent="0.35">
      <c r="A1068">
        <v>1067</v>
      </c>
      <c r="B1068">
        <v>49</v>
      </c>
      <c r="C1068" t="s">
        <v>16</v>
      </c>
      <c r="D1068" t="s">
        <v>55</v>
      </c>
      <c r="E1068" t="s">
        <v>56</v>
      </c>
      <c r="F1068">
        <v>96</v>
      </c>
      <c r="G1068" t="s">
        <v>82</v>
      </c>
      <c r="H1068" t="s">
        <v>39</v>
      </c>
      <c r="I1068" t="s">
        <v>99</v>
      </c>
      <c r="J1068" t="s">
        <v>22</v>
      </c>
      <c r="K1068">
        <v>4</v>
      </c>
      <c r="L1068" t="s">
        <v>143</v>
      </c>
      <c r="M1068" t="s">
        <v>23</v>
      </c>
      <c r="N1068">
        <v>11</v>
      </c>
      <c r="O1068" t="s">
        <v>40</v>
      </c>
      <c r="P1068" t="s">
        <v>67</v>
      </c>
    </row>
    <row r="1069" spans="1:16" ht="14.5" x14ac:dyDescent="0.35">
      <c r="A1069">
        <v>1068</v>
      </c>
      <c r="B1069">
        <v>18</v>
      </c>
      <c r="C1069" t="s">
        <v>16</v>
      </c>
      <c r="D1069" t="s">
        <v>72</v>
      </c>
      <c r="E1069" t="s">
        <v>18</v>
      </c>
      <c r="F1069">
        <v>43</v>
      </c>
      <c r="G1069" t="s">
        <v>129</v>
      </c>
      <c r="H1069" t="s">
        <v>32</v>
      </c>
      <c r="I1069" t="s">
        <v>91</v>
      </c>
      <c r="J1069" t="s">
        <v>47</v>
      </c>
      <c r="K1069">
        <v>2.7</v>
      </c>
      <c r="L1069" t="s">
        <v>143</v>
      </c>
      <c r="M1069" t="s">
        <v>23</v>
      </c>
      <c r="N1069">
        <v>22</v>
      </c>
      <c r="O1069" t="s">
        <v>40</v>
      </c>
      <c r="P1069" t="s">
        <v>51</v>
      </c>
    </row>
    <row r="1070" spans="1:16" ht="14.5" x14ac:dyDescent="0.35">
      <c r="A1070">
        <v>1069</v>
      </c>
      <c r="B1070">
        <v>55</v>
      </c>
      <c r="C1070" t="s">
        <v>16</v>
      </c>
      <c r="D1070" t="s">
        <v>48</v>
      </c>
      <c r="E1070" t="s">
        <v>18</v>
      </c>
      <c r="F1070">
        <v>94</v>
      </c>
      <c r="G1070" t="s">
        <v>45</v>
      </c>
      <c r="H1070" t="s">
        <v>39</v>
      </c>
      <c r="I1070" t="s">
        <v>69</v>
      </c>
      <c r="J1070" t="s">
        <v>50</v>
      </c>
      <c r="K1070">
        <v>2.5</v>
      </c>
      <c r="L1070" t="s">
        <v>143</v>
      </c>
      <c r="M1070" t="s">
        <v>23</v>
      </c>
      <c r="N1070">
        <v>47</v>
      </c>
      <c r="O1070" t="s">
        <v>34</v>
      </c>
      <c r="P1070" t="s">
        <v>35</v>
      </c>
    </row>
    <row r="1071" spans="1:16" ht="14.5" x14ac:dyDescent="0.35">
      <c r="A1071">
        <v>1070</v>
      </c>
      <c r="B1071">
        <v>38</v>
      </c>
      <c r="C1071" t="s">
        <v>16</v>
      </c>
      <c r="D1071" t="s">
        <v>78</v>
      </c>
      <c r="E1071" t="s">
        <v>18</v>
      </c>
      <c r="F1071">
        <v>81</v>
      </c>
      <c r="G1071" t="s">
        <v>119</v>
      </c>
      <c r="H1071" t="s">
        <v>83</v>
      </c>
      <c r="I1071" t="s">
        <v>46</v>
      </c>
      <c r="J1071" t="s">
        <v>50</v>
      </c>
      <c r="K1071">
        <v>4.3</v>
      </c>
      <c r="L1071" t="s">
        <v>143</v>
      </c>
      <c r="M1071" t="s">
        <v>23</v>
      </c>
      <c r="N1071">
        <v>33</v>
      </c>
      <c r="O1071" t="s">
        <v>24</v>
      </c>
      <c r="P1071" t="s">
        <v>88</v>
      </c>
    </row>
    <row r="1072" spans="1:16" ht="14.5" x14ac:dyDescent="0.35">
      <c r="A1072">
        <v>1071</v>
      </c>
      <c r="B1072">
        <v>50</v>
      </c>
      <c r="C1072" t="s">
        <v>16</v>
      </c>
      <c r="D1072" t="s">
        <v>97</v>
      </c>
      <c r="E1072" t="s">
        <v>60</v>
      </c>
      <c r="F1072">
        <v>75</v>
      </c>
      <c r="G1072" t="s">
        <v>89</v>
      </c>
      <c r="H1072" t="s">
        <v>39</v>
      </c>
      <c r="I1072" t="s">
        <v>127</v>
      </c>
      <c r="J1072" t="s">
        <v>47</v>
      </c>
      <c r="K1072">
        <v>3.3</v>
      </c>
      <c r="L1072" t="s">
        <v>143</v>
      </c>
      <c r="M1072" t="s">
        <v>23</v>
      </c>
      <c r="N1072">
        <v>50</v>
      </c>
      <c r="O1072" t="s">
        <v>77</v>
      </c>
      <c r="P1072" t="s">
        <v>35</v>
      </c>
    </row>
    <row r="1073" spans="1:16" ht="14.5" x14ac:dyDescent="0.35">
      <c r="A1073">
        <v>1072</v>
      </c>
      <c r="B1073">
        <v>61</v>
      </c>
      <c r="C1073" t="s">
        <v>16</v>
      </c>
      <c r="D1073" t="s">
        <v>115</v>
      </c>
      <c r="E1073" t="s">
        <v>60</v>
      </c>
      <c r="F1073">
        <v>81</v>
      </c>
      <c r="G1073" t="s">
        <v>129</v>
      </c>
      <c r="H1073" t="s">
        <v>39</v>
      </c>
      <c r="I1073" t="s">
        <v>109</v>
      </c>
      <c r="J1073" t="s">
        <v>47</v>
      </c>
      <c r="K1073">
        <v>2.6</v>
      </c>
      <c r="L1073" t="s">
        <v>143</v>
      </c>
      <c r="M1073" t="s">
        <v>23</v>
      </c>
      <c r="N1073">
        <v>46</v>
      </c>
      <c r="O1073" t="s">
        <v>34</v>
      </c>
      <c r="P1073" t="s">
        <v>79</v>
      </c>
    </row>
    <row r="1074" spans="1:16" ht="14.5" x14ac:dyDescent="0.35">
      <c r="A1074">
        <v>1073</v>
      </c>
      <c r="B1074">
        <v>48</v>
      </c>
      <c r="C1074" t="s">
        <v>16</v>
      </c>
      <c r="D1074" t="s">
        <v>52</v>
      </c>
      <c r="E1074" t="s">
        <v>18</v>
      </c>
      <c r="F1074">
        <v>92</v>
      </c>
      <c r="G1074" t="s">
        <v>126</v>
      </c>
      <c r="H1074" t="s">
        <v>20</v>
      </c>
      <c r="I1074" t="s">
        <v>71</v>
      </c>
      <c r="J1074" t="s">
        <v>50</v>
      </c>
      <c r="K1074">
        <v>3.5</v>
      </c>
      <c r="L1074" t="s">
        <v>143</v>
      </c>
      <c r="M1074" t="s">
        <v>23</v>
      </c>
      <c r="N1074">
        <v>34</v>
      </c>
      <c r="O1074" t="s">
        <v>77</v>
      </c>
      <c r="P1074" t="s">
        <v>25</v>
      </c>
    </row>
    <row r="1075" spans="1:16" ht="14.5" x14ac:dyDescent="0.35">
      <c r="A1075">
        <v>1074</v>
      </c>
      <c r="B1075">
        <v>22</v>
      </c>
      <c r="C1075" t="s">
        <v>16</v>
      </c>
      <c r="D1075" t="s">
        <v>110</v>
      </c>
      <c r="E1075" t="s">
        <v>60</v>
      </c>
      <c r="F1075">
        <v>96</v>
      </c>
      <c r="G1075" t="s">
        <v>90</v>
      </c>
      <c r="H1075" t="s">
        <v>83</v>
      </c>
      <c r="I1075" t="s">
        <v>65</v>
      </c>
      <c r="J1075" t="s">
        <v>33</v>
      </c>
      <c r="K1075">
        <v>4</v>
      </c>
      <c r="L1075" t="s">
        <v>143</v>
      </c>
      <c r="M1075" t="s">
        <v>23</v>
      </c>
      <c r="N1075">
        <v>33</v>
      </c>
      <c r="O1075" t="s">
        <v>34</v>
      </c>
      <c r="P1075" t="s">
        <v>79</v>
      </c>
    </row>
    <row r="1076" spans="1:16" ht="14.5" x14ac:dyDescent="0.35">
      <c r="A1076">
        <v>1075</v>
      </c>
      <c r="B1076">
        <v>48</v>
      </c>
      <c r="C1076" t="s">
        <v>16</v>
      </c>
      <c r="D1076" t="s">
        <v>97</v>
      </c>
      <c r="E1076" t="s">
        <v>60</v>
      </c>
      <c r="F1076">
        <v>71</v>
      </c>
      <c r="G1076" t="s">
        <v>113</v>
      </c>
      <c r="H1076" t="s">
        <v>32</v>
      </c>
      <c r="I1076" t="s">
        <v>46</v>
      </c>
      <c r="J1076" t="s">
        <v>50</v>
      </c>
      <c r="K1076">
        <v>2.6</v>
      </c>
      <c r="L1076" t="s">
        <v>143</v>
      </c>
      <c r="M1076" t="s">
        <v>23</v>
      </c>
      <c r="N1076">
        <v>45</v>
      </c>
      <c r="O1076" t="s">
        <v>66</v>
      </c>
      <c r="P1076" t="s">
        <v>25</v>
      </c>
    </row>
    <row r="1077" spans="1:16" ht="14.5" x14ac:dyDescent="0.35">
      <c r="A1077">
        <v>1076</v>
      </c>
      <c r="B1077">
        <v>57</v>
      </c>
      <c r="C1077" t="s">
        <v>16</v>
      </c>
      <c r="D1077" t="s">
        <v>80</v>
      </c>
      <c r="E1077" t="s">
        <v>60</v>
      </c>
      <c r="F1077">
        <v>50</v>
      </c>
      <c r="G1077" t="s">
        <v>61</v>
      </c>
      <c r="H1077" t="s">
        <v>20</v>
      </c>
      <c r="I1077" t="s">
        <v>117</v>
      </c>
      <c r="J1077" t="s">
        <v>47</v>
      </c>
      <c r="K1077">
        <v>4.9000000000000004</v>
      </c>
      <c r="L1077" t="s">
        <v>143</v>
      </c>
      <c r="M1077" t="s">
        <v>23</v>
      </c>
      <c r="N1077">
        <v>32</v>
      </c>
      <c r="O1077" t="s">
        <v>77</v>
      </c>
      <c r="P1077" t="s">
        <v>67</v>
      </c>
    </row>
    <row r="1078" spans="1:16" ht="14.5" x14ac:dyDescent="0.35">
      <c r="A1078">
        <v>1077</v>
      </c>
      <c r="B1078">
        <v>33</v>
      </c>
      <c r="C1078" t="s">
        <v>16</v>
      </c>
      <c r="D1078" t="s">
        <v>55</v>
      </c>
      <c r="E1078" t="s">
        <v>56</v>
      </c>
      <c r="F1078">
        <v>72</v>
      </c>
      <c r="G1078" t="s">
        <v>105</v>
      </c>
      <c r="H1078" t="s">
        <v>20</v>
      </c>
      <c r="I1078" t="s">
        <v>54</v>
      </c>
      <c r="J1078" t="s">
        <v>33</v>
      </c>
      <c r="K1078">
        <v>2.9</v>
      </c>
      <c r="L1078" t="s">
        <v>143</v>
      </c>
      <c r="M1078" t="s">
        <v>23</v>
      </c>
      <c r="N1078">
        <v>47</v>
      </c>
      <c r="O1078" t="s">
        <v>24</v>
      </c>
      <c r="P1078" t="s">
        <v>67</v>
      </c>
    </row>
    <row r="1079" spans="1:16" ht="14.5" x14ac:dyDescent="0.35">
      <c r="A1079">
        <v>1078</v>
      </c>
      <c r="B1079">
        <v>58</v>
      </c>
      <c r="C1079" t="s">
        <v>16</v>
      </c>
      <c r="D1079" t="s">
        <v>93</v>
      </c>
      <c r="E1079" t="s">
        <v>56</v>
      </c>
      <c r="F1079">
        <v>28</v>
      </c>
      <c r="G1079" t="s">
        <v>57</v>
      </c>
      <c r="H1079" t="s">
        <v>39</v>
      </c>
      <c r="I1079" t="s">
        <v>62</v>
      </c>
      <c r="J1079" t="s">
        <v>22</v>
      </c>
      <c r="K1079">
        <v>3.7</v>
      </c>
      <c r="L1079" t="s">
        <v>143</v>
      </c>
      <c r="M1079" t="s">
        <v>23</v>
      </c>
      <c r="N1079">
        <v>5</v>
      </c>
      <c r="O1079" t="s">
        <v>40</v>
      </c>
      <c r="P1079" t="s">
        <v>51</v>
      </c>
    </row>
    <row r="1080" spans="1:16" ht="14.5" x14ac:dyDescent="0.35">
      <c r="A1080">
        <v>1079</v>
      </c>
      <c r="B1080">
        <v>37</v>
      </c>
      <c r="C1080" t="s">
        <v>16</v>
      </c>
      <c r="D1080" t="s">
        <v>26</v>
      </c>
      <c r="E1080" t="s">
        <v>18</v>
      </c>
      <c r="F1080">
        <v>59</v>
      </c>
      <c r="G1080" t="s">
        <v>108</v>
      </c>
      <c r="H1080" t="s">
        <v>39</v>
      </c>
      <c r="I1080" t="s">
        <v>58</v>
      </c>
      <c r="J1080" t="s">
        <v>50</v>
      </c>
      <c r="K1080">
        <v>4.4000000000000004</v>
      </c>
      <c r="L1080" t="s">
        <v>143</v>
      </c>
      <c r="M1080" t="s">
        <v>23</v>
      </c>
      <c r="N1080">
        <v>49</v>
      </c>
      <c r="O1080" t="s">
        <v>34</v>
      </c>
      <c r="P1080" t="s">
        <v>25</v>
      </c>
    </row>
    <row r="1081" spans="1:16" ht="14.5" x14ac:dyDescent="0.35">
      <c r="A1081">
        <v>1080</v>
      </c>
      <c r="B1081">
        <v>18</v>
      </c>
      <c r="C1081" t="s">
        <v>16</v>
      </c>
      <c r="D1081" t="s">
        <v>55</v>
      </c>
      <c r="E1081" t="s">
        <v>56</v>
      </c>
      <c r="F1081">
        <v>33</v>
      </c>
      <c r="G1081" t="s">
        <v>92</v>
      </c>
      <c r="H1081" t="s">
        <v>32</v>
      </c>
      <c r="I1081" t="s">
        <v>135</v>
      </c>
      <c r="J1081" t="s">
        <v>47</v>
      </c>
      <c r="K1081">
        <v>4.4000000000000004</v>
      </c>
      <c r="L1081" t="s">
        <v>143</v>
      </c>
      <c r="M1081" t="s">
        <v>23</v>
      </c>
      <c r="N1081">
        <v>48</v>
      </c>
      <c r="O1081" t="s">
        <v>66</v>
      </c>
      <c r="P1081" t="s">
        <v>79</v>
      </c>
    </row>
    <row r="1082" spans="1:16" ht="14.5" x14ac:dyDescent="0.35">
      <c r="A1082">
        <v>1081</v>
      </c>
      <c r="B1082">
        <v>65</v>
      </c>
      <c r="C1082" t="s">
        <v>16</v>
      </c>
      <c r="D1082" t="s">
        <v>110</v>
      </c>
      <c r="E1082" t="s">
        <v>60</v>
      </c>
      <c r="F1082">
        <v>59</v>
      </c>
      <c r="G1082" t="s">
        <v>129</v>
      </c>
      <c r="H1082" t="s">
        <v>20</v>
      </c>
      <c r="I1082" t="s">
        <v>135</v>
      </c>
      <c r="J1082" t="s">
        <v>50</v>
      </c>
      <c r="K1082">
        <v>3.8</v>
      </c>
      <c r="L1082" t="s">
        <v>143</v>
      </c>
      <c r="M1082" t="s">
        <v>23</v>
      </c>
      <c r="N1082">
        <v>22</v>
      </c>
      <c r="O1082" t="s">
        <v>29</v>
      </c>
      <c r="P1082" t="s">
        <v>88</v>
      </c>
    </row>
    <row r="1083" spans="1:16" ht="14.5" x14ac:dyDescent="0.35">
      <c r="A1083">
        <v>1082</v>
      </c>
      <c r="B1083">
        <v>62</v>
      </c>
      <c r="C1083" t="s">
        <v>16</v>
      </c>
      <c r="D1083" t="s">
        <v>124</v>
      </c>
      <c r="E1083" t="s">
        <v>60</v>
      </c>
      <c r="F1083">
        <v>30</v>
      </c>
      <c r="G1083" t="s">
        <v>126</v>
      </c>
      <c r="H1083" t="s">
        <v>83</v>
      </c>
      <c r="I1083" t="s">
        <v>101</v>
      </c>
      <c r="J1083" t="s">
        <v>33</v>
      </c>
      <c r="K1083">
        <v>4.5</v>
      </c>
      <c r="L1083" t="s">
        <v>143</v>
      </c>
      <c r="M1083" t="s">
        <v>23</v>
      </c>
      <c r="N1083">
        <v>45</v>
      </c>
      <c r="O1083" t="s">
        <v>34</v>
      </c>
      <c r="P1083" t="s">
        <v>43</v>
      </c>
    </row>
    <row r="1084" spans="1:16" ht="14.5" x14ac:dyDescent="0.35">
      <c r="A1084">
        <v>1083</v>
      </c>
      <c r="B1084">
        <v>54</v>
      </c>
      <c r="C1084" t="s">
        <v>16</v>
      </c>
      <c r="D1084" t="s">
        <v>115</v>
      </c>
      <c r="E1084" t="s">
        <v>60</v>
      </c>
      <c r="F1084">
        <v>85</v>
      </c>
      <c r="G1084" t="s">
        <v>122</v>
      </c>
      <c r="H1084" t="s">
        <v>83</v>
      </c>
      <c r="I1084" t="s">
        <v>100</v>
      </c>
      <c r="J1084" t="s">
        <v>22</v>
      </c>
      <c r="K1084">
        <v>2.6</v>
      </c>
      <c r="L1084" t="s">
        <v>143</v>
      </c>
      <c r="M1084" t="s">
        <v>23</v>
      </c>
      <c r="N1084">
        <v>30</v>
      </c>
      <c r="O1084" t="s">
        <v>24</v>
      </c>
      <c r="P1084" t="s">
        <v>51</v>
      </c>
    </row>
    <row r="1085" spans="1:16" ht="14.5" x14ac:dyDescent="0.35">
      <c r="A1085">
        <v>1084</v>
      </c>
      <c r="B1085">
        <v>35</v>
      </c>
      <c r="C1085" t="s">
        <v>16</v>
      </c>
      <c r="D1085" t="s">
        <v>123</v>
      </c>
      <c r="E1085" t="s">
        <v>60</v>
      </c>
      <c r="F1085">
        <v>97</v>
      </c>
      <c r="G1085" t="s">
        <v>140</v>
      </c>
      <c r="H1085" t="s">
        <v>20</v>
      </c>
      <c r="I1085" t="s">
        <v>76</v>
      </c>
      <c r="J1085" t="s">
        <v>47</v>
      </c>
      <c r="K1085">
        <v>3.3</v>
      </c>
      <c r="L1085" t="s">
        <v>143</v>
      </c>
      <c r="M1085" t="s">
        <v>23</v>
      </c>
      <c r="N1085">
        <v>43</v>
      </c>
      <c r="O1085" t="s">
        <v>29</v>
      </c>
      <c r="P1085" t="s">
        <v>35</v>
      </c>
    </row>
    <row r="1086" spans="1:16" ht="14.5" x14ac:dyDescent="0.35">
      <c r="A1086">
        <v>1085</v>
      </c>
      <c r="B1086">
        <v>34</v>
      </c>
      <c r="C1086" t="s">
        <v>16</v>
      </c>
      <c r="D1086" t="s">
        <v>104</v>
      </c>
      <c r="E1086" t="s">
        <v>18</v>
      </c>
      <c r="F1086">
        <v>36</v>
      </c>
      <c r="G1086" t="s">
        <v>64</v>
      </c>
      <c r="H1086" t="s">
        <v>32</v>
      </c>
      <c r="I1086" t="s">
        <v>65</v>
      </c>
      <c r="J1086" t="s">
        <v>50</v>
      </c>
      <c r="K1086">
        <v>4.0999999999999996</v>
      </c>
      <c r="L1086" t="s">
        <v>143</v>
      </c>
      <c r="M1086" t="s">
        <v>23</v>
      </c>
      <c r="N1086">
        <v>48</v>
      </c>
      <c r="O1086" t="s">
        <v>29</v>
      </c>
      <c r="P1086" t="s">
        <v>51</v>
      </c>
    </row>
    <row r="1087" spans="1:16" ht="14.5" x14ac:dyDescent="0.35">
      <c r="A1087">
        <v>1086</v>
      </c>
      <c r="B1087">
        <v>25</v>
      </c>
      <c r="C1087" t="s">
        <v>16</v>
      </c>
      <c r="D1087" t="s">
        <v>97</v>
      </c>
      <c r="E1087" t="s">
        <v>60</v>
      </c>
      <c r="F1087">
        <v>85</v>
      </c>
      <c r="G1087" t="s">
        <v>131</v>
      </c>
      <c r="H1087" t="s">
        <v>39</v>
      </c>
      <c r="I1087" t="s">
        <v>42</v>
      </c>
      <c r="J1087" t="s">
        <v>22</v>
      </c>
      <c r="K1087">
        <v>3</v>
      </c>
      <c r="L1087" t="s">
        <v>143</v>
      </c>
      <c r="M1087" t="s">
        <v>23</v>
      </c>
      <c r="N1087">
        <v>23</v>
      </c>
      <c r="O1087" t="s">
        <v>24</v>
      </c>
      <c r="P1087" t="s">
        <v>25</v>
      </c>
    </row>
    <row r="1088" spans="1:16" ht="14.5" x14ac:dyDescent="0.35">
      <c r="A1088">
        <v>1087</v>
      </c>
      <c r="B1088">
        <v>53</v>
      </c>
      <c r="C1088" t="s">
        <v>16</v>
      </c>
      <c r="D1088" t="s">
        <v>80</v>
      </c>
      <c r="E1088" t="s">
        <v>60</v>
      </c>
      <c r="F1088">
        <v>62</v>
      </c>
      <c r="G1088" t="s">
        <v>111</v>
      </c>
      <c r="H1088" t="s">
        <v>39</v>
      </c>
      <c r="I1088" t="s">
        <v>69</v>
      </c>
      <c r="J1088" t="s">
        <v>22</v>
      </c>
      <c r="K1088">
        <v>3</v>
      </c>
      <c r="L1088" t="s">
        <v>143</v>
      </c>
      <c r="M1088" t="s">
        <v>23</v>
      </c>
      <c r="N1088">
        <v>27</v>
      </c>
      <c r="O1088" t="s">
        <v>40</v>
      </c>
      <c r="P1088" t="s">
        <v>67</v>
      </c>
    </row>
    <row r="1089" spans="1:16" ht="14.5" x14ac:dyDescent="0.35">
      <c r="A1089">
        <v>1088</v>
      </c>
      <c r="B1089">
        <v>45</v>
      </c>
      <c r="C1089" t="s">
        <v>16</v>
      </c>
      <c r="D1089" t="s">
        <v>30</v>
      </c>
      <c r="E1089" t="s">
        <v>18</v>
      </c>
      <c r="F1089">
        <v>71</v>
      </c>
      <c r="G1089" t="s">
        <v>57</v>
      </c>
      <c r="H1089" t="s">
        <v>32</v>
      </c>
      <c r="I1089" t="s">
        <v>46</v>
      </c>
      <c r="J1089" t="s">
        <v>22</v>
      </c>
      <c r="K1089">
        <v>3.4</v>
      </c>
      <c r="L1089" t="s">
        <v>143</v>
      </c>
      <c r="M1089" t="s">
        <v>23</v>
      </c>
      <c r="N1089">
        <v>7</v>
      </c>
      <c r="O1089" t="s">
        <v>66</v>
      </c>
      <c r="P1089" t="s">
        <v>79</v>
      </c>
    </row>
    <row r="1090" spans="1:16" ht="14.5" x14ac:dyDescent="0.35">
      <c r="A1090">
        <v>1089</v>
      </c>
      <c r="B1090">
        <v>49</v>
      </c>
      <c r="C1090" t="s">
        <v>16</v>
      </c>
      <c r="D1090" t="s">
        <v>86</v>
      </c>
      <c r="E1090" t="s">
        <v>18</v>
      </c>
      <c r="F1090">
        <v>21</v>
      </c>
      <c r="G1090" t="s">
        <v>53</v>
      </c>
      <c r="H1090" t="s">
        <v>39</v>
      </c>
      <c r="I1090" t="s">
        <v>42</v>
      </c>
      <c r="J1090" t="s">
        <v>22</v>
      </c>
      <c r="K1090">
        <v>2.7</v>
      </c>
      <c r="L1090" t="s">
        <v>143</v>
      </c>
      <c r="M1090" t="s">
        <v>23</v>
      </c>
      <c r="N1090">
        <v>2</v>
      </c>
      <c r="O1090" t="s">
        <v>40</v>
      </c>
      <c r="P1090" t="s">
        <v>35</v>
      </c>
    </row>
    <row r="1091" spans="1:16" ht="14.5" x14ac:dyDescent="0.35">
      <c r="A1091">
        <v>1090</v>
      </c>
      <c r="B1091">
        <v>40</v>
      </c>
      <c r="C1091" t="s">
        <v>16</v>
      </c>
      <c r="D1091" t="s">
        <v>123</v>
      </c>
      <c r="E1091" t="s">
        <v>60</v>
      </c>
      <c r="F1091">
        <v>61</v>
      </c>
      <c r="G1091" t="s">
        <v>108</v>
      </c>
      <c r="H1091" t="s">
        <v>39</v>
      </c>
      <c r="I1091" t="s">
        <v>58</v>
      </c>
      <c r="J1091" t="s">
        <v>33</v>
      </c>
      <c r="K1091">
        <v>3.8</v>
      </c>
      <c r="L1091" t="s">
        <v>143</v>
      </c>
      <c r="M1091" t="s">
        <v>23</v>
      </c>
      <c r="N1091">
        <v>33</v>
      </c>
      <c r="O1091" t="s">
        <v>40</v>
      </c>
      <c r="P1091" t="s">
        <v>67</v>
      </c>
    </row>
    <row r="1092" spans="1:16" ht="14.5" x14ac:dyDescent="0.35">
      <c r="A1092">
        <v>1091</v>
      </c>
      <c r="B1092">
        <v>38</v>
      </c>
      <c r="C1092" t="s">
        <v>16</v>
      </c>
      <c r="D1092" t="s">
        <v>110</v>
      </c>
      <c r="E1092" t="s">
        <v>60</v>
      </c>
      <c r="F1092">
        <v>58</v>
      </c>
      <c r="G1092" t="s">
        <v>130</v>
      </c>
      <c r="H1092" t="s">
        <v>39</v>
      </c>
      <c r="I1092" t="s">
        <v>74</v>
      </c>
      <c r="J1092" t="s">
        <v>33</v>
      </c>
      <c r="K1092">
        <v>4.2</v>
      </c>
      <c r="L1092" t="s">
        <v>143</v>
      </c>
      <c r="M1092" t="s">
        <v>23</v>
      </c>
      <c r="N1092">
        <v>27</v>
      </c>
      <c r="O1092" t="s">
        <v>29</v>
      </c>
      <c r="P1092" t="s">
        <v>25</v>
      </c>
    </row>
    <row r="1093" spans="1:16" ht="14.5" x14ac:dyDescent="0.35">
      <c r="A1093">
        <v>1092</v>
      </c>
      <c r="B1093">
        <v>44</v>
      </c>
      <c r="C1093" t="s">
        <v>16</v>
      </c>
      <c r="D1093" t="s">
        <v>26</v>
      </c>
      <c r="E1093" t="s">
        <v>18</v>
      </c>
      <c r="F1093">
        <v>80</v>
      </c>
      <c r="G1093" t="s">
        <v>89</v>
      </c>
      <c r="H1093" t="s">
        <v>20</v>
      </c>
      <c r="I1093" t="s">
        <v>84</v>
      </c>
      <c r="J1093" t="s">
        <v>33</v>
      </c>
      <c r="K1093">
        <v>4.7</v>
      </c>
      <c r="L1093" t="s">
        <v>143</v>
      </c>
      <c r="M1093" t="s">
        <v>23</v>
      </c>
      <c r="N1093">
        <v>6</v>
      </c>
      <c r="O1093" t="s">
        <v>34</v>
      </c>
      <c r="P1093" t="s">
        <v>25</v>
      </c>
    </row>
    <row r="1094" spans="1:16" ht="14.5" x14ac:dyDescent="0.35">
      <c r="A1094">
        <v>1093</v>
      </c>
      <c r="B1094">
        <v>68</v>
      </c>
      <c r="C1094" t="s">
        <v>16</v>
      </c>
      <c r="D1094" t="s">
        <v>97</v>
      </c>
      <c r="E1094" t="s">
        <v>60</v>
      </c>
      <c r="F1094">
        <v>50</v>
      </c>
      <c r="G1094" t="s">
        <v>138</v>
      </c>
      <c r="H1094" t="s">
        <v>20</v>
      </c>
      <c r="I1094" t="s">
        <v>127</v>
      </c>
      <c r="J1094" t="s">
        <v>33</v>
      </c>
      <c r="K1094">
        <v>4.0999999999999996</v>
      </c>
      <c r="L1094" t="s">
        <v>143</v>
      </c>
      <c r="M1094" t="s">
        <v>23</v>
      </c>
      <c r="N1094">
        <v>20</v>
      </c>
      <c r="O1094" t="s">
        <v>24</v>
      </c>
      <c r="P1094" t="s">
        <v>51</v>
      </c>
    </row>
    <row r="1095" spans="1:16" ht="14.5" x14ac:dyDescent="0.35">
      <c r="A1095">
        <v>1094</v>
      </c>
      <c r="B1095">
        <v>60</v>
      </c>
      <c r="C1095" t="s">
        <v>16</v>
      </c>
      <c r="D1095" t="s">
        <v>44</v>
      </c>
      <c r="E1095" t="s">
        <v>37</v>
      </c>
      <c r="F1095">
        <v>48</v>
      </c>
      <c r="G1095" t="s">
        <v>70</v>
      </c>
      <c r="H1095" t="s">
        <v>32</v>
      </c>
      <c r="I1095" t="s">
        <v>117</v>
      </c>
      <c r="J1095" t="s">
        <v>22</v>
      </c>
      <c r="K1095">
        <v>4.2</v>
      </c>
      <c r="L1095" t="s">
        <v>143</v>
      </c>
      <c r="M1095" t="s">
        <v>23</v>
      </c>
      <c r="N1095">
        <v>46</v>
      </c>
      <c r="O1095" t="s">
        <v>24</v>
      </c>
      <c r="P1095" t="s">
        <v>88</v>
      </c>
    </row>
    <row r="1096" spans="1:16" ht="14.5" x14ac:dyDescent="0.35">
      <c r="A1096">
        <v>1095</v>
      </c>
      <c r="B1096">
        <v>25</v>
      </c>
      <c r="C1096" t="s">
        <v>16</v>
      </c>
      <c r="D1096" t="s">
        <v>97</v>
      </c>
      <c r="E1096" t="s">
        <v>60</v>
      </c>
      <c r="F1096">
        <v>40</v>
      </c>
      <c r="G1096" t="s">
        <v>130</v>
      </c>
      <c r="H1096" t="s">
        <v>39</v>
      </c>
      <c r="I1096" t="s">
        <v>85</v>
      </c>
      <c r="J1096" t="s">
        <v>22</v>
      </c>
      <c r="K1096">
        <v>4.8</v>
      </c>
      <c r="L1096" t="s">
        <v>143</v>
      </c>
      <c r="M1096" t="s">
        <v>23</v>
      </c>
      <c r="N1096">
        <v>25</v>
      </c>
      <c r="O1096" t="s">
        <v>29</v>
      </c>
      <c r="P1096" t="s">
        <v>51</v>
      </c>
    </row>
    <row r="1097" spans="1:16" ht="14.5" x14ac:dyDescent="0.35">
      <c r="A1097">
        <v>1096</v>
      </c>
      <c r="B1097">
        <v>19</v>
      </c>
      <c r="C1097" t="s">
        <v>16</v>
      </c>
      <c r="D1097" t="s">
        <v>55</v>
      </c>
      <c r="E1097" t="s">
        <v>56</v>
      </c>
      <c r="F1097">
        <v>34</v>
      </c>
      <c r="G1097" t="s">
        <v>113</v>
      </c>
      <c r="H1097" t="s">
        <v>32</v>
      </c>
      <c r="I1097" t="s">
        <v>91</v>
      </c>
      <c r="J1097" t="s">
        <v>47</v>
      </c>
      <c r="K1097">
        <v>3</v>
      </c>
      <c r="L1097" t="s">
        <v>143</v>
      </c>
      <c r="M1097" t="s">
        <v>23</v>
      </c>
      <c r="N1097">
        <v>30</v>
      </c>
      <c r="O1097" t="s">
        <v>66</v>
      </c>
      <c r="P1097" t="s">
        <v>51</v>
      </c>
    </row>
    <row r="1098" spans="1:16" ht="14.5" x14ac:dyDescent="0.35">
      <c r="A1098">
        <v>1097</v>
      </c>
      <c r="B1098">
        <v>57</v>
      </c>
      <c r="C1098" t="s">
        <v>16</v>
      </c>
      <c r="D1098" t="s">
        <v>55</v>
      </c>
      <c r="E1098" t="s">
        <v>56</v>
      </c>
      <c r="F1098">
        <v>46</v>
      </c>
      <c r="G1098" t="s">
        <v>73</v>
      </c>
      <c r="H1098" t="s">
        <v>32</v>
      </c>
      <c r="I1098" t="s">
        <v>109</v>
      </c>
      <c r="J1098" t="s">
        <v>50</v>
      </c>
      <c r="K1098">
        <v>2.6</v>
      </c>
      <c r="L1098" t="s">
        <v>143</v>
      </c>
      <c r="M1098" t="s">
        <v>23</v>
      </c>
      <c r="N1098">
        <v>48</v>
      </c>
      <c r="O1098" t="s">
        <v>34</v>
      </c>
      <c r="P1098" t="s">
        <v>43</v>
      </c>
    </row>
    <row r="1099" spans="1:16" ht="14.5" x14ac:dyDescent="0.35">
      <c r="A1099">
        <v>1098</v>
      </c>
      <c r="B1099">
        <v>58</v>
      </c>
      <c r="C1099" t="s">
        <v>16</v>
      </c>
      <c r="D1099" t="s">
        <v>80</v>
      </c>
      <c r="E1099" t="s">
        <v>60</v>
      </c>
      <c r="F1099">
        <v>27</v>
      </c>
      <c r="G1099" t="s">
        <v>120</v>
      </c>
      <c r="H1099" t="s">
        <v>39</v>
      </c>
      <c r="I1099" t="s">
        <v>85</v>
      </c>
      <c r="J1099" t="s">
        <v>47</v>
      </c>
      <c r="K1099">
        <v>3.2</v>
      </c>
      <c r="L1099" t="s">
        <v>143</v>
      </c>
      <c r="M1099" t="s">
        <v>23</v>
      </c>
      <c r="N1099">
        <v>47</v>
      </c>
      <c r="O1099" t="s">
        <v>66</v>
      </c>
      <c r="P1099" t="s">
        <v>35</v>
      </c>
    </row>
    <row r="1100" spans="1:16" ht="14.5" x14ac:dyDescent="0.35">
      <c r="A1100">
        <v>1099</v>
      </c>
      <c r="B1100">
        <v>49</v>
      </c>
      <c r="C1100" t="s">
        <v>16</v>
      </c>
      <c r="D1100" t="s">
        <v>59</v>
      </c>
      <c r="E1100" t="s">
        <v>60</v>
      </c>
      <c r="F1100">
        <v>98</v>
      </c>
      <c r="G1100" t="s">
        <v>126</v>
      </c>
      <c r="H1100" t="s">
        <v>32</v>
      </c>
      <c r="I1100" t="s">
        <v>42</v>
      </c>
      <c r="J1100" t="s">
        <v>33</v>
      </c>
      <c r="K1100">
        <v>3.6</v>
      </c>
      <c r="L1100" t="s">
        <v>143</v>
      </c>
      <c r="M1100" t="s">
        <v>23</v>
      </c>
      <c r="N1100">
        <v>27</v>
      </c>
      <c r="O1100" t="s">
        <v>34</v>
      </c>
      <c r="P1100" t="s">
        <v>35</v>
      </c>
    </row>
    <row r="1101" spans="1:16" ht="14.5" x14ac:dyDescent="0.35">
      <c r="A1101">
        <v>1100</v>
      </c>
      <c r="B1101">
        <v>19</v>
      </c>
      <c r="C1101" t="s">
        <v>16</v>
      </c>
      <c r="D1101" t="s">
        <v>26</v>
      </c>
      <c r="E1101" t="s">
        <v>18</v>
      </c>
      <c r="F1101">
        <v>73</v>
      </c>
      <c r="G1101" t="s">
        <v>89</v>
      </c>
      <c r="H1101" t="s">
        <v>39</v>
      </c>
      <c r="I1101" t="s">
        <v>91</v>
      </c>
      <c r="J1101" t="s">
        <v>50</v>
      </c>
      <c r="K1101">
        <v>2.6</v>
      </c>
      <c r="L1101" t="s">
        <v>143</v>
      </c>
      <c r="M1101" t="s">
        <v>23</v>
      </c>
      <c r="N1101">
        <v>45</v>
      </c>
      <c r="O1101" t="s">
        <v>66</v>
      </c>
      <c r="P1101" t="s">
        <v>25</v>
      </c>
    </row>
    <row r="1102" spans="1:16" ht="14.5" x14ac:dyDescent="0.35">
      <c r="A1102">
        <v>1101</v>
      </c>
      <c r="B1102">
        <v>50</v>
      </c>
      <c r="C1102" t="s">
        <v>16</v>
      </c>
      <c r="D1102" t="s">
        <v>86</v>
      </c>
      <c r="E1102" t="s">
        <v>18</v>
      </c>
      <c r="F1102">
        <v>28</v>
      </c>
      <c r="G1102" t="s">
        <v>98</v>
      </c>
      <c r="H1102" t="s">
        <v>20</v>
      </c>
      <c r="I1102" t="s">
        <v>71</v>
      </c>
      <c r="J1102" t="s">
        <v>33</v>
      </c>
      <c r="K1102">
        <v>4.4000000000000004</v>
      </c>
      <c r="L1102" t="s">
        <v>143</v>
      </c>
      <c r="M1102" t="s">
        <v>23</v>
      </c>
      <c r="N1102">
        <v>2</v>
      </c>
      <c r="O1102" t="s">
        <v>34</v>
      </c>
      <c r="P1102" t="s">
        <v>35</v>
      </c>
    </row>
    <row r="1103" spans="1:16" ht="14.5" x14ac:dyDescent="0.35">
      <c r="A1103">
        <v>1102</v>
      </c>
      <c r="B1103">
        <v>30</v>
      </c>
      <c r="C1103" t="s">
        <v>16</v>
      </c>
      <c r="D1103" t="s">
        <v>134</v>
      </c>
      <c r="E1103" t="s">
        <v>60</v>
      </c>
      <c r="F1103">
        <v>76</v>
      </c>
      <c r="G1103" t="s">
        <v>70</v>
      </c>
      <c r="H1103" t="s">
        <v>83</v>
      </c>
      <c r="I1103" t="s">
        <v>58</v>
      </c>
      <c r="J1103" t="s">
        <v>50</v>
      </c>
      <c r="K1103">
        <v>3</v>
      </c>
      <c r="L1103" t="s">
        <v>143</v>
      </c>
      <c r="M1103" t="s">
        <v>23</v>
      </c>
      <c r="N1103">
        <v>39</v>
      </c>
      <c r="O1103" t="s">
        <v>29</v>
      </c>
      <c r="P1103" t="s">
        <v>25</v>
      </c>
    </row>
    <row r="1104" spans="1:16" ht="14.5" x14ac:dyDescent="0.35">
      <c r="A1104">
        <v>1103</v>
      </c>
      <c r="B1104">
        <v>52</v>
      </c>
      <c r="C1104" t="s">
        <v>16</v>
      </c>
      <c r="D1104" t="s">
        <v>26</v>
      </c>
      <c r="E1104" t="s">
        <v>18</v>
      </c>
      <c r="F1104">
        <v>83</v>
      </c>
      <c r="G1104" t="s">
        <v>96</v>
      </c>
      <c r="H1104" t="s">
        <v>39</v>
      </c>
      <c r="I1104" t="s">
        <v>91</v>
      </c>
      <c r="J1104" t="s">
        <v>50</v>
      </c>
      <c r="K1104">
        <v>2.9</v>
      </c>
      <c r="L1104" t="s">
        <v>143</v>
      </c>
      <c r="M1104" t="s">
        <v>23</v>
      </c>
      <c r="N1104">
        <v>24</v>
      </c>
      <c r="O1104" t="s">
        <v>29</v>
      </c>
      <c r="P1104" t="s">
        <v>25</v>
      </c>
    </row>
    <row r="1105" spans="1:16" ht="14.5" x14ac:dyDescent="0.35">
      <c r="A1105">
        <v>1104</v>
      </c>
      <c r="B1105">
        <v>35</v>
      </c>
      <c r="C1105" t="s">
        <v>16</v>
      </c>
      <c r="D1105" t="s">
        <v>95</v>
      </c>
      <c r="E1105" t="s">
        <v>18</v>
      </c>
      <c r="F1105">
        <v>23</v>
      </c>
      <c r="G1105" t="s">
        <v>113</v>
      </c>
      <c r="H1105" t="s">
        <v>32</v>
      </c>
      <c r="I1105" t="s">
        <v>54</v>
      </c>
      <c r="J1105" t="s">
        <v>33</v>
      </c>
      <c r="K1105">
        <v>4.3</v>
      </c>
      <c r="L1105" t="s">
        <v>143</v>
      </c>
      <c r="M1105" t="s">
        <v>23</v>
      </c>
      <c r="N1105">
        <v>8</v>
      </c>
      <c r="O1105" t="s">
        <v>77</v>
      </c>
      <c r="P1105" t="s">
        <v>67</v>
      </c>
    </row>
    <row r="1106" spans="1:16" ht="14.5" x14ac:dyDescent="0.35">
      <c r="A1106">
        <v>1105</v>
      </c>
      <c r="B1106">
        <v>35</v>
      </c>
      <c r="C1106" t="s">
        <v>16</v>
      </c>
      <c r="D1106" t="s">
        <v>115</v>
      </c>
      <c r="E1106" t="s">
        <v>60</v>
      </c>
      <c r="F1106">
        <v>28</v>
      </c>
      <c r="G1106" t="s">
        <v>70</v>
      </c>
      <c r="H1106" t="s">
        <v>39</v>
      </c>
      <c r="I1106" t="s">
        <v>109</v>
      </c>
      <c r="J1106" t="s">
        <v>50</v>
      </c>
      <c r="K1106">
        <v>3.1</v>
      </c>
      <c r="L1106" t="s">
        <v>143</v>
      </c>
      <c r="M1106" t="s">
        <v>23</v>
      </c>
      <c r="N1106">
        <v>8</v>
      </c>
      <c r="O1106" t="s">
        <v>66</v>
      </c>
      <c r="P1106" t="s">
        <v>51</v>
      </c>
    </row>
    <row r="1107" spans="1:16" ht="14.5" x14ac:dyDescent="0.35">
      <c r="A1107">
        <v>1106</v>
      </c>
      <c r="B1107">
        <v>33</v>
      </c>
      <c r="C1107" t="s">
        <v>16</v>
      </c>
      <c r="D1107" t="s">
        <v>104</v>
      </c>
      <c r="E1107" t="s">
        <v>18</v>
      </c>
      <c r="F1107">
        <v>83</v>
      </c>
      <c r="G1107" t="s">
        <v>31</v>
      </c>
      <c r="H1107" t="s">
        <v>32</v>
      </c>
      <c r="I1107" t="s">
        <v>69</v>
      </c>
      <c r="J1107" t="s">
        <v>33</v>
      </c>
      <c r="K1107">
        <v>3</v>
      </c>
      <c r="L1107" t="s">
        <v>143</v>
      </c>
      <c r="M1107" t="s">
        <v>23</v>
      </c>
      <c r="N1107">
        <v>6</v>
      </c>
      <c r="O1107" t="s">
        <v>24</v>
      </c>
      <c r="P1107" t="s">
        <v>88</v>
      </c>
    </row>
    <row r="1108" spans="1:16" ht="14.5" x14ac:dyDescent="0.35">
      <c r="A1108">
        <v>1107</v>
      </c>
      <c r="B1108">
        <v>52</v>
      </c>
      <c r="C1108" t="s">
        <v>16</v>
      </c>
      <c r="D1108" t="s">
        <v>78</v>
      </c>
      <c r="E1108" t="s">
        <v>18</v>
      </c>
      <c r="F1108">
        <v>96</v>
      </c>
      <c r="G1108" t="s">
        <v>139</v>
      </c>
      <c r="H1108" t="s">
        <v>20</v>
      </c>
      <c r="I1108" t="s">
        <v>74</v>
      </c>
      <c r="J1108" t="s">
        <v>22</v>
      </c>
      <c r="K1108">
        <v>3.6</v>
      </c>
      <c r="L1108" t="s">
        <v>143</v>
      </c>
      <c r="M1108" t="s">
        <v>23</v>
      </c>
      <c r="N1108">
        <v>12</v>
      </c>
      <c r="O1108" t="s">
        <v>24</v>
      </c>
      <c r="P1108" t="s">
        <v>25</v>
      </c>
    </row>
    <row r="1109" spans="1:16" ht="14.5" x14ac:dyDescent="0.35">
      <c r="A1109">
        <v>1108</v>
      </c>
      <c r="B1109">
        <v>69</v>
      </c>
      <c r="C1109" t="s">
        <v>16</v>
      </c>
      <c r="D1109" t="s">
        <v>44</v>
      </c>
      <c r="E1109" t="s">
        <v>37</v>
      </c>
      <c r="F1109">
        <v>62</v>
      </c>
      <c r="G1109" t="s">
        <v>96</v>
      </c>
      <c r="H1109" t="s">
        <v>39</v>
      </c>
      <c r="I1109" t="s">
        <v>91</v>
      </c>
      <c r="J1109" t="s">
        <v>50</v>
      </c>
      <c r="K1109">
        <v>2.8</v>
      </c>
      <c r="L1109" t="s">
        <v>143</v>
      </c>
      <c r="M1109" t="s">
        <v>23</v>
      </c>
      <c r="N1109">
        <v>26</v>
      </c>
      <c r="O1109" t="s">
        <v>66</v>
      </c>
      <c r="P1109" t="s">
        <v>35</v>
      </c>
    </row>
    <row r="1110" spans="1:16" ht="14.5" x14ac:dyDescent="0.35">
      <c r="A1110">
        <v>1109</v>
      </c>
      <c r="B1110">
        <v>27</v>
      </c>
      <c r="C1110" t="s">
        <v>16</v>
      </c>
      <c r="D1110" t="s">
        <v>52</v>
      </c>
      <c r="E1110" t="s">
        <v>18</v>
      </c>
      <c r="F1110">
        <v>25</v>
      </c>
      <c r="G1110" t="s">
        <v>136</v>
      </c>
      <c r="H1110" t="s">
        <v>39</v>
      </c>
      <c r="I1110" t="s">
        <v>76</v>
      </c>
      <c r="J1110" t="s">
        <v>50</v>
      </c>
      <c r="K1110">
        <v>2.8</v>
      </c>
      <c r="L1110" t="s">
        <v>143</v>
      </c>
      <c r="M1110" t="s">
        <v>23</v>
      </c>
      <c r="N1110">
        <v>50</v>
      </c>
      <c r="O1110" t="s">
        <v>29</v>
      </c>
      <c r="P1110" t="s">
        <v>25</v>
      </c>
    </row>
    <row r="1111" spans="1:16" ht="14.5" x14ac:dyDescent="0.35">
      <c r="A1111">
        <v>1110</v>
      </c>
      <c r="B1111">
        <v>66</v>
      </c>
      <c r="C1111" t="s">
        <v>16</v>
      </c>
      <c r="D1111" t="s">
        <v>95</v>
      </c>
      <c r="E1111" t="s">
        <v>18</v>
      </c>
      <c r="F1111">
        <v>97</v>
      </c>
      <c r="G1111" t="s">
        <v>92</v>
      </c>
      <c r="H1111" t="s">
        <v>20</v>
      </c>
      <c r="I1111" t="s">
        <v>74</v>
      </c>
      <c r="J1111" t="s">
        <v>22</v>
      </c>
      <c r="K1111">
        <v>4.9000000000000004</v>
      </c>
      <c r="L1111" t="s">
        <v>143</v>
      </c>
      <c r="M1111" t="s">
        <v>23</v>
      </c>
      <c r="N1111">
        <v>2</v>
      </c>
      <c r="O1111" t="s">
        <v>24</v>
      </c>
      <c r="P1111" t="s">
        <v>35</v>
      </c>
    </row>
    <row r="1112" spans="1:16" ht="14.5" x14ac:dyDescent="0.35">
      <c r="A1112">
        <v>1111</v>
      </c>
      <c r="B1112">
        <v>28</v>
      </c>
      <c r="C1112" t="s">
        <v>16</v>
      </c>
      <c r="D1112" t="s">
        <v>95</v>
      </c>
      <c r="E1112" t="s">
        <v>18</v>
      </c>
      <c r="F1112">
        <v>61</v>
      </c>
      <c r="G1112" t="s">
        <v>96</v>
      </c>
      <c r="H1112" t="s">
        <v>20</v>
      </c>
      <c r="I1112" t="s">
        <v>100</v>
      </c>
      <c r="J1112" t="s">
        <v>50</v>
      </c>
      <c r="K1112">
        <v>3</v>
      </c>
      <c r="L1112" t="s">
        <v>143</v>
      </c>
      <c r="M1112" t="s">
        <v>23</v>
      </c>
      <c r="N1112">
        <v>31</v>
      </c>
      <c r="O1112" t="s">
        <v>29</v>
      </c>
      <c r="P1112" t="s">
        <v>67</v>
      </c>
    </row>
    <row r="1113" spans="1:16" ht="14.5" x14ac:dyDescent="0.35">
      <c r="A1113">
        <v>1112</v>
      </c>
      <c r="B1113">
        <v>22</v>
      </c>
      <c r="C1113" t="s">
        <v>16</v>
      </c>
      <c r="D1113" t="s">
        <v>63</v>
      </c>
      <c r="E1113" t="s">
        <v>37</v>
      </c>
      <c r="F1113">
        <v>66</v>
      </c>
      <c r="G1113" t="s">
        <v>75</v>
      </c>
      <c r="H1113" t="s">
        <v>32</v>
      </c>
      <c r="I1113" t="s">
        <v>69</v>
      </c>
      <c r="J1113" t="s">
        <v>47</v>
      </c>
      <c r="K1113">
        <v>4.0999999999999996</v>
      </c>
      <c r="L1113" t="s">
        <v>143</v>
      </c>
      <c r="M1113" t="s">
        <v>23</v>
      </c>
      <c r="N1113">
        <v>4</v>
      </c>
      <c r="O1113" t="s">
        <v>34</v>
      </c>
      <c r="P1113" t="s">
        <v>67</v>
      </c>
    </row>
    <row r="1114" spans="1:16" ht="14.5" x14ac:dyDescent="0.35">
      <c r="A1114">
        <v>1113</v>
      </c>
      <c r="B1114">
        <v>69</v>
      </c>
      <c r="C1114" t="s">
        <v>16</v>
      </c>
      <c r="D1114" t="s">
        <v>95</v>
      </c>
      <c r="E1114" t="s">
        <v>18</v>
      </c>
      <c r="F1114">
        <v>67</v>
      </c>
      <c r="G1114" t="s">
        <v>140</v>
      </c>
      <c r="H1114" t="s">
        <v>83</v>
      </c>
      <c r="I1114" t="s">
        <v>62</v>
      </c>
      <c r="J1114" t="s">
        <v>33</v>
      </c>
      <c r="K1114">
        <v>4.5999999999999996</v>
      </c>
      <c r="L1114" t="s">
        <v>143</v>
      </c>
      <c r="M1114" t="s">
        <v>23</v>
      </c>
      <c r="N1114">
        <v>32</v>
      </c>
      <c r="O1114" t="s">
        <v>40</v>
      </c>
      <c r="P1114" t="s">
        <v>51</v>
      </c>
    </row>
    <row r="1115" spans="1:16" ht="14.5" x14ac:dyDescent="0.35">
      <c r="A1115">
        <v>1114</v>
      </c>
      <c r="B1115">
        <v>28</v>
      </c>
      <c r="C1115" t="s">
        <v>16</v>
      </c>
      <c r="D1115" t="s">
        <v>80</v>
      </c>
      <c r="E1115" t="s">
        <v>60</v>
      </c>
      <c r="F1115">
        <v>80</v>
      </c>
      <c r="G1115" t="s">
        <v>119</v>
      </c>
      <c r="H1115" t="s">
        <v>39</v>
      </c>
      <c r="I1115" t="s">
        <v>65</v>
      </c>
      <c r="J1115" t="s">
        <v>47</v>
      </c>
      <c r="K1115">
        <v>4.8</v>
      </c>
      <c r="L1115" t="s">
        <v>143</v>
      </c>
      <c r="M1115" t="s">
        <v>23</v>
      </c>
      <c r="N1115">
        <v>11</v>
      </c>
      <c r="O1115" t="s">
        <v>40</v>
      </c>
      <c r="P1115" t="s">
        <v>67</v>
      </c>
    </row>
    <row r="1116" spans="1:16" ht="14.5" x14ac:dyDescent="0.35">
      <c r="A1116">
        <v>1115</v>
      </c>
      <c r="B1116">
        <v>55</v>
      </c>
      <c r="C1116" t="s">
        <v>16</v>
      </c>
      <c r="D1116" t="s">
        <v>78</v>
      </c>
      <c r="E1116" t="s">
        <v>18</v>
      </c>
      <c r="F1116">
        <v>25</v>
      </c>
      <c r="G1116" t="s">
        <v>73</v>
      </c>
      <c r="H1116" t="s">
        <v>20</v>
      </c>
      <c r="I1116" t="s">
        <v>74</v>
      </c>
      <c r="J1116" t="s">
        <v>50</v>
      </c>
      <c r="K1116">
        <v>2.6</v>
      </c>
      <c r="L1116" t="s">
        <v>143</v>
      </c>
      <c r="M1116" t="s">
        <v>23</v>
      </c>
      <c r="N1116">
        <v>47</v>
      </c>
      <c r="O1116" t="s">
        <v>66</v>
      </c>
      <c r="P1116" t="s">
        <v>88</v>
      </c>
    </row>
    <row r="1117" spans="1:16" ht="14.5" x14ac:dyDescent="0.35">
      <c r="A1117">
        <v>1116</v>
      </c>
      <c r="B1117">
        <v>30</v>
      </c>
      <c r="C1117" t="s">
        <v>16</v>
      </c>
      <c r="D1117" t="s">
        <v>115</v>
      </c>
      <c r="E1117" t="s">
        <v>60</v>
      </c>
      <c r="F1117">
        <v>58</v>
      </c>
      <c r="G1117" t="s">
        <v>75</v>
      </c>
      <c r="H1117" t="s">
        <v>32</v>
      </c>
      <c r="I1117" t="s">
        <v>91</v>
      </c>
      <c r="J1117" t="s">
        <v>50</v>
      </c>
      <c r="K1117">
        <v>4</v>
      </c>
      <c r="L1117" t="s">
        <v>143</v>
      </c>
      <c r="M1117" t="s">
        <v>23</v>
      </c>
      <c r="N1117">
        <v>37</v>
      </c>
      <c r="O1117" t="s">
        <v>29</v>
      </c>
      <c r="P1117" t="s">
        <v>35</v>
      </c>
    </row>
    <row r="1118" spans="1:16" ht="14.5" x14ac:dyDescent="0.35">
      <c r="A1118">
        <v>1117</v>
      </c>
      <c r="B1118">
        <v>67</v>
      </c>
      <c r="C1118" t="s">
        <v>16</v>
      </c>
      <c r="D1118" t="s">
        <v>123</v>
      </c>
      <c r="E1118" t="s">
        <v>60</v>
      </c>
      <c r="F1118">
        <v>96</v>
      </c>
      <c r="G1118" t="s">
        <v>68</v>
      </c>
      <c r="H1118" t="s">
        <v>39</v>
      </c>
      <c r="I1118" t="s">
        <v>54</v>
      </c>
      <c r="J1118" t="s">
        <v>22</v>
      </c>
      <c r="K1118">
        <v>4.2</v>
      </c>
      <c r="L1118" t="s">
        <v>143</v>
      </c>
      <c r="M1118" t="s">
        <v>23</v>
      </c>
      <c r="N1118">
        <v>39</v>
      </c>
      <c r="O1118" t="s">
        <v>40</v>
      </c>
      <c r="P1118" t="s">
        <v>25</v>
      </c>
    </row>
    <row r="1119" spans="1:16" ht="14.5" x14ac:dyDescent="0.35">
      <c r="A1119">
        <v>1118</v>
      </c>
      <c r="B1119">
        <v>25</v>
      </c>
      <c r="C1119" t="s">
        <v>16</v>
      </c>
      <c r="D1119" t="s">
        <v>80</v>
      </c>
      <c r="E1119" t="s">
        <v>60</v>
      </c>
      <c r="F1119">
        <v>77</v>
      </c>
      <c r="G1119" t="s">
        <v>90</v>
      </c>
      <c r="H1119" t="s">
        <v>20</v>
      </c>
      <c r="I1119" t="s">
        <v>84</v>
      </c>
      <c r="J1119" t="s">
        <v>33</v>
      </c>
      <c r="K1119">
        <v>4.5</v>
      </c>
      <c r="L1119" t="s">
        <v>143</v>
      </c>
      <c r="M1119" t="s">
        <v>23</v>
      </c>
      <c r="N1119">
        <v>24</v>
      </c>
      <c r="O1119" t="s">
        <v>34</v>
      </c>
      <c r="P1119" t="s">
        <v>79</v>
      </c>
    </row>
    <row r="1120" spans="1:16" ht="14.5" x14ac:dyDescent="0.35">
      <c r="A1120">
        <v>1119</v>
      </c>
      <c r="B1120">
        <v>49</v>
      </c>
      <c r="C1120" t="s">
        <v>16</v>
      </c>
      <c r="D1120" t="s">
        <v>124</v>
      </c>
      <c r="E1120" t="s">
        <v>60</v>
      </c>
      <c r="F1120">
        <v>65</v>
      </c>
      <c r="G1120" t="s">
        <v>107</v>
      </c>
      <c r="H1120" t="s">
        <v>39</v>
      </c>
      <c r="I1120" t="s">
        <v>65</v>
      </c>
      <c r="J1120" t="s">
        <v>47</v>
      </c>
      <c r="K1120">
        <v>4.9000000000000004</v>
      </c>
      <c r="L1120" t="s">
        <v>143</v>
      </c>
      <c r="M1120" t="s">
        <v>23</v>
      </c>
      <c r="N1120">
        <v>11</v>
      </c>
      <c r="O1120" t="s">
        <v>40</v>
      </c>
      <c r="P1120" t="s">
        <v>88</v>
      </c>
    </row>
    <row r="1121" spans="1:16" ht="14.5" x14ac:dyDescent="0.35">
      <c r="A1121">
        <v>1120</v>
      </c>
      <c r="B1121">
        <v>34</v>
      </c>
      <c r="C1121" t="s">
        <v>16</v>
      </c>
      <c r="D1121" t="s">
        <v>97</v>
      </c>
      <c r="E1121" t="s">
        <v>60</v>
      </c>
      <c r="F1121">
        <v>36</v>
      </c>
      <c r="G1121" t="s">
        <v>53</v>
      </c>
      <c r="H1121" t="s">
        <v>39</v>
      </c>
      <c r="I1121" t="s">
        <v>117</v>
      </c>
      <c r="J1121" t="s">
        <v>33</v>
      </c>
      <c r="K1121">
        <v>3.1</v>
      </c>
      <c r="L1121" t="s">
        <v>143</v>
      </c>
      <c r="M1121" t="s">
        <v>23</v>
      </c>
      <c r="N1121">
        <v>36</v>
      </c>
      <c r="O1121" t="s">
        <v>34</v>
      </c>
      <c r="P1121" t="s">
        <v>35</v>
      </c>
    </row>
    <row r="1122" spans="1:16" ht="14.5" x14ac:dyDescent="0.35">
      <c r="A1122">
        <v>1121</v>
      </c>
      <c r="B1122">
        <v>22</v>
      </c>
      <c r="C1122" t="s">
        <v>16</v>
      </c>
      <c r="D1122" t="s">
        <v>44</v>
      </c>
      <c r="E1122" t="s">
        <v>37</v>
      </c>
      <c r="F1122">
        <v>84</v>
      </c>
      <c r="G1122" t="s">
        <v>129</v>
      </c>
      <c r="H1122" t="s">
        <v>39</v>
      </c>
      <c r="I1122" t="s">
        <v>127</v>
      </c>
      <c r="J1122" t="s">
        <v>22</v>
      </c>
      <c r="K1122">
        <v>4</v>
      </c>
      <c r="L1122" t="s">
        <v>143</v>
      </c>
      <c r="M1122" t="s">
        <v>23</v>
      </c>
      <c r="N1122">
        <v>40</v>
      </c>
      <c r="O1122" t="s">
        <v>77</v>
      </c>
      <c r="P1122" t="s">
        <v>79</v>
      </c>
    </row>
    <row r="1123" spans="1:16" ht="14.5" x14ac:dyDescent="0.35">
      <c r="A1123">
        <v>1122</v>
      </c>
      <c r="B1123">
        <v>63</v>
      </c>
      <c r="C1123" t="s">
        <v>16</v>
      </c>
      <c r="D1123" t="s">
        <v>104</v>
      </c>
      <c r="E1123" t="s">
        <v>18</v>
      </c>
      <c r="F1123">
        <v>58</v>
      </c>
      <c r="G1123" t="s">
        <v>94</v>
      </c>
      <c r="H1123" t="s">
        <v>83</v>
      </c>
      <c r="I1123" t="s">
        <v>91</v>
      </c>
      <c r="J1123" t="s">
        <v>50</v>
      </c>
      <c r="K1123">
        <v>3.2</v>
      </c>
      <c r="L1123" t="s">
        <v>143</v>
      </c>
      <c r="M1123" t="s">
        <v>23</v>
      </c>
      <c r="N1123">
        <v>25</v>
      </c>
      <c r="O1123" t="s">
        <v>29</v>
      </c>
      <c r="P1123" t="s">
        <v>51</v>
      </c>
    </row>
    <row r="1124" spans="1:16" ht="14.5" x14ac:dyDescent="0.35">
      <c r="A1124">
        <v>1123</v>
      </c>
      <c r="B1124">
        <v>70</v>
      </c>
      <c r="C1124" t="s">
        <v>16</v>
      </c>
      <c r="D1124" t="s">
        <v>59</v>
      </c>
      <c r="E1124" t="s">
        <v>60</v>
      </c>
      <c r="F1124">
        <v>62</v>
      </c>
      <c r="G1124" t="s">
        <v>89</v>
      </c>
      <c r="H1124" t="s">
        <v>32</v>
      </c>
      <c r="I1124" t="s">
        <v>54</v>
      </c>
      <c r="J1124" t="s">
        <v>33</v>
      </c>
      <c r="K1124">
        <v>4.3</v>
      </c>
      <c r="L1124" t="s">
        <v>143</v>
      </c>
      <c r="M1124" t="s">
        <v>23</v>
      </c>
      <c r="N1124">
        <v>12</v>
      </c>
      <c r="O1124" t="s">
        <v>34</v>
      </c>
      <c r="P1124" t="s">
        <v>43</v>
      </c>
    </row>
    <row r="1125" spans="1:16" ht="14.5" x14ac:dyDescent="0.35">
      <c r="A1125">
        <v>1124</v>
      </c>
      <c r="B1125">
        <v>36</v>
      </c>
      <c r="C1125" t="s">
        <v>16</v>
      </c>
      <c r="D1125" t="s">
        <v>115</v>
      </c>
      <c r="E1125" t="s">
        <v>60</v>
      </c>
      <c r="F1125">
        <v>67</v>
      </c>
      <c r="G1125" t="s">
        <v>31</v>
      </c>
      <c r="H1125" t="s">
        <v>32</v>
      </c>
      <c r="I1125" t="s">
        <v>65</v>
      </c>
      <c r="J1125" t="s">
        <v>50</v>
      </c>
      <c r="K1125">
        <v>2.5</v>
      </c>
      <c r="L1125" t="s">
        <v>143</v>
      </c>
      <c r="M1125" t="s">
        <v>23</v>
      </c>
      <c r="N1125">
        <v>38</v>
      </c>
      <c r="O1125" t="s">
        <v>29</v>
      </c>
      <c r="P1125" t="s">
        <v>79</v>
      </c>
    </row>
    <row r="1126" spans="1:16" ht="14.5" x14ac:dyDescent="0.35">
      <c r="A1126">
        <v>1125</v>
      </c>
      <c r="B1126">
        <v>42</v>
      </c>
      <c r="C1126" t="s">
        <v>16</v>
      </c>
      <c r="D1126" t="s">
        <v>26</v>
      </c>
      <c r="E1126" t="s">
        <v>18</v>
      </c>
      <c r="F1126">
        <v>20</v>
      </c>
      <c r="G1126" t="s">
        <v>137</v>
      </c>
      <c r="H1126" t="s">
        <v>39</v>
      </c>
      <c r="I1126" t="s">
        <v>112</v>
      </c>
      <c r="J1126" t="s">
        <v>33</v>
      </c>
      <c r="K1126">
        <v>4.9000000000000004</v>
      </c>
      <c r="L1126" t="s">
        <v>143</v>
      </c>
      <c r="M1126" t="s">
        <v>23</v>
      </c>
      <c r="N1126">
        <v>40</v>
      </c>
      <c r="O1126" t="s">
        <v>29</v>
      </c>
      <c r="P1126" t="s">
        <v>51</v>
      </c>
    </row>
    <row r="1127" spans="1:16" ht="14.5" x14ac:dyDescent="0.35">
      <c r="A1127">
        <v>1126</v>
      </c>
      <c r="B1127">
        <v>27</v>
      </c>
      <c r="C1127" t="s">
        <v>16</v>
      </c>
      <c r="D1127" t="s">
        <v>36</v>
      </c>
      <c r="E1127" t="s">
        <v>37</v>
      </c>
      <c r="F1127">
        <v>90</v>
      </c>
      <c r="G1127" t="s">
        <v>105</v>
      </c>
      <c r="H1127" t="s">
        <v>39</v>
      </c>
      <c r="I1127" t="s">
        <v>84</v>
      </c>
      <c r="J1127" t="s">
        <v>47</v>
      </c>
      <c r="K1127">
        <v>2.7</v>
      </c>
      <c r="L1127" t="s">
        <v>143</v>
      </c>
      <c r="M1127" t="s">
        <v>23</v>
      </c>
      <c r="N1127">
        <v>10</v>
      </c>
      <c r="O1127" t="s">
        <v>66</v>
      </c>
      <c r="P1127" t="s">
        <v>35</v>
      </c>
    </row>
    <row r="1128" spans="1:16" ht="14.5" x14ac:dyDescent="0.35">
      <c r="A1128">
        <v>1127</v>
      </c>
      <c r="B1128">
        <v>23</v>
      </c>
      <c r="C1128" t="s">
        <v>16</v>
      </c>
      <c r="D1128" t="s">
        <v>110</v>
      </c>
      <c r="E1128" t="s">
        <v>60</v>
      </c>
      <c r="F1128">
        <v>58</v>
      </c>
      <c r="G1128" t="s">
        <v>137</v>
      </c>
      <c r="H1128" t="s">
        <v>20</v>
      </c>
      <c r="I1128" t="s">
        <v>109</v>
      </c>
      <c r="J1128" t="s">
        <v>22</v>
      </c>
      <c r="K1128">
        <v>3.4</v>
      </c>
      <c r="L1128" t="s">
        <v>143</v>
      </c>
      <c r="M1128" t="s">
        <v>23</v>
      </c>
      <c r="N1128">
        <v>47</v>
      </c>
      <c r="O1128" t="s">
        <v>24</v>
      </c>
      <c r="P1128" t="s">
        <v>25</v>
      </c>
    </row>
    <row r="1129" spans="1:16" ht="14.5" x14ac:dyDescent="0.35">
      <c r="A1129">
        <v>1128</v>
      </c>
      <c r="B1129">
        <v>50</v>
      </c>
      <c r="C1129" t="s">
        <v>16</v>
      </c>
      <c r="D1129" t="s">
        <v>48</v>
      </c>
      <c r="E1129" t="s">
        <v>18</v>
      </c>
      <c r="F1129">
        <v>53</v>
      </c>
      <c r="G1129" t="s">
        <v>70</v>
      </c>
      <c r="H1129" t="s">
        <v>83</v>
      </c>
      <c r="I1129" t="s">
        <v>28</v>
      </c>
      <c r="J1129" t="s">
        <v>33</v>
      </c>
      <c r="K1129">
        <v>4.8</v>
      </c>
      <c r="L1129" t="s">
        <v>143</v>
      </c>
      <c r="M1129" t="s">
        <v>23</v>
      </c>
      <c r="N1129">
        <v>22</v>
      </c>
      <c r="O1129" t="s">
        <v>77</v>
      </c>
      <c r="P1129" t="s">
        <v>79</v>
      </c>
    </row>
    <row r="1130" spans="1:16" ht="14.5" x14ac:dyDescent="0.35">
      <c r="A1130">
        <v>1129</v>
      </c>
      <c r="B1130">
        <v>56</v>
      </c>
      <c r="C1130" t="s">
        <v>16</v>
      </c>
      <c r="D1130" t="s">
        <v>134</v>
      </c>
      <c r="E1130" t="s">
        <v>60</v>
      </c>
      <c r="F1130">
        <v>30</v>
      </c>
      <c r="G1130" t="s">
        <v>75</v>
      </c>
      <c r="H1130" t="s">
        <v>20</v>
      </c>
      <c r="I1130" t="s">
        <v>54</v>
      </c>
      <c r="J1130" t="s">
        <v>22</v>
      </c>
      <c r="K1130">
        <v>4.7</v>
      </c>
      <c r="L1130" t="s">
        <v>143</v>
      </c>
      <c r="M1130" t="s">
        <v>23</v>
      </c>
      <c r="N1130">
        <v>35</v>
      </c>
      <c r="O1130" t="s">
        <v>77</v>
      </c>
      <c r="P1130" t="s">
        <v>79</v>
      </c>
    </row>
    <row r="1131" spans="1:16" ht="14.5" x14ac:dyDescent="0.35">
      <c r="A1131">
        <v>1130</v>
      </c>
      <c r="B1131">
        <v>37</v>
      </c>
      <c r="C1131" t="s">
        <v>16</v>
      </c>
      <c r="D1131" t="s">
        <v>95</v>
      </c>
      <c r="E1131" t="s">
        <v>18</v>
      </c>
      <c r="F1131">
        <v>65</v>
      </c>
      <c r="G1131" t="s">
        <v>73</v>
      </c>
      <c r="H1131" t="s">
        <v>83</v>
      </c>
      <c r="I1131" t="s">
        <v>46</v>
      </c>
      <c r="J1131" t="s">
        <v>22</v>
      </c>
      <c r="K1131">
        <v>4.7</v>
      </c>
      <c r="L1131" t="s">
        <v>143</v>
      </c>
      <c r="M1131" t="s">
        <v>23</v>
      </c>
      <c r="N1131">
        <v>46</v>
      </c>
      <c r="O1131" t="s">
        <v>24</v>
      </c>
      <c r="P1131" t="s">
        <v>25</v>
      </c>
    </row>
    <row r="1132" spans="1:16" ht="14.5" x14ac:dyDescent="0.35">
      <c r="A1132">
        <v>1131</v>
      </c>
      <c r="B1132">
        <v>67</v>
      </c>
      <c r="C1132" t="s">
        <v>16</v>
      </c>
      <c r="D1132" t="s">
        <v>97</v>
      </c>
      <c r="E1132" t="s">
        <v>60</v>
      </c>
      <c r="F1132">
        <v>41</v>
      </c>
      <c r="G1132" t="s">
        <v>19</v>
      </c>
      <c r="H1132" t="s">
        <v>39</v>
      </c>
      <c r="I1132" t="s">
        <v>84</v>
      </c>
      <c r="J1132" t="s">
        <v>47</v>
      </c>
      <c r="K1132">
        <v>3.9</v>
      </c>
      <c r="L1132" t="s">
        <v>143</v>
      </c>
      <c r="M1132" t="s">
        <v>23</v>
      </c>
      <c r="N1132">
        <v>30</v>
      </c>
      <c r="O1132" t="s">
        <v>40</v>
      </c>
      <c r="P1132" t="s">
        <v>67</v>
      </c>
    </row>
    <row r="1133" spans="1:16" ht="14.5" x14ac:dyDescent="0.35">
      <c r="A1133">
        <v>1132</v>
      </c>
      <c r="B1133">
        <v>67</v>
      </c>
      <c r="C1133" t="s">
        <v>16</v>
      </c>
      <c r="D1133" t="s">
        <v>48</v>
      </c>
      <c r="E1133" t="s">
        <v>18</v>
      </c>
      <c r="F1133">
        <v>73</v>
      </c>
      <c r="G1133" t="s">
        <v>106</v>
      </c>
      <c r="H1133" t="s">
        <v>39</v>
      </c>
      <c r="I1133" t="s">
        <v>85</v>
      </c>
      <c r="J1133" t="s">
        <v>33</v>
      </c>
      <c r="K1133">
        <v>3.7</v>
      </c>
      <c r="L1133" t="s">
        <v>143</v>
      </c>
      <c r="M1133" t="s">
        <v>23</v>
      </c>
      <c r="N1133">
        <v>20</v>
      </c>
      <c r="O1133" t="s">
        <v>66</v>
      </c>
      <c r="P1133" t="s">
        <v>79</v>
      </c>
    </row>
    <row r="1134" spans="1:16" ht="14.5" x14ac:dyDescent="0.35">
      <c r="A1134">
        <v>1133</v>
      </c>
      <c r="B1134">
        <v>50</v>
      </c>
      <c r="C1134" t="s">
        <v>16</v>
      </c>
      <c r="D1134" t="s">
        <v>95</v>
      </c>
      <c r="E1134" t="s">
        <v>18</v>
      </c>
      <c r="F1134">
        <v>98</v>
      </c>
      <c r="G1134" t="s">
        <v>89</v>
      </c>
      <c r="H1134" t="s">
        <v>32</v>
      </c>
      <c r="I1134" t="s">
        <v>76</v>
      </c>
      <c r="J1134" t="s">
        <v>33</v>
      </c>
      <c r="K1134">
        <v>4.3</v>
      </c>
      <c r="L1134" t="s">
        <v>143</v>
      </c>
      <c r="M1134" t="s">
        <v>23</v>
      </c>
      <c r="N1134">
        <v>25</v>
      </c>
      <c r="O1134" t="s">
        <v>29</v>
      </c>
      <c r="P1134" t="s">
        <v>25</v>
      </c>
    </row>
    <row r="1135" spans="1:16" ht="14.5" x14ac:dyDescent="0.35">
      <c r="A1135">
        <v>1134</v>
      </c>
      <c r="B1135">
        <v>36</v>
      </c>
      <c r="C1135" t="s">
        <v>16</v>
      </c>
      <c r="D1135" t="s">
        <v>63</v>
      </c>
      <c r="E1135" t="s">
        <v>37</v>
      </c>
      <c r="F1135">
        <v>36</v>
      </c>
      <c r="G1135" t="s">
        <v>130</v>
      </c>
      <c r="H1135" t="s">
        <v>83</v>
      </c>
      <c r="I1135" t="s">
        <v>127</v>
      </c>
      <c r="J1135" t="s">
        <v>22</v>
      </c>
      <c r="K1135">
        <v>4.0999999999999996</v>
      </c>
      <c r="L1135" t="s">
        <v>143</v>
      </c>
      <c r="M1135" t="s">
        <v>23</v>
      </c>
      <c r="N1135">
        <v>29</v>
      </c>
      <c r="O1135" t="s">
        <v>29</v>
      </c>
      <c r="P1135" t="s">
        <v>35</v>
      </c>
    </row>
    <row r="1136" spans="1:16" ht="14.5" x14ac:dyDescent="0.35">
      <c r="A1136">
        <v>1135</v>
      </c>
      <c r="B1136">
        <v>62</v>
      </c>
      <c r="C1136" t="s">
        <v>16</v>
      </c>
      <c r="D1136" t="s">
        <v>104</v>
      </c>
      <c r="E1136" t="s">
        <v>18</v>
      </c>
      <c r="F1136">
        <v>81</v>
      </c>
      <c r="G1136" t="s">
        <v>141</v>
      </c>
      <c r="H1136" t="s">
        <v>39</v>
      </c>
      <c r="I1136" t="s">
        <v>101</v>
      </c>
      <c r="J1136" t="s">
        <v>47</v>
      </c>
      <c r="K1136">
        <v>4.5999999999999996</v>
      </c>
      <c r="L1136" t="s">
        <v>143</v>
      </c>
      <c r="M1136" t="s">
        <v>23</v>
      </c>
      <c r="N1136">
        <v>2</v>
      </c>
      <c r="O1136" t="s">
        <v>24</v>
      </c>
      <c r="P1136" t="s">
        <v>88</v>
      </c>
    </row>
    <row r="1137" spans="1:16" ht="14.5" x14ac:dyDescent="0.35">
      <c r="A1137">
        <v>1136</v>
      </c>
      <c r="B1137">
        <v>65</v>
      </c>
      <c r="C1137" t="s">
        <v>16</v>
      </c>
      <c r="D1137" t="s">
        <v>78</v>
      </c>
      <c r="E1137" t="s">
        <v>18</v>
      </c>
      <c r="F1137">
        <v>90</v>
      </c>
      <c r="G1137" t="s">
        <v>31</v>
      </c>
      <c r="H1137" t="s">
        <v>20</v>
      </c>
      <c r="I1137" t="s">
        <v>91</v>
      </c>
      <c r="J1137" t="s">
        <v>22</v>
      </c>
      <c r="K1137">
        <v>3.6</v>
      </c>
      <c r="L1137" t="s">
        <v>143</v>
      </c>
      <c r="M1137" t="s">
        <v>23</v>
      </c>
      <c r="N1137">
        <v>32</v>
      </c>
      <c r="O1137" t="s">
        <v>66</v>
      </c>
      <c r="P1137" t="s">
        <v>51</v>
      </c>
    </row>
    <row r="1138" spans="1:16" ht="14.5" x14ac:dyDescent="0.35">
      <c r="A1138">
        <v>1137</v>
      </c>
      <c r="B1138">
        <v>23</v>
      </c>
      <c r="C1138" t="s">
        <v>16</v>
      </c>
      <c r="D1138" t="s">
        <v>59</v>
      </c>
      <c r="E1138" t="s">
        <v>60</v>
      </c>
      <c r="F1138">
        <v>83</v>
      </c>
      <c r="G1138" t="s">
        <v>106</v>
      </c>
      <c r="H1138" t="s">
        <v>32</v>
      </c>
      <c r="I1138" t="s">
        <v>100</v>
      </c>
      <c r="J1138" t="s">
        <v>47</v>
      </c>
      <c r="K1138">
        <v>4.8</v>
      </c>
      <c r="L1138" t="s">
        <v>143</v>
      </c>
      <c r="M1138" t="s">
        <v>23</v>
      </c>
      <c r="N1138">
        <v>37</v>
      </c>
      <c r="O1138" t="s">
        <v>29</v>
      </c>
      <c r="P1138" t="s">
        <v>79</v>
      </c>
    </row>
    <row r="1139" spans="1:16" ht="14.5" x14ac:dyDescent="0.35">
      <c r="A1139">
        <v>1138</v>
      </c>
      <c r="B1139">
        <v>46</v>
      </c>
      <c r="C1139" t="s">
        <v>16</v>
      </c>
      <c r="D1139" t="s">
        <v>48</v>
      </c>
      <c r="E1139" t="s">
        <v>18</v>
      </c>
      <c r="F1139">
        <v>91</v>
      </c>
      <c r="G1139" t="s">
        <v>121</v>
      </c>
      <c r="H1139" t="s">
        <v>83</v>
      </c>
      <c r="I1139" t="s">
        <v>62</v>
      </c>
      <c r="J1139" t="s">
        <v>22</v>
      </c>
      <c r="K1139">
        <v>2.8</v>
      </c>
      <c r="L1139" t="s">
        <v>143</v>
      </c>
      <c r="M1139" t="s">
        <v>23</v>
      </c>
      <c r="N1139">
        <v>16</v>
      </c>
      <c r="O1139" t="s">
        <v>66</v>
      </c>
      <c r="P1139" t="s">
        <v>88</v>
      </c>
    </row>
    <row r="1140" spans="1:16" ht="14.5" x14ac:dyDescent="0.35">
      <c r="A1140">
        <v>1139</v>
      </c>
      <c r="B1140">
        <v>18</v>
      </c>
      <c r="C1140" t="s">
        <v>16</v>
      </c>
      <c r="D1140" t="s">
        <v>86</v>
      </c>
      <c r="E1140" t="s">
        <v>18</v>
      </c>
      <c r="F1140">
        <v>36</v>
      </c>
      <c r="G1140" t="s">
        <v>137</v>
      </c>
      <c r="H1140" t="s">
        <v>39</v>
      </c>
      <c r="I1140" t="s">
        <v>65</v>
      </c>
      <c r="J1140" t="s">
        <v>47</v>
      </c>
      <c r="K1140">
        <v>4.7</v>
      </c>
      <c r="L1140" t="s">
        <v>143</v>
      </c>
      <c r="M1140" t="s">
        <v>23</v>
      </c>
      <c r="N1140">
        <v>32</v>
      </c>
      <c r="O1140" t="s">
        <v>24</v>
      </c>
      <c r="P1140" t="s">
        <v>25</v>
      </c>
    </row>
    <row r="1141" spans="1:16" ht="14.5" x14ac:dyDescent="0.35">
      <c r="A1141">
        <v>1140</v>
      </c>
      <c r="B1141">
        <v>58</v>
      </c>
      <c r="C1141" t="s">
        <v>16</v>
      </c>
      <c r="D1141" t="s">
        <v>55</v>
      </c>
      <c r="E1141" t="s">
        <v>56</v>
      </c>
      <c r="F1141">
        <v>53</v>
      </c>
      <c r="G1141" t="s">
        <v>81</v>
      </c>
      <c r="H1141" t="s">
        <v>20</v>
      </c>
      <c r="I1141" t="s">
        <v>65</v>
      </c>
      <c r="J1141" t="s">
        <v>33</v>
      </c>
      <c r="K1141">
        <v>3.9</v>
      </c>
      <c r="L1141" t="s">
        <v>143</v>
      </c>
      <c r="M1141" t="s">
        <v>23</v>
      </c>
      <c r="N1141">
        <v>42</v>
      </c>
      <c r="O1141" t="s">
        <v>77</v>
      </c>
      <c r="P1141" t="s">
        <v>67</v>
      </c>
    </row>
    <row r="1142" spans="1:16" ht="14.5" x14ac:dyDescent="0.35">
      <c r="A1142">
        <v>1141</v>
      </c>
      <c r="B1142">
        <v>31</v>
      </c>
      <c r="C1142" t="s">
        <v>16</v>
      </c>
      <c r="D1142" t="s">
        <v>30</v>
      </c>
      <c r="E1142" t="s">
        <v>18</v>
      </c>
      <c r="F1142">
        <v>39</v>
      </c>
      <c r="G1142" t="s">
        <v>119</v>
      </c>
      <c r="H1142" t="s">
        <v>39</v>
      </c>
      <c r="I1142" t="s">
        <v>46</v>
      </c>
      <c r="J1142" t="s">
        <v>22</v>
      </c>
      <c r="K1142">
        <v>2.6</v>
      </c>
      <c r="L1142" t="s">
        <v>143</v>
      </c>
      <c r="M1142" t="s">
        <v>23</v>
      </c>
      <c r="N1142">
        <v>6</v>
      </c>
      <c r="O1142" t="s">
        <v>34</v>
      </c>
      <c r="P1142" t="s">
        <v>88</v>
      </c>
    </row>
    <row r="1143" spans="1:16" ht="14.5" x14ac:dyDescent="0.35">
      <c r="A1143">
        <v>1142</v>
      </c>
      <c r="B1143">
        <v>39</v>
      </c>
      <c r="C1143" t="s">
        <v>16</v>
      </c>
      <c r="D1143" t="s">
        <v>134</v>
      </c>
      <c r="E1143" t="s">
        <v>60</v>
      </c>
      <c r="F1143">
        <v>33</v>
      </c>
      <c r="G1143" t="s">
        <v>114</v>
      </c>
      <c r="H1143" t="s">
        <v>32</v>
      </c>
      <c r="I1143" t="s">
        <v>58</v>
      </c>
      <c r="J1143" t="s">
        <v>22</v>
      </c>
      <c r="K1143">
        <v>4.7</v>
      </c>
      <c r="L1143" t="s">
        <v>143</v>
      </c>
      <c r="M1143" t="s">
        <v>23</v>
      </c>
      <c r="N1143">
        <v>23</v>
      </c>
      <c r="O1143" t="s">
        <v>40</v>
      </c>
      <c r="P1143" t="s">
        <v>25</v>
      </c>
    </row>
    <row r="1144" spans="1:16" ht="14.5" x14ac:dyDescent="0.35">
      <c r="A1144">
        <v>1143</v>
      </c>
      <c r="B1144">
        <v>69</v>
      </c>
      <c r="C1144" t="s">
        <v>16</v>
      </c>
      <c r="D1144" t="s">
        <v>104</v>
      </c>
      <c r="E1144" t="s">
        <v>18</v>
      </c>
      <c r="F1144">
        <v>76</v>
      </c>
      <c r="G1144" t="s">
        <v>114</v>
      </c>
      <c r="H1144" t="s">
        <v>20</v>
      </c>
      <c r="I1144" t="s">
        <v>87</v>
      </c>
      <c r="J1144" t="s">
        <v>33</v>
      </c>
      <c r="K1144">
        <v>3.5</v>
      </c>
      <c r="L1144" t="s">
        <v>143</v>
      </c>
      <c r="M1144" t="s">
        <v>23</v>
      </c>
      <c r="N1144">
        <v>27</v>
      </c>
      <c r="O1144" t="s">
        <v>24</v>
      </c>
      <c r="P1144" t="s">
        <v>67</v>
      </c>
    </row>
    <row r="1145" spans="1:16" ht="14.5" x14ac:dyDescent="0.35">
      <c r="A1145">
        <v>1144</v>
      </c>
      <c r="B1145">
        <v>68</v>
      </c>
      <c r="C1145" t="s">
        <v>16</v>
      </c>
      <c r="D1145" t="s">
        <v>128</v>
      </c>
      <c r="E1145" t="s">
        <v>37</v>
      </c>
      <c r="F1145">
        <v>23</v>
      </c>
      <c r="G1145" t="s">
        <v>98</v>
      </c>
      <c r="H1145" t="s">
        <v>20</v>
      </c>
      <c r="I1145" t="s">
        <v>76</v>
      </c>
      <c r="J1145" t="s">
        <v>22</v>
      </c>
      <c r="K1145">
        <v>4.4000000000000004</v>
      </c>
      <c r="L1145" t="s">
        <v>143</v>
      </c>
      <c r="M1145" t="s">
        <v>23</v>
      </c>
      <c r="N1145">
        <v>43</v>
      </c>
      <c r="O1145" t="s">
        <v>40</v>
      </c>
      <c r="P1145" t="s">
        <v>51</v>
      </c>
    </row>
    <row r="1146" spans="1:16" ht="14.5" x14ac:dyDescent="0.35">
      <c r="A1146">
        <v>1145</v>
      </c>
      <c r="B1146">
        <v>41</v>
      </c>
      <c r="C1146" t="s">
        <v>16</v>
      </c>
      <c r="D1146" t="s">
        <v>30</v>
      </c>
      <c r="E1146" t="s">
        <v>18</v>
      </c>
      <c r="F1146">
        <v>54</v>
      </c>
      <c r="G1146" t="s">
        <v>122</v>
      </c>
      <c r="H1146" t="s">
        <v>32</v>
      </c>
      <c r="I1146" t="s">
        <v>117</v>
      </c>
      <c r="J1146" t="s">
        <v>50</v>
      </c>
      <c r="K1146">
        <v>4.4000000000000004</v>
      </c>
      <c r="L1146" t="s">
        <v>143</v>
      </c>
      <c r="M1146" t="s">
        <v>23</v>
      </c>
      <c r="N1146">
        <v>25</v>
      </c>
      <c r="O1146" t="s">
        <v>66</v>
      </c>
      <c r="P1146" t="s">
        <v>25</v>
      </c>
    </row>
    <row r="1147" spans="1:16" ht="14.5" x14ac:dyDescent="0.35">
      <c r="A1147">
        <v>1146</v>
      </c>
      <c r="B1147">
        <v>31</v>
      </c>
      <c r="C1147" t="s">
        <v>16</v>
      </c>
      <c r="D1147" t="s">
        <v>44</v>
      </c>
      <c r="E1147" t="s">
        <v>37</v>
      </c>
      <c r="F1147">
        <v>89</v>
      </c>
      <c r="G1147" t="s">
        <v>98</v>
      </c>
      <c r="H1147" t="s">
        <v>20</v>
      </c>
      <c r="I1147" t="s">
        <v>62</v>
      </c>
      <c r="J1147" t="s">
        <v>47</v>
      </c>
      <c r="K1147">
        <v>3</v>
      </c>
      <c r="L1147" t="s">
        <v>143</v>
      </c>
      <c r="M1147" t="s">
        <v>23</v>
      </c>
      <c r="N1147">
        <v>30</v>
      </c>
      <c r="O1147" t="s">
        <v>29</v>
      </c>
      <c r="P1147" t="s">
        <v>88</v>
      </c>
    </row>
    <row r="1148" spans="1:16" ht="14.5" x14ac:dyDescent="0.35">
      <c r="A1148">
        <v>1147</v>
      </c>
      <c r="B1148">
        <v>48</v>
      </c>
      <c r="C1148" t="s">
        <v>16</v>
      </c>
      <c r="D1148" t="s">
        <v>44</v>
      </c>
      <c r="E1148" t="s">
        <v>37</v>
      </c>
      <c r="F1148">
        <v>38</v>
      </c>
      <c r="G1148" t="s">
        <v>141</v>
      </c>
      <c r="H1148" t="s">
        <v>39</v>
      </c>
      <c r="I1148" t="s">
        <v>117</v>
      </c>
      <c r="J1148" t="s">
        <v>47</v>
      </c>
      <c r="K1148">
        <v>4.2</v>
      </c>
      <c r="L1148" t="s">
        <v>143</v>
      </c>
      <c r="M1148" t="s">
        <v>23</v>
      </c>
      <c r="N1148">
        <v>7</v>
      </c>
      <c r="O1148" t="s">
        <v>66</v>
      </c>
      <c r="P1148" t="s">
        <v>88</v>
      </c>
    </row>
    <row r="1149" spans="1:16" ht="14.5" x14ac:dyDescent="0.35">
      <c r="A1149">
        <v>1148</v>
      </c>
      <c r="B1149">
        <v>59</v>
      </c>
      <c r="C1149" t="s">
        <v>16</v>
      </c>
      <c r="D1149" t="s">
        <v>115</v>
      </c>
      <c r="E1149" t="s">
        <v>60</v>
      </c>
      <c r="F1149">
        <v>36</v>
      </c>
      <c r="G1149" t="s">
        <v>113</v>
      </c>
      <c r="H1149" t="s">
        <v>83</v>
      </c>
      <c r="I1149" t="s">
        <v>99</v>
      </c>
      <c r="J1149" t="s">
        <v>22</v>
      </c>
      <c r="K1149">
        <v>4.3</v>
      </c>
      <c r="L1149" t="s">
        <v>143</v>
      </c>
      <c r="M1149" t="s">
        <v>23</v>
      </c>
      <c r="N1149">
        <v>17</v>
      </c>
      <c r="O1149" t="s">
        <v>77</v>
      </c>
      <c r="P1149" t="s">
        <v>43</v>
      </c>
    </row>
    <row r="1150" spans="1:16" ht="14.5" x14ac:dyDescent="0.35">
      <c r="A1150">
        <v>1149</v>
      </c>
      <c r="B1150">
        <v>34</v>
      </c>
      <c r="C1150" t="s">
        <v>16</v>
      </c>
      <c r="D1150" t="s">
        <v>86</v>
      </c>
      <c r="E1150" t="s">
        <v>18</v>
      </c>
      <c r="F1150">
        <v>66</v>
      </c>
      <c r="G1150" t="s">
        <v>94</v>
      </c>
      <c r="H1150" t="s">
        <v>39</v>
      </c>
      <c r="I1150" t="s">
        <v>74</v>
      </c>
      <c r="J1150" t="s">
        <v>33</v>
      </c>
      <c r="K1150">
        <v>2.6</v>
      </c>
      <c r="L1150" t="s">
        <v>143</v>
      </c>
      <c r="M1150" t="s">
        <v>23</v>
      </c>
      <c r="N1150">
        <v>10</v>
      </c>
      <c r="O1150" t="s">
        <v>40</v>
      </c>
      <c r="P1150" t="s">
        <v>25</v>
      </c>
    </row>
    <row r="1151" spans="1:16" ht="14.5" x14ac:dyDescent="0.35">
      <c r="A1151">
        <v>1150</v>
      </c>
      <c r="B1151">
        <v>21</v>
      </c>
      <c r="C1151" t="s">
        <v>16</v>
      </c>
      <c r="D1151" t="s">
        <v>97</v>
      </c>
      <c r="E1151" t="s">
        <v>60</v>
      </c>
      <c r="F1151">
        <v>42</v>
      </c>
      <c r="G1151" t="s">
        <v>133</v>
      </c>
      <c r="H1151" t="s">
        <v>20</v>
      </c>
      <c r="I1151" t="s">
        <v>100</v>
      </c>
      <c r="J1151" t="s">
        <v>33</v>
      </c>
      <c r="K1151">
        <v>3.3</v>
      </c>
      <c r="L1151" t="s">
        <v>143</v>
      </c>
      <c r="M1151" t="s">
        <v>23</v>
      </c>
      <c r="N1151">
        <v>40</v>
      </c>
      <c r="O1151" t="s">
        <v>24</v>
      </c>
      <c r="P1151" t="s">
        <v>43</v>
      </c>
    </row>
    <row r="1152" spans="1:16" ht="14.5" x14ac:dyDescent="0.35">
      <c r="A1152">
        <v>1151</v>
      </c>
      <c r="B1152">
        <v>29</v>
      </c>
      <c r="C1152" t="s">
        <v>16</v>
      </c>
      <c r="D1152" t="s">
        <v>97</v>
      </c>
      <c r="E1152" t="s">
        <v>60</v>
      </c>
      <c r="F1152">
        <v>36</v>
      </c>
      <c r="G1152" t="s">
        <v>19</v>
      </c>
      <c r="H1152" t="s">
        <v>32</v>
      </c>
      <c r="I1152" t="s">
        <v>99</v>
      </c>
      <c r="J1152" t="s">
        <v>22</v>
      </c>
      <c r="K1152">
        <v>2.7</v>
      </c>
      <c r="L1152" t="s">
        <v>143</v>
      </c>
      <c r="M1152" t="s">
        <v>23</v>
      </c>
      <c r="N1152">
        <v>50</v>
      </c>
      <c r="O1152" t="s">
        <v>24</v>
      </c>
      <c r="P1152" t="s">
        <v>67</v>
      </c>
    </row>
    <row r="1153" spans="1:16" ht="14.5" x14ac:dyDescent="0.35">
      <c r="A1153">
        <v>1152</v>
      </c>
      <c r="B1153">
        <v>41</v>
      </c>
      <c r="C1153" t="s">
        <v>16</v>
      </c>
      <c r="D1153" t="s">
        <v>17</v>
      </c>
      <c r="E1153" t="s">
        <v>18</v>
      </c>
      <c r="F1153">
        <v>86</v>
      </c>
      <c r="G1153" t="s">
        <v>114</v>
      </c>
      <c r="H1153" t="s">
        <v>39</v>
      </c>
      <c r="I1153" t="s">
        <v>21</v>
      </c>
      <c r="J1153" t="s">
        <v>33</v>
      </c>
      <c r="K1153">
        <v>4.2</v>
      </c>
      <c r="L1153" t="s">
        <v>143</v>
      </c>
      <c r="M1153" t="s">
        <v>23</v>
      </c>
      <c r="N1153">
        <v>24</v>
      </c>
      <c r="O1153" t="s">
        <v>34</v>
      </c>
      <c r="P1153" t="s">
        <v>35</v>
      </c>
    </row>
    <row r="1154" spans="1:16" ht="14.5" x14ac:dyDescent="0.35">
      <c r="A1154">
        <v>1153</v>
      </c>
      <c r="B1154">
        <v>62</v>
      </c>
      <c r="C1154" t="s">
        <v>16</v>
      </c>
      <c r="D1154" t="s">
        <v>59</v>
      </c>
      <c r="E1154" t="s">
        <v>60</v>
      </c>
      <c r="F1154">
        <v>49</v>
      </c>
      <c r="G1154" t="s">
        <v>130</v>
      </c>
      <c r="H1154" t="s">
        <v>39</v>
      </c>
      <c r="I1154" t="s">
        <v>71</v>
      </c>
      <c r="J1154" t="s">
        <v>50</v>
      </c>
      <c r="K1154">
        <v>4</v>
      </c>
      <c r="L1154" t="s">
        <v>143</v>
      </c>
      <c r="M1154" t="s">
        <v>23</v>
      </c>
      <c r="N1154">
        <v>8</v>
      </c>
      <c r="O1154" t="s">
        <v>40</v>
      </c>
      <c r="P1154" t="s">
        <v>88</v>
      </c>
    </row>
    <row r="1155" spans="1:16" ht="14.5" x14ac:dyDescent="0.35">
      <c r="A1155">
        <v>1154</v>
      </c>
      <c r="B1155">
        <v>27</v>
      </c>
      <c r="C1155" t="s">
        <v>16</v>
      </c>
      <c r="D1155" t="s">
        <v>48</v>
      </c>
      <c r="E1155" t="s">
        <v>18</v>
      </c>
      <c r="F1155">
        <v>41</v>
      </c>
      <c r="G1155" t="s">
        <v>126</v>
      </c>
      <c r="H1155" t="s">
        <v>39</v>
      </c>
      <c r="I1155" t="s">
        <v>62</v>
      </c>
      <c r="J1155" t="s">
        <v>47</v>
      </c>
      <c r="K1155">
        <v>4</v>
      </c>
      <c r="L1155" t="s">
        <v>143</v>
      </c>
      <c r="M1155" t="s">
        <v>23</v>
      </c>
      <c r="N1155">
        <v>6</v>
      </c>
      <c r="O1155" t="s">
        <v>66</v>
      </c>
      <c r="P1155" t="s">
        <v>51</v>
      </c>
    </row>
    <row r="1156" spans="1:16" ht="14.5" x14ac:dyDescent="0.35">
      <c r="A1156">
        <v>1155</v>
      </c>
      <c r="B1156">
        <v>49</v>
      </c>
      <c r="C1156" t="s">
        <v>16</v>
      </c>
      <c r="D1156" t="s">
        <v>72</v>
      </c>
      <c r="E1156" t="s">
        <v>18</v>
      </c>
      <c r="F1156">
        <v>82</v>
      </c>
      <c r="G1156" t="s">
        <v>133</v>
      </c>
      <c r="H1156" t="s">
        <v>20</v>
      </c>
      <c r="I1156" t="s">
        <v>100</v>
      </c>
      <c r="J1156" t="s">
        <v>33</v>
      </c>
      <c r="K1156">
        <v>2.9</v>
      </c>
      <c r="L1156" t="s">
        <v>143</v>
      </c>
      <c r="M1156" t="s">
        <v>23</v>
      </c>
      <c r="N1156">
        <v>44</v>
      </c>
      <c r="O1156" t="s">
        <v>34</v>
      </c>
      <c r="P1156" t="s">
        <v>67</v>
      </c>
    </row>
    <row r="1157" spans="1:16" ht="14.5" x14ac:dyDescent="0.35">
      <c r="A1157">
        <v>1156</v>
      </c>
      <c r="B1157">
        <v>67</v>
      </c>
      <c r="C1157" t="s">
        <v>16</v>
      </c>
      <c r="D1157" t="s">
        <v>104</v>
      </c>
      <c r="E1157" t="s">
        <v>18</v>
      </c>
      <c r="F1157">
        <v>53</v>
      </c>
      <c r="G1157" t="s">
        <v>113</v>
      </c>
      <c r="H1157" t="s">
        <v>32</v>
      </c>
      <c r="I1157" t="s">
        <v>99</v>
      </c>
      <c r="J1157" t="s">
        <v>50</v>
      </c>
      <c r="K1157">
        <v>2.6</v>
      </c>
      <c r="L1157" t="s">
        <v>143</v>
      </c>
      <c r="M1157" t="s">
        <v>23</v>
      </c>
      <c r="N1157">
        <v>47</v>
      </c>
      <c r="O1157" t="s">
        <v>40</v>
      </c>
      <c r="P1157" t="s">
        <v>51</v>
      </c>
    </row>
    <row r="1158" spans="1:16" ht="14.5" x14ac:dyDescent="0.35">
      <c r="A1158">
        <v>1157</v>
      </c>
      <c r="B1158">
        <v>20</v>
      </c>
      <c r="C1158" t="s">
        <v>16</v>
      </c>
      <c r="D1158" t="s">
        <v>63</v>
      </c>
      <c r="E1158" t="s">
        <v>37</v>
      </c>
      <c r="F1158">
        <v>21</v>
      </c>
      <c r="G1158" t="s">
        <v>68</v>
      </c>
      <c r="H1158" t="s">
        <v>39</v>
      </c>
      <c r="I1158" t="s">
        <v>71</v>
      </c>
      <c r="J1158" t="s">
        <v>47</v>
      </c>
      <c r="K1158">
        <v>4.8</v>
      </c>
      <c r="L1158" t="s">
        <v>143</v>
      </c>
      <c r="M1158" t="s">
        <v>23</v>
      </c>
      <c r="N1158">
        <v>6</v>
      </c>
      <c r="O1158" t="s">
        <v>24</v>
      </c>
      <c r="P1158" t="s">
        <v>88</v>
      </c>
    </row>
    <row r="1159" spans="1:16" ht="14.5" x14ac:dyDescent="0.35">
      <c r="A1159">
        <v>1158</v>
      </c>
      <c r="B1159">
        <v>37</v>
      </c>
      <c r="C1159" t="s">
        <v>16</v>
      </c>
      <c r="D1159" t="s">
        <v>124</v>
      </c>
      <c r="E1159" t="s">
        <v>60</v>
      </c>
      <c r="F1159">
        <v>66</v>
      </c>
      <c r="G1159" t="s">
        <v>119</v>
      </c>
      <c r="H1159" t="s">
        <v>39</v>
      </c>
      <c r="I1159" t="s">
        <v>54</v>
      </c>
      <c r="J1159" t="s">
        <v>50</v>
      </c>
      <c r="K1159">
        <v>4.4000000000000004</v>
      </c>
      <c r="L1159" t="s">
        <v>143</v>
      </c>
      <c r="M1159" t="s">
        <v>23</v>
      </c>
      <c r="N1159">
        <v>11</v>
      </c>
      <c r="O1159" t="s">
        <v>29</v>
      </c>
      <c r="P1159" t="s">
        <v>51</v>
      </c>
    </row>
    <row r="1160" spans="1:16" ht="14.5" x14ac:dyDescent="0.35">
      <c r="A1160">
        <v>1159</v>
      </c>
      <c r="B1160">
        <v>69</v>
      </c>
      <c r="C1160" t="s">
        <v>16</v>
      </c>
      <c r="D1160" t="s">
        <v>124</v>
      </c>
      <c r="E1160" t="s">
        <v>60</v>
      </c>
      <c r="F1160">
        <v>89</v>
      </c>
      <c r="G1160" t="s">
        <v>98</v>
      </c>
      <c r="H1160" t="s">
        <v>20</v>
      </c>
      <c r="I1160" t="s">
        <v>112</v>
      </c>
      <c r="J1160" t="s">
        <v>47</v>
      </c>
      <c r="K1160">
        <v>4</v>
      </c>
      <c r="L1160" t="s">
        <v>143</v>
      </c>
      <c r="M1160" t="s">
        <v>23</v>
      </c>
      <c r="N1160">
        <v>41</v>
      </c>
      <c r="O1160" t="s">
        <v>66</v>
      </c>
      <c r="P1160" t="s">
        <v>43</v>
      </c>
    </row>
    <row r="1161" spans="1:16" ht="14.5" x14ac:dyDescent="0.35">
      <c r="A1161">
        <v>1160</v>
      </c>
      <c r="B1161">
        <v>66</v>
      </c>
      <c r="C1161" t="s">
        <v>16</v>
      </c>
      <c r="D1161" t="s">
        <v>59</v>
      </c>
      <c r="E1161" t="s">
        <v>60</v>
      </c>
      <c r="F1161">
        <v>55</v>
      </c>
      <c r="G1161" t="s">
        <v>73</v>
      </c>
      <c r="H1161" t="s">
        <v>20</v>
      </c>
      <c r="I1161" t="s">
        <v>135</v>
      </c>
      <c r="J1161" t="s">
        <v>50</v>
      </c>
      <c r="K1161">
        <v>3.6</v>
      </c>
      <c r="L1161" t="s">
        <v>143</v>
      </c>
      <c r="M1161" t="s">
        <v>23</v>
      </c>
      <c r="N1161">
        <v>46</v>
      </c>
      <c r="O1161" t="s">
        <v>24</v>
      </c>
      <c r="P1161" t="s">
        <v>88</v>
      </c>
    </row>
    <row r="1162" spans="1:16" ht="14.5" x14ac:dyDescent="0.35">
      <c r="A1162">
        <v>1161</v>
      </c>
      <c r="B1162">
        <v>37</v>
      </c>
      <c r="C1162" t="s">
        <v>16</v>
      </c>
      <c r="D1162" t="s">
        <v>110</v>
      </c>
      <c r="E1162" t="s">
        <v>60</v>
      </c>
      <c r="F1162">
        <v>42</v>
      </c>
      <c r="G1162" t="s">
        <v>105</v>
      </c>
      <c r="H1162" t="s">
        <v>32</v>
      </c>
      <c r="I1162" t="s">
        <v>135</v>
      </c>
      <c r="J1162" t="s">
        <v>47</v>
      </c>
      <c r="K1162">
        <v>3.2</v>
      </c>
      <c r="L1162" t="s">
        <v>143</v>
      </c>
      <c r="M1162" t="s">
        <v>23</v>
      </c>
      <c r="N1162">
        <v>9</v>
      </c>
      <c r="O1162" t="s">
        <v>24</v>
      </c>
      <c r="P1162" t="s">
        <v>67</v>
      </c>
    </row>
    <row r="1163" spans="1:16" ht="14.5" x14ac:dyDescent="0.35">
      <c r="A1163">
        <v>1162</v>
      </c>
      <c r="B1163">
        <v>63</v>
      </c>
      <c r="C1163" t="s">
        <v>16</v>
      </c>
      <c r="D1163" t="s">
        <v>52</v>
      </c>
      <c r="E1163" t="s">
        <v>18</v>
      </c>
      <c r="F1163">
        <v>52</v>
      </c>
      <c r="G1163" t="s">
        <v>92</v>
      </c>
      <c r="H1163" t="s">
        <v>32</v>
      </c>
      <c r="I1163" t="s">
        <v>112</v>
      </c>
      <c r="J1163" t="s">
        <v>50</v>
      </c>
      <c r="K1163">
        <v>3.1</v>
      </c>
      <c r="L1163" t="s">
        <v>143</v>
      </c>
      <c r="M1163" t="s">
        <v>23</v>
      </c>
      <c r="N1163">
        <v>37</v>
      </c>
      <c r="O1163" t="s">
        <v>40</v>
      </c>
      <c r="P1163" t="s">
        <v>79</v>
      </c>
    </row>
    <row r="1164" spans="1:16" ht="14.5" x14ac:dyDescent="0.35">
      <c r="A1164">
        <v>1163</v>
      </c>
      <c r="B1164">
        <v>47</v>
      </c>
      <c r="C1164" t="s">
        <v>16</v>
      </c>
      <c r="D1164" t="s">
        <v>36</v>
      </c>
      <c r="E1164" t="s">
        <v>37</v>
      </c>
      <c r="F1164">
        <v>92</v>
      </c>
      <c r="G1164" t="s">
        <v>89</v>
      </c>
      <c r="H1164" t="s">
        <v>39</v>
      </c>
      <c r="I1164" t="s">
        <v>135</v>
      </c>
      <c r="J1164" t="s">
        <v>22</v>
      </c>
      <c r="K1164">
        <v>4.2</v>
      </c>
      <c r="L1164" t="s">
        <v>143</v>
      </c>
      <c r="M1164" t="s">
        <v>23</v>
      </c>
      <c r="N1164">
        <v>13</v>
      </c>
      <c r="O1164" t="s">
        <v>40</v>
      </c>
      <c r="P1164" t="s">
        <v>35</v>
      </c>
    </row>
    <row r="1165" spans="1:16" ht="14.5" x14ac:dyDescent="0.35">
      <c r="A1165">
        <v>1164</v>
      </c>
      <c r="B1165">
        <v>26</v>
      </c>
      <c r="C1165" t="s">
        <v>16</v>
      </c>
      <c r="D1165" t="s">
        <v>86</v>
      </c>
      <c r="E1165" t="s">
        <v>18</v>
      </c>
      <c r="F1165">
        <v>56</v>
      </c>
      <c r="G1165" t="s">
        <v>113</v>
      </c>
      <c r="H1165" t="s">
        <v>20</v>
      </c>
      <c r="I1165" t="s">
        <v>46</v>
      </c>
      <c r="J1165" t="s">
        <v>47</v>
      </c>
      <c r="K1165">
        <v>3</v>
      </c>
      <c r="L1165" t="s">
        <v>143</v>
      </c>
      <c r="M1165" t="s">
        <v>23</v>
      </c>
      <c r="N1165">
        <v>24</v>
      </c>
      <c r="O1165" t="s">
        <v>77</v>
      </c>
      <c r="P1165" t="s">
        <v>79</v>
      </c>
    </row>
    <row r="1166" spans="1:16" ht="14.5" x14ac:dyDescent="0.35">
      <c r="A1166">
        <v>1165</v>
      </c>
      <c r="B1166">
        <v>68</v>
      </c>
      <c r="C1166" t="s">
        <v>16</v>
      </c>
      <c r="D1166" t="s">
        <v>72</v>
      </c>
      <c r="E1166" t="s">
        <v>18</v>
      </c>
      <c r="F1166">
        <v>96</v>
      </c>
      <c r="G1166" t="s">
        <v>49</v>
      </c>
      <c r="H1166" t="s">
        <v>39</v>
      </c>
      <c r="I1166" t="s">
        <v>87</v>
      </c>
      <c r="J1166" t="s">
        <v>22</v>
      </c>
      <c r="K1166">
        <v>4.2</v>
      </c>
      <c r="L1166" t="s">
        <v>143</v>
      </c>
      <c r="M1166" t="s">
        <v>23</v>
      </c>
      <c r="N1166">
        <v>47</v>
      </c>
      <c r="O1166" t="s">
        <v>40</v>
      </c>
      <c r="P1166" t="s">
        <v>51</v>
      </c>
    </row>
    <row r="1167" spans="1:16" ht="14.5" x14ac:dyDescent="0.35">
      <c r="A1167">
        <v>1166</v>
      </c>
      <c r="B1167">
        <v>51</v>
      </c>
      <c r="C1167" t="s">
        <v>16</v>
      </c>
      <c r="D1167" t="s">
        <v>104</v>
      </c>
      <c r="E1167" t="s">
        <v>18</v>
      </c>
      <c r="F1167">
        <v>64</v>
      </c>
      <c r="G1167" t="s">
        <v>141</v>
      </c>
      <c r="H1167" t="s">
        <v>39</v>
      </c>
      <c r="I1167" t="s">
        <v>58</v>
      </c>
      <c r="J1167" t="s">
        <v>22</v>
      </c>
      <c r="K1167">
        <v>2.9</v>
      </c>
      <c r="L1167" t="s">
        <v>143</v>
      </c>
      <c r="M1167" t="s">
        <v>23</v>
      </c>
      <c r="N1167">
        <v>21</v>
      </c>
      <c r="O1167" t="s">
        <v>24</v>
      </c>
      <c r="P1167" t="s">
        <v>88</v>
      </c>
    </row>
    <row r="1168" spans="1:16" ht="14.5" x14ac:dyDescent="0.35">
      <c r="A1168">
        <v>1167</v>
      </c>
      <c r="B1168">
        <v>48</v>
      </c>
      <c r="C1168" t="s">
        <v>16</v>
      </c>
      <c r="D1168" t="s">
        <v>72</v>
      </c>
      <c r="E1168" t="s">
        <v>18</v>
      </c>
      <c r="F1168">
        <v>48</v>
      </c>
      <c r="G1168" t="s">
        <v>130</v>
      </c>
      <c r="H1168" t="s">
        <v>32</v>
      </c>
      <c r="I1168" t="s">
        <v>84</v>
      </c>
      <c r="J1168" t="s">
        <v>22</v>
      </c>
      <c r="K1168">
        <v>3.7</v>
      </c>
      <c r="L1168" t="s">
        <v>143</v>
      </c>
      <c r="M1168" t="s">
        <v>23</v>
      </c>
      <c r="N1168">
        <v>22</v>
      </c>
      <c r="O1168" t="s">
        <v>24</v>
      </c>
      <c r="P1168" t="s">
        <v>25</v>
      </c>
    </row>
    <row r="1169" spans="1:16" ht="14.5" x14ac:dyDescent="0.35">
      <c r="A1169">
        <v>1168</v>
      </c>
      <c r="B1169">
        <v>60</v>
      </c>
      <c r="C1169" t="s">
        <v>16</v>
      </c>
      <c r="D1169" t="s">
        <v>116</v>
      </c>
      <c r="E1169" t="s">
        <v>18</v>
      </c>
      <c r="F1169">
        <v>83</v>
      </c>
      <c r="G1169" t="s">
        <v>118</v>
      </c>
      <c r="H1169" t="s">
        <v>83</v>
      </c>
      <c r="I1169" t="s">
        <v>109</v>
      </c>
      <c r="J1169" t="s">
        <v>47</v>
      </c>
      <c r="K1169">
        <v>3.6</v>
      </c>
      <c r="L1169" t="s">
        <v>143</v>
      </c>
      <c r="M1169" t="s">
        <v>23</v>
      </c>
      <c r="N1169">
        <v>16</v>
      </c>
      <c r="O1169" t="s">
        <v>40</v>
      </c>
      <c r="P1169" t="s">
        <v>51</v>
      </c>
    </row>
    <row r="1170" spans="1:16" ht="14.5" x14ac:dyDescent="0.35">
      <c r="A1170">
        <v>1169</v>
      </c>
      <c r="B1170">
        <v>68</v>
      </c>
      <c r="C1170" t="s">
        <v>16</v>
      </c>
      <c r="D1170" t="s">
        <v>110</v>
      </c>
      <c r="E1170" t="s">
        <v>60</v>
      </c>
      <c r="F1170">
        <v>91</v>
      </c>
      <c r="G1170" t="s">
        <v>82</v>
      </c>
      <c r="H1170" t="s">
        <v>20</v>
      </c>
      <c r="I1170" t="s">
        <v>74</v>
      </c>
      <c r="J1170" t="s">
        <v>47</v>
      </c>
      <c r="K1170">
        <v>3.6</v>
      </c>
      <c r="L1170" t="s">
        <v>143</v>
      </c>
      <c r="M1170" t="s">
        <v>23</v>
      </c>
      <c r="N1170">
        <v>37</v>
      </c>
      <c r="O1170" t="s">
        <v>77</v>
      </c>
      <c r="P1170" t="s">
        <v>25</v>
      </c>
    </row>
    <row r="1171" spans="1:16" ht="14.5" x14ac:dyDescent="0.35">
      <c r="A1171">
        <v>1170</v>
      </c>
      <c r="B1171">
        <v>25</v>
      </c>
      <c r="C1171" t="s">
        <v>16</v>
      </c>
      <c r="D1171" t="s">
        <v>123</v>
      </c>
      <c r="E1171" t="s">
        <v>60</v>
      </c>
      <c r="F1171">
        <v>94</v>
      </c>
      <c r="G1171" t="s">
        <v>45</v>
      </c>
      <c r="H1171" t="s">
        <v>32</v>
      </c>
      <c r="I1171" t="s">
        <v>21</v>
      </c>
      <c r="J1171" t="s">
        <v>50</v>
      </c>
      <c r="K1171">
        <v>4.5</v>
      </c>
      <c r="L1171" t="s">
        <v>143</v>
      </c>
      <c r="M1171" t="s">
        <v>23</v>
      </c>
      <c r="N1171">
        <v>3</v>
      </c>
      <c r="O1171" t="s">
        <v>29</v>
      </c>
      <c r="P1171" t="s">
        <v>43</v>
      </c>
    </row>
    <row r="1172" spans="1:16" ht="14.5" x14ac:dyDescent="0.35">
      <c r="A1172">
        <v>1171</v>
      </c>
      <c r="B1172">
        <v>57</v>
      </c>
      <c r="C1172" t="s">
        <v>16</v>
      </c>
      <c r="D1172" t="s">
        <v>78</v>
      </c>
      <c r="E1172" t="s">
        <v>18</v>
      </c>
      <c r="F1172">
        <v>62</v>
      </c>
      <c r="G1172" t="s">
        <v>106</v>
      </c>
      <c r="H1172" t="s">
        <v>32</v>
      </c>
      <c r="I1172" t="s">
        <v>99</v>
      </c>
      <c r="J1172" t="s">
        <v>33</v>
      </c>
      <c r="K1172">
        <v>3.2</v>
      </c>
      <c r="L1172" t="s">
        <v>143</v>
      </c>
      <c r="M1172" t="s">
        <v>23</v>
      </c>
      <c r="N1172">
        <v>33</v>
      </c>
      <c r="O1172" t="s">
        <v>29</v>
      </c>
      <c r="P1172" t="s">
        <v>67</v>
      </c>
    </row>
    <row r="1173" spans="1:16" ht="14.5" x14ac:dyDescent="0.35">
      <c r="A1173">
        <v>1172</v>
      </c>
      <c r="B1173">
        <v>41</v>
      </c>
      <c r="C1173" t="s">
        <v>16</v>
      </c>
      <c r="D1173" t="s">
        <v>116</v>
      </c>
      <c r="E1173" t="s">
        <v>18</v>
      </c>
      <c r="F1173">
        <v>55</v>
      </c>
      <c r="G1173" t="s">
        <v>53</v>
      </c>
      <c r="H1173" t="s">
        <v>39</v>
      </c>
      <c r="I1173" t="s">
        <v>84</v>
      </c>
      <c r="J1173" t="s">
        <v>33</v>
      </c>
      <c r="K1173">
        <v>3.9</v>
      </c>
      <c r="L1173" t="s">
        <v>143</v>
      </c>
      <c r="M1173" t="s">
        <v>23</v>
      </c>
      <c r="N1173">
        <v>15</v>
      </c>
      <c r="O1173" t="s">
        <v>77</v>
      </c>
      <c r="P1173" t="s">
        <v>43</v>
      </c>
    </row>
    <row r="1174" spans="1:16" ht="14.5" x14ac:dyDescent="0.35">
      <c r="A1174">
        <v>1173</v>
      </c>
      <c r="B1174">
        <v>59</v>
      </c>
      <c r="C1174" t="s">
        <v>16</v>
      </c>
      <c r="D1174" t="s">
        <v>55</v>
      </c>
      <c r="E1174" t="s">
        <v>56</v>
      </c>
      <c r="F1174">
        <v>68</v>
      </c>
      <c r="G1174" t="s">
        <v>41</v>
      </c>
      <c r="H1174" t="s">
        <v>20</v>
      </c>
      <c r="I1174" t="s">
        <v>91</v>
      </c>
      <c r="J1174" t="s">
        <v>33</v>
      </c>
      <c r="K1174">
        <v>4.5999999999999996</v>
      </c>
      <c r="L1174" t="s">
        <v>143</v>
      </c>
      <c r="M1174" t="s">
        <v>23</v>
      </c>
      <c r="N1174">
        <v>42</v>
      </c>
      <c r="O1174" t="s">
        <v>66</v>
      </c>
      <c r="P1174" t="s">
        <v>67</v>
      </c>
    </row>
    <row r="1175" spans="1:16" ht="14.5" x14ac:dyDescent="0.35">
      <c r="A1175">
        <v>1174</v>
      </c>
      <c r="B1175">
        <v>44</v>
      </c>
      <c r="C1175" t="s">
        <v>16</v>
      </c>
      <c r="D1175" t="s">
        <v>97</v>
      </c>
      <c r="E1175" t="s">
        <v>60</v>
      </c>
      <c r="F1175">
        <v>76</v>
      </c>
      <c r="G1175" t="s">
        <v>138</v>
      </c>
      <c r="H1175" t="s">
        <v>39</v>
      </c>
      <c r="I1175" t="s">
        <v>117</v>
      </c>
      <c r="J1175" t="s">
        <v>22</v>
      </c>
      <c r="K1175">
        <v>2.5</v>
      </c>
      <c r="L1175" t="s">
        <v>143</v>
      </c>
      <c r="M1175" t="s">
        <v>23</v>
      </c>
      <c r="N1175">
        <v>42</v>
      </c>
      <c r="O1175" t="s">
        <v>29</v>
      </c>
      <c r="P1175" t="s">
        <v>67</v>
      </c>
    </row>
    <row r="1176" spans="1:16" ht="14.5" x14ac:dyDescent="0.35">
      <c r="A1176">
        <v>1175</v>
      </c>
      <c r="B1176">
        <v>42</v>
      </c>
      <c r="C1176" t="s">
        <v>16</v>
      </c>
      <c r="D1176" t="s">
        <v>123</v>
      </c>
      <c r="E1176" t="s">
        <v>60</v>
      </c>
      <c r="F1176">
        <v>31</v>
      </c>
      <c r="G1176" t="s">
        <v>142</v>
      </c>
      <c r="H1176" t="s">
        <v>39</v>
      </c>
      <c r="I1176" t="s">
        <v>85</v>
      </c>
      <c r="J1176" t="s">
        <v>22</v>
      </c>
      <c r="K1176">
        <v>4.3</v>
      </c>
      <c r="L1176" t="s">
        <v>143</v>
      </c>
      <c r="M1176" t="s">
        <v>23</v>
      </c>
      <c r="N1176">
        <v>19</v>
      </c>
      <c r="O1176" t="s">
        <v>66</v>
      </c>
      <c r="P1176" t="s">
        <v>67</v>
      </c>
    </row>
    <row r="1177" spans="1:16" ht="14.5" x14ac:dyDescent="0.35">
      <c r="A1177">
        <v>1176</v>
      </c>
      <c r="B1177">
        <v>35</v>
      </c>
      <c r="C1177" t="s">
        <v>16</v>
      </c>
      <c r="D1177" t="s">
        <v>124</v>
      </c>
      <c r="E1177" t="s">
        <v>60</v>
      </c>
      <c r="F1177">
        <v>81</v>
      </c>
      <c r="G1177" t="s">
        <v>118</v>
      </c>
      <c r="H1177" t="s">
        <v>39</v>
      </c>
      <c r="I1177" t="s">
        <v>109</v>
      </c>
      <c r="J1177" t="s">
        <v>33</v>
      </c>
      <c r="K1177">
        <v>4.0999999999999996</v>
      </c>
      <c r="L1177" t="s">
        <v>143</v>
      </c>
      <c r="M1177" t="s">
        <v>23</v>
      </c>
      <c r="N1177">
        <v>26</v>
      </c>
      <c r="O1177" t="s">
        <v>40</v>
      </c>
      <c r="P1177" t="s">
        <v>51</v>
      </c>
    </row>
    <row r="1178" spans="1:16" ht="14.5" x14ac:dyDescent="0.35">
      <c r="A1178">
        <v>1177</v>
      </c>
      <c r="B1178">
        <v>36</v>
      </c>
      <c r="C1178" t="s">
        <v>16</v>
      </c>
      <c r="D1178" t="s">
        <v>72</v>
      </c>
      <c r="E1178" t="s">
        <v>18</v>
      </c>
      <c r="F1178">
        <v>83</v>
      </c>
      <c r="G1178" t="s">
        <v>41</v>
      </c>
      <c r="H1178" t="s">
        <v>39</v>
      </c>
      <c r="I1178" t="s">
        <v>99</v>
      </c>
      <c r="J1178" t="s">
        <v>22</v>
      </c>
      <c r="K1178">
        <v>4.5999999999999996</v>
      </c>
      <c r="L1178" t="s">
        <v>143</v>
      </c>
      <c r="M1178" t="s">
        <v>23</v>
      </c>
      <c r="N1178">
        <v>39</v>
      </c>
      <c r="O1178" t="s">
        <v>40</v>
      </c>
      <c r="P1178" t="s">
        <v>51</v>
      </c>
    </row>
    <row r="1179" spans="1:16" ht="14.5" x14ac:dyDescent="0.35">
      <c r="A1179">
        <v>1178</v>
      </c>
      <c r="B1179">
        <v>54</v>
      </c>
      <c r="C1179" t="s">
        <v>16</v>
      </c>
      <c r="D1179" t="s">
        <v>78</v>
      </c>
      <c r="E1179" t="s">
        <v>18</v>
      </c>
      <c r="F1179">
        <v>21</v>
      </c>
      <c r="G1179" t="s">
        <v>137</v>
      </c>
      <c r="H1179" t="s">
        <v>39</v>
      </c>
      <c r="I1179" t="s">
        <v>85</v>
      </c>
      <c r="J1179" t="s">
        <v>33</v>
      </c>
      <c r="K1179">
        <v>4.8</v>
      </c>
      <c r="L1179" t="s">
        <v>143</v>
      </c>
      <c r="M1179" t="s">
        <v>23</v>
      </c>
      <c r="N1179">
        <v>24</v>
      </c>
      <c r="O1179" t="s">
        <v>77</v>
      </c>
      <c r="P1179" t="s">
        <v>79</v>
      </c>
    </row>
    <row r="1180" spans="1:16" ht="14.5" x14ac:dyDescent="0.35">
      <c r="A1180">
        <v>1179</v>
      </c>
      <c r="B1180">
        <v>37</v>
      </c>
      <c r="C1180" t="s">
        <v>16</v>
      </c>
      <c r="D1180" t="s">
        <v>72</v>
      </c>
      <c r="E1180" t="s">
        <v>18</v>
      </c>
      <c r="F1180">
        <v>22</v>
      </c>
      <c r="G1180" t="s">
        <v>122</v>
      </c>
      <c r="H1180" t="s">
        <v>39</v>
      </c>
      <c r="I1180" t="s">
        <v>76</v>
      </c>
      <c r="J1180" t="s">
        <v>33</v>
      </c>
      <c r="K1180">
        <v>4.9000000000000004</v>
      </c>
      <c r="L1180" t="s">
        <v>143</v>
      </c>
      <c r="M1180" t="s">
        <v>23</v>
      </c>
      <c r="N1180">
        <v>23</v>
      </c>
      <c r="O1180" t="s">
        <v>77</v>
      </c>
      <c r="P1180" t="s">
        <v>43</v>
      </c>
    </row>
    <row r="1181" spans="1:16" ht="14.5" x14ac:dyDescent="0.35">
      <c r="A1181">
        <v>1180</v>
      </c>
      <c r="B1181">
        <v>20</v>
      </c>
      <c r="C1181" t="s">
        <v>16</v>
      </c>
      <c r="D1181" t="s">
        <v>104</v>
      </c>
      <c r="E1181" t="s">
        <v>18</v>
      </c>
      <c r="F1181">
        <v>33</v>
      </c>
      <c r="G1181" t="s">
        <v>107</v>
      </c>
      <c r="H1181" t="s">
        <v>39</v>
      </c>
      <c r="I1181" t="s">
        <v>135</v>
      </c>
      <c r="J1181" t="s">
        <v>47</v>
      </c>
      <c r="K1181">
        <v>2.8</v>
      </c>
      <c r="L1181" t="s">
        <v>143</v>
      </c>
      <c r="M1181" t="s">
        <v>23</v>
      </c>
      <c r="N1181">
        <v>44</v>
      </c>
      <c r="O1181" t="s">
        <v>66</v>
      </c>
      <c r="P1181" t="s">
        <v>43</v>
      </c>
    </row>
    <row r="1182" spans="1:16" ht="14.5" x14ac:dyDescent="0.35">
      <c r="A1182">
        <v>1181</v>
      </c>
      <c r="B1182">
        <v>23</v>
      </c>
      <c r="C1182" t="s">
        <v>16</v>
      </c>
      <c r="D1182" t="s">
        <v>78</v>
      </c>
      <c r="E1182" t="s">
        <v>18</v>
      </c>
      <c r="F1182">
        <v>23</v>
      </c>
      <c r="G1182" t="s">
        <v>41</v>
      </c>
      <c r="H1182" t="s">
        <v>32</v>
      </c>
      <c r="I1182" t="s">
        <v>109</v>
      </c>
      <c r="J1182" t="s">
        <v>33</v>
      </c>
      <c r="K1182">
        <v>4.9000000000000004</v>
      </c>
      <c r="L1182" t="s">
        <v>143</v>
      </c>
      <c r="M1182" t="s">
        <v>23</v>
      </c>
      <c r="N1182">
        <v>34</v>
      </c>
      <c r="O1182" t="s">
        <v>29</v>
      </c>
      <c r="P1182" t="s">
        <v>79</v>
      </c>
    </row>
    <row r="1183" spans="1:16" ht="14.5" x14ac:dyDescent="0.35">
      <c r="A1183">
        <v>1182</v>
      </c>
      <c r="B1183">
        <v>61</v>
      </c>
      <c r="C1183" t="s">
        <v>16</v>
      </c>
      <c r="D1183" t="s">
        <v>52</v>
      </c>
      <c r="E1183" t="s">
        <v>18</v>
      </c>
      <c r="F1183">
        <v>96</v>
      </c>
      <c r="G1183" t="s">
        <v>75</v>
      </c>
      <c r="H1183" t="s">
        <v>20</v>
      </c>
      <c r="I1183" t="s">
        <v>76</v>
      </c>
      <c r="J1183" t="s">
        <v>47</v>
      </c>
      <c r="K1183">
        <v>3.5</v>
      </c>
      <c r="L1183" t="s">
        <v>143</v>
      </c>
      <c r="M1183" t="s">
        <v>23</v>
      </c>
      <c r="N1183">
        <v>43</v>
      </c>
      <c r="O1183" t="s">
        <v>66</v>
      </c>
      <c r="P1183" t="s">
        <v>51</v>
      </c>
    </row>
    <row r="1184" spans="1:16" ht="14.5" x14ac:dyDescent="0.35">
      <c r="A1184">
        <v>1183</v>
      </c>
      <c r="B1184">
        <v>37</v>
      </c>
      <c r="C1184" t="s">
        <v>16</v>
      </c>
      <c r="D1184" t="s">
        <v>97</v>
      </c>
      <c r="E1184" t="s">
        <v>60</v>
      </c>
      <c r="F1184">
        <v>21</v>
      </c>
      <c r="G1184" t="s">
        <v>121</v>
      </c>
      <c r="H1184" t="s">
        <v>39</v>
      </c>
      <c r="I1184" t="s">
        <v>28</v>
      </c>
      <c r="J1184" t="s">
        <v>33</v>
      </c>
      <c r="K1184">
        <v>3.8</v>
      </c>
      <c r="L1184" t="s">
        <v>143</v>
      </c>
      <c r="M1184" t="s">
        <v>23</v>
      </c>
      <c r="N1184">
        <v>45</v>
      </c>
      <c r="O1184" t="s">
        <v>40</v>
      </c>
      <c r="P1184" t="s">
        <v>51</v>
      </c>
    </row>
    <row r="1185" spans="1:16" ht="14.5" x14ac:dyDescent="0.35">
      <c r="A1185">
        <v>1184</v>
      </c>
      <c r="B1185">
        <v>23</v>
      </c>
      <c r="C1185" t="s">
        <v>16</v>
      </c>
      <c r="D1185" t="s">
        <v>86</v>
      </c>
      <c r="E1185" t="s">
        <v>18</v>
      </c>
      <c r="F1185">
        <v>39</v>
      </c>
      <c r="G1185" t="s">
        <v>53</v>
      </c>
      <c r="H1185" t="s">
        <v>39</v>
      </c>
      <c r="I1185" t="s">
        <v>125</v>
      </c>
      <c r="J1185" t="s">
        <v>33</v>
      </c>
      <c r="K1185">
        <v>4.5</v>
      </c>
      <c r="L1185" t="s">
        <v>143</v>
      </c>
      <c r="M1185" t="s">
        <v>23</v>
      </c>
      <c r="N1185">
        <v>4</v>
      </c>
      <c r="O1185" t="s">
        <v>34</v>
      </c>
      <c r="P1185" t="s">
        <v>35</v>
      </c>
    </row>
    <row r="1186" spans="1:16" ht="14.5" x14ac:dyDescent="0.35">
      <c r="A1186">
        <v>1185</v>
      </c>
      <c r="B1186">
        <v>63</v>
      </c>
      <c r="C1186" t="s">
        <v>16</v>
      </c>
      <c r="D1186" t="s">
        <v>124</v>
      </c>
      <c r="E1186" t="s">
        <v>60</v>
      </c>
      <c r="F1186">
        <v>73</v>
      </c>
      <c r="G1186" t="s">
        <v>122</v>
      </c>
      <c r="H1186" t="s">
        <v>32</v>
      </c>
      <c r="I1186" t="s">
        <v>117</v>
      </c>
      <c r="J1186" t="s">
        <v>50</v>
      </c>
      <c r="K1186">
        <v>3.4</v>
      </c>
      <c r="L1186" t="s">
        <v>143</v>
      </c>
      <c r="M1186" t="s">
        <v>23</v>
      </c>
      <c r="N1186">
        <v>19</v>
      </c>
      <c r="O1186" t="s">
        <v>34</v>
      </c>
      <c r="P1186" t="s">
        <v>43</v>
      </c>
    </row>
    <row r="1187" spans="1:16" ht="14.5" x14ac:dyDescent="0.35">
      <c r="A1187">
        <v>1186</v>
      </c>
      <c r="B1187">
        <v>47</v>
      </c>
      <c r="C1187" t="s">
        <v>16</v>
      </c>
      <c r="D1187" t="s">
        <v>30</v>
      </c>
      <c r="E1187" t="s">
        <v>18</v>
      </c>
      <c r="F1187">
        <v>64</v>
      </c>
      <c r="G1187" t="s">
        <v>27</v>
      </c>
      <c r="H1187" t="s">
        <v>39</v>
      </c>
      <c r="I1187" t="s">
        <v>127</v>
      </c>
      <c r="J1187" t="s">
        <v>33</v>
      </c>
      <c r="K1187">
        <v>3.9</v>
      </c>
      <c r="L1187" t="s">
        <v>143</v>
      </c>
      <c r="M1187" t="s">
        <v>23</v>
      </c>
      <c r="N1187">
        <v>29</v>
      </c>
      <c r="O1187" t="s">
        <v>34</v>
      </c>
      <c r="P1187" t="s">
        <v>79</v>
      </c>
    </row>
    <row r="1188" spans="1:16" ht="14.5" x14ac:dyDescent="0.35">
      <c r="A1188">
        <v>1187</v>
      </c>
      <c r="B1188">
        <v>63</v>
      </c>
      <c r="C1188" t="s">
        <v>16</v>
      </c>
      <c r="D1188" t="s">
        <v>30</v>
      </c>
      <c r="E1188" t="s">
        <v>18</v>
      </c>
      <c r="F1188">
        <v>68</v>
      </c>
      <c r="G1188" t="s">
        <v>107</v>
      </c>
      <c r="H1188" t="s">
        <v>39</v>
      </c>
      <c r="I1188" t="s">
        <v>109</v>
      </c>
      <c r="J1188" t="s">
        <v>47</v>
      </c>
      <c r="K1188">
        <v>4.0999999999999996</v>
      </c>
      <c r="L1188" t="s">
        <v>143</v>
      </c>
      <c r="M1188" t="s">
        <v>23</v>
      </c>
      <c r="N1188">
        <v>27</v>
      </c>
      <c r="O1188" t="s">
        <v>34</v>
      </c>
      <c r="P1188" t="s">
        <v>43</v>
      </c>
    </row>
    <row r="1189" spans="1:16" ht="14.5" x14ac:dyDescent="0.35">
      <c r="A1189">
        <v>1188</v>
      </c>
      <c r="B1189">
        <v>56</v>
      </c>
      <c r="C1189" t="s">
        <v>16</v>
      </c>
      <c r="D1189" t="s">
        <v>115</v>
      </c>
      <c r="E1189" t="s">
        <v>60</v>
      </c>
      <c r="F1189">
        <v>89</v>
      </c>
      <c r="G1189" t="s">
        <v>137</v>
      </c>
      <c r="H1189" t="s">
        <v>20</v>
      </c>
      <c r="I1189" t="s">
        <v>28</v>
      </c>
      <c r="J1189" t="s">
        <v>50</v>
      </c>
      <c r="K1189">
        <v>3</v>
      </c>
      <c r="L1189" t="s">
        <v>143</v>
      </c>
      <c r="M1189" t="s">
        <v>23</v>
      </c>
      <c r="N1189">
        <v>37</v>
      </c>
      <c r="O1189" t="s">
        <v>34</v>
      </c>
      <c r="P1189" t="s">
        <v>88</v>
      </c>
    </row>
    <row r="1190" spans="1:16" ht="14.5" x14ac:dyDescent="0.35">
      <c r="A1190">
        <v>1189</v>
      </c>
      <c r="B1190">
        <v>68</v>
      </c>
      <c r="C1190" t="s">
        <v>16</v>
      </c>
      <c r="D1190" t="s">
        <v>17</v>
      </c>
      <c r="E1190" t="s">
        <v>18</v>
      </c>
      <c r="F1190">
        <v>29</v>
      </c>
      <c r="G1190" t="s">
        <v>82</v>
      </c>
      <c r="H1190" t="s">
        <v>39</v>
      </c>
      <c r="I1190" t="s">
        <v>127</v>
      </c>
      <c r="J1190" t="s">
        <v>47</v>
      </c>
      <c r="K1190">
        <v>3.3</v>
      </c>
      <c r="L1190" t="s">
        <v>143</v>
      </c>
      <c r="M1190" t="s">
        <v>23</v>
      </c>
      <c r="N1190">
        <v>11</v>
      </c>
      <c r="O1190" t="s">
        <v>34</v>
      </c>
      <c r="P1190" t="s">
        <v>35</v>
      </c>
    </row>
    <row r="1191" spans="1:16" ht="14.5" x14ac:dyDescent="0.35">
      <c r="A1191">
        <v>1190</v>
      </c>
      <c r="B1191">
        <v>64</v>
      </c>
      <c r="C1191" t="s">
        <v>16</v>
      </c>
      <c r="D1191" t="s">
        <v>48</v>
      </c>
      <c r="E1191" t="s">
        <v>18</v>
      </c>
      <c r="F1191">
        <v>97</v>
      </c>
      <c r="G1191" t="s">
        <v>64</v>
      </c>
      <c r="H1191" t="s">
        <v>83</v>
      </c>
      <c r="I1191" t="s">
        <v>76</v>
      </c>
      <c r="J1191" t="s">
        <v>47</v>
      </c>
      <c r="K1191">
        <v>4.9000000000000004</v>
      </c>
      <c r="L1191" t="s">
        <v>143</v>
      </c>
      <c r="M1191" t="s">
        <v>23</v>
      </c>
      <c r="N1191">
        <v>28</v>
      </c>
      <c r="O1191" t="s">
        <v>77</v>
      </c>
      <c r="P1191" t="s">
        <v>43</v>
      </c>
    </row>
    <row r="1192" spans="1:16" ht="14.5" x14ac:dyDescent="0.35">
      <c r="A1192">
        <v>1191</v>
      </c>
      <c r="B1192">
        <v>62</v>
      </c>
      <c r="C1192" t="s">
        <v>16</v>
      </c>
      <c r="D1192" t="s">
        <v>48</v>
      </c>
      <c r="E1192" t="s">
        <v>18</v>
      </c>
      <c r="F1192">
        <v>45</v>
      </c>
      <c r="G1192" t="s">
        <v>122</v>
      </c>
      <c r="H1192" t="s">
        <v>39</v>
      </c>
      <c r="I1192" t="s">
        <v>112</v>
      </c>
      <c r="J1192" t="s">
        <v>22</v>
      </c>
      <c r="K1192">
        <v>4.3</v>
      </c>
      <c r="L1192" t="s">
        <v>143</v>
      </c>
      <c r="M1192" t="s">
        <v>23</v>
      </c>
      <c r="N1192">
        <v>31</v>
      </c>
      <c r="O1192" t="s">
        <v>34</v>
      </c>
      <c r="P1192" t="s">
        <v>35</v>
      </c>
    </row>
    <row r="1193" spans="1:16" ht="14.5" x14ac:dyDescent="0.35">
      <c r="A1193">
        <v>1192</v>
      </c>
      <c r="B1193">
        <v>34</v>
      </c>
      <c r="C1193" t="s">
        <v>16</v>
      </c>
      <c r="D1193" t="s">
        <v>104</v>
      </c>
      <c r="E1193" t="s">
        <v>18</v>
      </c>
      <c r="F1193">
        <v>70</v>
      </c>
      <c r="G1193" t="s">
        <v>107</v>
      </c>
      <c r="H1193" t="s">
        <v>20</v>
      </c>
      <c r="I1193" t="s">
        <v>54</v>
      </c>
      <c r="J1193" t="s">
        <v>22</v>
      </c>
      <c r="K1193">
        <v>4.0999999999999996</v>
      </c>
      <c r="L1193" t="s">
        <v>143</v>
      </c>
      <c r="M1193" t="s">
        <v>23</v>
      </c>
      <c r="N1193">
        <v>50</v>
      </c>
      <c r="O1193" t="s">
        <v>24</v>
      </c>
      <c r="P1193" t="s">
        <v>51</v>
      </c>
    </row>
    <row r="1194" spans="1:16" ht="14.5" x14ac:dyDescent="0.35">
      <c r="A1194">
        <v>1193</v>
      </c>
      <c r="B1194">
        <v>49</v>
      </c>
      <c r="C1194" t="s">
        <v>16</v>
      </c>
      <c r="D1194" t="s">
        <v>55</v>
      </c>
      <c r="E1194" t="s">
        <v>56</v>
      </c>
      <c r="F1194">
        <v>56</v>
      </c>
      <c r="G1194" t="s">
        <v>94</v>
      </c>
      <c r="H1194" t="s">
        <v>39</v>
      </c>
      <c r="I1194" t="s">
        <v>42</v>
      </c>
      <c r="J1194" t="s">
        <v>47</v>
      </c>
      <c r="K1194">
        <v>4</v>
      </c>
      <c r="L1194" t="s">
        <v>143</v>
      </c>
      <c r="M1194" t="s">
        <v>23</v>
      </c>
      <c r="N1194">
        <v>42</v>
      </c>
      <c r="O1194" t="s">
        <v>24</v>
      </c>
      <c r="P1194" t="s">
        <v>51</v>
      </c>
    </row>
    <row r="1195" spans="1:16" ht="14.5" x14ac:dyDescent="0.35">
      <c r="A1195">
        <v>1194</v>
      </c>
      <c r="B1195">
        <v>40</v>
      </c>
      <c r="C1195" t="s">
        <v>16</v>
      </c>
      <c r="D1195" t="s">
        <v>93</v>
      </c>
      <c r="E1195" t="s">
        <v>56</v>
      </c>
      <c r="F1195">
        <v>55</v>
      </c>
      <c r="G1195" t="s">
        <v>111</v>
      </c>
      <c r="H1195" t="s">
        <v>20</v>
      </c>
      <c r="I1195" t="s">
        <v>62</v>
      </c>
      <c r="J1195" t="s">
        <v>50</v>
      </c>
      <c r="K1195">
        <v>5</v>
      </c>
      <c r="L1195" t="s">
        <v>143</v>
      </c>
      <c r="M1195" t="s">
        <v>23</v>
      </c>
      <c r="N1195">
        <v>18</v>
      </c>
      <c r="O1195" t="s">
        <v>34</v>
      </c>
      <c r="P1195" t="s">
        <v>25</v>
      </c>
    </row>
    <row r="1196" spans="1:16" ht="14.5" x14ac:dyDescent="0.35">
      <c r="A1196">
        <v>1195</v>
      </c>
      <c r="B1196">
        <v>50</v>
      </c>
      <c r="C1196" t="s">
        <v>16</v>
      </c>
      <c r="D1196" t="s">
        <v>95</v>
      </c>
      <c r="E1196" t="s">
        <v>18</v>
      </c>
      <c r="F1196">
        <v>46</v>
      </c>
      <c r="G1196" t="s">
        <v>75</v>
      </c>
      <c r="H1196" t="s">
        <v>32</v>
      </c>
      <c r="I1196" t="s">
        <v>76</v>
      </c>
      <c r="J1196" t="s">
        <v>22</v>
      </c>
      <c r="K1196">
        <v>3.1</v>
      </c>
      <c r="L1196" t="s">
        <v>143</v>
      </c>
      <c r="M1196" t="s">
        <v>23</v>
      </c>
      <c r="N1196">
        <v>6</v>
      </c>
      <c r="O1196" t="s">
        <v>34</v>
      </c>
      <c r="P1196" t="s">
        <v>25</v>
      </c>
    </row>
    <row r="1197" spans="1:16" ht="14.5" x14ac:dyDescent="0.35">
      <c r="A1197">
        <v>1196</v>
      </c>
      <c r="B1197">
        <v>25</v>
      </c>
      <c r="C1197" t="s">
        <v>16</v>
      </c>
      <c r="D1197" t="s">
        <v>110</v>
      </c>
      <c r="E1197" t="s">
        <v>60</v>
      </c>
      <c r="F1197">
        <v>95</v>
      </c>
      <c r="G1197" t="s">
        <v>96</v>
      </c>
      <c r="H1197" t="s">
        <v>39</v>
      </c>
      <c r="I1197" t="s">
        <v>46</v>
      </c>
      <c r="J1197" t="s">
        <v>22</v>
      </c>
      <c r="K1197">
        <v>4</v>
      </c>
      <c r="L1197" t="s">
        <v>143</v>
      </c>
      <c r="M1197" t="s">
        <v>23</v>
      </c>
      <c r="N1197">
        <v>33</v>
      </c>
      <c r="O1197" t="s">
        <v>24</v>
      </c>
      <c r="P1197" t="s">
        <v>79</v>
      </c>
    </row>
    <row r="1198" spans="1:16" ht="14.5" x14ac:dyDescent="0.35">
      <c r="A1198">
        <v>1197</v>
      </c>
      <c r="B1198">
        <v>30</v>
      </c>
      <c r="C1198" t="s">
        <v>16</v>
      </c>
      <c r="D1198" t="s">
        <v>124</v>
      </c>
      <c r="E1198" t="s">
        <v>60</v>
      </c>
      <c r="F1198">
        <v>88</v>
      </c>
      <c r="G1198" t="s">
        <v>105</v>
      </c>
      <c r="H1198" t="s">
        <v>39</v>
      </c>
      <c r="I1198" t="s">
        <v>28</v>
      </c>
      <c r="J1198" t="s">
        <v>22</v>
      </c>
      <c r="K1198">
        <v>3.2</v>
      </c>
      <c r="L1198" t="s">
        <v>143</v>
      </c>
      <c r="M1198" t="s">
        <v>23</v>
      </c>
      <c r="N1198">
        <v>13</v>
      </c>
      <c r="O1198" t="s">
        <v>66</v>
      </c>
      <c r="P1198" t="s">
        <v>67</v>
      </c>
    </row>
    <row r="1199" spans="1:16" ht="14.5" x14ac:dyDescent="0.35">
      <c r="A1199">
        <v>1198</v>
      </c>
      <c r="B1199">
        <v>54</v>
      </c>
      <c r="C1199" t="s">
        <v>16</v>
      </c>
      <c r="D1199" t="s">
        <v>44</v>
      </c>
      <c r="E1199" t="s">
        <v>37</v>
      </c>
      <c r="F1199">
        <v>92</v>
      </c>
      <c r="G1199" t="s">
        <v>120</v>
      </c>
      <c r="H1199" t="s">
        <v>20</v>
      </c>
      <c r="I1199" t="s">
        <v>74</v>
      </c>
      <c r="J1199" t="s">
        <v>50</v>
      </c>
      <c r="K1199">
        <v>3.9</v>
      </c>
      <c r="L1199" t="s">
        <v>143</v>
      </c>
      <c r="M1199" t="s">
        <v>23</v>
      </c>
      <c r="N1199">
        <v>26</v>
      </c>
      <c r="O1199" t="s">
        <v>40</v>
      </c>
      <c r="P1199" t="s">
        <v>43</v>
      </c>
    </row>
    <row r="1200" spans="1:16" ht="14.5" x14ac:dyDescent="0.35">
      <c r="A1200">
        <v>1199</v>
      </c>
      <c r="B1200">
        <v>40</v>
      </c>
      <c r="C1200" t="s">
        <v>16</v>
      </c>
      <c r="D1200" t="s">
        <v>116</v>
      </c>
      <c r="E1200" t="s">
        <v>18</v>
      </c>
      <c r="F1200">
        <v>49</v>
      </c>
      <c r="G1200" t="s">
        <v>118</v>
      </c>
      <c r="H1200" t="s">
        <v>39</v>
      </c>
      <c r="I1200" t="s">
        <v>101</v>
      </c>
      <c r="J1200" t="s">
        <v>47</v>
      </c>
      <c r="K1200">
        <v>3.9</v>
      </c>
      <c r="L1200" t="s">
        <v>143</v>
      </c>
      <c r="M1200" t="s">
        <v>23</v>
      </c>
      <c r="N1200">
        <v>17</v>
      </c>
      <c r="O1200" t="s">
        <v>29</v>
      </c>
      <c r="P1200" t="s">
        <v>43</v>
      </c>
    </row>
    <row r="1201" spans="1:16" ht="14.5" x14ac:dyDescent="0.35">
      <c r="A1201">
        <v>1200</v>
      </c>
      <c r="B1201">
        <v>49</v>
      </c>
      <c r="C1201" t="s">
        <v>16</v>
      </c>
      <c r="D1201" t="s">
        <v>36</v>
      </c>
      <c r="E1201" t="s">
        <v>37</v>
      </c>
      <c r="F1201">
        <v>89</v>
      </c>
      <c r="G1201" t="s">
        <v>119</v>
      </c>
      <c r="H1201" t="s">
        <v>39</v>
      </c>
      <c r="I1201" t="s">
        <v>117</v>
      </c>
      <c r="J1201" t="s">
        <v>50</v>
      </c>
      <c r="K1201">
        <v>4.5</v>
      </c>
      <c r="L1201" t="s">
        <v>143</v>
      </c>
      <c r="M1201" t="s">
        <v>23</v>
      </c>
      <c r="N1201">
        <v>3</v>
      </c>
      <c r="O1201" t="s">
        <v>77</v>
      </c>
      <c r="P1201" t="s">
        <v>35</v>
      </c>
    </row>
    <row r="1202" spans="1:16" ht="14.5" x14ac:dyDescent="0.35">
      <c r="A1202">
        <v>1201</v>
      </c>
      <c r="B1202">
        <v>27</v>
      </c>
      <c r="C1202" t="s">
        <v>16</v>
      </c>
      <c r="D1202" t="s">
        <v>55</v>
      </c>
      <c r="E1202" t="s">
        <v>56</v>
      </c>
      <c r="F1202">
        <v>22</v>
      </c>
      <c r="G1202" t="s">
        <v>130</v>
      </c>
      <c r="H1202" t="s">
        <v>83</v>
      </c>
      <c r="I1202" t="s">
        <v>85</v>
      </c>
      <c r="J1202" t="s">
        <v>22</v>
      </c>
      <c r="K1202">
        <v>4.4000000000000004</v>
      </c>
      <c r="L1202" t="s">
        <v>143</v>
      </c>
      <c r="M1202" t="s">
        <v>23</v>
      </c>
      <c r="N1202">
        <v>7</v>
      </c>
      <c r="O1202" t="s">
        <v>40</v>
      </c>
      <c r="P1202" t="s">
        <v>35</v>
      </c>
    </row>
    <row r="1203" spans="1:16" ht="14.5" x14ac:dyDescent="0.35">
      <c r="A1203">
        <v>1202</v>
      </c>
      <c r="B1203">
        <v>27</v>
      </c>
      <c r="C1203" t="s">
        <v>16</v>
      </c>
      <c r="D1203" t="s">
        <v>63</v>
      </c>
      <c r="E1203" t="s">
        <v>37</v>
      </c>
      <c r="F1203">
        <v>61</v>
      </c>
      <c r="G1203" t="s">
        <v>106</v>
      </c>
      <c r="H1203" t="s">
        <v>83</v>
      </c>
      <c r="I1203" t="s">
        <v>85</v>
      </c>
      <c r="J1203" t="s">
        <v>47</v>
      </c>
      <c r="K1203">
        <v>3.1</v>
      </c>
      <c r="L1203" t="s">
        <v>143</v>
      </c>
      <c r="M1203" t="s">
        <v>23</v>
      </c>
      <c r="N1203">
        <v>46</v>
      </c>
      <c r="O1203" t="s">
        <v>24</v>
      </c>
      <c r="P1203" t="s">
        <v>25</v>
      </c>
    </row>
    <row r="1204" spans="1:16" ht="14.5" x14ac:dyDescent="0.35">
      <c r="A1204">
        <v>1203</v>
      </c>
      <c r="B1204">
        <v>48</v>
      </c>
      <c r="C1204" t="s">
        <v>16</v>
      </c>
      <c r="D1204" t="s">
        <v>110</v>
      </c>
      <c r="E1204" t="s">
        <v>60</v>
      </c>
      <c r="F1204">
        <v>29</v>
      </c>
      <c r="G1204" t="s">
        <v>119</v>
      </c>
      <c r="H1204" t="s">
        <v>32</v>
      </c>
      <c r="I1204" t="s">
        <v>69</v>
      </c>
      <c r="J1204" t="s">
        <v>33</v>
      </c>
      <c r="K1204">
        <v>2.9</v>
      </c>
      <c r="L1204" t="s">
        <v>143</v>
      </c>
      <c r="M1204" t="s">
        <v>23</v>
      </c>
      <c r="N1204">
        <v>14</v>
      </c>
      <c r="O1204" t="s">
        <v>24</v>
      </c>
      <c r="P1204" t="s">
        <v>88</v>
      </c>
    </row>
    <row r="1205" spans="1:16" ht="14.5" x14ac:dyDescent="0.35">
      <c r="A1205">
        <v>1204</v>
      </c>
      <c r="B1205">
        <v>40</v>
      </c>
      <c r="C1205" t="s">
        <v>16</v>
      </c>
      <c r="D1205" t="s">
        <v>44</v>
      </c>
      <c r="E1205" t="s">
        <v>37</v>
      </c>
      <c r="F1205">
        <v>82</v>
      </c>
      <c r="G1205" t="s">
        <v>139</v>
      </c>
      <c r="H1205" t="s">
        <v>39</v>
      </c>
      <c r="I1205" t="s">
        <v>112</v>
      </c>
      <c r="J1205" t="s">
        <v>22</v>
      </c>
      <c r="K1205">
        <v>3.7</v>
      </c>
      <c r="L1205" t="s">
        <v>143</v>
      </c>
      <c r="M1205" t="s">
        <v>23</v>
      </c>
      <c r="N1205">
        <v>23</v>
      </c>
      <c r="O1205" t="s">
        <v>66</v>
      </c>
      <c r="P1205" t="s">
        <v>43</v>
      </c>
    </row>
    <row r="1206" spans="1:16" ht="14.5" x14ac:dyDescent="0.35">
      <c r="A1206">
        <v>1205</v>
      </c>
      <c r="B1206">
        <v>67</v>
      </c>
      <c r="C1206" t="s">
        <v>16</v>
      </c>
      <c r="D1206" t="s">
        <v>124</v>
      </c>
      <c r="E1206" t="s">
        <v>60</v>
      </c>
      <c r="F1206">
        <v>94</v>
      </c>
      <c r="G1206" t="s">
        <v>94</v>
      </c>
      <c r="H1206" t="s">
        <v>39</v>
      </c>
      <c r="I1206" t="s">
        <v>62</v>
      </c>
      <c r="J1206" t="s">
        <v>33</v>
      </c>
      <c r="K1206">
        <v>3.2</v>
      </c>
      <c r="L1206" t="s">
        <v>143</v>
      </c>
      <c r="M1206" t="s">
        <v>23</v>
      </c>
      <c r="N1206">
        <v>20</v>
      </c>
      <c r="O1206" t="s">
        <v>34</v>
      </c>
      <c r="P1206" t="s">
        <v>88</v>
      </c>
    </row>
    <row r="1207" spans="1:16" ht="14.5" x14ac:dyDescent="0.35">
      <c r="A1207">
        <v>1206</v>
      </c>
      <c r="B1207">
        <v>52</v>
      </c>
      <c r="C1207" t="s">
        <v>16</v>
      </c>
      <c r="D1207" t="s">
        <v>59</v>
      </c>
      <c r="E1207" t="s">
        <v>60</v>
      </c>
      <c r="F1207">
        <v>99</v>
      </c>
      <c r="G1207" t="s">
        <v>90</v>
      </c>
      <c r="H1207" t="s">
        <v>39</v>
      </c>
      <c r="I1207" t="s">
        <v>69</v>
      </c>
      <c r="J1207" t="s">
        <v>33</v>
      </c>
      <c r="K1207">
        <v>3.5</v>
      </c>
      <c r="L1207" t="s">
        <v>143</v>
      </c>
      <c r="M1207" t="s">
        <v>23</v>
      </c>
      <c r="N1207">
        <v>38</v>
      </c>
      <c r="O1207" t="s">
        <v>66</v>
      </c>
      <c r="P1207" t="s">
        <v>25</v>
      </c>
    </row>
    <row r="1208" spans="1:16" ht="14.5" x14ac:dyDescent="0.35">
      <c r="A1208">
        <v>1207</v>
      </c>
      <c r="B1208">
        <v>22</v>
      </c>
      <c r="C1208" t="s">
        <v>16</v>
      </c>
      <c r="D1208" t="s">
        <v>59</v>
      </c>
      <c r="E1208" t="s">
        <v>60</v>
      </c>
      <c r="F1208">
        <v>59</v>
      </c>
      <c r="G1208" t="s">
        <v>82</v>
      </c>
      <c r="H1208" t="s">
        <v>32</v>
      </c>
      <c r="I1208" t="s">
        <v>100</v>
      </c>
      <c r="J1208" t="s">
        <v>50</v>
      </c>
      <c r="K1208">
        <v>3</v>
      </c>
      <c r="L1208" t="s">
        <v>143</v>
      </c>
      <c r="M1208" t="s">
        <v>23</v>
      </c>
      <c r="N1208">
        <v>16</v>
      </c>
      <c r="O1208" t="s">
        <v>24</v>
      </c>
      <c r="P1208" t="s">
        <v>88</v>
      </c>
    </row>
    <row r="1209" spans="1:16" ht="14.5" x14ac:dyDescent="0.35">
      <c r="A1209">
        <v>1208</v>
      </c>
      <c r="B1209">
        <v>62</v>
      </c>
      <c r="C1209" t="s">
        <v>16</v>
      </c>
      <c r="D1209" t="s">
        <v>128</v>
      </c>
      <c r="E1209" t="s">
        <v>37</v>
      </c>
      <c r="F1209">
        <v>90</v>
      </c>
      <c r="G1209" t="s">
        <v>140</v>
      </c>
      <c r="H1209" t="s">
        <v>39</v>
      </c>
      <c r="I1209" t="s">
        <v>46</v>
      </c>
      <c r="J1209" t="s">
        <v>47</v>
      </c>
      <c r="K1209">
        <v>4.0999999999999996</v>
      </c>
      <c r="L1209" t="s">
        <v>143</v>
      </c>
      <c r="M1209" t="s">
        <v>23</v>
      </c>
      <c r="N1209">
        <v>48</v>
      </c>
      <c r="O1209" t="s">
        <v>34</v>
      </c>
      <c r="P1209" t="s">
        <v>88</v>
      </c>
    </row>
    <row r="1210" spans="1:16" ht="14.5" x14ac:dyDescent="0.35">
      <c r="A1210">
        <v>1209</v>
      </c>
      <c r="B1210">
        <v>20</v>
      </c>
      <c r="C1210" t="s">
        <v>16</v>
      </c>
      <c r="D1210" t="s">
        <v>128</v>
      </c>
      <c r="E1210" t="s">
        <v>37</v>
      </c>
      <c r="F1210">
        <v>100</v>
      </c>
      <c r="G1210" t="s">
        <v>141</v>
      </c>
      <c r="H1210" t="s">
        <v>32</v>
      </c>
      <c r="I1210" t="s">
        <v>99</v>
      </c>
      <c r="J1210" t="s">
        <v>22</v>
      </c>
      <c r="K1210">
        <v>2.9</v>
      </c>
      <c r="L1210" t="s">
        <v>143</v>
      </c>
      <c r="M1210" t="s">
        <v>23</v>
      </c>
      <c r="N1210">
        <v>8</v>
      </c>
      <c r="O1210" t="s">
        <v>77</v>
      </c>
      <c r="P1210" t="s">
        <v>43</v>
      </c>
    </row>
    <row r="1211" spans="1:16" ht="14.5" x14ac:dyDescent="0.35">
      <c r="A1211">
        <v>1210</v>
      </c>
      <c r="B1211">
        <v>41</v>
      </c>
      <c r="C1211" t="s">
        <v>16</v>
      </c>
      <c r="D1211" t="s">
        <v>86</v>
      </c>
      <c r="E1211" t="s">
        <v>18</v>
      </c>
      <c r="F1211">
        <v>62</v>
      </c>
      <c r="G1211" t="s">
        <v>129</v>
      </c>
      <c r="H1211" t="s">
        <v>39</v>
      </c>
      <c r="I1211" t="s">
        <v>135</v>
      </c>
      <c r="J1211" t="s">
        <v>22</v>
      </c>
      <c r="K1211">
        <v>3.8</v>
      </c>
      <c r="L1211" t="s">
        <v>143</v>
      </c>
      <c r="M1211" t="s">
        <v>23</v>
      </c>
      <c r="N1211">
        <v>16</v>
      </c>
      <c r="O1211" t="s">
        <v>66</v>
      </c>
      <c r="P1211" t="s">
        <v>79</v>
      </c>
    </row>
    <row r="1212" spans="1:16" ht="14.5" x14ac:dyDescent="0.35">
      <c r="A1212">
        <v>1211</v>
      </c>
      <c r="B1212">
        <v>34</v>
      </c>
      <c r="C1212" t="s">
        <v>16</v>
      </c>
      <c r="D1212" t="s">
        <v>80</v>
      </c>
      <c r="E1212" t="s">
        <v>60</v>
      </c>
      <c r="F1212">
        <v>78</v>
      </c>
      <c r="G1212" t="s">
        <v>61</v>
      </c>
      <c r="H1212" t="s">
        <v>39</v>
      </c>
      <c r="I1212" t="s">
        <v>69</v>
      </c>
      <c r="J1212" t="s">
        <v>50</v>
      </c>
      <c r="K1212">
        <v>4.0999999999999996</v>
      </c>
      <c r="L1212" t="s">
        <v>143</v>
      </c>
      <c r="M1212" t="s">
        <v>23</v>
      </c>
      <c r="N1212">
        <v>5</v>
      </c>
      <c r="O1212" t="s">
        <v>29</v>
      </c>
      <c r="P1212" t="s">
        <v>51</v>
      </c>
    </row>
    <row r="1213" spans="1:16" ht="14.5" x14ac:dyDescent="0.35">
      <c r="A1213">
        <v>1212</v>
      </c>
      <c r="B1213">
        <v>23</v>
      </c>
      <c r="C1213" t="s">
        <v>16</v>
      </c>
      <c r="D1213" t="s">
        <v>95</v>
      </c>
      <c r="E1213" t="s">
        <v>18</v>
      </c>
      <c r="F1213">
        <v>94</v>
      </c>
      <c r="G1213" t="s">
        <v>92</v>
      </c>
      <c r="H1213" t="s">
        <v>39</v>
      </c>
      <c r="I1213" t="s">
        <v>87</v>
      </c>
      <c r="J1213" t="s">
        <v>33</v>
      </c>
      <c r="K1213">
        <v>4.5999999999999996</v>
      </c>
      <c r="L1213" t="s">
        <v>143</v>
      </c>
      <c r="M1213" t="s">
        <v>23</v>
      </c>
      <c r="N1213">
        <v>14</v>
      </c>
      <c r="O1213" t="s">
        <v>24</v>
      </c>
      <c r="P1213" t="s">
        <v>88</v>
      </c>
    </row>
    <row r="1214" spans="1:16" ht="14.5" x14ac:dyDescent="0.35">
      <c r="A1214">
        <v>1213</v>
      </c>
      <c r="B1214">
        <v>32</v>
      </c>
      <c r="C1214" t="s">
        <v>16</v>
      </c>
      <c r="D1214" t="s">
        <v>63</v>
      </c>
      <c r="E1214" t="s">
        <v>37</v>
      </c>
      <c r="F1214">
        <v>74</v>
      </c>
      <c r="G1214" t="s">
        <v>129</v>
      </c>
      <c r="H1214" t="s">
        <v>39</v>
      </c>
      <c r="I1214" t="s">
        <v>125</v>
      </c>
      <c r="J1214" t="s">
        <v>47</v>
      </c>
      <c r="K1214">
        <v>2.5</v>
      </c>
      <c r="L1214" t="s">
        <v>143</v>
      </c>
      <c r="M1214" t="s">
        <v>23</v>
      </c>
      <c r="N1214">
        <v>18</v>
      </c>
      <c r="O1214" t="s">
        <v>34</v>
      </c>
      <c r="P1214" t="s">
        <v>35</v>
      </c>
    </row>
    <row r="1215" spans="1:16" ht="14.5" x14ac:dyDescent="0.35">
      <c r="A1215">
        <v>1214</v>
      </c>
      <c r="B1215">
        <v>68</v>
      </c>
      <c r="C1215" t="s">
        <v>16</v>
      </c>
      <c r="D1215" t="s">
        <v>59</v>
      </c>
      <c r="E1215" t="s">
        <v>60</v>
      </c>
      <c r="F1215">
        <v>52</v>
      </c>
      <c r="G1215" t="s">
        <v>19</v>
      </c>
      <c r="H1215" t="s">
        <v>83</v>
      </c>
      <c r="I1215" t="s">
        <v>85</v>
      </c>
      <c r="J1215" t="s">
        <v>33</v>
      </c>
      <c r="K1215">
        <v>3.7</v>
      </c>
      <c r="L1215" t="s">
        <v>143</v>
      </c>
      <c r="M1215" t="s">
        <v>23</v>
      </c>
      <c r="N1215">
        <v>14</v>
      </c>
      <c r="O1215" t="s">
        <v>77</v>
      </c>
      <c r="P1215" t="s">
        <v>88</v>
      </c>
    </row>
    <row r="1216" spans="1:16" ht="14.5" x14ac:dyDescent="0.35">
      <c r="A1216">
        <v>1215</v>
      </c>
      <c r="B1216">
        <v>30</v>
      </c>
      <c r="C1216" t="s">
        <v>16</v>
      </c>
      <c r="D1216" t="s">
        <v>93</v>
      </c>
      <c r="E1216" t="s">
        <v>56</v>
      </c>
      <c r="F1216">
        <v>81</v>
      </c>
      <c r="G1216" t="s">
        <v>120</v>
      </c>
      <c r="H1216" t="s">
        <v>39</v>
      </c>
      <c r="I1216" t="s">
        <v>135</v>
      </c>
      <c r="J1216" t="s">
        <v>50</v>
      </c>
      <c r="K1216">
        <v>3.8</v>
      </c>
      <c r="L1216" t="s">
        <v>143</v>
      </c>
      <c r="M1216" t="s">
        <v>23</v>
      </c>
      <c r="N1216">
        <v>5</v>
      </c>
      <c r="O1216" t="s">
        <v>29</v>
      </c>
      <c r="P1216" t="s">
        <v>88</v>
      </c>
    </row>
    <row r="1217" spans="1:16" ht="14.5" x14ac:dyDescent="0.35">
      <c r="A1217">
        <v>1216</v>
      </c>
      <c r="B1217">
        <v>66</v>
      </c>
      <c r="C1217" t="s">
        <v>16</v>
      </c>
      <c r="D1217" t="s">
        <v>17</v>
      </c>
      <c r="E1217" t="s">
        <v>18</v>
      </c>
      <c r="F1217">
        <v>20</v>
      </c>
      <c r="G1217" t="s">
        <v>41</v>
      </c>
      <c r="H1217" t="s">
        <v>20</v>
      </c>
      <c r="I1217" t="s">
        <v>62</v>
      </c>
      <c r="J1217" t="s">
        <v>22</v>
      </c>
      <c r="K1217">
        <v>2.6</v>
      </c>
      <c r="L1217" t="s">
        <v>143</v>
      </c>
      <c r="M1217" t="s">
        <v>23</v>
      </c>
      <c r="N1217">
        <v>15</v>
      </c>
      <c r="O1217" t="s">
        <v>34</v>
      </c>
      <c r="P1217" t="s">
        <v>88</v>
      </c>
    </row>
    <row r="1218" spans="1:16" ht="14.5" x14ac:dyDescent="0.35">
      <c r="A1218">
        <v>1217</v>
      </c>
      <c r="B1218">
        <v>62</v>
      </c>
      <c r="C1218" t="s">
        <v>16</v>
      </c>
      <c r="D1218" t="s">
        <v>86</v>
      </c>
      <c r="E1218" t="s">
        <v>18</v>
      </c>
      <c r="F1218">
        <v>32</v>
      </c>
      <c r="G1218" t="s">
        <v>131</v>
      </c>
      <c r="H1218" t="s">
        <v>83</v>
      </c>
      <c r="I1218" t="s">
        <v>84</v>
      </c>
      <c r="J1218" t="s">
        <v>47</v>
      </c>
      <c r="K1218">
        <v>3.7</v>
      </c>
      <c r="L1218" t="s">
        <v>143</v>
      </c>
      <c r="M1218" t="s">
        <v>23</v>
      </c>
      <c r="N1218">
        <v>3</v>
      </c>
      <c r="O1218" t="s">
        <v>24</v>
      </c>
      <c r="P1218" t="s">
        <v>88</v>
      </c>
    </row>
    <row r="1219" spans="1:16" ht="14.5" x14ac:dyDescent="0.35">
      <c r="A1219">
        <v>1218</v>
      </c>
      <c r="B1219">
        <v>50</v>
      </c>
      <c r="C1219" t="s">
        <v>16</v>
      </c>
      <c r="D1219" t="s">
        <v>128</v>
      </c>
      <c r="E1219" t="s">
        <v>37</v>
      </c>
      <c r="F1219">
        <v>63</v>
      </c>
      <c r="G1219" t="s">
        <v>136</v>
      </c>
      <c r="H1219" t="s">
        <v>83</v>
      </c>
      <c r="I1219" t="s">
        <v>100</v>
      </c>
      <c r="J1219" t="s">
        <v>50</v>
      </c>
      <c r="K1219">
        <v>2.6</v>
      </c>
      <c r="L1219" t="s">
        <v>143</v>
      </c>
      <c r="M1219" t="s">
        <v>23</v>
      </c>
      <c r="N1219">
        <v>12</v>
      </c>
      <c r="O1219" t="s">
        <v>29</v>
      </c>
      <c r="P1219" t="s">
        <v>88</v>
      </c>
    </row>
    <row r="1220" spans="1:16" ht="14.5" x14ac:dyDescent="0.35">
      <c r="A1220">
        <v>1219</v>
      </c>
      <c r="B1220">
        <v>55</v>
      </c>
      <c r="C1220" t="s">
        <v>16</v>
      </c>
      <c r="D1220" t="s">
        <v>128</v>
      </c>
      <c r="E1220" t="s">
        <v>37</v>
      </c>
      <c r="F1220">
        <v>79</v>
      </c>
      <c r="G1220" t="s">
        <v>129</v>
      </c>
      <c r="H1220" t="s">
        <v>39</v>
      </c>
      <c r="I1220" t="s">
        <v>100</v>
      </c>
      <c r="J1220" t="s">
        <v>33</v>
      </c>
      <c r="K1220">
        <v>3.1</v>
      </c>
      <c r="L1220" t="s">
        <v>143</v>
      </c>
      <c r="M1220" t="s">
        <v>23</v>
      </c>
      <c r="N1220">
        <v>43</v>
      </c>
      <c r="O1220" t="s">
        <v>29</v>
      </c>
      <c r="P1220" t="s">
        <v>88</v>
      </c>
    </row>
    <row r="1221" spans="1:16" ht="14.5" x14ac:dyDescent="0.35">
      <c r="A1221">
        <v>1220</v>
      </c>
      <c r="B1221">
        <v>19</v>
      </c>
      <c r="C1221" t="s">
        <v>16</v>
      </c>
      <c r="D1221" t="s">
        <v>26</v>
      </c>
      <c r="E1221" t="s">
        <v>18</v>
      </c>
      <c r="F1221">
        <v>23</v>
      </c>
      <c r="G1221" t="s">
        <v>120</v>
      </c>
      <c r="H1221" t="s">
        <v>39</v>
      </c>
      <c r="I1221" t="s">
        <v>71</v>
      </c>
      <c r="J1221" t="s">
        <v>22</v>
      </c>
      <c r="K1221">
        <v>2.5</v>
      </c>
      <c r="L1221" t="s">
        <v>143</v>
      </c>
      <c r="M1221" t="s">
        <v>23</v>
      </c>
      <c r="N1221">
        <v>35</v>
      </c>
      <c r="O1221" t="s">
        <v>34</v>
      </c>
      <c r="P1221" t="s">
        <v>67</v>
      </c>
    </row>
    <row r="1222" spans="1:16" ht="14.5" x14ac:dyDescent="0.35">
      <c r="A1222">
        <v>1221</v>
      </c>
      <c r="B1222">
        <v>67</v>
      </c>
      <c r="C1222" t="s">
        <v>16</v>
      </c>
      <c r="D1222" t="s">
        <v>134</v>
      </c>
      <c r="E1222" t="s">
        <v>60</v>
      </c>
      <c r="F1222">
        <v>64</v>
      </c>
      <c r="G1222" t="s">
        <v>19</v>
      </c>
      <c r="H1222" t="s">
        <v>39</v>
      </c>
      <c r="I1222" t="s">
        <v>87</v>
      </c>
      <c r="J1222" t="s">
        <v>22</v>
      </c>
      <c r="K1222">
        <v>4.9000000000000004</v>
      </c>
      <c r="L1222" t="s">
        <v>143</v>
      </c>
      <c r="M1222" t="s">
        <v>23</v>
      </c>
      <c r="N1222">
        <v>36</v>
      </c>
      <c r="O1222" t="s">
        <v>66</v>
      </c>
      <c r="P1222" t="s">
        <v>51</v>
      </c>
    </row>
    <row r="1223" spans="1:16" ht="14.5" x14ac:dyDescent="0.35">
      <c r="A1223">
        <v>1222</v>
      </c>
      <c r="B1223">
        <v>18</v>
      </c>
      <c r="C1223" t="s">
        <v>16</v>
      </c>
      <c r="D1223" t="s">
        <v>116</v>
      </c>
      <c r="E1223" t="s">
        <v>18</v>
      </c>
      <c r="F1223">
        <v>69</v>
      </c>
      <c r="G1223" t="s">
        <v>137</v>
      </c>
      <c r="H1223" t="s">
        <v>39</v>
      </c>
      <c r="I1223" t="s">
        <v>99</v>
      </c>
      <c r="J1223" t="s">
        <v>22</v>
      </c>
      <c r="K1223">
        <v>4.5</v>
      </c>
      <c r="L1223" t="s">
        <v>143</v>
      </c>
      <c r="M1223" t="s">
        <v>23</v>
      </c>
      <c r="N1223">
        <v>3</v>
      </c>
      <c r="O1223" t="s">
        <v>29</v>
      </c>
      <c r="P1223" t="s">
        <v>51</v>
      </c>
    </row>
    <row r="1224" spans="1:16" ht="14.5" x14ac:dyDescent="0.35">
      <c r="A1224">
        <v>1223</v>
      </c>
      <c r="B1224">
        <v>58</v>
      </c>
      <c r="C1224" t="s">
        <v>16</v>
      </c>
      <c r="D1224" t="s">
        <v>30</v>
      </c>
      <c r="E1224" t="s">
        <v>18</v>
      </c>
      <c r="F1224">
        <v>69</v>
      </c>
      <c r="G1224" t="s">
        <v>107</v>
      </c>
      <c r="H1224" t="s">
        <v>20</v>
      </c>
      <c r="I1224" t="s">
        <v>127</v>
      </c>
      <c r="J1224" t="s">
        <v>50</v>
      </c>
      <c r="K1224">
        <v>3.4</v>
      </c>
      <c r="L1224" t="s">
        <v>143</v>
      </c>
      <c r="M1224" t="s">
        <v>23</v>
      </c>
      <c r="N1224">
        <v>27</v>
      </c>
      <c r="O1224" t="s">
        <v>66</v>
      </c>
      <c r="P1224" t="s">
        <v>43</v>
      </c>
    </row>
    <row r="1225" spans="1:16" ht="14.5" x14ac:dyDescent="0.35">
      <c r="A1225">
        <v>1224</v>
      </c>
      <c r="B1225">
        <v>69</v>
      </c>
      <c r="C1225" t="s">
        <v>16</v>
      </c>
      <c r="D1225" t="s">
        <v>86</v>
      </c>
      <c r="E1225" t="s">
        <v>18</v>
      </c>
      <c r="F1225">
        <v>24</v>
      </c>
      <c r="G1225" t="s">
        <v>102</v>
      </c>
      <c r="H1225" t="s">
        <v>20</v>
      </c>
      <c r="I1225" t="s">
        <v>99</v>
      </c>
      <c r="J1225" t="s">
        <v>22</v>
      </c>
      <c r="K1225">
        <v>3.9</v>
      </c>
      <c r="L1225" t="s">
        <v>143</v>
      </c>
      <c r="M1225" t="s">
        <v>23</v>
      </c>
      <c r="N1225">
        <v>21</v>
      </c>
      <c r="O1225" t="s">
        <v>66</v>
      </c>
      <c r="P1225" t="s">
        <v>35</v>
      </c>
    </row>
    <row r="1226" spans="1:16" ht="14.5" x14ac:dyDescent="0.35">
      <c r="A1226">
        <v>1225</v>
      </c>
      <c r="B1226">
        <v>62</v>
      </c>
      <c r="C1226" t="s">
        <v>16</v>
      </c>
      <c r="D1226" t="s">
        <v>52</v>
      </c>
      <c r="E1226" t="s">
        <v>18</v>
      </c>
      <c r="F1226">
        <v>50</v>
      </c>
      <c r="G1226" t="s">
        <v>106</v>
      </c>
      <c r="H1226" t="s">
        <v>39</v>
      </c>
      <c r="I1226" t="s">
        <v>125</v>
      </c>
      <c r="J1226" t="s">
        <v>47</v>
      </c>
      <c r="K1226">
        <v>3.7</v>
      </c>
      <c r="L1226" t="s">
        <v>143</v>
      </c>
      <c r="M1226" t="s">
        <v>23</v>
      </c>
      <c r="N1226">
        <v>18</v>
      </c>
      <c r="O1226" t="s">
        <v>24</v>
      </c>
      <c r="P1226" t="s">
        <v>35</v>
      </c>
    </row>
    <row r="1227" spans="1:16" ht="14.5" x14ac:dyDescent="0.35">
      <c r="A1227">
        <v>1226</v>
      </c>
      <c r="B1227">
        <v>28</v>
      </c>
      <c r="C1227" t="s">
        <v>16</v>
      </c>
      <c r="D1227" t="s">
        <v>134</v>
      </c>
      <c r="E1227" t="s">
        <v>60</v>
      </c>
      <c r="F1227">
        <v>97</v>
      </c>
      <c r="G1227" t="s">
        <v>89</v>
      </c>
      <c r="H1227" t="s">
        <v>32</v>
      </c>
      <c r="I1227" t="s">
        <v>42</v>
      </c>
      <c r="J1227" t="s">
        <v>50</v>
      </c>
      <c r="K1227">
        <v>2.6</v>
      </c>
      <c r="L1227" t="s">
        <v>143</v>
      </c>
      <c r="M1227" t="s">
        <v>23</v>
      </c>
      <c r="N1227">
        <v>16</v>
      </c>
      <c r="O1227" t="s">
        <v>77</v>
      </c>
      <c r="P1227" t="s">
        <v>35</v>
      </c>
    </row>
    <row r="1228" spans="1:16" ht="14.5" x14ac:dyDescent="0.35">
      <c r="A1228">
        <v>1227</v>
      </c>
      <c r="B1228">
        <v>53</v>
      </c>
      <c r="C1228" t="s">
        <v>16</v>
      </c>
      <c r="D1228" t="s">
        <v>36</v>
      </c>
      <c r="E1228" t="s">
        <v>37</v>
      </c>
      <c r="F1228">
        <v>91</v>
      </c>
      <c r="G1228" t="s">
        <v>114</v>
      </c>
      <c r="H1228" t="s">
        <v>32</v>
      </c>
      <c r="I1228" t="s">
        <v>100</v>
      </c>
      <c r="J1228" t="s">
        <v>50</v>
      </c>
      <c r="K1228">
        <v>3.4</v>
      </c>
      <c r="L1228" t="s">
        <v>143</v>
      </c>
      <c r="M1228" t="s">
        <v>23</v>
      </c>
      <c r="N1228">
        <v>18</v>
      </c>
      <c r="O1228" t="s">
        <v>24</v>
      </c>
      <c r="P1228" t="s">
        <v>67</v>
      </c>
    </row>
    <row r="1229" spans="1:16" ht="14.5" x14ac:dyDescent="0.35">
      <c r="A1229">
        <v>1228</v>
      </c>
      <c r="B1229">
        <v>27</v>
      </c>
      <c r="C1229" t="s">
        <v>16</v>
      </c>
      <c r="D1229" t="s">
        <v>17</v>
      </c>
      <c r="E1229" t="s">
        <v>18</v>
      </c>
      <c r="F1229">
        <v>37</v>
      </c>
      <c r="G1229" t="s">
        <v>106</v>
      </c>
      <c r="H1229" t="s">
        <v>20</v>
      </c>
      <c r="I1229" t="s">
        <v>125</v>
      </c>
      <c r="J1229" t="s">
        <v>33</v>
      </c>
      <c r="K1229">
        <v>4.9000000000000004</v>
      </c>
      <c r="L1229" t="s">
        <v>143</v>
      </c>
      <c r="M1229" t="s">
        <v>23</v>
      </c>
      <c r="N1229">
        <v>19</v>
      </c>
      <c r="O1229" t="s">
        <v>66</v>
      </c>
      <c r="P1229" t="s">
        <v>67</v>
      </c>
    </row>
    <row r="1230" spans="1:16" ht="14.5" x14ac:dyDescent="0.35">
      <c r="A1230">
        <v>1229</v>
      </c>
      <c r="B1230">
        <v>55</v>
      </c>
      <c r="C1230" t="s">
        <v>16</v>
      </c>
      <c r="D1230" t="s">
        <v>93</v>
      </c>
      <c r="E1230" t="s">
        <v>56</v>
      </c>
      <c r="F1230">
        <v>55</v>
      </c>
      <c r="G1230" t="s">
        <v>107</v>
      </c>
      <c r="H1230" t="s">
        <v>32</v>
      </c>
      <c r="I1230" t="s">
        <v>125</v>
      </c>
      <c r="J1230" t="s">
        <v>22</v>
      </c>
      <c r="K1230">
        <v>3.9</v>
      </c>
      <c r="L1230" t="s">
        <v>143</v>
      </c>
      <c r="M1230" t="s">
        <v>23</v>
      </c>
      <c r="N1230">
        <v>1</v>
      </c>
      <c r="O1230" t="s">
        <v>29</v>
      </c>
      <c r="P1230" t="s">
        <v>43</v>
      </c>
    </row>
    <row r="1231" spans="1:16" ht="14.5" x14ac:dyDescent="0.35">
      <c r="A1231">
        <v>1230</v>
      </c>
      <c r="B1231">
        <v>34</v>
      </c>
      <c r="C1231" t="s">
        <v>16</v>
      </c>
      <c r="D1231" t="s">
        <v>97</v>
      </c>
      <c r="E1231" t="s">
        <v>60</v>
      </c>
      <c r="F1231">
        <v>52</v>
      </c>
      <c r="G1231" t="s">
        <v>102</v>
      </c>
      <c r="H1231" t="s">
        <v>83</v>
      </c>
      <c r="I1231" t="s">
        <v>28</v>
      </c>
      <c r="J1231" t="s">
        <v>22</v>
      </c>
      <c r="K1231">
        <v>3.6</v>
      </c>
      <c r="L1231" t="s">
        <v>143</v>
      </c>
      <c r="M1231" t="s">
        <v>23</v>
      </c>
      <c r="N1231">
        <v>39</v>
      </c>
      <c r="O1231" t="s">
        <v>66</v>
      </c>
      <c r="P1231" t="s">
        <v>43</v>
      </c>
    </row>
    <row r="1232" spans="1:16" ht="14.5" x14ac:dyDescent="0.35">
      <c r="A1232">
        <v>1231</v>
      </c>
      <c r="B1232">
        <v>25</v>
      </c>
      <c r="C1232" t="s">
        <v>16</v>
      </c>
      <c r="D1232" t="s">
        <v>115</v>
      </c>
      <c r="E1232" t="s">
        <v>60</v>
      </c>
      <c r="F1232">
        <v>80</v>
      </c>
      <c r="G1232" t="s">
        <v>106</v>
      </c>
      <c r="H1232" t="s">
        <v>20</v>
      </c>
      <c r="I1232" t="s">
        <v>101</v>
      </c>
      <c r="J1232" t="s">
        <v>33</v>
      </c>
      <c r="K1232">
        <v>4.5999999999999996</v>
      </c>
      <c r="L1232" t="s">
        <v>143</v>
      </c>
      <c r="M1232" t="s">
        <v>23</v>
      </c>
      <c r="N1232">
        <v>49</v>
      </c>
      <c r="O1232" t="s">
        <v>24</v>
      </c>
      <c r="P1232" t="s">
        <v>79</v>
      </c>
    </row>
    <row r="1233" spans="1:16" ht="14.5" x14ac:dyDescent="0.35">
      <c r="A1233">
        <v>1232</v>
      </c>
      <c r="B1233">
        <v>66</v>
      </c>
      <c r="C1233" t="s">
        <v>16</v>
      </c>
      <c r="D1233" t="s">
        <v>116</v>
      </c>
      <c r="E1233" t="s">
        <v>18</v>
      </c>
      <c r="F1233">
        <v>79</v>
      </c>
      <c r="G1233" t="s">
        <v>129</v>
      </c>
      <c r="H1233" t="s">
        <v>39</v>
      </c>
      <c r="I1233" t="s">
        <v>71</v>
      </c>
      <c r="J1233" t="s">
        <v>33</v>
      </c>
      <c r="K1233">
        <v>4</v>
      </c>
      <c r="L1233" t="s">
        <v>143</v>
      </c>
      <c r="M1233" t="s">
        <v>23</v>
      </c>
      <c r="N1233">
        <v>43</v>
      </c>
      <c r="O1233" t="s">
        <v>34</v>
      </c>
      <c r="P1233" t="s">
        <v>25</v>
      </c>
    </row>
    <row r="1234" spans="1:16" ht="14.5" x14ac:dyDescent="0.35">
      <c r="A1234">
        <v>1233</v>
      </c>
      <c r="B1234">
        <v>57</v>
      </c>
      <c r="C1234" t="s">
        <v>16</v>
      </c>
      <c r="D1234" t="s">
        <v>59</v>
      </c>
      <c r="E1234" t="s">
        <v>60</v>
      </c>
      <c r="F1234">
        <v>23</v>
      </c>
      <c r="G1234" t="s">
        <v>75</v>
      </c>
      <c r="H1234" t="s">
        <v>39</v>
      </c>
      <c r="I1234" t="s">
        <v>54</v>
      </c>
      <c r="J1234" t="s">
        <v>47</v>
      </c>
      <c r="K1234">
        <v>3.6</v>
      </c>
      <c r="L1234" t="s">
        <v>143</v>
      </c>
      <c r="M1234" t="s">
        <v>23</v>
      </c>
      <c r="N1234">
        <v>31</v>
      </c>
      <c r="O1234" t="s">
        <v>77</v>
      </c>
      <c r="P1234" t="s">
        <v>88</v>
      </c>
    </row>
    <row r="1235" spans="1:16" ht="14.5" x14ac:dyDescent="0.35">
      <c r="A1235">
        <v>1234</v>
      </c>
      <c r="B1235">
        <v>46</v>
      </c>
      <c r="C1235" t="s">
        <v>16</v>
      </c>
      <c r="D1235" t="s">
        <v>86</v>
      </c>
      <c r="E1235" t="s">
        <v>18</v>
      </c>
      <c r="F1235">
        <v>73</v>
      </c>
      <c r="G1235" t="s">
        <v>131</v>
      </c>
      <c r="H1235" t="s">
        <v>20</v>
      </c>
      <c r="I1235" t="s">
        <v>109</v>
      </c>
      <c r="J1235" t="s">
        <v>22</v>
      </c>
      <c r="K1235">
        <v>3.5</v>
      </c>
      <c r="L1235" t="s">
        <v>143</v>
      </c>
      <c r="M1235" t="s">
        <v>23</v>
      </c>
      <c r="N1235">
        <v>40</v>
      </c>
      <c r="O1235" t="s">
        <v>24</v>
      </c>
      <c r="P1235" t="s">
        <v>88</v>
      </c>
    </row>
    <row r="1236" spans="1:16" ht="14.5" x14ac:dyDescent="0.35">
      <c r="A1236">
        <v>1235</v>
      </c>
      <c r="B1236">
        <v>38</v>
      </c>
      <c r="C1236" t="s">
        <v>16</v>
      </c>
      <c r="D1236" t="s">
        <v>134</v>
      </c>
      <c r="E1236" t="s">
        <v>60</v>
      </c>
      <c r="F1236">
        <v>99</v>
      </c>
      <c r="G1236" t="s">
        <v>118</v>
      </c>
      <c r="H1236" t="s">
        <v>39</v>
      </c>
      <c r="I1236" t="s">
        <v>117</v>
      </c>
      <c r="J1236" t="s">
        <v>50</v>
      </c>
      <c r="K1236">
        <v>4.0999999999999996</v>
      </c>
      <c r="L1236" t="s">
        <v>143</v>
      </c>
      <c r="M1236" t="s">
        <v>23</v>
      </c>
      <c r="N1236">
        <v>2</v>
      </c>
      <c r="O1236" t="s">
        <v>66</v>
      </c>
      <c r="P1236" t="s">
        <v>67</v>
      </c>
    </row>
    <row r="1237" spans="1:16" ht="14.5" x14ac:dyDescent="0.35">
      <c r="A1237">
        <v>1236</v>
      </c>
      <c r="B1237">
        <v>23</v>
      </c>
      <c r="C1237" t="s">
        <v>16</v>
      </c>
      <c r="D1237" t="s">
        <v>26</v>
      </c>
      <c r="E1237" t="s">
        <v>18</v>
      </c>
      <c r="F1237">
        <v>22</v>
      </c>
      <c r="G1237" t="s">
        <v>126</v>
      </c>
      <c r="H1237" t="s">
        <v>39</v>
      </c>
      <c r="I1237" t="s">
        <v>99</v>
      </c>
      <c r="J1237" t="s">
        <v>33</v>
      </c>
      <c r="K1237">
        <v>3</v>
      </c>
      <c r="L1237" t="s">
        <v>143</v>
      </c>
      <c r="M1237" t="s">
        <v>23</v>
      </c>
      <c r="N1237">
        <v>46</v>
      </c>
      <c r="O1237" t="s">
        <v>40</v>
      </c>
      <c r="P1237" t="s">
        <v>88</v>
      </c>
    </row>
    <row r="1238" spans="1:16" ht="14.5" x14ac:dyDescent="0.35">
      <c r="A1238">
        <v>1237</v>
      </c>
      <c r="B1238">
        <v>42</v>
      </c>
      <c r="C1238" t="s">
        <v>16</v>
      </c>
      <c r="D1238" t="s">
        <v>115</v>
      </c>
      <c r="E1238" t="s">
        <v>60</v>
      </c>
      <c r="F1238">
        <v>68</v>
      </c>
      <c r="G1238" t="s">
        <v>121</v>
      </c>
      <c r="H1238" t="s">
        <v>39</v>
      </c>
      <c r="I1238" t="s">
        <v>46</v>
      </c>
      <c r="J1238" t="s">
        <v>47</v>
      </c>
      <c r="K1238">
        <v>4.4000000000000004</v>
      </c>
      <c r="L1238" t="s">
        <v>143</v>
      </c>
      <c r="M1238" t="s">
        <v>23</v>
      </c>
      <c r="N1238">
        <v>35</v>
      </c>
      <c r="O1238" t="s">
        <v>77</v>
      </c>
      <c r="P1238" t="s">
        <v>88</v>
      </c>
    </row>
    <row r="1239" spans="1:16" ht="14.5" x14ac:dyDescent="0.35">
      <c r="A1239">
        <v>1238</v>
      </c>
      <c r="B1239">
        <v>25</v>
      </c>
      <c r="C1239" t="s">
        <v>16</v>
      </c>
      <c r="D1239" t="s">
        <v>72</v>
      </c>
      <c r="E1239" t="s">
        <v>18</v>
      </c>
      <c r="F1239">
        <v>92</v>
      </c>
      <c r="G1239" t="s">
        <v>142</v>
      </c>
      <c r="H1239" t="s">
        <v>32</v>
      </c>
      <c r="I1239" t="s">
        <v>54</v>
      </c>
      <c r="J1239" t="s">
        <v>33</v>
      </c>
      <c r="K1239">
        <v>4.4000000000000004</v>
      </c>
      <c r="L1239" t="s">
        <v>143</v>
      </c>
      <c r="M1239" t="s">
        <v>23</v>
      </c>
      <c r="N1239">
        <v>42</v>
      </c>
      <c r="O1239" t="s">
        <v>34</v>
      </c>
      <c r="P1239" t="s">
        <v>51</v>
      </c>
    </row>
    <row r="1240" spans="1:16" ht="14.5" x14ac:dyDescent="0.35">
      <c r="A1240">
        <v>1239</v>
      </c>
      <c r="B1240">
        <v>55</v>
      </c>
      <c r="C1240" t="s">
        <v>16</v>
      </c>
      <c r="D1240" t="s">
        <v>86</v>
      </c>
      <c r="E1240" t="s">
        <v>18</v>
      </c>
      <c r="F1240">
        <v>77</v>
      </c>
      <c r="G1240" t="s">
        <v>45</v>
      </c>
      <c r="H1240" t="s">
        <v>39</v>
      </c>
      <c r="I1240" t="s">
        <v>74</v>
      </c>
      <c r="J1240" t="s">
        <v>22</v>
      </c>
      <c r="K1240">
        <v>3.7</v>
      </c>
      <c r="L1240" t="s">
        <v>143</v>
      </c>
      <c r="M1240" t="s">
        <v>23</v>
      </c>
      <c r="N1240">
        <v>3</v>
      </c>
      <c r="O1240" t="s">
        <v>24</v>
      </c>
      <c r="P1240" t="s">
        <v>25</v>
      </c>
    </row>
    <row r="1241" spans="1:16" ht="14.5" x14ac:dyDescent="0.35">
      <c r="A1241">
        <v>1240</v>
      </c>
      <c r="B1241">
        <v>62</v>
      </c>
      <c r="C1241" t="s">
        <v>16</v>
      </c>
      <c r="D1241" t="s">
        <v>55</v>
      </c>
      <c r="E1241" t="s">
        <v>56</v>
      </c>
      <c r="F1241">
        <v>37</v>
      </c>
      <c r="G1241" t="s">
        <v>118</v>
      </c>
      <c r="H1241" t="s">
        <v>83</v>
      </c>
      <c r="I1241" t="s">
        <v>127</v>
      </c>
      <c r="J1241" t="s">
        <v>33</v>
      </c>
      <c r="K1241">
        <v>4.8</v>
      </c>
      <c r="L1241" t="s">
        <v>143</v>
      </c>
      <c r="M1241" t="s">
        <v>23</v>
      </c>
      <c r="N1241">
        <v>32</v>
      </c>
      <c r="O1241" t="s">
        <v>77</v>
      </c>
      <c r="P1241" t="s">
        <v>88</v>
      </c>
    </row>
    <row r="1242" spans="1:16" ht="14.5" x14ac:dyDescent="0.35">
      <c r="A1242">
        <v>1241</v>
      </c>
      <c r="B1242">
        <v>41</v>
      </c>
      <c r="C1242" t="s">
        <v>16</v>
      </c>
      <c r="D1242" t="s">
        <v>110</v>
      </c>
      <c r="E1242" t="s">
        <v>60</v>
      </c>
      <c r="F1242">
        <v>79</v>
      </c>
      <c r="G1242" t="s">
        <v>118</v>
      </c>
      <c r="H1242" t="s">
        <v>20</v>
      </c>
      <c r="I1242" t="s">
        <v>46</v>
      </c>
      <c r="J1242" t="s">
        <v>22</v>
      </c>
      <c r="K1242">
        <v>2.9</v>
      </c>
      <c r="L1242" t="s">
        <v>143</v>
      </c>
      <c r="M1242" t="s">
        <v>23</v>
      </c>
      <c r="N1242">
        <v>48</v>
      </c>
      <c r="O1242" t="s">
        <v>77</v>
      </c>
      <c r="P1242" t="s">
        <v>43</v>
      </c>
    </row>
    <row r="1243" spans="1:16" ht="14.5" x14ac:dyDescent="0.35">
      <c r="A1243">
        <v>1242</v>
      </c>
      <c r="B1243">
        <v>58</v>
      </c>
      <c r="C1243" t="s">
        <v>16</v>
      </c>
      <c r="D1243" t="s">
        <v>95</v>
      </c>
      <c r="E1243" t="s">
        <v>18</v>
      </c>
      <c r="F1243">
        <v>51</v>
      </c>
      <c r="G1243" t="s">
        <v>68</v>
      </c>
      <c r="H1243" t="s">
        <v>83</v>
      </c>
      <c r="I1243" t="s">
        <v>62</v>
      </c>
      <c r="J1243" t="s">
        <v>22</v>
      </c>
      <c r="K1243">
        <v>3.1</v>
      </c>
      <c r="L1243" t="s">
        <v>143</v>
      </c>
      <c r="M1243" t="s">
        <v>23</v>
      </c>
      <c r="N1243">
        <v>34</v>
      </c>
      <c r="O1243" t="s">
        <v>34</v>
      </c>
      <c r="P1243" t="s">
        <v>35</v>
      </c>
    </row>
    <row r="1244" spans="1:16" ht="14.5" x14ac:dyDescent="0.35">
      <c r="A1244">
        <v>1243</v>
      </c>
      <c r="B1244">
        <v>56</v>
      </c>
      <c r="C1244" t="s">
        <v>16</v>
      </c>
      <c r="D1244" t="s">
        <v>116</v>
      </c>
      <c r="E1244" t="s">
        <v>18</v>
      </c>
      <c r="F1244">
        <v>27</v>
      </c>
      <c r="G1244" t="s">
        <v>98</v>
      </c>
      <c r="H1244" t="s">
        <v>39</v>
      </c>
      <c r="I1244" t="s">
        <v>84</v>
      </c>
      <c r="J1244" t="s">
        <v>47</v>
      </c>
      <c r="K1244">
        <v>4</v>
      </c>
      <c r="L1244" t="s">
        <v>143</v>
      </c>
      <c r="M1244" t="s">
        <v>23</v>
      </c>
      <c r="N1244">
        <v>15</v>
      </c>
      <c r="O1244" t="s">
        <v>66</v>
      </c>
      <c r="P1244" t="s">
        <v>51</v>
      </c>
    </row>
    <row r="1245" spans="1:16" ht="14.5" x14ac:dyDescent="0.35">
      <c r="A1245">
        <v>1244</v>
      </c>
      <c r="B1245">
        <v>25</v>
      </c>
      <c r="C1245" t="s">
        <v>16</v>
      </c>
      <c r="D1245" t="s">
        <v>17</v>
      </c>
      <c r="E1245" t="s">
        <v>18</v>
      </c>
      <c r="F1245">
        <v>23</v>
      </c>
      <c r="G1245" t="s">
        <v>73</v>
      </c>
      <c r="H1245" t="s">
        <v>32</v>
      </c>
      <c r="I1245" t="s">
        <v>62</v>
      </c>
      <c r="J1245" t="s">
        <v>33</v>
      </c>
      <c r="K1245">
        <v>3</v>
      </c>
      <c r="L1245" t="s">
        <v>143</v>
      </c>
      <c r="M1245" t="s">
        <v>23</v>
      </c>
      <c r="N1245">
        <v>22</v>
      </c>
      <c r="O1245" t="s">
        <v>77</v>
      </c>
      <c r="P1245" t="s">
        <v>43</v>
      </c>
    </row>
    <row r="1246" spans="1:16" ht="14.5" x14ac:dyDescent="0.35">
      <c r="A1246">
        <v>1245</v>
      </c>
      <c r="B1246">
        <v>70</v>
      </c>
      <c r="C1246" t="s">
        <v>16</v>
      </c>
      <c r="D1246" t="s">
        <v>116</v>
      </c>
      <c r="E1246" t="s">
        <v>18</v>
      </c>
      <c r="F1246">
        <v>76</v>
      </c>
      <c r="G1246" t="s">
        <v>107</v>
      </c>
      <c r="H1246" t="s">
        <v>32</v>
      </c>
      <c r="I1246" t="s">
        <v>58</v>
      </c>
      <c r="J1246" t="s">
        <v>47</v>
      </c>
      <c r="K1246">
        <v>3.9</v>
      </c>
      <c r="L1246" t="s">
        <v>143</v>
      </c>
      <c r="M1246" t="s">
        <v>23</v>
      </c>
      <c r="N1246">
        <v>2</v>
      </c>
      <c r="O1246" t="s">
        <v>29</v>
      </c>
      <c r="P1246" t="s">
        <v>79</v>
      </c>
    </row>
    <row r="1247" spans="1:16" ht="14.5" x14ac:dyDescent="0.35">
      <c r="A1247">
        <v>1246</v>
      </c>
      <c r="B1247">
        <v>42</v>
      </c>
      <c r="C1247" t="s">
        <v>16</v>
      </c>
      <c r="D1247" t="s">
        <v>72</v>
      </c>
      <c r="E1247" t="s">
        <v>18</v>
      </c>
      <c r="F1247">
        <v>31</v>
      </c>
      <c r="G1247" t="s">
        <v>75</v>
      </c>
      <c r="H1247" t="s">
        <v>39</v>
      </c>
      <c r="I1247" t="s">
        <v>74</v>
      </c>
      <c r="J1247" t="s">
        <v>50</v>
      </c>
      <c r="K1247">
        <v>3.4</v>
      </c>
      <c r="L1247" t="s">
        <v>143</v>
      </c>
      <c r="M1247" t="s">
        <v>23</v>
      </c>
      <c r="N1247">
        <v>30</v>
      </c>
      <c r="O1247" t="s">
        <v>66</v>
      </c>
      <c r="P1247" t="s">
        <v>35</v>
      </c>
    </row>
    <row r="1248" spans="1:16" ht="14.5" x14ac:dyDescent="0.35">
      <c r="A1248">
        <v>1247</v>
      </c>
      <c r="B1248">
        <v>27</v>
      </c>
      <c r="C1248" t="s">
        <v>16</v>
      </c>
      <c r="D1248" t="s">
        <v>95</v>
      </c>
      <c r="E1248" t="s">
        <v>18</v>
      </c>
      <c r="F1248">
        <v>60</v>
      </c>
      <c r="G1248" t="s">
        <v>53</v>
      </c>
      <c r="H1248" t="s">
        <v>39</v>
      </c>
      <c r="I1248" t="s">
        <v>54</v>
      </c>
      <c r="J1248" t="s">
        <v>22</v>
      </c>
      <c r="K1248">
        <v>2.7</v>
      </c>
      <c r="L1248" t="s">
        <v>143</v>
      </c>
      <c r="M1248" t="s">
        <v>23</v>
      </c>
      <c r="N1248">
        <v>27</v>
      </c>
      <c r="O1248" t="s">
        <v>29</v>
      </c>
      <c r="P1248" t="s">
        <v>79</v>
      </c>
    </row>
    <row r="1249" spans="1:16" ht="14.5" x14ac:dyDescent="0.35">
      <c r="A1249">
        <v>1248</v>
      </c>
      <c r="B1249">
        <v>65</v>
      </c>
      <c r="C1249" t="s">
        <v>16</v>
      </c>
      <c r="D1249" t="s">
        <v>104</v>
      </c>
      <c r="E1249" t="s">
        <v>18</v>
      </c>
      <c r="F1249">
        <v>99</v>
      </c>
      <c r="G1249" t="s">
        <v>132</v>
      </c>
      <c r="H1249" t="s">
        <v>39</v>
      </c>
      <c r="I1249" t="s">
        <v>54</v>
      </c>
      <c r="J1249" t="s">
        <v>33</v>
      </c>
      <c r="K1249">
        <v>3.5</v>
      </c>
      <c r="L1249" t="s">
        <v>143</v>
      </c>
      <c r="M1249" t="s">
        <v>23</v>
      </c>
      <c r="N1249">
        <v>18</v>
      </c>
      <c r="O1249" t="s">
        <v>24</v>
      </c>
      <c r="P1249" t="s">
        <v>67</v>
      </c>
    </row>
    <row r="1250" spans="1:16" ht="14.5" x14ac:dyDescent="0.35">
      <c r="A1250">
        <v>1249</v>
      </c>
      <c r="B1250">
        <v>62</v>
      </c>
      <c r="C1250" t="s">
        <v>16</v>
      </c>
      <c r="D1250" t="s">
        <v>115</v>
      </c>
      <c r="E1250" t="s">
        <v>60</v>
      </c>
      <c r="F1250">
        <v>37</v>
      </c>
      <c r="G1250" t="s">
        <v>141</v>
      </c>
      <c r="H1250" t="s">
        <v>83</v>
      </c>
      <c r="I1250" t="s">
        <v>99</v>
      </c>
      <c r="J1250" t="s">
        <v>22</v>
      </c>
      <c r="K1250">
        <v>3</v>
      </c>
      <c r="L1250" t="s">
        <v>143</v>
      </c>
      <c r="M1250" t="s">
        <v>23</v>
      </c>
      <c r="N1250">
        <v>8</v>
      </c>
      <c r="O1250" t="s">
        <v>34</v>
      </c>
      <c r="P1250" t="s">
        <v>43</v>
      </c>
    </row>
    <row r="1251" spans="1:16" ht="14.5" x14ac:dyDescent="0.35">
      <c r="A1251">
        <v>1250</v>
      </c>
      <c r="B1251">
        <v>62</v>
      </c>
      <c r="C1251" t="s">
        <v>16</v>
      </c>
      <c r="D1251" t="s">
        <v>128</v>
      </c>
      <c r="E1251" t="s">
        <v>37</v>
      </c>
      <c r="F1251">
        <v>50</v>
      </c>
      <c r="G1251" t="s">
        <v>41</v>
      </c>
      <c r="H1251" t="s">
        <v>39</v>
      </c>
      <c r="I1251" t="s">
        <v>91</v>
      </c>
      <c r="J1251" t="s">
        <v>22</v>
      </c>
      <c r="K1251">
        <v>4.5</v>
      </c>
      <c r="L1251" t="s">
        <v>143</v>
      </c>
      <c r="M1251" t="s">
        <v>23</v>
      </c>
      <c r="N1251">
        <v>48</v>
      </c>
      <c r="O1251" t="s">
        <v>24</v>
      </c>
      <c r="P1251" t="s">
        <v>25</v>
      </c>
    </row>
    <row r="1252" spans="1:16" ht="14.5" x14ac:dyDescent="0.35">
      <c r="A1252">
        <v>1251</v>
      </c>
      <c r="B1252">
        <v>52</v>
      </c>
      <c r="C1252" t="s">
        <v>16</v>
      </c>
      <c r="D1252" t="s">
        <v>30</v>
      </c>
      <c r="E1252" t="s">
        <v>18</v>
      </c>
      <c r="F1252">
        <v>26</v>
      </c>
      <c r="G1252" t="s">
        <v>73</v>
      </c>
      <c r="H1252" t="s">
        <v>83</v>
      </c>
      <c r="I1252" t="s">
        <v>65</v>
      </c>
      <c r="J1252" t="s">
        <v>22</v>
      </c>
      <c r="K1252">
        <v>4.0999999999999996</v>
      </c>
      <c r="L1252" t="s">
        <v>143</v>
      </c>
      <c r="M1252" t="s">
        <v>23</v>
      </c>
      <c r="N1252">
        <v>24</v>
      </c>
      <c r="O1252" t="s">
        <v>29</v>
      </c>
      <c r="P1252" t="s">
        <v>79</v>
      </c>
    </row>
    <row r="1253" spans="1:16" ht="14.5" x14ac:dyDescent="0.35">
      <c r="A1253">
        <v>1252</v>
      </c>
      <c r="B1253">
        <v>56</v>
      </c>
      <c r="C1253" t="s">
        <v>16</v>
      </c>
      <c r="D1253" t="s">
        <v>52</v>
      </c>
      <c r="E1253" t="s">
        <v>18</v>
      </c>
      <c r="F1253">
        <v>86</v>
      </c>
      <c r="G1253" t="s">
        <v>107</v>
      </c>
      <c r="H1253" t="s">
        <v>83</v>
      </c>
      <c r="I1253" t="s">
        <v>112</v>
      </c>
      <c r="J1253" t="s">
        <v>33</v>
      </c>
      <c r="K1253">
        <v>5</v>
      </c>
      <c r="L1253" t="s">
        <v>143</v>
      </c>
      <c r="M1253" t="s">
        <v>23</v>
      </c>
      <c r="N1253">
        <v>43</v>
      </c>
      <c r="O1253" t="s">
        <v>34</v>
      </c>
      <c r="P1253" t="s">
        <v>79</v>
      </c>
    </row>
    <row r="1254" spans="1:16" ht="14.5" x14ac:dyDescent="0.35">
      <c r="A1254">
        <v>1253</v>
      </c>
      <c r="B1254">
        <v>28</v>
      </c>
      <c r="C1254" t="s">
        <v>16</v>
      </c>
      <c r="D1254" t="s">
        <v>36</v>
      </c>
      <c r="E1254" t="s">
        <v>37</v>
      </c>
      <c r="F1254">
        <v>41</v>
      </c>
      <c r="G1254" t="s">
        <v>31</v>
      </c>
      <c r="H1254" t="s">
        <v>20</v>
      </c>
      <c r="I1254" t="s">
        <v>127</v>
      </c>
      <c r="J1254" t="s">
        <v>50</v>
      </c>
      <c r="K1254">
        <v>4</v>
      </c>
      <c r="L1254" t="s">
        <v>143</v>
      </c>
      <c r="M1254" t="s">
        <v>23</v>
      </c>
      <c r="N1254">
        <v>8</v>
      </c>
      <c r="O1254" t="s">
        <v>29</v>
      </c>
      <c r="P1254" t="s">
        <v>51</v>
      </c>
    </row>
    <row r="1255" spans="1:16" ht="14.5" x14ac:dyDescent="0.35">
      <c r="A1255">
        <v>1254</v>
      </c>
      <c r="B1255">
        <v>39</v>
      </c>
      <c r="C1255" t="s">
        <v>16</v>
      </c>
      <c r="D1255" t="s">
        <v>36</v>
      </c>
      <c r="E1255" t="s">
        <v>37</v>
      </c>
      <c r="F1255">
        <v>23</v>
      </c>
      <c r="G1255" t="s">
        <v>49</v>
      </c>
      <c r="H1255" t="s">
        <v>83</v>
      </c>
      <c r="I1255" t="s">
        <v>99</v>
      </c>
      <c r="J1255" t="s">
        <v>22</v>
      </c>
      <c r="K1255">
        <v>4.9000000000000004</v>
      </c>
      <c r="L1255" t="s">
        <v>143</v>
      </c>
      <c r="M1255" t="s">
        <v>23</v>
      </c>
      <c r="N1255">
        <v>49</v>
      </c>
      <c r="O1255" t="s">
        <v>40</v>
      </c>
      <c r="P1255" t="s">
        <v>43</v>
      </c>
    </row>
    <row r="1256" spans="1:16" ht="14.5" x14ac:dyDescent="0.35">
      <c r="A1256">
        <v>1255</v>
      </c>
      <c r="B1256">
        <v>54</v>
      </c>
      <c r="C1256" t="s">
        <v>16</v>
      </c>
      <c r="D1256" t="s">
        <v>44</v>
      </c>
      <c r="E1256" t="s">
        <v>37</v>
      </c>
      <c r="F1256">
        <v>56</v>
      </c>
      <c r="G1256" t="s">
        <v>90</v>
      </c>
      <c r="H1256" t="s">
        <v>83</v>
      </c>
      <c r="I1256" t="s">
        <v>85</v>
      </c>
      <c r="J1256" t="s">
        <v>33</v>
      </c>
      <c r="K1256">
        <v>3.3</v>
      </c>
      <c r="L1256" t="s">
        <v>143</v>
      </c>
      <c r="M1256" t="s">
        <v>23</v>
      </c>
      <c r="N1256">
        <v>2</v>
      </c>
      <c r="O1256" t="s">
        <v>34</v>
      </c>
      <c r="P1256" t="s">
        <v>67</v>
      </c>
    </row>
    <row r="1257" spans="1:16" ht="14.5" x14ac:dyDescent="0.35">
      <c r="A1257">
        <v>1256</v>
      </c>
      <c r="B1257">
        <v>30</v>
      </c>
      <c r="C1257" t="s">
        <v>16</v>
      </c>
      <c r="D1257" t="s">
        <v>115</v>
      </c>
      <c r="E1257" t="s">
        <v>60</v>
      </c>
      <c r="F1257">
        <v>68</v>
      </c>
      <c r="G1257" t="s">
        <v>107</v>
      </c>
      <c r="H1257" t="s">
        <v>39</v>
      </c>
      <c r="I1257" t="s">
        <v>91</v>
      </c>
      <c r="J1257" t="s">
        <v>50</v>
      </c>
      <c r="K1257">
        <v>4.0999999999999996</v>
      </c>
      <c r="L1257" t="s">
        <v>143</v>
      </c>
      <c r="M1257" t="s">
        <v>23</v>
      </c>
      <c r="N1257">
        <v>38</v>
      </c>
      <c r="O1257" t="s">
        <v>29</v>
      </c>
      <c r="P1257" t="s">
        <v>25</v>
      </c>
    </row>
    <row r="1258" spans="1:16" ht="14.5" x14ac:dyDescent="0.35">
      <c r="A1258">
        <v>1257</v>
      </c>
      <c r="B1258">
        <v>45</v>
      </c>
      <c r="C1258" t="s">
        <v>16</v>
      </c>
      <c r="D1258" t="s">
        <v>55</v>
      </c>
      <c r="E1258" t="s">
        <v>56</v>
      </c>
      <c r="F1258">
        <v>48</v>
      </c>
      <c r="G1258" t="s">
        <v>57</v>
      </c>
      <c r="H1258" t="s">
        <v>32</v>
      </c>
      <c r="I1258" t="s">
        <v>69</v>
      </c>
      <c r="J1258" t="s">
        <v>22</v>
      </c>
      <c r="K1258">
        <v>3.6</v>
      </c>
      <c r="L1258" t="s">
        <v>143</v>
      </c>
      <c r="M1258" t="s">
        <v>23</v>
      </c>
      <c r="N1258">
        <v>4</v>
      </c>
      <c r="O1258" t="s">
        <v>29</v>
      </c>
      <c r="P1258" t="s">
        <v>25</v>
      </c>
    </row>
    <row r="1259" spans="1:16" ht="14.5" x14ac:dyDescent="0.35">
      <c r="A1259">
        <v>1258</v>
      </c>
      <c r="B1259">
        <v>68</v>
      </c>
      <c r="C1259" t="s">
        <v>16</v>
      </c>
      <c r="D1259" t="s">
        <v>72</v>
      </c>
      <c r="E1259" t="s">
        <v>18</v>
      </c>
      <c r="F1259">
        <v>67</v>
      </c>
      <c r="G1259" t="s">
        <v>139</v>
      </c>
      <c r="H1259" t="s">
        <v>20</v>
      </c>
      <c r="I1259" t="s">
        <v>71</v>
      </c>
      <c r="J1259" t="s">
        <v>33</v>
      </c>
      <c r="K1259">
        <v>3</v>
      </c>
      <c r="L1259" t="s">
        <v>143</v>
      </c>
      <c r="M1259" t="s">
        <v>23</v>
      </c>
      <c r="N1259">
        <v>31</v>
      </c>
      <c r="O1259" t="s">
        <v>29</v>
      </c>
      <c r="P1259" t="s">
        <v>88</v>
      </c>
    </row>
    <row r="1260" spans="1:16" ht="14.5" x14ac:dyDescent="0.35">
      <c r="A1260">
        <v>1259</v>
      </c>
      <c r="B1260">
        <v>47</v>
      </c>
      <c r="C1260" t="s">
        <v>16</v>
      </c>
      <c r="D1260" t="s">
        <v>128</v>
      </c>
      <c r="E1260" t="s">
        <v>37</v>
      </c>
      <c r="F1260">
        <v>87</v>
      </c>
      <c r="G1260" t="s">
        <v>114</v>
      </c>
      <c r="H1260" t="s">
        <v>83</v>
      </c>
      <c r="I1260" t="s">
        <v>71</v>
      </c>
      <c r="J1260" t="s">
        <v>33</v>
      </c>
      <c r="K1260">
        <v>4.0999999999999996</v>
      </c>
      <c r="L1260" t="s">
        <v>143</v>
      </c>
      <c r="M1260" t="s">
        <v>23</v>
      </c>
      <c r="N1260">
        <v>34</v>
      </c>
      <c r="O1260" t="s">
        <v>77</v>
      </c>
      <c r="P1260" t="s">
        <v>88</v>
      </c>
    </row>
    <row r="1261" spans="1:16" ht="14.5" x14ac:dyDescent="0.35">
      <c r="A1261">
        <v>1260</v>
      </c>
      <c r="B1261">
        <v>68</v>
      </c>
      <c r="C1261" t="s">
        <v>16</v>
      </c>
      <c r="D1261" t="s">
        <v>78</v>
      </c>
      <c r="E1261" t="s">
        <v>18</v>
      </c>
      <c r="F1261">
        <v>64</v>
      </c>
      <c r="G1261" t="s">
        <v>139</v>
      </c>
      <c r="H1261" t="s">
        <v>39</v>
      </c>
      <c r="I1261" t="s">
        <v>42</v>
      </c>
      <c r="J1261" t="s">
        <v>50</v>
      </c>
      <c r="K1261">
        <v>3.9</v>
      </c>
      <c r="L1261" t="s">
        <v>143</v>
      </c>
      <c r="M1261" t="s">
        <v>23</v>
      </c>
      <c r="N1261">
        <v>45</v>
      </c>
      <c r="O1261" t="s">
        <v>34</v>
      </c>
      <c r="P1261" t="s">
        <v>79</v>
      </c>
    </row>
    <row r="1262" spans="1:16" ht="14.5" x14ac:dyDescent="0.35">
      <c r="A1262">
        <v>1261</v>
      </c>
      <c r="B1262">
        <v>63</v>
      </c>
      <c r="C1262" t="s">
        <v>16</v>
      </c>
      <c r="D1262" t="s">
        <v>48</v>
      </c>
      <c r="E1262" t="s">
        <v>18</v>
      </c>
      <c r="F1262">
        <v>93</v>
      </c>
      <c r="G1262" t="s">
        <v>132</v>
      </c>
      <c r="H1262" t="s">
        <v>83</v>
      </c>
      <c r="I1262" t="s">
        <v>87</v>
      </c>
      <c r="J1262" t="s">
        <v>33</v>
      </c>
      <c r="K1262">
        <v>4.0999999999999996</v>
      </c>
      <c r="L1262" t="s">
        <v>143</v>
      </c>
      <c r="M1262" t="s">
        <v>23</v>
      </c>
      <c r="N1262">
        <v>30</v>
      </c>
      <c r="O1262" t="s">
        <v>77</v>
      </c>
      <c r="P1262" t="s">
        <v>51</v>
      </c>
    </row>
    <row r="1263" spans="1:16" ht="14.5" x14ac:dyDescent="0.35">
      <c r="A1263">
        <v>1262</v>
      </c>
      <c r="B1263">
        <v>20</v>
      </c>
      <c r="C1263" t="s">
        <v>16</v>
      </c>
      <c r="D1263" t="s">
        <v>48</v>
      </c>
      <c r="E1263" t="s">
        <v>18</v>
      </c>
      <c r="F1263">
        <v>29</v>
      </c>
      <c r="G1263" t="s">
        <v>130</v>
      </c>
      <c r="H1263" t="s">
        <v>20</v>
      </c>
      <c r="I1263" t="s">
        <v>28</v>
      </c>
      <c r="J1263" t="s">
        <v>47</v>
      </c>
      <c r="K1263">
        <v>2.8</v>
      </c>
      <c r="L1263" t="s">
        <v>143</v>
      </c>
      <c r="M1263" t="s">
        <v>23</v>
      </c>
      <c r="N1263">
        <v>2</v>
      </c>
      <c r="O1263" t="s">
        <v>34</v>
      </c>
      <c r="P1263" t="s">
        <v>25</v>
      </c>
    </row>
    <row r="1264" spans="1:16" ht="14.5" x14ac:dyDescent="0.35">
      <c r="A1264">
        <v>1263</v>
      </c>
      <c r="B1264">
        <v>29</v>
      </c>
      <c r="C1264" t="s">
        <v>16</v>
      </c>
      <c r="D1264" t="s">
        <v>128</v>
      </c>
      <c r="E1264" t="s">
        <v>37</v>
      </c>
      <c r="F1264">
        <v>62</v>
      </c>
      <c r="G1264" t="s">
        <v>113</v>
      </c>
      <c r="H1264" t="s">
        <v>20</v>
      </c>
      <c r="I1264" t="s">
        <v>101</v>
      </c>
      <c r="J1264" t="s">
        <v>22</v>
      </c>
      <c r="K1264">
        <v>4.8</v>
      </c>
      <c r="L1264" t="s">
        <v>143</v>
      </c>
      <c r="M1264" t="s">
        <v>23</v>
      </c>
      <c r="N1264">
        <v>44</v>
      </c>
      <c r="O1264" t="s">
        <v>24</v>
      </c>
      <c r="P1264" t="s">
        <v>79</v>
      </c>
    </row>
    <row r="1265" spans="1:16" ht="14.5" x14ac:dyDescent="0.35">
      <c r="A1265">
        <v>1264</v>
      </c>
      <c r="B1265">
        <v>41</v>
      </c>
      <c r="C1265" t="s">
        <v>16</v>
      </c>
      <c r="D1265" t="s">
        <v>95</v>
      </c>
      <c r="E1265" t="s">
        <v>18</v>
      </c>
      <c r="F1265">
        <v>70</v>
      </c>
      <c r="G1265" t="s">
        <v>70</v>
      </c>
      <c r="H1265" t="s">
        <v>20</v>
      </c>
      <c r="I1265" t="s">
        <v>101</v>
      </c>
      <c r="J1265" t="s">
        <v>22</v>
      </c>
      <c r="K1265">
        <v>4.5999999999999996</v>
      </c>
      <c r="L1265" t="s">
        <v>143</v>
      </c>
      <c r="M1265" t="s">
        <v>23</v>
      </c>
      <c r="N1265">
        <v>1</v>
      </c>
      <c r="O1265" t="s">
        <v>34</v>
      </c>
      <c r="P1265" t="s">
        <v>67</v>
      </c>
    </row>
    <row r="1266" spans="1:16" ht="14.5" x14ac:dyDescent="0.35">
      <c r="A1266">
        <v>1265</v>
      </c>
      <c r="B1266">
        <v>52</v>
      </c>
      <c r="C1266" t="s">
        <v>16</v>
      </c>
      <c r="D1266" t="s">
        <v>26</v>
      </c>
      <c r="E1266" t="s">
        <v>18</v>
      </c>
      <c r="F1266">
        <v>92</v>
      </c>
      <c r="G1266" t="s">
        <v>120</v>
      </c>
      <c r="H1266" t="s">
        <v>32</v>
      </c>
      <c r="I1266" t="s">
        <v>135</v>
      </c>
      <c r="J1266" t="s">
        <v>22</v>
      </c>
      <c r="K1266">
        <v>2.5</v>
      </c>
      <c r="L1266" t="s">
        <v>143</v>
      </c>
      <c r="M1266" t="s">
        <v>23</v>
      </c>
      <c r="N1266">
        <v>1</v>
      </c>
      <c r="O1266" t="s">
        <v>24</v>
      </c>
      <c r="P1266" t="s">
        <v>67</v>
      </c>
    </row>
    <row r="1267" spans="1:16" ht="14.5" x14ac:dyDescent="0.35">
      <c r="A1267">
        <v>1266</v>
      </c>
      <c r="B1267">
        <v>32</v>
      </c>
      <c r="C1267" t="s">
        <v>16</v>
      </c>
      <c r="D1267" t="s">
        <v>48</v>
      </c>
      <c r="E1267" t="s">
        <v>18</v>
      </c>
      <c r="F1267">
        <v>79</v>
      </c>
      <c r="G1267" t="s">
        <v>53</v>
      </c>
      <c r="H1267" t="s">
        <v>39</v>
      </c>
      <c r="I1267" t="s">
        <v>84</v>
      </c>
      <c r="J1267" t="s">
        <v>33</v>
      </c>
      <c r="K1267">
        <v>2.7</v>
      </c>
      <c r="L1267" t="s">
        <v>143</v>
      </c>
      <c r="M1267" t="s">
        <v>23</v>
      </c>
      <c r="N1267">
        <v>27</v>
      </c>
      <c r="O1267" t="s">
        <v>66</v>
      </c>
      <c r="P1267" t="s">
        <v>35</v>
      </c>
    </row>
    <row r="1268" spans="1:16" ht="14.5" x14ac:dyDescent="0.35">
      <c r="A1268">
        <v>1267</v>
      </c>
      <c r="B1268">
        <v>20</v>
      </c>
      <c r="C1268" t="s">
        <v>16</v>
      </c>
      <c r="D1268" t="s">
        <v>17</v>
      </c>
      <c r="E1268" t="s">
        <v>18</v>
      </c>
      <c r="F1268">
        <v>31</v>
      </c>
      <c r="G1268" t="s">
        <v>105</v>
      </c>
      <c r="H1268" t="s">
        <v>39</v>
      </c>
      <c r="I1268" t="s">
        <v>91</v>
      </c>
      <c r="J1268" t="s">
        <v>50</v>
      </c>
      <c r="K1268">
        <v>4</v>
      </c>
      <c r="L1268" t="s">
        <v>143</v>
      </c>
      <c r="M1268" t="s">
        <v>23</v>
      </c>
      <c r="N1268">
        <v>14</v>
      </c>
      <c r="O1268" t="s">
        <v>77</v>
      </c>
      <c r="P1268" t="s">
        <v>88</v>
      </c>
    </row>
    <row r="1269" spans="1:16" ht="14.5" x14ac:dyDescent="0.35">
      <c r="A1269">
        <v>1268</v>
      </c>
      <c r="B1269">
        <v>47</v>
      </c>
      <c r="C1269" t="s">
        <v>16</v>
      </c>
      <c r="D1269" t="s">
        <v>104</v>
      </c>
      <c r="E1269" t="s">
        <v>18</v>
      </c>
      <c r="F1269">
        <v>83</v>
      </c>
      <c r="G1269" t="s">
        <v>41</v>
      </c>
      <c r="H1269" t="s">
        <v>32</v>
      </c>
      <c r="I1269" t="s">
        <v>21</v>
      </c>
      <c r="J1269" t="s">
        <v>33</v>
      </c>
      <c r="K1269">
        <v>2.7</v>
      </c>
      <c r="L1269" t="s">
        <v>143</v>
      </c>
      <c r="M1269" t="s">
        <v>23</v>
      </c>
      <c r="N1269">
        <v>41</v>
      </c>
      <c r="O1269" t="s">
        <v>29</v>
      </c>
      <c r="P1269" t="s">
        <v>35</v>
      </c>
    </row>
    <row r="1270" spans="1:16" ht="14.5" x14ac:dyDescent="0.35">
      <c r="A1270">
        <v>1269</v>
      </c>
      <c r="B1270">
        <v>23</v>
      </c>
      <c r="C1270" t="s">
        <v>16</v>
      </c>
      <c r="D1270" t="s">
        <v>93</v>
      </c>
      <c r="E1270" t="s">
        <v>56</v>
      </c>
      <c r="F1270">
        <v>88</v>
      </c>
      <c r="G1270" t="s">
        <v>126</v>
      </c>
      <c r="H1270" t="s">
        <v>83</v>
      </c>
      <c r="I1270" t="s">
        <v>54</v>
      </c>
      <c r="J1270" t="s">
        <v>22</v>
      </c>
      <c r="K1270">
        <v>2.9</v>
      </c>
      <c r="L1270" t="s">
        <v>143</v>
      </c>
      <c r="M1270" t="s">
        <v>23</v>
      </c>
      <c r="N1270">
        <v>25</v>
      </c>
      <c r="O1270" t="s">
        <v>77</v>
      </c>
      <c r="P1270" t="s">
        <v>67</v>
      </c>
    </row>
    <row r="1271" spans="1:16" ht="14.5" x14ac:dyDescent="0.35">
      <c r="A1271">
        <v>1270</v>
      </c>
      <c r="B1271">
        <v>43</v>
      </c>
      <c r="C1271" t="s">
        <v>16</v>
      </c>
      <c r="D1271" t="s">
        <v>97</v>
      </c>
      <c r="E1271" t="s">
        <v>60</v>
      </c>
      <c r="F1271">
        <v>53</v>
      </c>
      <c r="G1271" t="s">
        <v>120</v>
      </c>
      <c r="H1271" t="s">
        <v>39</v>
      </c>
      <c r="I1271" t="s">
        <v>84</v>
      </c>
      <c r="J1271" t="s">
        <v>33</v>
      </c>
      <c r="K1271">
        <v>3</v>
      </c>
      <c r="L1271" t="s">
        <v>143</v>
      </c>
      <c r="M1271" t="s">
        <v>23</v>
      </c>
      <c r="N1271">
        <v>47</v>
      </c>
      <c r="O1271" t="s">
        <v>40</v>
      </c>
      <c r="P1271" t="s">
        <v>51</v>
      </c>
    </row>
    <row r="1272" spans="1:16" ht="14.5" x14ac:dyDescent="0.35">
      <c r="A1272">
        <v>1271</v>
      </c>
      <c r="B1272">
        <v>67</v>
      </c>
      <c r="C1272" t="s">
        <v>16</v>
      </c>
      <c r="D1272" t="s">
        <v>95</v>
      </c>
      <c r="E1272" t="s">
        <v>18</v>
      </c>
      <c r="F1272">
        <v>98</v>
      </c>
      <c r="G1272" t="s">
        <v>57</v>
      </c>
      <c r="H1272" t="s">
        <v>39</v>
      </c>
      <c r="I1272" t="s">
        <v>87</v>
      </c>
      <c r="J1272" t="s">
        <v>50</v>
      </c>
      <c r="K1272">
        <v>3.3</v>
      </c>
      <c r="L1272" t="s">
        <v>143</v>
      </c>
      <c r="M1272" t="s">
        <v>23</v>
      </c>
      <c r="N1272">
        <v>20</v>
      </c>
      <c r="O1272" t="s">
        <v>29</v>
      </c>
      <c r="P1272" t="s">
        <v>43</v>
      </c>
    </row>
    <row r="1273" spans="1:16" ht="14.5" x14ac:dyDescent="0.35">
      <c r="A1273">
        <v>1272</v>
      </c>
      <c r="B1273">
        <v>70</v>
      </c>
      <c r="C1273" t="s">
        <v>16</v>
      </c>
      <c r="D1273" t="s">
        <v>97</v>
      </c>
      <c r="E1273" t="s">
        <v>60</v>
      </c>
      <c r="F1273">
        <v>57</v>
      </c>
      <c r="G1273" t="s">
        <v>19</v>
      </c>
      <c r="H1273" t="s">
        <v>32</v>
      </c>
      <c r="I1273" t="s">
        <v>21</v>
      </c>
      <c r="J1273" t="s">
        <v>33</v>
      </c>
      <c r="K1273">
        <v>4.3</v>
      </c>
      <c r="L1273" t="s">
        <v>143</v>
      </c>
      <c r="M1273" t="s">
        <v>23</v>
      </c>
      <c r="N1273">
        <v>42</v>
      </c>
      <c r="O1273" t="s">
        <v>40</v>
      </c>
      <c r="P1273" t="s">
        <v>43</v>
      </c>
    </row>
    <row r="1274" spans="1:16" ht="14.5" x14ac:dyDescent="0.35">
      <c r="A1274">
        <v>1273</v>
      </c>
      <c r="B1274">
        <v>35</v>
      </c>
      <c r="C1274" t="s">
        <v>16</v>
      </c>
      <c r="D1274" t="s">
        <v>36</v>
      </c>
      <c r="E1274" t="s">
        <v>37</v>
      </c>
      <c r="F1274">
        <v>80</v>
      </c>
      <c r="G1274" t="s">
        <v>141</v>
      </c>
      <c r="H1274" t="s">
        <v>39</v>
      </c>
      <c r="I1274" t="s">
        <v>112</v>
      </c>
      <c r="J1274" t="s">
        <v>22</v>
      </c>
      <c r="K1274">
        <v>4.4000000000000004</v>
      </c>
      <c r="L1274" t="s">
        <v>143</v>
      </c>
      <c r="M1274" t="s">
        <v>23</v>
      </c>
      <c r="N1274">
        <v>16</v>
      </c>
      <c r="O1274" t="s">
        <v>66</v>
      </c>
      <c r="P1274" t="s">
        <v>79</v>
      </c>
    </row>
    <row r="1275" spans="1:16" ht="14.5" x14ac:dyDescent="0.35">
      <c r="A1275">
        <v>1274</v>
      </c>
      <c r="B1275">
        <v>41</v>
      </c>
      <c r="C1275" t="s">
        <v>16</v>
      </c>
      <c r="D1275" t="s">
        <v>30</v>
      </c>
      <c r="E1275" t="s">
        <v>18</v>
      </c>
      <c r="F1275">
        <v>29</v>
      </c>
      <c r="G1275" t="s">
        <v>82</v>
      </c>
      <c r="H1275" t="s">
        <v>20</v>
      </c>
      <c r="I1275" t="s">
        <v>58</v>
      </c>
      <c r="J1275" t="s">
        <v>33</v>
      </c>
      <c r="K1275">
        <v>4.0999999999999996</v>
      </c>
      <c r="L1275" t="s">
        <v>143</v>
      </c>
      <c r="M1275" t="s">
        <v>23</v>
      </c>
      <c r="N1275">
        <v>32</v>
      </c>
      <c r="O1275" t="s">
        <v>34</v>
      </c>
      <c r="P1275" t="s">
        <v>88</v>
      </c>
    </row>
    <row r="1276" spans="1:16" ht="14.5" x14ac:dyDescent="0.35">
      <c r="A1276">
        <v>1275</v>
      </c>
      <c r="B1276">
        <v>54</v>
      </c>
      <c r="C1276" t="s">
        <v>16</v>
      </c>
      <c r="D1276" t="s">
        <v>115</v>
      </c>
      <c r="E1276" t="s">
        <v>60</v>
      </c>
      <c r="F1276">
        <v>73</v>
      </c>
      <c r="G1276" t="s">
        <v>61</v>
      </c>
      <c r="H1276" t="s">
        <v>39</v>
      </c>
      <c r="I1276" t="s">
        <v>69</v>
      </c>
      <c r="J1276" t="s">
        <v>33</v>
      </c>
      <c r="K1276">
        <v>3.1</v>
      </c>
      <c r="L1276" t="s">
        <v>143</v>
      </c>
      <c r="M1276" t="s">
        <v>23</v>
      </c>
      <c r="N1276">
        <v>37</v>
      </c>
      <c r="O1276" t="s">
        <v>40</v>
      </c>
      <c r="P1276" t="s">
        <v>51</v>
      </c>
    </row>
    <row r="1277" spans="1:16" ht="14.5" x14ac:dyDescent="0.35">
      <c r="A1277">
        <v>1276</v>
      </c>
      <c r="B1277">
        <v>55</v>
      </c>
      <c r="C1277" t="s">
        <v>16</v>
      </c>
      <c r="D1277" t="s">
        <v>26</v>
      </c>
      <c r="E1277" t="s">
        <v>18</v>
      </c>
      <c r="F1277">
        <v>32</v>
      </c>
      <c r="G1277" t="s">
        <v>64</v>
      </c>
      <c r="H1277" t="s">
        <v>32</v>
      </c>
      <c r="I1277" t="s">
        <v>42</v>
      </c>
      <c r="J1277" t="s">
        <v>50</v>
      </c>
      <c r="K1277">
        <v>4.5</v>
      </c>
      <c r="L1277" t="s">
        <v>143</v>
      </c>
      <c r="M1277" t="s">
        <v>23</v>
      </c>
      <c r="N1277">
        <v>1</v>
      </c>
      <c r="O1277" t="s">
        <v>40</v>
      </c>
      <c r="P1277" t="s">
        <v>79</v>
      </c>
    </row>
    <row r="1278" spans="1:16" ht="14.5" x14ac:dyDescent="0.35">
      <c r="A1278">
        <v>1277</v>
      </c>
      <c r="B1278">
        <v>51</v>
      </c>
      <c r="C1278" t="s">
        <v>16</v>
      </c>
      <c r="D1278" t="s">
        <v>128</v>
      </c>
      <c r="E1278" t="s">
        <v>37</v>
      </c>
      <c r="F1278">
        <v>68</v>
      </c>
      <c r="G1278" t="s">
        <v>45</v>
      </c>
      <c r="H1278" t="s">
        <v>20</v>
      </c>
      <c r="I1278" t="s">
        <v>42</v>
      </c>
      <c r="J1278" t="s">
        <v>33</v>
      </c>
      <c r="K1278">
        <v>4.8</v>
      </c>
      <c r="L1278" t="s">
        <v>143</v>
      </c>
      <c r="M1278" t="s">
        <v>23</v>
      </c>
      <c r="N1278">
        <v>37</v>
      </c>
      <c r="O1278" t="s">
        <v>66</v>
      </c>
      <c r="P1278" t="s">
        <v>35</v>
      </c>
    </row>
    <row r="1279" spans="1:16" ht="14.5" x14ac:dyDescent="0.35">
      <c r="A1279">
        <v>1278</v>
      </c>
      <c r="B1279">
        <v>19</v>
      </c>
      <c r="C1279" t="s">
        <v>16</v>
      </c>
      <c r="D1279" t="s">
        <v>17</v>
      </c>
      <c r="E1279" t="s">
        <v>18</v>
      </c>
      <c r="F1279">
        <v>97</v>
      </c>
      <c r="G1279" t="s">
        <v>38</v>
      </c>
      <c r="H1279" t="s">
        <v>20</v>
      </c>
      <c r="I1279" t="s">
        <v>87</v>
      </c>
      <c r="J1279" t="s">
        <v>33</v>
      </c>
      <c r="K1279">
        <v>5</v>
      </c>
      <c r="L1279" t="s">
        <v>143</v>
      </c>
      <c r="M1279" t="s">
        <v>23</v>
      </c>
      <c r="N1279">
        <v>5</v>
      </c>
      <c r="O1279" t="s">
        <v>24</v>
      </c>
      <c r="P1279" t="s">
        <v>51</v>
      </c>
    </row>
    <row r="1280" spans="1:16" ht="14.5" x14ac:dyDescent="0.35">
      <c r="A1280">
        <v>1279</v>
      </c>
      <c r="B1280">
        <v>28</v>
      </c>
      <c r="C1280" t="s">
        <v>16</v>
      </c>
      <c r="D1280" t="s">
        <v>52</v>
      </c>
      <c r="E1280" t="s">
        <v>18</v>
      </c>
      <c r="F1280">
        <v>98</v>
      </c>
      <c r="G1280" t="s">
        <v>131</v>
      </c>
      <c r="H1280" t="s">
        <v>39</v>
      </c>
      <c r="I1280" t="s">
        <v>74</v>
      </c>
      <c r="J1280" t="s">
        <v>50</v>
      </c>
      <c r="K1280">
        <v>2.8</v>
      </c>
      <c r="L1280" t="s">
        <v>143</v>
      </c>
      <c r="M1280" t="s">
        <v>23</v>
      </c>
      <c r="N1280">
        <v>31</v>
      </c>
      <c r="O1280" t="s">
        <v>24</v>
      </c>
      <c r="P1280" t="s">
        <v>25</v>
      </c>
    </row>
    <row r="1281" spans="1:16" ht="14.5" x14ac:dyDescent="0.35">
      <c r="A1281">
        <v>1280</v>
      </c>
      <c r="B1281">
        <v>63</v>
      </c>
      <c r="C1281" t="s">
        <v>16</v>
      </c>
      <c r="D1281" t="s">
        <v>95</v>
      </c>
      <c r="E1281" t="s">
        <v>18</v>
      </c>
      <c r="F1281">
        <v>56</v>
      </c>
      <c r="G1281" t="s">
        <v>119</v>
      </c>
      <c r="H1281" t="s">
        <v>20</v>
      </c>
      <c r="I1281" t="s">
        <v>54</v>
      </c>
      <c r="J1281" t="s">
        <v>50</v>
      </c>
      <c r="K1281">
        <v>3.7</v>
      </c>
      <c r="L1281" t="s">
        <v>143</v>
      </c>
      <c r="M1281" t="s">
        <v>23</v>
      </c>
      <c r="N1281">
        <v>18</v>
      </c>
      <c r="O1281" t="s">
        <v>77</v>
      </c>
      <c r="P1281" t="s">
        <v>43</v>
      </c>
    </row>
    <row r="1282" spans="1:16" ht="14.5" x14ac:dyDescent="0.35">
      <c r="A1282">
        <v>1281</v>
      </c>
      <c r="B1282">
        <v>30</v>
      </c>
      <c r="C1282" t="s">
        <v>16</v>
      </c>
      <c r="D1282" t="s">
        <v>86</v>
      </c>
      <c r="E1282" t="s">
        <v>18</v>
      </c>
      <c r="F1282">
        <v>78</v>
      </c>
      <c r="G1282" t="s">
        <v>133</v>
      </c>
      <c r="H1282" t="s">
        <v>20</v>
      </c>
      <c r="I1282" t="s">
        <v>46</v>
      </c>
      <c r="J1282" t="s">
        <v>22</v>
      </c>
      <c r="K1282">
        <v>4.4000000000000004</v>
      </c>
      <c r="L1282" t="s">
        <v>143</v>
      </c>
      <c r="M1282" t="s">
        <v>23</v>
      </c>
      <c r="N1282">
        <v>39</v>
      </c>
      <c r="O1282" t="s">
        <v>24</v>
      </c>
      <c r="P1282" t="s">
        <v>88</v>
      </c>
    </row>
    <row r="1283" spans="1:16" ht="14.5" x14ac:dyDescent="0.35">
      <c r="A1283">
        <v>1282</v>
      </c>
      <c r="B1283">
        <v>29</v>
      </c>
      <c r="C1283" t="s">
        <v>16</v>
      </c>
      <c r="D1283" t="s">
        <v>124</v>
      </c>
      <c r="E1283" t="s">
        <v>60</v>
      </c>
      <c r="F1283">
        <v>81</v>
      </c>
      <c r="G1283" t="s">
        <v>118</v>
      </c>
      <c r="H1283" t="s">
        <v>39</v>
      </c>
      <c r="I1283" t="s">
        <v>69</v>
      </c>
      <c r="J1283" t="s">
        <v>33</v>
      </c>
      <c r="K1283">
        <v>4.5</v>
      </c>
      <c r="L1283" t="s">
        <v>143</v>
      </c>
      <c r="M1283" t="s">
        <v>23</v>
      </c>
      <c r="N1283">
        <v>8</v>
      </c>
      <c r="O1283" t="s">
        <v>24</v>
      </c>
      <c r="P1283" t="s">
        <v>67</v>
      </c>
    </row>
    <row r="1284" spans="1:16" ht="14.5" x14ac:dyDescent="0.35">
      <c r="A1284">
        <v>1283</v>
      </c>
      <c r="B1284">
        <v>24</v>
      </c>
      <c r="C1284" t="s">
        <v>16</v>
      </c>
      <c r="D1284" t="s">
        <v>48</v>
      </c>
      <c r="E1284" t="s">
        <v>18</v>
      </c>
      <c r="F1284">
        <v>68</v>
      </c>
      <c r="G1284" t="s">
        <v>73</v>
      </c>
      <c r="H1284" t="s">
        <v>20</v>
      </c>
      <c r="I1284" t="s">
        <v>74</v>
      </c>
      <c r="J1284" t="s">
        <v>22</v>
      </c>
      <c r="K1284">
        <v>3</v>
      </c>
      <c r="L1284" t="s">
        <v>143</v>
      </c>
      <c r="M1284" t="s">
        <v>23</v>
      </c>
      <c r="N1284">
        <v>20</v>
      </c>
      <c r="O1284" t="s">
        <v>24</v>
      </c>
      <c r="P1284" t="s">
        <v>79</v>
      </c>
    </row>
    <row r="1285" spans="1:16" ht="14.5" x14ac:dyDescent="0.35">
      <c r="A1285">
        <v>1284</v>
      </c>
      <c r="B1285">
        <v>69</v>
      </c>
      <c r="C1285" t="s">
        <v>16</v>
      </c>
      <c r="D1285" t="s">
        <v>48</v>
      </c>
      <c r="E1285" t="s">
        <v>18</v>
      </c>
      <c r="F1285">
        <v>94</v>
      </c>
      <c r="G1285" t="s">
        <v>41</v>
      </c>
      <c r="H1285" t="s">
        <v>39</v>
      </c>
      <c r="I1285" t="s">
        <v>74</v>
      </c>
      <c r="J1285" t="s">
        <v>22</v>
      </c>
      <c r="K1285">
        <v>3.9</v>
      </c>
      <c r="L1285" t="s">
        <v>143</v>
      </c>
      <c r="M1285" t="s">
        <v>23</v>
      </c>
      <c r="N1285">
        <v>23</v>
      </c>
      <c r="O1285" t="s">
        <v>77</v>
      </c>
      <c r="P1285" t="s">
        <v>88</v>
      </c>
    </row>
    <row r="1286" spans="1:16" ht="14.5" x14ac:dyDescent="0.35">
      <c r="A1286">
        <v>1285</v>
      </c>
      <c r="B1286">
        <v>65</v>
      </c>
      <c r="C1286" t="s">
        <v>16</v>
      </c>
      <c r="D1286" t="s">
        <v>72</v>
      </c>
      <c r="E1286" t="s">
        <v>18</v>
      </c>
      <c r="F1286">
        <v>93</v>
      </c>
      <c r="G1286" t="s">
        <v>64</v>
      </c>
      <c r="H1286" t="s">
        <v>39</v>
      </c>
      <c r="I1286" t="s">
        <v>85</v>
      </c>
      <c r="J1286" t="s">
        <v>33</v>
      </c>
      <c r="K1286">
        <v>3.9</v>
      </c>
      <c r="L1286" t="s">
        <v>143</v>
      </c>
      <c r="M1286" t="s">
        <v>23</v>
      </c>
      <c r="N1286">
        <v>38</v>
      </c>
      <c r="O1286" t="s">
        <v>40</v>
      </c>
      <c r="P1286" t="s">
        <v>25</v>
      </c>
    </row>
    <row r="1287" spans="1:16" ht="14.5" x14ac:dyDescent="0.35">
      <c r="A1287">
        <v>1286</v>
      </c>
      <c r="B1287">
        <v>64</v>
      </c>
      <c r="C1287" t="s">
        <v>16</v>
      </c>
      <c r="D1287" t="s">
        <v>134</v>
      </c>
      <c r="E1287" t="s">
        <v>60</v>
      </c>
      <c r="F1287">
        <v>99</v>
      </c>
      <c r="G1287" t="s">
        <v>89</v>
      </c>
      <c r="H1287" t="s">
        <v>39</v>
      </c>
      <c r="I1287" t="s">
        <v>54</v>
      </c>
      <c r="J1287" t="s">
        <v>50</v>
      </c>
      <c r="K1287">
        <v>3.5</v>
      </c>
      <c r="L1287" t="s">
        <v>143</v>
      </c>
      <c r="M1287" t="s">
        <v>23</v>
      </c>
      <c r="N1287">
        <v>45</v>
      </c>
      <c r="O1287" t="s">
        <v>66</v>
      </c>
      <c r="P1287" t="s">
        <v>25</v>
      </c>
    </row>
    <row r="1288" spans="1:16" ht="14.5" x14ac:dyDescent="0.35">
      <c r="A1288">
        <v>1287</v>
      </c>
      <c r="B1288">
        <v>40</v>
      </c>
      <c r="C1288" t="s">
        <v>16</v>
      </c>
      <c r="D1288" t="s">
        <v>134</v>
      </c>
      <c r="E1288" t="s">
        <v>60</v>
      </c>
      <c r="F1288">
        <v>49</v>
      </c>
      <c r="G1288" t="s">
        <v>57</v>
      </c>
      <c r="H1288" t="s">
        <v>20</v>
      </c>
      <c r="I1288" t="s">
        <v>125</v>
      </c>
      <c r="J1288" t="s">
        <v>22</v>
      </c>
      <c r="K1288">
        <v>4.9000000000000004</v>
      </c>
      <c r="L1288" t="s">
        <v>143</v>
      </c>
      <c r="M1288" t="s">
        <v>23</v>
      </c>
      <c r="N1288">
        <v>44</v>
      </c>
      <c r="O1288" t="s">
        <v>77</v>
      </c>
      <c r="P1288" t="s">
        <v>25</v>
      </c>
    </row>
    <row r="1289" spans="1:16" ht="14.5" x14ac:dyDescent="0.35">
      <c r="A1289">
        <v>1288</v>
      </c>
      <c r="B1289">
        <v>24</v>
      </c>
      <c r="C1289" t="s">
        <v>16</v>
      </c>
      <c r="D1289" t="s">
        <v>30</v>
      </c>
      <c r="E1289" t="s">
        <v>18</v>
      </c>
      <c r="F1289">
        <v>28</v>
      </c>
      <c r="G1289" t="s">
        <v>131</v>
      </c>
      <c r="H1289" t="s">
        <v>83</v>
      </c>
      <c r="I1289" t="s">
        <v>135</v>
      </c>
      <c r="J1289" t="s">
        <v>22</v>
      </c>
      <c r="K1289">
        <v>3.4</v>
      </c>
      <c r="L1289" t="s">
        <v>143</v>
      </c>
      <c r="M1289" t="s">
        <v>23</v>
      </c>
      <c r="N1289">
        <v>20</v>
      </c>
      <c r="O1289" t="s">
        <v>40</v>
      </c>
      <c r="P1289" t="s">
        <v>79</v>
      </c>
    </row>
    <row r="1290" spans="1:16" ht="14.5" x14ac:dyDescent="0.35">
      <c r="A1290">
        <v>1289</v>
      </c>
      <c r="B1290">
        <v>66</v>
      </c>
      <c r="C1290" t="s">
        <v>16</v>
      </c>
      <c r="D1290" t="s">
        <v>124</v>
      </c>
      <c r="E1290" t="s">
        <v>60</v>
      </c>
      <c r="F1290">
        <v>93</v>
      </c>
      <c r="G1290" t="s">
        <v>138</v>
      </c>
      <c r="H1290" t="s">
        <v>83</v>
      </c>
      <c r="I1290" t="s">
        <v>54</v>
      </c>
      <c r="J1290" t="s">
        <v>22</v>
      </c>
      <c r="K1290">
        <v>4.0999999999999996</v>
      </c>
      <c r="L1290" t="s">
        <v>143</v>
      </c>
      <c r="M1290" t="s">
        <v>23</v>
      </c>
      <c r="N1290">
        <v>34</v>
      </c>
      <c r="O1290" t="s">
        <v>40</v>
      </c>
      <c r="P1290" t="s">
        <v>67</v>
      </c>
    </row>
    <row r="1291" spans="1:16" ht="14.5" x14ac:dyDescent="0.35">
      <c r="A1291">
        <v>1290</v>
      </c>
      <c r="B1291">
        <v>35</v>
      </c>
      <c r="C1291" t="s">
        <v>16</v>
      </c>
      <c r="D1291" t="s">
        <v>93</v>
      </c>
      <c r="E1291" t="s">
        <v>56</v>
      </c>
      <c r="F1291">
        <v>24</v>
      </c>
      <c r="G1291" t="s">
        <v>73</v>
      </c>
      <c r="H1291" t="s">
        <v>39</v>
      </c>
      <c r="I1291" t="s">
        <v>99</v>
      </c>
      <c r="J1291" t="s">
        <v>50</v>
      </c>
      <c r="K1291">
        <v>2.9</v>
      </c>
      <c r="L1291" t="s">
        <v>143</v>
      </c>
      <c r="M1291" t="s">
        <v>23</v>
      </c>
      <c r="N1291">
        <v>10</v>
      </c>
      <c r="O1291" t="s">
        <v>40</v>
      </c>
      <c r="P1291" t="s">
        <v>35</v>
      </c>
    </row>
    <row r="1292" spans="1:16" ht="14.5" x14ac:dyDescent="0.35">
      <c r="A1292">
        <v>1291</v>
      </c>
      <c r="B1292">
        <v>67</v>
      </c>
      <c r="C1292" t="s">
        <v>16</v>
      </c>
      <c r="D1292" t="s">
        <v>78</v>
      </c>
      <c r="E1292" t="s">
        <v>18</v>
      </c>
      <c r="F1292">
        <v>35</v>
      </c>
      <c r="G1292" t="s">
        <v>119</v>
      </c>
      <c r="H1292" t="s">
        <v>39</v>
      </c>
      <c r="I1292" t="s">
        <v>117</v>
      </c>
      <c r="J1292" t="s">
        <v>33</v>
      </c>
      <c r="K1292">
        <v>3.4</v>
      </c>
      <c r="L1292" t="s">
        <v>143</v>
      </c>
      <c r="M1292" t="s">
        <v>23</v>
      </c>
      <c r="N1292">
        <v>3</v>
      </c>
      <c r="O1292" t="s">
        <v>40</v>
      </c>
      <c r="P1292" t="s">
        <v>43</v>
      </c>
    </row>
    <row r="1293" spans="1:16" ht="14.5" x14ac:dyDescent="0.35">
      <c r="A1293">
        <v>1292</v>
      </c>
      <c r="B1293">
        <v>69</v>
      </c>
      <c r="C1293" t="s">
        <v>16</v>
      </c>
      <c r="D1293" t="s">
        <v>36</v>
      </c>
      <c r="E1293" t="s">
        <v>37</v>
      </c>
      <c r="F1293">
        <v>68</v>
      </c>
      <c r="G1293" t="s">
        <v>138</v>
      </c>
      <c r="H1293" t="s">
        <v>32</v>
      </c>
      <c r="I1293" t="s">
        <v>109</v>
      </c>
      <c r="J1293" t="s">
        <v>33</v>
      </c>
      <c r="K1293">
        <v>3.2</v>
      </c>
      <c r="L1293" t="s">
        <v>143</v>
      </c>
      <c r="M1293" t="s">
        <v>23</v>
      </c>
      <c r="N1293">
        <v>23</v>
      </c>
      <c r="O1293" t="s">
        <v>77</v>
      </c>
      <c r="P1293" t="s">
        <v>25</v>
      </c>
    </row>
    <row r="1294" spans="1:16" ht="14.5" x14ac:dyDescent="0.35">
      <c r="A1294">
        <v>1293</v>
      </c>
      <c r="B1294">
        <v>26</v>
      </c>
      <c r="C1294" t="s">
        <v>16</v>
      </c>
      <c r="D1294" t="s">
        <v>124</v>
      </c>
      <c r="E1294" t="s">
        <v>60</v>
      </c>
      <c r="F1294">
        <v>61</v>
      </c>
      <c r="G1294" t="s">
        <v>19</v>
      </c>
      <c r="H1294" t="s">
        <v>39</v>
      </c>
      <c r="I1294" t="s">
        <v>28</v>
      </c>
      <c r="J1294" t="s">
        <v>47</v>
      </c>
      <c r="K1294">
        <v>3.9</v>
      </c>
      <c r="L1294" t="s">
        <v>143</v>
      </c>
      <c r="M1294" t="s">
        <v>23</v>
      </c>
      <c r="N1294">
        <v>42</v>
      </c>
      <c r="O1294" t="s">
        <v>66</v>
      </c>
      <c r="P1294" t="s">
        <v>43</v>
      </c>
    </row>
    <row r="1295" spans="1:16" ht="14.5" x14ac:dyDescent="0.35">
      <c r="A1295">
        <v>1294</v>
      </c>
      <c r="B1295">
        <v>23</v>
      </c>
      <c r="C1295" t="s">
        <v>16</v>
      </c>
      <c r="D1295" t="s">
        <v>26</v>
      </c>
      <c r="E1295" t="s">
        <v>18</v>
      </c>
      <c r="F1295">
        <v>74</v>
      </c>
      <c r="G1295" t="s">
        <v>94</v>
      </c>
      <c r="H1295" t="s">
        <v>83</v>
      </c>
      <c r="I1295" t="s">
        <v>125</v>
      </c>
      <c r="J1295" t="s">
        <v>50</v>
      </c>
      <c r="K1295">
        <v>4.0999999999999996</v>
      </c>
      <c r="L1295" t="s">
        <v>143</v>
      </c>
      <c r="M1295" t="s">
        <v>23</v>
      </c>
      <c r="N1295">
        <v>30</v>
      </c>
      <c r="O1295" t="s">
        <v>77</v>
      </c>
      <c r="P1295" t="s">
        <v>43</v>
      </c>
    </row>
    <row r="1296" spans="1:16" ht="14.5" x14ac:dyDescent="0.35">
      <c r="A1296">
        <v>1295</v>
      </c>
      <c r="B1296">
        <v>27</v>
      </c>
      <c r="C1296" t="s">
        <v>16</v>
      </c>
      <c r="D1296" t="s">
        <v>48</v>
      </c>
      <c r="E1296" t="s">
        <v>18</v>
      </c>
      <c r="F1296">
        <v>64</v>
      </c>
      <c r="G1296" t="s">
        <v>96</v>
      </c>
      <c r="H1296" t="s">
        <v>39</v>
      </c>
      <c r="I1296" t="s">
        <v>58</v>
      </c>
      <c r="J1296" t="s">
        <v>47</v>
      </c>
      <c r="K1296">
        <v>4.5</v>
      </c>
      <c r="L1296" t="s">
        <v>143</v>
      </c>
      <c r="M1296" t="s">
        <v>23</v>
      </c>
      <c r="N1296">
        <v>21</v>
      </c>
      <c r="O1296" t="s">
        <v>29</v>
      </c>
      <c r="P1296" t="s">
        <v>88</v>
      </c>
    </row>
    <row r="1297" spans="1:16" ht="14.5" x14ac:dyDescent="0.35">
      <c r="A1297">
        <v>1296</v>
      </c>
      <c r="B1297">
        <v>30</v>
      </c>
      <c r="C1297" t="s">
        <v>16</v>
      </c>
      <c r="D1297" t="s">
        <v>44</v>
      </c>
      <c r="E1297" t="s">
        <v>37</v>
      </c>
      <c r="F1297">
        <v>60</v>
      </c>
      <c r="G1297" t="s">
        <v>121</v>
      </c>
      <c r="H1297" t="s">
        <v>39</v>
      </c>
      <c r="I1297" t="s">
        <v>69</v>
      </c>
      <c r="J1297" t="s">
        <v>50</v>
      </c>
      <c r="K1297">
        <v>2.8</v>
      </c>
      <c r="L1297" t="s">
        <v>143</v>
      </c>
      <c r="M1297" t="s">
        <v>23</v>
      </c>
      <c r="N1297">
        <v>50</v>
      </c>
      <c r="O1297" t="s">
        <v>40</v>
      </c>
      <c r="P1297" t="s">
        <v>35</v>
      </c>
    </row>
    <row r="1298" spans="1:16" ht="14.5" x14ac:dyDescent="0.35">
      <c r="A1298">
        <v>1297</v>
      </c>
      <c r="B1298">
        <v>48</v>
      </c>
      <c r="C1298" t="s">
        <v>16</v>
      </c>
      <c r="D1298" t="s">
        <v>30</v>
      </c>
      <c r="E1298" t="s">
        <v>18</v>
      </c>
      <c r="F1298">
        <v>29</v>
      </c>
      <c r="G1298" t="s">
        <v>138</v>
      </c>
      <c r="H1298" t="s">
        <v>32</v>
      </c>
      <c r="I1298" t="s">
        <v>76</v>
      </c>
      <c r="J1298" t="s">
        <v>33</v>
      </c>
      <c r="K1298">
        <v>2.8</v>
      </c>
      <c r="L1298" t="s">
        <v>143</v>
      </c>
      <c r="M1298" t="s">
        <v>23</v>
      </c>
      <c r="N1298">
        <v>16</v>
      </c>
      <c r="O1298" t="s">
        <v>29</v>
      </c>
      <c r="P1298" t="s">
        <v>67</v>
      </c>
    </row>
    <row r="1299" spans="1:16" ht="14.5" x14ac:dyDescent="0.35">
      <c r="A1299">
        <v>1298</v>
      </c>
      <c r="B1299">
        <v>44</v>
      </c>
      <c r="C1299" t="s">
        <v>16</v>
      </c>
      <c r="D1299" t="s">
        <v>36</v>
      </c>
      <c r="E1299" t="s">
        <v>37</v>
      </c>
      <c r="F1299">
        <v>85</v>
      </c>
      <c r="G1299" t="s">
        <v>118</v>
      </c>
      <c r="H1299" t="s">
        <v>39</v>
      </c>
      <c r="I1299" t="s">
        <v>58</v>
      </c>
      <c r="J1299" t="s">
        <v>47</v>
      </c>
      <c r="K1299">
        <v>4.5999999999999996</v>
      </c>
      <c r="L1299" t="s">
        <v>143</v>
      </c>
      <c r="M1299" t="s">
        <v>23</v>
      </c>
      <c r="N1299">
        <v>32</v>
      </c>
      <c r="O1299" t="s">
        <v>24</v>
      </c>
      <c r="P1299" t="s">
        <v>43</v>
      </c>
    </row>
    <row r="1300" spans="1:16" ht="14.5" x14ac:dyDescent="0.35">
      <c r="A1300">
        <v>1299</v>
      </c>
      <c r="B1300">
        <v>29</v>
      </c>
      <c r="C1300" t="s">
        <v>16</v>
      </c>
      <c r="D1300" t="s">
        <v>86</v>
      </c>
      <c r="E1300" t="s">
        <v>18</v>
      </c>
      <c r="F1300">
        <v>81</v>
      </c>
      <c r="G1300" t="s">
        <v>107</v>
      </c>
      <c r="H1300" t="s">
        <v>32</v>
      </c>
      <c r="I1300" t="s">
        <v>117</v>
      </c>
      <c r="J1300" t="s">
        <v>47</v>
      </c>
      <c r="K1300">
        <v>3</v>
      </c>
      <c r="L1300" t="s">
        <v>143</v>
      </c>
      <c r="M1300" t="s">
        <v>23</v>
      </c>
      <c r="N1300">
        <v>14</v>
      </c>
      <c r="O1300" t="s">
        <v>66</v>
      </c>
      <c r="P1300" t="s">
        <v>25</v>
      </c>
    </row>
    <row r="1301" spans="1:16" ht="14.5" x14ac:dyDescent="0.35">
      <c r="A1301">
        <v>1300</v>
      </c>
      <c r="B1301">
        <v>29</v>
      </c>
      <c r="C1301" t="s">
        <v>16</v>
      </c>
      <c r="D1301" t="s">
        <v>124</v>
      </c>
      <c r="E1301" t="s">
        <v>60</v>
      </c>
      <c r="F1301">
        <v>23</v>
      </c>
      <c r="G1301" t="s">
        <v>53</v>
      </c>
      <c r="H1301" t="s">
        <v>20</v>
      </c>
      <c r="I1301" t="s">
        <v>76</v>
      </c>
      <c r="J1301" t="s">
        <v>50</v>
      </c>
      <c r="K1301">
        <v>3.6</v>
      </c>
      <c r="L1301" t="s">
        <v>143</v>
      </c>
      <c r="M1301" t="s">
        <v>23</v>
      </c>
      <c r="N1301">
        <v>42</v>
      </c>
      <c r="O1301" t="s">
        <v>24</v>
      </c>
      <c r="P1301" t="s">
        <v>67</v>
      </c>
    </row>
    <row r="1302" spans="1:16" ht="14.5" x14ac:dyDescent="0.35">
      <c r="A1302">
        <v>1301</v>
      </c>
      <c r="B1302">
        <v>67</v>
      </c>
      <c r="C1302" t="s">
        <v>16</v>
      </c>
      <c r="D1302" t="s">
        <v>104</v>
      </c>
      <c r="E1302" t="s">
        <v>18</v>
      </c>
      <c r="F1302">
        <v>100</v>
      </c>
      <c r="G1302" t="s">
        <v>57</v>
      </c>
      <c r="H1302" t="s">
        <v>39</v>
      </c>
      <c r="I1302" t="s">
        <v>54</v>
      </c>
      <c r="J1302" t="s">
        <v>33</v>
      </c>
      <c r="K1302">
        <v>4.5</v>
      </c>
      <c r="L1302" t="s">
        <v>143</v>
      </c>
      <c r="M1302" t="s">
        <v>23</v>
      </c>
      <c r="N1302">
        <v>47</v>
      </c>
      <c r="O1302" t="s">
        <v>34</v>
      </c>
      <c r="P1302" t="s">
        <v>88</v>
      </c>
    </row>
    <row r="1303" spans="1:16" ht="14.5" x14ac:dyDescent="0.35">
      <c r="A1303">
        <v>1302</v>
      </c>
      <c r="B1303">
        <v>42</v>
      </c>
      <c r="C1303" t="s">
        <v>16</v>
      </c>
      <c r="D1303" t="s">
        <v>48</v>
      </c>
      <c r="E1303" t="s">
        <v>18</v>
      </c>
      <c r="F1303">
        <v>54</v>
      </c>
      <c r="G1303" t="s">
        <v>27</v>
      </c>
      <c r="H1303" t="s">
        <v>39</v>
      </c>
      <c r="I1303" t="s">
        <v>112</v>
      </c>
      <c r="J1303" t="s">
        <v>50</v>
      </c>
      <c r="K1303">
        <v>5</v>
      </c>
      <c r="L1303" t="s">
        <v>143</v>
      </c>
      <c r="M1303" t="s">
        <v>23</v>
      </c>
      <c r="N1303">
        <v>21</v>
      </c>
      <c r="O1303" t="s">
        <v>77</v>
      </c>
      <c r="P1303" t="s">
        <v>35</v>
      </c>
    </row>
    <row r="1304" spans="1:16" ht="14.5" x14ac:dyDescent="0.35">
      <c r="A1304">
        <v>1303</v>
      </c>
      <c r="B1304">
        <v>23</v>
      </c>
      <c r="C1304" t="s">
        <v>16</v>
      </c>
      <c r="D1304" t="s">
        <v>44</v>
      </c>
      <c r="E1304" t="s">
        <v>37</v>
      </c>
      <c r="F1304">
        <v>25</v>
      </c>
      <c r="G1304" t="s">
        <v>126</v>
      </c>
      <c r="H1304" t="s">
        <v>39</v>
      </c>
      <c r="I1304" t="s">
        <v>71</v>
      </c>
      <c r="J1304" t="s">
        <v>50</v>
      </c>
      <c r="K1304">
        <v>2.9</v>
      </c>
      <c r="L1304" t="s">
        <v>143</v>
      </c>
      <c r="M1304" t="s">
        <v>23</v>
      </c>
      <c r="N1304">
        <v>37</v>
      </c>
      <c r="O1304" t="s">
        <v>34</v>
      </c>
      <c r="P1304" t="s">
        <v>79</v>
      </c>
    </row>
    <row r="1305" spans="1:16" ht="14.5" x14ac:dyDescent="0.35">
      <c r="A1305">
        <v>1304</v>
      </c>
      <c r="B1305">
        <v>34</v>
      </c>
      <c r="C1305" t="s">
        <v>16</v>
      </c>
      <c r="D1305" t="s">
        <v>17</v>
      </c>
      <c r="E1305" t="s">
        <v>18</v>
      </c>
      <c r="F1305">
        <v>32</v>
      </c>
      <c r="G1305" t="s">
        <v>75</v>
      </c>
      <c r="H1305" t="s">
        <v>20</v>
      </c>
      <c r="I1305" t="s">
        <v>58</v>
      </c>
      <c r="J1305" t="s">
        <v>47</v>
      </c>
      <c r="K1305">
        <v>3.1</v>
      </c>
      <c r="L1305" t="s">
        <v>143</v>
      </c>
      <c r="M1305" t="s">
        <v>23</v>
      </c>
      <c r="N1305">
        <v>10</v>
      </c>
      <c r="O1305" t="s">
        <v>34</v>
      </c>
      <c r="P1305" t="s">
        <v>43</v>
      </c>
    </row>
    <row r="1306" spans="1:16" ht="14.5" x14ac:dyDescent="0.35">
      <c r="A1306">
        <v>1305</v>
      </c>
      <c r="B1306">
        <v>64</v>
      </c>
      <c r="C1306" t="s">
        <v>16</v>
      </c>
      <c r="D1306" t="s">
        <v>123</v>
      </c>
      <c r="E1306" t="s">
        <v>60</v>
      </c>
      <c r="F1306">
        <v>63</v>
      </c>
      <c r="G1306" t="s">
        <v>49</v>
      </c>
      <c r="H1306" t="s">
        <v>32</v>
      </c>
      <c r="I1306" t="s">
        <v>112</v>
      </c>
      <c r="J1306" t="s">
        <v>33</v>
      </c>
      <c r="K1306">
        <v>4</v>
      </c>
      <c r="L1306" t="s">
        <v>143</v>
      </c>
      <c r="M1306" t="s">
        <v>23</v>
      </c>
      <c r="N1306">
        <v>18</v>
      </c>
      <c r="O1306" t="s">
        <v>40</v>
      </c>
      <c r="P1306" t="s">
        <v>88</v>
      </c>
    </row>
    <row r="1307" spans="1:16" ht="14.5" x14ac:dyDescent="0.35">
      <c r="A1307">
        <v>1306</v>
      </c>
      <c r="B1307">
        <v>31</v>
      </c>
      <c r="C1307" t="s">
        <v>16</v>
      </c>
      <c r="D1307" t="s">
        <v>86</v>
      </c>
      <c r="E1307" t="s">
        <v>18</v>
      </c>
      <c r="F1307">
        <v>56</v>
      </c>
      <c r="G1307" t="s">
        <v>82</v>
      </c>
      <c r="H1307" t="s">
        <v>83</v>
      </c>
      <c r="I1307" t="s">
        <v>91</v>
      </c>
      <c r="J1307" t="s">
        <v>33</v>
      </c>
      <c r="K1307">
        <v>4.5</v>
      </c>
      <c r="L1307" t="s">
        <v>143</v>
      </c>
      <c r="M1307" t="s">
        <v>23</v>
      </c>
      <c r="N1307">
        <v>2</v>
      </c>
      <c r="O1307" t="s">
        <v>40</v>
      </c>
      <c r="P1307" t="s">
        <v>88</v>
      </c>
    </row>
    <row r="1308" spans="1:16" ht="14.5" x14ac:dyDescent="0.35">
      <c r="A1308">
        <v>1307</v>
      </c>
      <c r="B1308">
        <v>54</v>
      </c>
      <c r="C1308" t="s">
        <v>16</v>
      </c>
      <c r="D1308" t="s">
        <v>26</v>
      </c>
      <c r="E1308" t="s">
        <v>18</v>
      </c>
      <c r="F1308">
        <v>33</v>
      </c>
      <c r="G1308" t="s">
        <v>111</v>
      </c>
      <c r="H1308" t="s">
        <v>20</v>
      </c>
      <c r="I1308" t="s">
        <v>101</v>
      </c>
      <c r="J1308" t="s">
        <v>22</v>
      </c>
      <c r="K1308">
        <v>4.5</v>
      </c>
      <c r="L1308" t="s">
        <v>143</v>
      </c>
      <c r="M1308" t="s">
        <v>23</v>
      </c>
      <c r="N1308">
        <v>40</v>
      </c>
      <c r="O1308" t="s">
        <v>40</v>
      </c>
      <c r="P1308" t="s">
        <v>43</v>
      </c>
    </row>
    <row r="1309" spans="1:16" ht="14.5" x14ac:dyDescent="0.35">
      <c r="A1309">
        <v>1308</v>
      </c>
      <c r="B1309">
        <v>23</v>
      </c>
      <c r="C1309" t="s">
        <v>16</v>
      </c>
      <c r="D1309" t="s">
        <v>55</v>
      </c>
      <c r="E1309" t="s">
        <v>56</v>
      </c>
      <c r="F1309">
        <v>32</v>
      </c>
      <c r="G1309" t="s">
        <v>61</v>
      </c>
      <c r="H1309" t="s">
        <v>20</v>
      </c>
      <c r="I1309" t="s">
        <v>85</v>
      </c>
      <c r="J1309" t="s">
        <v>47</v>
      </c>
      <c r="K1309">
        <v>3.1</v>
      </c>
      <c r="L1309" t="s">
        <v>143</v>
      </c>
      <c r="M1309" t="s">
        <v>23</v>
      </c>
      <c r="N1309">
        <v>43</v>
      </c>
      <c r="O1309" t="s">
        <v>40</v>
      </c>
      <c r="P1309" t="s">
        <v>43</v>
      </c>
    </row>
    <row r="1310" spans="1:16" ht="14.5" x14ac:dyDescent="0.35">
      <c r="A1310">
        <v>1309</v>
      </c>
      <c r="B1310">
        <v>59</v>
      </c>
      <c r="C1310" t="s">
        <v>16</v>
      </c>
      <c r="D1310" t="s">
        <v>72</v>
      </c>
      <c r="E1310" t="s">
        <v>18</v>
      </c>
      <c r="F1310">
        <v>38</v>
      </c>
      <c r="G1310" t="s">
        <v>38</v>
      </c>
      <c r="H1310" t="s">
        <v>20</v>
      </c>
      <c r="I1310" t="s">
        <v>99</v>
      </c>
      <c r="J1310" t="s">
        <v>47</v>
      </c>
      <c r="K1310">
        <v>4.4000000000000004</v>
      </c>
      <c r="L1310" t="s">
        <v>143</v>
      </c>
      <c r="M1310" t="s">
        <v>23</v>
      </c>
      <c r="N1310">
        <v>14</v>
      </c>
      <c r="O1310" t="s">
        <v>34</v>
      </c>
      <c r="P1310" t="s">
        <v>88</v>
      </c>
    </row>
    <row r="1311" spans="1:16" ht="14.5" x14ac:dyDescent="0.35">
      <c r="A1311">
        <v>1310</v>
      </c>
      <c r="B1311">
        <v>32</v>
      </c>
      <c r="C1311" t="s">
        <v>16</v>
      </c>
      <c r="D1311" t="s">
        <v>17</v>
      </c>
      <c r="E1311" t="s">
        <v>18</v>
      </c>
      <c r="F1311">
        <v>21</v>
      </c>
      <c r="G1311" t="s">
        <v>68</v>
      </c>
      <c r="H1311" t="s">
        <v>20</v>
      </c>
      <c r="I1311" t="s">
        <v>84</v>
      </c>
      <c r="J1311" t="s">
        <v>47</v>
      </c>
      <c r="K1311">
        <v>4.7</v>
      </c>
      <c r="L1311" t="s">
        <v>143</v>
      </c>
      <c r="M1311" t="s">
        <v>23</v>
      </c>
      <c r="N1311">
        <v>41</v>
      </c>
      <c r="O1311" t="s">
        <v>29</v>
      </c>
      <c r="P1311" t="s">
        <v>51</v>
      </c>
    </row>
    <row r="1312" spans="1:16" ht="14.5" x14ac:dyDescent="0.35">
      <c r="A1312">
        <v>1311</v>
      </c>
      <c r="B1312">
        <v>43</v>
      </c>
      <c r="C1312" t="s">
        <v>16</v>
      </c>
      <c r="D1312" t="s">
        <v>95</v>
      </c>
      <c r="E1312" t="s">
        <v>18</v>
      </c>
      <c r="F1312">
        <v>59</v>
      </c>
      <c r="G1312" t="s">
        <v>122</v>
      </c>
      <c r="H1312" t="s">
        <v>20</v>
      </c>
      <c r="I1312" t="s">
        <v>101</v>
      </c>
      <c r="J1312" t="s">
        <v>22</v>
      </c>
      <c r="K1312">
        <v>3.1</v>
      </c>
      <c r="L1312" t="s">
        <v>143</v>
      </c>
      <c r="M1312" t="s">
        <v>23</v>
      </c>
      <c r="N1312">
        <v>38</v>
      </c>
      <c r="O1312" t="s">
        <v>34</v>
      </c>
      <c r="P1312" t="s">
        <v>88</v>
      </c>
    </row>
    <row r="1313" spans="1:16" ht="14.5" x14ac:dyDescent="0.35">
      <c r="A1313">
        <v>1312</v>
      </c>
      <c r="B1313">
        <v>32</v>
      </c>
      <c r="C1313" t="s">
        <v>16</v>
      </c>
      <c r="D1313" t="s">
        <v>63</v>
      </c>
      <c r="E1313" t="s">
        <v>37</v>
      </c>
      <c r="F1313">
        <v>87</v>
      </c>
      <c r="G1313" t="s">
        <v>113</v>
      </c>
      <c r="H1313" t="s">
        <v>39</v>
      </c>
      <c r="I1313" t="s">
        <v>28</v>
      </c>
      <c r="J1313" t="s">
        <v>50</v>
      </c>
      <c r="K1313">
        <v>4.2</v>
      </c>
      <c r="L1313" t="s">
        <v>143</v>
      </c>
      <c r="M1313" t="s">
        <v>23</v>
      </c>
      <c r="N1313">
        <v>12</v>
      </c>
      <c r="O1313" t="s">
        <v>24</v>
      </c>
      <c r="P1313" t="s">
        <v>43</v>
      </c>
    </row>
    <row r="1314" spans="1:16" ht="14.5" x14ac:dyDescent="0.35">
      <c r="A1314">
        <v>1313</v>
      </c>
      <c r="B1314">
        <v>66</v>
      </c>
      <c r="C1314" t="s">
        <v>16</v>
      </c>
      <c r="D1314" t="s">
        <v>104</v>
      </c>
      <c r="E1314" t="s">
        <v>18</v>
      </c>
      <c r="F1314">
        <v>79</v>
      </c>
      <c r="G1314" t="s">
        <v>61</v>
      </c>
      <c r="H1314" t="s">
        <v>39</v>
      </c>
      <c r="I1314" t="s">
        <v>74</v>
      </c>
      <c r="J1314" t="s">
        <v>22</v>
      </c>
      <c r="K1314">
        <v>3</v>
      </c>
      <c r="L1314" t="s">
        <v>143</v>
      </c>
      <c r="M1314" t="s">
        <v>23</v>
      </c>
      <c r="N1314">
        <v>19</v>
      </c>
      <c r="O1314" t="s">
        <v>66</v>
      </c>
      <c r="P1314" t="s">
        <v>79</v>
      </c>
    </row>
    <row r="1315" spans="1:16" ht="14.5" x14ac:dyDescent="0.35">
      <c r="A1315">
        <v>1314</v>
      </c>
      <c r="B1315">
        <v>70</v>
      </c>
      <c r="C1315" t="s">
        <v>16</v>
      </c>
      <c r="D1315" t="s">
        <v>63</v>
      </c>
      <c r="E1315" t="s">
        <v>37</v>
      </c>
      <c r="F1315">
        <v>28</v>
      </c>
      <c r="G1315" t="s">
        <v>61</v>
      </c>
      <c r="H1315" t="s">
        <v>39</v>
      </c>
      <c r="I1315" t="s">
        <v>84</v>
      </c>
      <c r="J1315" t="s">
        <v>47</v>
      </c>
      <c r="K1315">
        <v>2.6</v>
      </c>
      <c r="L1315" t="s">
        <v>143</v>
      </c>
      <c r="M1315" t="s">
        <v>23</v>
      </c>
      <c r="N1315">
        <v>23</v>
      </c>
      <c r="O1315" t="s">
        <v>34</v>
      </c>
      <c r="P1315" t="s">
        <v>67</v>
      </c>
    </row>
    <row r="1316" spans="1:16" ht="14.5" x14ac:dyDescent="0.35">
      <c r="A1316">
        <v>1315</v>
      </c>
      <c r="B1316">
        <v>42</v>
      </c>
      <c r="C1316" t="s">
        <v>16</v>
      </c>
      <c r="D1316" t="s">
        <v>128</v>
      </c>
      <c r="E1316" t="s">
        <v>37</v>
      </c>
      <c r="F1316">
        <v>67</v>
      </c>
      <c r="G1316" t="s">
        <v>61</v>
      </c>
      <c r="H1316" t="s">
        <v>32</v>
      </c>
      <c r="I1316" t="s">
        <v>127</v>
      </c>
      <c r="J1316" t="s">
        <v>47</v>
      </c>
      <c r="K1316">
        <v>3.4</v>
      </c>
      <c r="L1316" t="s">
        <v>143</v>
      </c>
      <c r="M1316" t="s">
        <v>23</v>
      </c>
      <c r="N1316">
        <v>49</v>
      </c>
      <c r="O1316" t="s">
        <v>77</v>
      </c>
      <c r="P1316" t="s">
        <v>43</v>
      </c>
    </row>
    <row r="1317" spans="1:16" ht="14.5" x14ac:dyDescent="0.35">
      <c r="A1317">
        <v>1316</v>
      </c>
      <c r="B1317">
        <v>56</v>
      </c>
      <c r="C1317" t="s">
        <v>16</v>
      </c>
      <c r="D1317" t="s">
        <v>52</v>
      </c>
      <c r="E1317" t="s">
        <v>18</v>
      </c>
      <c r="F1317">
        <v>75</v>
      </c>
      <c r="G1317" t="s">
        <v>82</v>
      </c>
      <c r="H1317" t="s">
        <v>20</v>
      </c>
      <c r="I1317" t="s">
        <v>87</v>
      </c>
      <c r="J1317" t="s">
        <v>33</v>
      </c>
      <c r="K1317">
        <v>4.2</v>
      </c>
      <c r="L1317" t="s">
        <v>143</v>
      </c>
      <c r="M1317" t="s">
        <v>23</v>
      </c>
      <c r="N1317">
        <v>29</v>
      </c>
      <c r="O1317" t="s">
        <v>77</v>
      </c>
      <c r="P1317" t="s">
        <v>51</v>
      </c>
    </row>
    <row r="1318" spans="1:16" ht="14.5" x14ac:dyDescent="0.35">
      <c r="A1318">
        <v>1317</v>
      </c>
      <c r="B1318">
        <v>28</v>
      </c>
      <c r="C1318" t="s">
        <v>16</v>
      </c>
      <c r="D1318" t="s">
        <v>124</v>
      </c>
      <c r="E1318" t="s">
        <v>60</v>
      </c>
      <c r="F1318">
        <v>32</v>
      </c>
      <c r="G1318" t="s">
        <v>64</v>
      </c>
      <c r="H1318" t="s">
        <v>32</v>
      </c>
      <c r="I1318" t="s">
        <v>84</v>
      </c>
      <c r="J1318" t="s">
        <v>33</v>
      </c>
      <c r="K1318">
        <v>4.5999999999999996</v>
      </c>
      <c r="L1318" t="s">
        <v>143</v>
      </c>
      <c r="M1318" t="s">
        <v>23</v>
      </c>
      <c r="N1318">
        <v>14</v>
      </c>
      <c r="O1318" t="s">
        <v>77</v>
      </c>
      <c r="P1318" t="s">
        <v>67</v>
      </c>
    </row>
    <row r="1319" spans="1:16" ht="14.5" x14ac:dyDescent="0.35">
      <c r="A1319">
        <v>1318</v>
      </c>
      <c r="B1319">
        <v>28</v>
      </c>
      <c r="C1319" t="s">
        <v>16</v>
      </c>
      <c r="D1319" t="s">
        <v>86</v>
      </c>
      <c r="E1319" t="s">
        <v>18</v>
      </c>
      <c r="F1319">
        <v>43</v>
      </c>
      <c r="G1319" t="s">
        <v>19</v>
      </c>
      <c r="H1319" t="s">
        <v>39</v>
      </c>
      <c r="I1319" t="s">
        <v>87</v>
      </c>
      <c r="J1319" t="s">
        <v>33</v>
      </c>
      <c r="K1319">
        <v>2.8</v>
      </c>
      <c r="L1319" t="s">
        <v>143</v>
      </c>
      <c r="M1319" t="s">
        <v>23</v>
      </c>
      <c r="N1319">
        <v>19</v>
      </c>
      <c r="O1319" t="s">
        <v>29</v>
      </c>
      <c r="P1319" t="s">
        <v>79</v>
      </c>
    </row>
    <row r="1320" spans="1:16" ht="14.5" x14ac:dyDescent="0.35">
      <c r="A1320">
        <v>1319</v>
      </c>
      <c r="B1320">
        <v>52</v>
      </c>
      <c r="C1320" t="s">
        <v>16</v>
      </c>
      <c r="D1320" t="s">
        <v>52</v>
      </c>
      <c r="E1320" t="s">
        <v>18</v>
      </c>
      <c r="F1320">
        <v>93</v>
      </c>
      <c r="G1320" t="s">
        <v>130</v>
      </c>
      <c r="H1320" t="s">
        <v>39</v>
      </c>
      <c r="I1320" t="s">
        <v>28</v>
      </c>
      <c r="J1320" t="s">
        <v>33</v>
      </c>
      <c r="K1320">
        <v>2.7</v>
      </c>
      <c r="L1320" t="s">
        <v>143</v>
      </c>
      <c r="M1320" t="s">
        <v>23</v>
      </c>
      <c r="N1320">
        <v>19</v>
      </c>
      <c r="O1320" t="s">
        <v>34</v>
      </c>
      <c r="P1320" t="s">
        <v>67</v>
      </c>
    </row>
    <row r="1321" spans="1:16" ht="14.5" x14ac:dyDescent="0.35">
      <c r="A1321">
        <v>1320</v>
      </c>
      <c r="B1321">
        <v>65</v>
      </c>
      <c r="C1321" t="s">
        <v>16</v>
      </c>
      <c r="D1321" t="s">
        <v>80</v>
      </c>
      <c r="E1321" t="s">
        <v>60</v>
      </c>
      <c r="F1321">
        <v>24</v>
      </c>
      <c r="G1321" t="s">
        <v>92</v>
      </c>
      <c r="H1321" t="s">
        <v>39</v>
      </c>
      <c r="I1321" t="s">
        <v>127</v>
      </c>
      <c r="J1321" t="s">
        <v>33</v>
      </c>
      <c r="K1321">
        <v>4</v>
      </c>
      <c r="L1321" t="s">
        <v>143</v>
      </c>
      <c r="M1321" t="s">
        <v>23</v>
      </c>
      <c r="N1321">
        <v>48</v>
      </c>
      <c r="O1321" t="s">
        <v>66</v>
      </c>
      <c r="P1321" t="s">
        <v>35</v>
      </c>
    </row>
    <row r="1322" spans="1:16" ht="14.5" x14ac:dyDescent="0.35">
      <c r="A1322">
        <v>1321</v>
      </c>
      <c r="B1322">
        <v>56</v>
      </c>
      <c r="C1322" t="s">
        <v>16</v>
      </c>
      <c r="D1322" t="s">
        <v>115</v>
      </c>
      <c r="E1322" t="s">
        <v>60</v>
      </c>
      <c r="F1322">
        <v>31</v>
      </c>
      <c r="G1322" t="s">
        <v>90</v>
      </c>
      <c r="H1322" t="s">
        <v>83</v>
      </c>
      <c r="I1322" t="s">
        <v>76</v>
      </c>
      <c r="J1322" t="s">
        <v>50</v>
      </c>
      <c r="K1322">
        <v>3.1</v>
      </c>
      <c r="L1322" t="s">
        <v>143</v>
      </c>
      <c r="M1322" t="s">
        <v>23</v>
      </c>
      <c r="N1322">
        <v>19</v>
      </c>
      <c r="O1322" t="s">
        <v>77</v>
      </c>
      <c r="P1322" t="s">
        <v>43</v>
      </c>
    </row>
    <row r="1323" spans="1:16" ht="14.5" x14ac:dyDescent="0.35">
      <c r="A1323">
        <v>1322</v>
      </c>
      <c r="B1323">
        <v>59</v>
      </c>
      <c r="C1323" t="s">
        <v>16</v>
      </c>
      <c r="D1323" t="s">
        <v>104</v>
      </c>
      <c r="E1323" t="s">
        <v>18</v>
      </c>
      <c r="F1323">
        <v>84</v>
      </c>
      <c r="G1323" t="s">
        <v>61</v>
      </c>
      <c r="H1323" t="s">
        <v>20</v>
      </c>
      <c r="I1323" t="s">
        <v>112</v>
      </c>
      <c r="J1323" t="s">
        <v>22</v>
      </c>
      <c r="K1323">
        <v>3.7</v>
      </c>
      <c r="L1323" t="s">
        <v>143</v>
      </c>
      <c r="M1323" t="s">
        <v>23</v>
      </c>
      <c r="N1323">
        <v>45</v>
      </c>
      <c r="O1323" t="s">
        <v>66</v>
      </c>
      <c r="P1323" t="s">
        <v>88</v>
      </c>
    </row>
    <row r="1324" spans="1:16" ht="14.5" x14ac:dyDescent="0.35">
      <c r="A1324">
        <v>1323</v>
      </c>
      <c r="B1324">
        <v>23</v>
      </c>
      <c r="C1324" t="s">
        <v>16</v>
      </c>
      <c r="D1324" t="s">
        <v>86</v>
      </c>
      <c r="E1324" t="s">
        <v>18</v>
      </c>
      <c r="F1324">
        <v>74</v>
      </c>
      <c r="G1324" t="s">
        <v>140</v>
      </c>
      <c r="H1324" t="s">
        <v>39</v>
      </c>
      <c r="I1324" t="s">
        <v>74</v>
      </c>
      <c r="J1324" t="s">
        <v>22</v>
      </c>
      <c r="K1324">
        <v>4</v>
      </c>
      <c r="L1324" t="s">
        <v>143</v>
      </c>
      <c r="M1324" t="s">
        <v>23</v>
      </c>
      <c r="N1324">
        <v>17</v>
      </c>
      <c r="O1324" t="s">
        <v>66</v>
      </c>
      <c r="P1324" t="s">
        <v>51</v>
      </c>
    </row>
    <row r="1325" spans="1:16" ht="14.5" x14ac:dyDescent="0.35">
      <c r="A1325">
        <v>1324</v>
      </c>
      <c r="B1325">
        <v>58</v>
      </c>
      <c r="C1325" t="s">
        <v>16</v>
      </c>
      <c r="D1325" t="s">
        <v>52</v>
      </c>
      <c r="E1325" t="s">
        <v>18</v>
      </c>
      <c r="F1325">
        <v>62</v>
      </c>
      <c r="G1325" t="s">
        <v>75</v>
      </c>
      <c r="H1325" t="s">
        <v>39</v>
      </c>
      <c r="I1325" t="s">
        <v>125</v>
      </c>
      <c r="J1325" t="s">
        <v>33</v>
      </c>
      <c r="K1325">
        <v>4.5999999999999996</v>
      </c>
      <c r="L1325" t="s">
        <v>143</v>
      </c>
      <c r="M1325" t="s">
        <v>23</v>
      </c>
      <c r="N1325">
        <v>15</v>
      </c>
      <c r="O1325" t="s">
        <v>77</v>
      </c>
      <c r="P1325" t="s">
        <v>88</v>
      </c>
    </row>
    <row r="1326" spans="1:16" ht="14.5" x14ac:dyDescent="0.35">
      <c r="A1326">
        <v>1325</v>
      </c>
      <c r="B1326">
        <v>39</v>
      </c>
      <c r="C1326" t="s">
        <v>16</v>
      </c>
      <c r="D1326" t="s">
        <v>97</v>
      </c>
      <c r="E1326" t="s">
        <v>60</v>
      </c>
      <c r="F1326">
        <v>77</v>
      </c>
      <c r="G1326" t="s">
        <v>107</v>
      </c>
      <c r="H1326" t="s">
        <v>32</v>
      </c>
      <c r="I1326" t="s">
        <v>112</v>
      </c>
      <c r="J1326" t="s">
        <v>47</v>
      </c>
      <c r="K1326">
        <v>3.8</v>
      </c>
      <c r="L1326" t="s">
        <v>143</v>
      </c>
      <c r="M1326" t="s">
        <v>23</v>
      </c>
      <c r="N1326">
        <v>11</v>
      </c>
      <c r="O1326" t="s">
        <v>34</v>
      </c>
      <c r="P1326" t="s">
        <v>25</v>
      </c>
    </row>
    <row r="1327" spans="1:16" ht="14.5" x14ac:dyDescent="0.35">
      <c r="A1327">
        <v>1326</v>
      </c>
      <c r="B1327">
        <v>28</v>
      </c>
      <c r="C1327" t="s">
        <v>16</v>
      </c>
      <c r="D1327" t="s">
        <v>123</v>
      </c>
      <c r="E1327" t="s">
        <v>60</v>
      </c>
      <c r="F1327">
        <v>73</v>
      </c>
      <c r="G1327" t="s">
        <v>41</v>
      </c>
      <c r="H1327" t="s">
        <v>20</v>
      </c>
      <c r="I1327" t="s">
        <v>71</v>
      </c>
      <c r="J1327" t="s">
        <v>47</v>
      </c>
      <c r="K1327">
        <v>3.5</v>
      </c>
      <c r="L1327" t="s">
        <v>143</v>
      </c>
      <c r="M1327" t="s">
        <v>23</v>
      </c>
      <c r="N1327">
        <v>1</v>
      </c>
      <c r="O1327" t="s">
        <v>29</v>
      </c>
      <c r="P1327" t="s">
        <v>79</v>
      </c>
    </row>
    <row r="1328" spans="1:16" ht="14.5" x14ac:dyDescent="0.35">
      <c r="A1328">
        <v>1327</v>
      </c>
      <c r="B1328">
        <v>40</v>
      </c>
      <c r="C1328" t="s">
        <v>16</v>
      </c>
      <c r="D1328" t="s">
        <v>63</v>
      </c>
      <c r="E1328" t="s">
        <v>37</v>
      </c>
      <c r="F1328">
        <v>50</v>
      </c>
      <c r="G1328" t="s">
        <v>96</v>
      </c>
      <c r="H1328" t="s">
        <v>39</v>
      </c>
      <c r="I1328" t="s">
        <v>117</v>
      </c>
      <c r="J1328" t="s">
        <v>33</v>
      </c>
      <c r="K1328">
        <v>4.5999999999999996</v>
      </c>
      <c r="L1328" t="s">
        <v>143</v>
      </c>
      <c r="M1328" t="s">
        <v>23</v>
      </c>
      <c r="N1328">
        <v>17</v>
      </c>
      <c r="O1328" t="s">
        <v>29</v>
      </c>
      <c r="P1328" t="s">
        <v>79</v>
      </c>
    </row>
    <row r="1329" spans="1:16" ht="14.5" x14ac:dyDescent="0.35">
      <c r="A1329">
        <v>1328</v>
      </c>
      <c r="B1329">
        <v>52</v>
      </c>
      <c r="C1329" t="s">
        <v>16</v>
      </c>
      <c r="D1329" t="s">
        <v>55</v>
      </c>
      <c r="E1329" t="s">
        <v>56</v>
      </c>
      <c r="F1329">
        <v>40</v>
      </c>
      <c r="G1329" t="s">
        <v>94</v>
      </c>
      <c r="H1329" t="s">
        <v>39</v>
      </c>
      <c r="I1329" t="s">
        <v>42</v>
      </c>
      <c r="J1329" t="s">
        <v>22</v>
      </c>
      <c r="K1329">
        <v>2.8</v>
      </c>
      <c r="L1329" t="s">
        <v>143</v>
      </c>
      <c r="M1329" t="s">
        <v>23</v>
      </c>
      <c r="N1329">
        <v>37</v>
      </c>
      <c r="O1329" t="s">
        <v>29</v>
      </c>
      <c r="P1329" t="s">
        <v>35</v>
      </c>
    </row>
    <row r="1330" spans="1:16" ht="14.5" x14ac:dyDescent="0.35">
      <c r="A1330">
        <v>1329</v>
      </c>
      <c r="B1330">
        <v>37</v>
      </c>
      <c r="C1330" t="s">
        <v>16</v>
      </c>
      <c r="D1330" t="s">
        <v>26</v>
      </c>
      <c r="E1330" t="s">
        <v>18</v>
      </c>
      <c r="F1330">
        <v>97</v>
      </c>
      <c r="G1330" t="s">
        <v>38</v>
      </c>
      <c r="H1330" t="s">
        <v>39</v>
      </c>
      <c r="I1330" t="s">
        <v>112</v>
      </c>
      <c r="J1330" t="s">
        <v>22</v>
      </c>
      <c r="K1330">
        <v>3.7</v>
      </c>
      <c r="L1330" t="s">
        <v>143</v>
      </c>
      <c r="M1330" t="s">
        <v>23</v>
      </c>
      <c r="N1330">
        <v>40</v>
      </c>
      <c r="O1330" t="s">
        <v>66</v>
      </c>
      <c r="P1330" t="s">
        <v>35</v>
      </c>
    </row>
    <row r="1331" spans="1:16" ht="14.5" x14ac:dyDescent="0.35">
      <c r="A1331">
        <v>1330</v>
      </c>
      <c r="B1331">
        <v>70</v>
      </c>
      <c r="C1331" t="s">
        <v>16</v>
      </c>
      <c r="D1331" t="s">
        <v>134</v>
      </c>
      <c r="E1331" t="s">
        <v>60</v>
      </c>
      <c r="F1331">
        <v>63</v>
      </c>
      <c r="G1331" t="s">
        <v>96</v>
      </c>
      <c r="H1331" t="s">
        <v>39</v>
      </c>
      <c r="I1331" t="s">
        <v>117</v>
      </c>
      <c r="J1331" t="s">
        <v>50</v>
      </c>
      <c r="K1331">
        <v>3.3</v>
      </c>
      <c r="L1331" t="s">
        <v>143</v>
      </c>
      <c r="M1331" t="s">
        <v>23</v>
      </c>
      <c r="N1331">
        <v>50</v>
      </c>
      <c r="O1331" t="s">
        <v>40</v>
      </c>
      <c r="P1331" t="s">
        <v>88</v>
      </c>
    </row>
    <row r="1332" spans="1:16" ht="14.5" x14ac:dyDescent="0.35">
      <c r="A1332">
        <v>1331</v>
      </c>
      <c r="B1332">
        <v>30</v>
      </c>
      <c r="C1332" t="s">
        <v>16</v>
      </c>
      <c r="D1332" t="s">
        <v>59</v>
      </c>
      <c r="E1332" t="s">
        <v>60</v>
      </c>
      <c r="F1332">
        <v>65</v>
      </c>
      <c r="G1332" t="s">
        <v>120</v>
      </c>
      <c r="H1332" t="s">
        <v>39</v>
      </c>
      <c r="I1332" t="s">
        <v>54</v>
      </c>
      <c r="J1332" t="s">
        <v>50</v>
      </c>
      <c r="K1332">
        <v>2.9</v>
      </c>
      <c r="L1332" t="s">
        <v>143</v>
      </c>
      <c r="M1332" t="s">
        <v>23</v>
      </c>
      <c r="N1332">
        <v>20</v>
      </c>
      <c r="O1332" t="s">
        <v>40</v>
      </c>
      <c r="P1332" t="s">
        <v>67</v>
      </c>
    </row>
    <row r="1333" spans="1:16" ht="14.5" x14ac:dyDescent="0.35">
      <c r="A1333">
        <v>1332</v>
      </c>
      <c r="B1333">
        <v>38</v>
      </c>
      <c r="C1333" t="s">
        <v>16</v>
      </c>
      <c r="D1333" t="s">
        <v>116</v>
      </c>
      <c r="E1333" t="s">
        <v>18</v>
      </c>
      <c r="F1333">
        <v>91</v>
      </c>
      <c r="G1333" t="s">
        <v>119</v>
      </c>
      <c r="H1333" t="s">
        <v>39</v>
      </c>
      <c r="I1333" t="s">
        <v>84</v>
      </c>
      <c r="J1333" t="s">
        <v>33</v>
      </c>
      <c r="K1333">
        <v>3.2</v>
      </c>
      <c r="L1333" t="s">
        <v>143</v>
      </c>
      <c r="M1333" t="s">
        <v>23</v>
      </c>
      <c r="N1333">
        <v>8</v>
      </c>
      <c r="O1333" t="s">
        <v>40</v>
      </c>
      <c r="P1333" t="s">
        <v>67</v>
      </c>
    </row>
    <row r="1334" spans="1:16" ht="14.5" x14ac:dyDescent="0.35">
      <c r="A1334">
        <v>1333</v>
      </c>
      <c r="B1334">
        <v>66</v>
      </c>
      <c r="C1334" t="s">
        <v>16</v>
      </c>
      <c r="D1334" t="s">
        <v>95</v>
      </c>
      <c r="E1334" t="s">
        <v>18</v>
      </c>
      <c r="F1334">
        <v>60</v>
      </c>
      <c r="G1334" t="s">
        <v>111</v>
      </c>
      <c r="H1334" t="s">
        <v>32</v>
      </c>
      <c r="I1334" t="s">
        <v>71</v>
      </c>
      <c r="J1334" t="s">
        <v>33</v>
      </c>
      <c r="K1334">
        <v>4.3</v>
      </c>
      <c r="L1334" t="s">
        <v>143</v>
      </c>
      <c r="M1334" t="s">
        <v>23</v>
      </c>
      <c r="N1334">
        <v>16</v>
      </c>
      <c r="O1334" t="s">
        <v>66</v>
      </c>
      <c r="P1334" t="s">
        <v>51</v>
      </c>
    </row>
    <row r="1335" spans="1:16" ht="14.5" x14ac:dyDescent="0.35">
      <c r="A1335">
        <v>1334</v>
      </c>
      <c r="B1335">
        <v>29</v>
      </c>
      <c r="C1335" t="s">
        <v>16</v>
      </c>
      <c r="D1335" t="s">
        <v>86</v>
      </c>
      <c r="E1335" t="s">
        <v>18</v>
      </c>
      <c r="F1335">
        <v>69</v>
      </c>
      <c r="G1335" t="s">
        <v>126</v>
      </c>
      <c r="H1335" t="s">
        <v>39</v>
      </c>
      <c r="I1335" t="s">
        <v>84</v>
      </c>
      <c r="J1335" t="s">
        <v>22</v>
      </c>
      <c r="K1335">
        <v>2.7</v>
      </c>
      <c r="L1335" t="s">
        <v>143</v>
      </c>
      <c r="M1335" t="s">
        <v>23</v>
      </c>
      <c r="N1335">
        <v>9</v>
      </c>
      <c r="O1335" t="s">
        <v>66</v>
      </c>
      <c r="P1335" t="s">
        <v>51</v>
      </c>
    </row>
    <row r="1336" spans="1:16" ht="14.5" x14ac:dyDescent="0.35">
      <c r="A1336">
        <v>1335</v>
      </c>
      <c r="B1336">
        <v>46</v>
      </c>
      <c r="C1336" t="s">
        <v>16</v>
      </c>
      <c r="D1336" t="s">
        <v>55</v>
      </c>
      <c r="E1336" t="s">
        <v>56</v>
      </c>
      <c r="F1336">
        <v>52</v>
      </c>
      <c r="G1336" t="s">
        <v>57</v>
      </c>
      <c r="H1336" t="s">
        <v>32</v>
      </c>
      <c r="I1336" t="s">
        <v>46</v>
      </c>
      <c r="J1336" t="s">
        <v>33</v>
      </c>
      <c r="K1336">
        <v>4.2</v>
      </c>
      <c r="L1336" t="s">
        <v>143</v>
      </c>
      <c r="M1336" t="s">
        <v>23</v>
      </c>
      <c r="N1336">
        <v>12</v>
      </c>
      <c r="O1336" t="s">
        <v>24</v>
      </c>
      <c r="P1336" t="s">
        <v>79</v>
      </c>
    </row>
    <row r="1337" spans="1:16" ht="14.5" x14ac:dyDescent="0.35">
      <c r="A1337">
        <v>1336</v>
      </c>
      <c r="B1337">
        <v>56</v>
      </c>
      <c r="C1337" t="s">
        <v>16</v>
      </c>
      <c r="D1337" t="s">
        <v>128</v>
      </c>
      <c r="E1337" t="s">
        <v>37</v>
      </c>
      <c r="F1337">
        <v>49</v>
      </c>
      <c r="G1337" t="s">
        <v>98</v>
      </c>
      <c r="H1337" t="s">
        <v>39</v>
      </c>
      <c r="I1337" t="s">
        <v>84</v>
      </c>
      <c r="J1337" t="s">
        <v>50</v>
      </c>
      <c r="K1337">
        <v>4.8</v>
      </c>
      <c r="L1337" t="s">
        <v>143</v>
      </c>
      <c r="M1337" t="s">
        <v>23</v>
      </c>
      <c r="N1337">
        <v>26</v>
      </c>
      <c r="O1337" t="s">
        <v>34</v>
      </c>
      <c r="P1337" t="s">
        <v>35</v>
      </c>
    </row>
    <row r="1338" spans="1:16" ht="14.5" x14ac:dyDescent="0.35">
      <c r="A1338">
        <v>1337</v>
      </c>
      <c r="B1338">
        <v>23</v>
      </c>
      <c r="C1338" t="s">
        <v>16</v>
      </c>
      <c r="D1338" t="s">
        <v>44</v>
      </c>
      <c r="E1338" t="s">
        <v>37</v>
      </c>
      <c r="F1338">
        <v>85</v>
      </c>
      <c r="G1338" t="s">
        <v>41</v>
      </c>
      <c r="H1338" t="s">
        <v>39</v>
      </c>
      <c r="I1338" t="s">
        <v>54</v>
      </c>
      <c r="J1338" t="s">
        <v>33</v>
      </c>
      <c r="K1338">
        <v>4.8</v>
      </c>
      <c r="L1338" t="s">
        <v>143</v>
      </c>
      <c r="M1338" t="s">
        <v>23</v>
      </c>
      <c r="N1338">
        <v>44</v>
      </c>
      <c r="O1338" t="s">
        <v>77</v>
      </c>
      <c r="P1338" t="s">
        <v>25</v>
      </c>
    </row>
    <row r="1339" spans="1:16" ht="14.5" x14ac:dyDescent="0.35">
      <c r="A1339">
        <v>1338</v>
      </c>
      <c r="B1339">
        <v>37</v>
      </c>
      <c r="C1339" t="s">
        <v>16</v>
      </c>
      <c r="D1339" t="s">
        <v>26</v>
      </c>
      <c r="E1339" t="s">
        <v>18</v>
      </c>
      <c r="F1339">
        <v>86</v>
      </c>
      <c r="G1339" t="s">
        <v>113</v>
      </c>
      <c r="H1339" t="s">
        <v>20</v>
      </c>
      <c r="I1339" t="s">
        <v>58</v>
      </c>
      <c r="J1339" t="s">
        <v>33</v>
      </c>
      <c r="K1339">
        <v>3.4</v>
      </c>
      <c r="L1339" t="s">
        <v>143</v>
      </c>
      <c r="M1339" t="s">
        <v>23</v>
      </c>
      <c r="N1339">
        <v>19</v>
      </c>
      <c r="O1339" t="s">
        <v>34</v>
      </c>
      <c r="P1339" t="s">
        <v>67</v>
      </c>
    </row>
    <row r="1340" spans="1:16" ht="14.5" x14ac:dyDescent="0.35">
      <c r="A1340">
        <v>1339</v>
      </c>
      <c r="B1340">
        <v>56</v>
      </c>
      <c r="C1340" t="s">
        <v>16</v>
      </c>
      <c r="D1340" t="s">
        <v>59</v>
      </c>
      <c r="E1340" t="s">
        <v>60</v>
      </c>
      <c r="F1340">
        <v>51</v>
      </c>
      <c r="G1340" t="s">
        <v>81</v>
      </c>
      <c r="H1340" t="s">
        <v>32</v>
      </c>
      <c r="I1340" t="s">
        <v>125</v>
      </c>
      <c r="J1340" t="s">
        <v>22</v>
      </c>
      <c r="K1340">
        <v>2.6</v>
      </c>
      <c r="L1340" t="s">
        <v>143</v>
      </c>
      <c r="M1340" t="s">
        <v>23</v>
      </c>
      <c r="N1340">
        <v>43</v>
      </c>
      <c r="O1340" t="s">
        <v>40</v>
      </c>
      <c r="P1340" t="s">
        <v>25</v>
      </c>
    </row>
    <row r="1341" spans="1:16" ht="14.5" x14ac:dyDescent="0.35">
      <c r="A1341">
        <v>1340</v>
      </c>
      <c r="B1341">
        <v>36</v>
      </c>
      <c r="C1341" t="s">
        <v>16</v>
      </c>
      <c r="D1341" t="s">
        <v>124</v>
      </c>
      <c r="E1341" t="s">
        <v>60</v>
      </c>
      <c r="F1341">
        <v>56</v>
      </c>
      <c r="G1341" t="s">
        <v>107</v>
      </c>
      <c r="H1341" t="s">
        <v>20</v>
      </c>
      <c r="I1341" t="s">
        <v>69</v>
      </c>
      <c r="J1341" t="s">
        <v>22</v>
      </c>
      <c r="K1341">
        <v>5</v>
      </c>
      <c r="L1341" t="s">
        <v>143</v>
      </c>
      <c r="M1341" t="s">
        <v>23</v>
      </c>
      <c r="N1341">
        <v>5</v>
      </c>
      <c r="O1341" t="s">
        <v>66</v>
      </c>
      <c r="P1341" t="s">
        <v>88</v>
      </c>
    </row>
    <row r="1342" spans="1:16" ht="14.5" x14ac:dyDescent="0.35">
      <c r="A1342">
        <v>1341</v>
      </c>
      <c r="B1342">
        <v>40</v>
      </c>
      <c r="C1342" t="s">
        <v>16</v>
      </c>
      <c r="D1342" t="s">
        <v>124</v>
      </c>
      <c r="E1342" t="s">
        <v>60</v>
      </c>
      <c r="F1342">
        <v>72</v>
      </c>
      <c r="G1342" t="s">
        <v>126</v>
      </c>
      <c r="H1342" t="s">
        <v>39</v>
      </c>
      <c r="I1342" t="s">
        <v>91</v>
      </c>
      <c r="J1342" t="s">
        <v>50</v>
      </c>
      <c r="K1342">
        <v>4.4000000000000004</v>
      </c>
      <c r="L1342" t="s">
        <v>143</v>
      </c>
      <c r="M1342" t="s">
        <v>23</v>
      </c>
      <c r="N1342">
        <v>5</v>
      </c>
      <c r="O1342" t="s">
        <v>77</v>
      </c>
      <c r="P1342" t="s">
        <v>88</v>
      </c>
    </row>
    <row r="1343" spans="1:16" ht="14.5" x14ac:dyDescent="0.35">
      <c r="A1343">
        <v>1342</v>
      </c>
      <c r="B1343">
        <v>26</v>
      </c>
      <c r="C1343" t="s">
        <v>16</v>
      </c>
      <c r="D1343" t="s">
        <v>95</v>
      </c>
      <c r="E1343" t="s">
        <v>18</v>
      </c>
      <c r="F1343">
        <v>27</v>
      </c>
      <c r="G1343" t="s">
        <v>38</v>
      </c>
      <c r="H1343" t="s">
        <v>83</v>
      </c>
      <c r="I1343" t="s">
        <v>125</v>
      </c>
      <c r="J1343" t="s">
        <v>50</v>
      </c>
      <c r="K1343">
        <v>2.9</v>
      </c>
      <c r="L1343" t="s">
        <v>143</v>
      </c>
      <c r="M1343" t="s">
        <v>23</v>
      </c>
      <c r="N1343">
        <v>31</v>
      </c>
      <c r="O1343" t="s">
        <v>66</v>
      </c>
      <c r="P1343" t="s">
        <v>51</v>
      </c>
    </row>
    <row r="1344" spans="1:16" ht="14.5" x14ac:dyDescent="0.35">
      <c r="A1344">
        <v>1343</v>
      </c>
      <c r="B1344">
        <v>57</v>
      </c>
      <c r="C1344" t="s">
        <v>16</v>
      </c>
      <c r="D1344" t="s">
        <v>80</v>
      </c>
      <c r="E1344" t="s">
        <v>60</v>
      </c>
      <c r="F1344">
        <v>43</v>
      </c>
      <c r="G1344" t="s">
        <v>108</v>
      </c>
      <c r="H1344" t="s">
        <v>83</v>
      </c>
      <c r="I1344" t="s">
        <v>125</v>
      </c>
      <c r="J1344" t="s">
        <v>47</v>
      </c>
      <c r="K1344">
        <v>3.4</v>
      </c>
      <c r="L1344" t="s">
        <v>143</v>
      </c>
      <c r="M1344" t="s">
        <v>23</v>
      </c>
      <c r="N1344">
        <v>11</v>
      </c>
      <c r="O1344" t="s">
        <v>66</v>
      </c>
      <c r="P1344" t="s">
        <v>79</v>
      </c>
    </row>
    <row r="1345" spans="1:16" ht="14.5" x14ac:dyDescent="0.35">
      <c r="A1345">
        <v>1344</v>
      </c>
      <c r="B1345">
        <v>68</v>
      </c>
      <c r="C1345" t="s">
        <v>16</v>
      </c>
      <c r="D1345" t="s">
        <v>44</v>
      </c>
      <c r="E1345" t="s">
        <v>37</v>
      </c>
      <c r="F1345">
        <v>56</v>
      </c>
      <c r="G1345" t="s">
        <v>94</v>
      </c>
      <c r="H1345" t="s">
        <v>39</v>
      </c>
      <c r="I1345" t="s">
        <v>117</v>
      </c>
      <c r="J1345" t="s">
        <v>33</v>
      </c>
      <c r="K1345">
        <v>3.4</v>
      </c>
      <c r="L1345" t="s">
        <v>143</v>
      </c>
      <c r="M1345" t="s">
        <v>23</v>
      </c>
      <c r="N1345">
        <v>34</v>
      </c>
      <c r="O1345" t="s">
        <v>66</v>
      </c>
      <c r="P1345" t="s">
        <v>79</v>
      </c>
    </row>
    <row r="1346" spans="1:16" ht="14.5" x14ac:dyDescent="0.35">
      <c r="A1346">
        <v>1345</v>
      </c>
      <c r="B1346">
        <v>56</v>
      </c>
      <c r="C1346" t="s">
        <v>16</v>
      </c>
      <c r="D1346" t="s">
        <v>104</v>
      </c>
      <c r="E1346" t="s">
        <v>18</v>
      </c>
      <c r="F1346">
        <v>37</v>
      </c>
      <c r="G1346" t="s">
        <v>75</v>
      </c>
      <c r="H1346" t="s">
        <v>32</v>
      </c>
      <c r="I1346" t="s">
        <v>74</v>
      </c>
      <c r="J1346" t="s">
        <v>50</v>
      </c>
      <c r="K1346">
        <v>4.9000000000000004</v>
      </c>
      <c r="L1346" t="s">
        <v>143</v>
      </c>
      <c r="M1346" t="s">
        <v>23</v>
      </c>
      <c r="N1346">
        <v>14</v>
      </c>
      <c r="O1346" t="s">
        <v>29</v>
      </c>
      <c r="P1346" t="s">
        <v>43</v>
      </c>
    </row>
    <row r="1347" spans="1:16" ht="14.5" x14ac:dyDescent="0.35">
      <c r="A1347">
        <v>1346</v>
      </c>
      <c r="B1347">
        <v>40</v>
      </c>
      <c r="C1347" t="s">
        <v>16</v>
      </c>
      <c r="D1347" t="s">
        <v>72</v>
      </c>
      <c r="E1347" t="s">
        <v>18</v>
      </c>
      <c r="F1347">
        <v>21</v>
      </c>
      <c r="G1347" t="s">
        <v>136</v>
      </c>
      <c r="H1347" t="s">
        <v>39</v>
      </c>
      <c r="I1347" t="s">
        <v>46</v>
      </c>
      <c r="J1347" t="s">
        <v>50</v>
      </c>
      <c r="K1347">
        <v>3.6</v>
      </c>
      <c r="L1347" t="s">
        <v>143</v>
      </c>
      <c r="M1347" t="s">
        <v>23</v>
      </c>
      <c r="N1347">
        <v>42</v>
      </c>
      <c r="O1347" t="s">
        <v>24</v>
      </c>
      <c r="P1347" t="s">
        <v>35</v>
      </c>
    </row>
    <row r="1348" spans="1:16" ht="14.5" x14ac:dyDescent="0.35">
      <c r="A1348">
        <v>1347</v>
      </c>
      <c r="B1348">
        <v>44</v>
      </c>
      <c r="C1348" t="s">
        <v>16</v>
      </c>
      <c r="D1348" t="s">
        <v>95</v>
      </c>
      <c r="E1348" t="s">
        <v>18</v>
      </c>
      <c r="F1348">
        <v>91</v>
      </c>
      <c r="G1348" t="s">
        <v>82</v>
      </c>
      <c r="H1348" t="s">
        <v>20</v>
      </c>
      <c r="I1348" t="s">
        <v>46</v>
      </c>
      <c r="J1348" t="s">
        <v>22</v>
      </c>
      <c r="K1348">
        <v>3</v>
      </c>
      <c r="L1348" t="s">
        <v>143</v>
      </c>
      <c r="M1348" t="s">
        <v>23</v>
      </c>
      <c r="N1348">
        <v>15</v>
      </c>
      <c r="O1348" t="s">
        <v>24</v>
      </c>
      <c r="P1348" t="s">
        <v>67</v>
      </c>
    </row>
    <row r="1349" spans="1:16" ht="14.5" x14ac:dyDescent="0.35">
      <c r="A1349">
        <v>1348</v>
      </c>
      <c r="B1349">
        <v>44</v>
      </c>
      <c r="C1349" t="s">
        <v>16</v>
      </c>
      <c r="D1349" t="s">
        <v>26</v>
      </c>
      <c r="E1349" t="s">
        <v>18</v>
      </c>
      <c r="F1349">
        <v>95</v>
      </c>
      <c r="G1349" t="s">
        <v>120</v>
      </c>
      <c r="H1349" t="s">
        <v>39</v>
      </c>
      <c r="I1349" t="s">
        <v>100</v>
      </c>
      <c r="J1349" t="s">
        <v>47</v>
      </c>
      <c r="K1349">
        <v>3.9</v>
      </c>
      <c r="L1349" t="s">
        <v>143</v>
      </c>
      <c r="M1349" t="s">
        <v>23</v>
      </c>
      <c r="N1349">
        <v>47</v>
      </c>
      <c r="O1349" t="s">
        <v>66</v>
      </c>
      <c r="P1349" t="s">
        <v>79</v>
      </c>
    </row>
    <row r="1350" spans="1:16" ht="14.5" x14ac:dyDescent="0.35">
      <c r="A1350">
        <v>1349</v>
      </c>
      <c r="B1350">
        <v>19</v>
      </c>
      <c r="C1350" t="s">
        <v>16</v>
      </c>
      <c r="D1350" t="s">
        <v>124</v>
      </c>
      <c r="E1350" t="s">
        <v>60</v>
      </c>
      <c r="F1350">
        <v>54</v>
      </c>
      <c r="G1350" t="s">
        <v>136</v>
      </c>
      <c r="H1350" t="s">
        <v>83</v>
      </c>
      <c r="I1350" t="s">
        <v>65</v>
      </c>
      <c r="J1350" t="s">
        <v>33</v>
      </c>
      <c r="K1350">
        <v>3.2</v>
      </c>
      <c r="L1350" t="s">
        <v>143</v>
      </c>
      <c r="M1350" t="s">
        <v>23</v>
      </c>
      <c r="N1350">
        <v>23</v>
      </c>
      <c r="O1350" t="s">
        <v>34</v>
      </c>
      <c r="P1350" t="s">
        <v>25</v>
      </c>
    </row>
    <row r="1351" spans="1:16" ht="14.5" x14ac:dyDescent="0.35">
      <c r="A1351">
        <v>1350</v>
      </c>
      <c r="B1351">
        <v>21</v>
      </c>
      <c r="C1351" t="s">
        <v>16</v>
      </c>
      <c r="D1351" t="s">
        <v>116</v>
      </c>
      <c r="E1351" t="s">
        <v>18</v>
      </c>
      <c r="F1351">
        <v>36</v>
      </c>
      <c r="G1351" t="s">
        <v>122</v>
      </c>
      <c r="H1351" t="s">
        <v>83</v>
      </c>
      <c r="I1351" t="s">
        <v>85</v>
      </c>
      <c r="J1351" t="s">
        <v>33</v>
      </c>
      <c r="K1351">
        <v>3.2</v>
      </c>
      <c r="L1351" t="s">
        <v>143</v>
      </c>
      <c r="M1351" t="s">
        <v>23</v>
      </c>
      <c r="N1351">
        <v>23</v>
      </c>
      <c r="O1351" t="s">
        <v>29</v>
      </c>
      <c r="P1351" t="s">
        <v>67</v>
      </c>
    </row>
    <row r="1352" spans="1:16" ht="14.5" x14ac:dyDescent="0.35">
      <c r="A1352">
        <v>1351</v>
      </c>
      <c r="B1352">
        <v>31</v>
      </c>
      <c r="C1352" t="s">
        <v>16</v>
      </c>
      <c r="D1352" t="s">
        <v>80</v>
      </c>
      <c r="E1352" t="s">
        <v>60</v>
      </c>
      <c r="F1352">
        <v>71</v>
      </c>
      <c r="G1352" t="s">
        <v>70</v>
      </c>
      <c r="H1352" t="s">
        <v>39</v>
      </c>
      <c r="I1352" t="s">
        <v>112</v>
      </c>
      <c r="J1352" t="s">
        <v>50</v>
      </c>
      <c r="K1352">
        <v>4.3</v>
      </c>
      <c r="L1352" t="s">
        <v>143</v>
      </c>
      <c r="M1352" t="s">
        <v>23</v>
      </c>
      <c r="N1352">
        <v>1</v>
      </c>
      <c r="O1352" t="s">
        <v>29</v>
      </c>
      <c r="P1352" t="s">
        <v>88</v>
      </c>
    </row>
    <row r="1353" spans="1:16" ht="14.5" x14ac:dyDescent="0.35">
      <c r="A1353">
        <v>1352</v>
      </c>
      <c r="B1353">
        <v>30</v>
      </c>
      <c r="C1353" t="s">
        <v>16</v>
      </c>
      <c r="D1353" t="s">
        <v>55</v>
      </c>
      <c r="E1353" t="s">
        <v>56</v>
      </c>
      <c r="F1353">
        <v>31</v>
      </c>
      <c r="G1353" t="s">
        <v>120</v>
      </c>
      <c r="H1353" t="s">
        <v>20</v>
      </c>
      <c r="I1353" t="s">
        <v>28</v>
      </c>
      <c r="J1353" t="s">
        <v>47</v>
      </c>
      <c r="K1353">
        <v>2.8</v>
      </c>
      <c r="L1353" t="s">
        <v>143</v>
      </c>
      <c r="M1353" t="s">
        <v>23</v>
      </c>
      <c r="N1353">
        <v>28</v>
      </c>
      <c r="O1353" t="s">
        <v>66</v>
      </c>
      <c r="P1353" t="s">
        <v>51</v>
      </c>
    </row>
    <row r="1354" spans="1:16" ht="14.5" x14ac:dyDescent="0.35">
      <c r="A1354">
        <v>1353</v>
      </c>
      <c r="B1354">
        <v>65</v>
      </c>
      <c r="C1354" t="s">
        <v>16</v>
      </c>
      <c r="D1354" t="s">
        <v>115</v>
      </c>
      <c r="E1354" t="s">
        <v>60</v>
      </c>
      <c r="F1354">
        <v>89</v>
      </c>
      <c r="G1354" t="s">
        <v>107</v>
      </c>
      <c r="H1354" t="s">
        <v>83</v>
      </c>
      <c r="I1354" t="s">
        <v>112</v>
      </c>
      <c r="J1354" t="s">
        <v>33</v>
      </c>
      <c r="K1354">
        <v>4.5</v>
      </c>
      <c r="L1354" t="s">
        <v>143</v>
      </c>
      <c r="M1354" t="s">
        <v>23</v>
      </c>
      <c r="N1354">
        <v>37</v>
      </c>
      <c r="O1354" t="s">
        <v>34</v>
      </c>
      <c r="P1354" t="s">
        <v>67</v>
      </c>
    </row>
    <row r="1355" spans="1:16" ht="14.5" x14ac:dyDescent="0.35">
      <c r="A1355">
        <v>1354</v>
      </c>
      <c r="B1355">
        <v>39</v>
      </c>
      <c r="C1355" t="s">
        <v>16</v>
      </c>
      <c r="D1355" t="s">
        <v>86</v>
      </c>
      <c r="E1355" t="s">
        <v>18</v>
      </c>
      <c r="F1355">
        <v>83</v>
      </c>
      <c r="G1355" t="s">
        <v>41</v>
      </c>
      <c r="H1355" t="s">
        <v>39</v>
      </c>
      <c r="I1355" t="s">
        <v>76</v>
      </c>
      <c r="J1355" t="s">
        <v>22</v>
      </c>
      <c r="K1355">
        <v>4.0999999999999996</v>
      </c>
      <c r="L1355" t="s">
        <v>143</v>
      </c>
      <c r="M1355" t="s">
        <v>23</v>
      </c>
      <c r="N1355">
        <v>4</v>
      </c>
      <c r="O1355" t="s">
        <v>29</v>
      </c>
      <c r="P1355" t="s">
        <v>88</v>
      </c>
    </row>
    <row r="1356" spans="1:16" ht="14.5" x14ac:dyDescent="0.35">
      <c r="A1356">
        <v>1355</v>
      </c>
      <c r="B1356">
        <v>64</v>
      </c>
      <c r="C1356" t="s">
        <v>16</v>
      </c>
      <c r="D1356" t="s">
        <v>123</v>
      </c>
      <c r="E1356" t="s">
        <v>60</v>
      </c>
      <c r="F1356">
        <v>42</v>
      </c>
      <c r="G1356" t="s">
        <v>119</v>
      </c>
      <c r="H1356" t="s">
        <v>39</v>
      </c>
      <c r="I1356" t="s">
        <v>21</v>
      </c>
      <c r="J1356" t="s">
        <v>33</v>
      </c>
      <c r="K1356">
        <v>3.6</v>
      </c>
      <c r="L1356" t="s">
        <v>143</v>
      </c>
      <c r="M1356" t="s">
        <v>23</v>
      </c>
      <c r="N1356">
        <v>21</v>
      </c>
      <c r="O1356" t="s">
        <v>66</v>
      </c>
      <c r="P1356" t="s">
        <v>51</v>
      </c>
    </row>
    <row r="1357" spans="1:16" ht="14.5" x14ac:dyDescent="0.35">
      <c r="A1357">
        <v>1356</v>
      </c>
      <c r="B1357">
        <v>59</v>
      </c>
      <c r="C1357" t="s">
        <v>16</v>
      </c>
      <c r="D1357" t="s">
        <v>52</v>
      </c>
      <c r="E1357" t="s">
        <v>18</v>
      </c>
      <c r="F1357">
        <v>91</v>
      </c>
      <c r="G1357" t="s">
        <v>94</v>
      </c>
      <c r="H1357" t="s">
        <v>39</v>
      </c>
      <c r="I1357" t="s">
        <v>135</v>
      </c>
      <c r="J1357" t="s">
        <v>47</v>
      </c>
      <c r="K1357">
        <v>3</v>
      </c>
      <c r="L1357" t="s">
        <v>143</v>
      </c>
      <c r="M1357" t="s">
        <v>23</v>
      </c>
      <c r="N1357">
        <v>50</v>
      </c>
      <c r="O1357" t="s">
        <v>40</v>
      </c>
      <c r="P1357" t="s">
        <v>67</v>
      </c>
    </row>
    <row r="1358" spans="1:16" ht="14.5" x14ac:dyDescent="0.35">
      <c r="A1358">
        <v>1357</v>
      </c>
      <c r="B1358">
        <v>49</v>
      </c>
      <c r="C1358" t="s">
        <v>16</v>
      </c>
      <c r="D1358" t="s">
        <v>93</v>
      </c>
      <c r="E1358" t="s">
        <v>56</v>
      </c>
      <c r="F1358">
        <v>61</v>
      </c>
      <c r="G1358" t="s">
        <v>107</v>
      </c>
      <c r="H1358" t="s">
        <v>39</v>
      </c>
      <c r="I1358" t="s">
        <v>100</v>
      </c>
      <c r="J1358" t="s">
        <v>33</v>
      </c>
      <c r="K1358">
        <v>4</v>
      </c>
      <c r="L1358" t="s">
        <v>143</v>
      </c>
      <c r="M1358" t="s">
        <v>23</v>
      </c>
      <c r="N1358">
        <v>34</v>
      </c>
      <c r="O1358" t="s">
        <v>66</v>
      </c>
      <c r="P1358" t="s">
        <v>43</v>
      </c>
    </row>
    <row r="1359" spans="1:16" ht="14.5" x14ac:dyDescent="0.35">
      <c r="A1359">
        <v>1358</v>
      </c>
      <c r="B1359">
        <v>24</v>
      </c>
      <c r="C1359" t="s">
        <v>16</v>
      </c>
      <c r="D1359" t="s">
        <v>123</v>
      </c>
      <c r="E1359" t="s">
        <v>60</v>
      </c>
      <c r="F1359">
        <v>66</v>
      </c>
      <c r="G1359" t="s">
        <v>96</v>
      </c>
      <c r="H1359" t="s">
        <v>32</v>
      </c>
      <c r="I1359" t="s">
        <v>99</v>
      </c>
      <c r="J1359" t="s">
        <v>47</v>
      </c>
      <c r="K1359">
        <v>3.5</v>
      </c>
      <c r="L1359" t="s">
        <v>143</v>
      </c>
      <c r="M1359" t="s">
        <v>23</v>
      </c>
      <c r="N1359">
        <v>20</v>
      </c>
      <c r="O1359" t="s">
        <v>29</v>
      </c>
      <c r="P1359" t="s">
        <v>51</v>
      </c>
    </row>
    <row r="1360" spans="1:16" ht="14.5" x14ac:dyDescent="0.35">
      <c r="A1360">
        <v>1359</v>
      </c>
      <c r="B1360">
        <v>19</v>
      </c>
      <c r="C1360" t="s">
        <v>16</v>
      </c>
      <c r="D1360" t="s">
        <v>110</v>
      </c>
      <c r="E1360" t="s">
        <v>60</v>
      </c>
      <c r="F1360">
        <v>22</v>
      </c>
      <c r="G1360" t="s">
        <v>136</v>
      </c>
      <c r="H1360" t="s">
        <v>83</v>
      </c>
      <c r="I1360" t="s">
        <v>62</v>
      </c>
      <c r="J1360" t="s">
        <v>33</v>
      </c>
      <c r="K1360">
        <v>2.5</v>
      </c>
      <c r="L1360" t="s">
        <v>143</v>
      </c>
      <c r="M1360" t="s">
        <v>23</v>
      </c>
      <c r="N1360">
        <v>25</v>
      </c>
      <c r="O1360" t="s">
        <v>24</v>
      </c>
      <c r="P1360" t="s">
        <v>88</v>
      </c>
    </row>
    <row r="1361" spans="1:16" ht="14.5" x14ac:dyDescent="0.35">
      <c r="A1361">
        <v>1360</v>
      </c>
      <c r="B1361">
        <v>27</v>
      </c>
      <c r="C1361" t="s">
        <v>16</v>
      </c>
      <c r="D1361" t="s">
        <v>95</v>
      </c>
      <c r="E1361" t="s">
        <v>18</v>
      </c>
      <c r="F1361">
        <v>68</v>
      </c>
      <c r="G1361" t="s">
        <v>89</v>
      </c>
      <c r="H1361" t="s">
        <v>32</v>
      </c>
      <c r="I1361" t="s">
        <v>100</v>
      </c>
      <c r="J1361" t="s">
        <v>22</v>
      </c>
      <c r="K1361">
        <v>4.3</v>
      </c>
      <c r="L1361" t="s">
        <v>143</v>
      </c>
      <c r="M1361" t="s">
        <v>23</v>
      </c>
      <c r="N1361">
        <v>26</v>
      </c>
      <c r="O1361" t="s">
        <v>66</v>
      </c>
      <c r="P1361" t="s">
        <v>25</v>
      </c>
    </row>
    <row r="1362" spans="1:16" ht="14.5" x14ac:dyDescent="0.35">
      <c r="A1362">
        <v>1361</v>
      </c>
      <c r="B1362">
        <v>56</v>
      </c>
      <c r="C1362" t="s">
        <v>16</v>
      </c>
      <c r="D1362" t="s">
        <v>78</v>
      </c>
      <c r="E1362" t="s">
        <v>18</v>
      </c>
      <c r="F1362">
        <v>43</v>
      </c>
      <c r="G1362" t="s">
        <v>81</v>
      </c>
      <c r="H1362" t="s">
        <v>20</v>
      </c>
      <c r="I1362" t="s">
        <v>85</v>
      </c>
      <c r="J1362" t="s">
        <v>50</v>
      </c>
      <c r="K1362">
        <v>2.8</v>
      </c>
      <c r="L1362" t="s">
        <v>143</v>
      </c>
      <c r="M1362" t="s">
        <v>23</v>
      </c>
      <c r="N1362">
        <v>4</v>
      </c>
      <c r="O1362" t="s">
        <v>66</v>
      </c>
      <c r="P1362" t="s">
        <v>43</v>
      </c>
    </row>
    <row r="1363" spans="1:16" ht="14.5" x14ac:dyDescent="0.35">
      <c r="A1363">
        <v>1362</v>
      </c>
      <c r="B1363">
        <v>49</v>
      </c>
      <c r="C1363" t="s">
        <v>16</v>
      </c>
      <c r="D1363" t="s">
        <v>72</v>
      </c>
      <c r="E1363" t="s">
        <v>18</v>
      </c>
      <c r="F1363">
        <v>32</v>
      </c>
      <c r="G1363" t="s">
        <v>81</v>
      </c>
      <c r="H1363" t="s">
        <v>39</v>
      </c>
      <c r="I1363" t="s">
        <v>109</v>
      </c>
      <c r="J1363" t="s">
        <v>50</v>
      </c>
      <c r="K1363">
        <v>3.7</v>
      </c>
      <c r="L1363" t="s">
        <v>143</v>
      </c>
      <c r="M1363" t="s">
        <v>23</v>
      </c>
      <c r="N1363">
        <v>39</v>
      </c>
      <c r="O1363" t="s">
        <v>77</v>
      </c>
      <c r="P1363" t="s">
        <v>79</v>
      </c>
    </row>
    <row r="1364" spans="1:16" ht="14.5" x14ac:dyDescent="0.35">
      <c r="A1364">
        <v>1363</v>
      </c>
      <c r="B1364">
        <v>41</v>
      </c>
      <c r="C1364" t="s">
        <v>16</v>
      </c>
      <c r="D1364" t="s">
        <v>55</v>
      </c>
      <c r="E1364" t="s">
        <v>56</v>
      </c>
      <c r="F1364">
        <v>46</v>
      </c>
      <c r="G1364" t="s">
        <v>103</v>
      </c>
      <c r="H1364" t="s">
        <v>39</v>
      </c>
      <c r="I1364" t="s">
        <v>21</v>
      </c>
      <c r="J1364" t="s">
        <v>50</v>
      </c>
      <c r="K1364">
        <v>4.3</v>
      </c>
      <c r="L1364" t="s">
        <v>143</v>
      </c>
      <c r="M1364" t="s">
        <v>23</v>
      </c>
      <c r="N1364">
        <v>29</v>
      </c>
      <c r="O1364" t="s">
        <v>29</v>
      </c>
      <c r="P1364" t="s">
        <v>35</v>
      </c>
    </row>
    <row r="1365" spans="1:16" ht="14.5" x14ac:dyDescent="0.35">
      <c r="A1365">
        <v>1364</v>
      </c>
      <c r="B1365">
        <v>36</v>
      </c>
      <c r="C1365" t="s">
        <v>16</v>
      </c>
      <c r="D1365" t="s">
        <v>17</v>
      </c>
      <c r="E1365" t="s">
        <v>18</v>
      </c>
      <c r="F1365">
        <v>90</v>
      </c>
      <c r="G1365" t="s">
        <v>141</v>
      </c>
      <c r="H1365" t="s">
        <v>20</v>
      </c>
      <c r="I1365" t="s">
        <v>99</v>
      </c>
      <c r="J1365" t="s">
        <v>47</v>
      </c>
      <c r="K1365">
        <v>4</v>
      </c>
      <c r="L1365" t="s">
        <v>143</v>
      </c>
      <c r="M1365" t="s">
        <v>23</v>
      </c>
      <c r="N1365">
        <v>47</v>
      </c>
      <c r="O1365" t="s">
        <v>40</v>
      </c>
      <c r="P1365" t="s">
        <v>51</v>
      </c>
    </row>
    <row r="1366" spans="1:16" ht="14.5" x14ac:dyDescent="0.35">
      <c r="A1366">
        <v>1365</v>
      </c>
      <c r="B1366">
        <v>68</v>
      </c>
      <c r="C1366" t="s">
        <v>16</v>
      </c>
      <c r="D1366" t="s">
        <v>115</v>
      </c>
      <c r="E1366" t="s">
        <v>60</v>
      </c>
      <c r="F1366">
        <v>75</v>
      </c>
      <c r="G1366" t="s">
        <v>70</v>
      </c>
      <c r="H1366" t="s">
        <v>20</v>
      </c>
      <c r="I1366" t="s">
        <v>125</v>
      </c>
      <c r="J1366" t="s">
        <v>50</v>
      </c>
      <c r="K1366">
        <v>4.7</v>
      </c>
      <c r="L1366" t="s">
        <v>143</v>
      </c>
      <c r="M1366" t="s">
        <v>23</v>
      </c>
      <c r="N1366">
        <v>5</v>
      </c>
      <c r="O1366" t="s">
        <v>29</v>
      </c>
      <c r="P1366" t="s">
        <v>88</v>
      </c>
    </row>
    <row r="1367" spans="1:16" ht="14.5" x14ac:dyDescent="0.35">
      <c r="A1367">
        <v>1366</v>
      </c>
      <c r="B1367">
        <v>28</v>
      </c>
      <c r="C1367" t="s">
        <v>16</v>
      </c>
      <c r="D1367" t="s">
        <v>59</v>
      </c>
      <c r="E1367" t="s">
        <v>60</v>
      </c>
      <c r="F1367">
        <v>69</v>
      </c>
      <c r="G1367" t="s">
        <v>107</v>
      </c>
      <c r="H1367" t="s">
        <v>39</v>
      </c>
      <c r="I1367" t="s">
        <v>127</v>
      </c>
      <c r="J1367" t="s">
        <v>22</v>
      </c>
      <c r="K1367">
        <v>4.5</v>
      </c>
      <c r="L1367" t="s">
        <v>143</v>
      </c>
      <c r="M1367" t="s">
        <v>23</v>
      </c>
      <c r="N1367">
        <v>18</v>
      </c>
      <c r="O1367" t="s">
        <v>66</v>
      </c>
      <c r="P1367" t="s">
        <v>25</v>
      </c>
    </row>
    <row r="1368" spans="1:16" ht="14.5" x14ac:dyDescent="0.35">
      <c r="A1368">
        <v>1367</v>
      </c>
      <c r="B1368">
        <v>45</v>
      </c>
      <c r="C1368" t="s">
        <v>16</v>
      </c>
      <c r="D1368" t="s">
        <v>124</v>
      </c>
      <c r="E1368" t="s">
        <v>60</v>
      </c>
      <c r="F1368">
        <v>40</v>
      </c>
      <c r="G1368" t="s">
        <v>137</v>
      </c>
      <c r="H1368" t="s">
        <v>39</v>
      </c>
      <c r="I1368" t="s">
        <v>127</v>
      </c>
      <c r="J1368" t="s">
        <v>50</v>
      </c>
      <c r="K1368">
        <v>3.1</v>
      </c>
      <c r="L1368" t="s">
        <v>143</v>
      </c>
      <c r="M1368" t="s">
        <v>23</v>
      </c>
      <c r="N1368">
        <v>10</v>
      </c>
      <c r="O1368" t="s">
        <v>34</v>
      </c>
      <c r="P1368" t="s">
        <v>25</v>
      </c>
    </row>
    <row r="1369" spans="1:16" ht="14.5" x14ac:dyDescent="0.35">
      <c r="A1369">
        <v>1368</v>
      </c>
      <c r="B1369">
        <v>60</v>
      </c>
      <c r="C1369" t="s">
        <v>16</v>
      </c>
      <c r="D1369" t="s">
        <v>124</v>
      </c>
      <c r="E1369" t="s">
        <v>60</v>
      </c>
      <c r="F1369">
        <v>63</v>
      </c>
      <c r="G1369" t="s">
        <v>137</v>
      </c>
      <c r="H1369" t="s">
        <v>32</v>
      </c>
      <c r="I1369" t="s">
        <v>85</v>
      </c>
      <c r="J1369" t="s">
        <v>50</v>
      </c>
      <c r="K1369">
        <v>3.8</v>
      </c>
      <c r="L1369" t="s">
        <v>143</v>
      </c>
      <c r="M1369" t="s">
        <v>23</v>
      </c>
      <c r="N1369">
        <v>25</v>
      </c>
      <c r="O1369" t="s">
        <v>29</v>
      </c>
      <c r="P1369" t="s">
        <v>51</v>
      </c>
    </row>
    <row r="1370" spans="1:16" ht="14.5" x14ac:dyDescent="0.35">
      <c r="A1370">
        <v>1369</v>
      </c>
      <c r="B1370">
        <v>21</v>
      </c>
      <c r="C1370" t="s">
        <v>16</v>
      </c>
      <c r="D1370" t="s">
        <v>48</v>
      </c>
      <c r="E1370" t="s">
        <v>18</v>
      </c>
      <c r="F1370">
        <v>36</v>
      </c>
      <c r="G1370" t="s">
        <v>141</v>
      </c>
      <c r="H1370" t="s">
        <v>20</v>
      </c>
      <c r="I1370" t="s">
        <v>112</v>
      </c>
      <c r="J1370" t="s">
        <v>47</v>
      </c>
      <c r="K1370">
        <v>4.9000000000000004</v>
      </c>
      <c r="L1370" t="s">
        <v>143</v>
      </c>
      <c r="M1370" t="s">
        <v>23</v>
      </c>
      <c r="N1370">
        <v>2</v>
      </c>
      <c r="O1370" t="s">
        <v>29</v>
      </c>
      <c r="P1370" t="s">
        <v>35</v>
      </c>
    </row>
    <row r="1371" spans="1:16" ht="14.5" x14ac:dyDescent="0.35">
      <c r="A1371">
        <v>1370</v>
      </c>
      <c r="B1371">
        <v>32</v>
      </c>
      <c r="C1371" t="s">
        <v>16</v>
      </c>
      <c r="D1371" t="s">
        <v>63</v>
      </c>
      <c r="E1371" t="s">
        <v>37</v>
      </c>
      <c r="F1371">
        <v>75</v>
      </c>
      <c r="G1371" t="s">
        <v>137</v>
      </c>
      <c r="H1371" t="s">
        <v>39</v>
      </c>
      <c r="I1371" t="s">
        <v>87</v>
      </c>
      <c r="J1371" t="s">
        <v>22</v>
      </c>
      <c r="K1371">
        <v>3.2</v>
      </c>
      <c r="L1371" t="s">
        <v>143</v>
      </c>
      <c r="M1371" t="s">
        <v>23</v>
      </c>
      <c r="N1371">
        <v>48</v>
      </c>
      <c r="O1371" t="s">
        <v>24</v>
      </c>
      <c r="P1371" t="s">
        <v>25</v>
      </c>
    </row>
    <row r="1372" spans="1:16" ht="14.5" x14ac:dyDescent="0.35">
      <c r="A1372">
        <v>1371</v>
      </c>
      <c r="B1372">
        <v>27</v>
      </c>
      <c r="C1372" t="s">
        <v>16</v>
      </c>
      <c r="D1372" t="s">
        <v>110</v>
      </c>
      <c r="E1372" t="s">
        <v>60</v>
      </c>
      <c r="F1372">
        <v>67</v>
      </c>
      <c r="G1372" t="s">
        <v>49</v>
      </c>
      <c r="H1372" t="s">
        <v>20</v>
      </c>
      <c r="I1372" t="s">
        <v>91</v>
      </c>
      <c r="J1372" t="s">
        <v>47</v>
      </c>
      <c r="K1372">
        <v>2.9</v>
      </c>
      <c r="L1372" t="s">
        <v>143</v>
      </c>
      <c r="M1372" t="s">
        <v>23</v>
      </c>
      <c r="N1372">
        <v>41</v>
      </c>
      <c r="O1372" t="s">
        <v>66</v>
      </c>
      <c r="P1372" t="s">
        <v>88</v>
      </c>
    </row>
    <row r="1373" spans="1:16" ht="14.5" x14ac:dyDescent="0.35">
      <c r="A1373">
        <v>1372</v>
      </c>
      <c r="B1373">
        <v>40</v>
      </c>
      <c r="C1373" t="s">
        <v>16</v>
      </c>
      <c r="D1373" t="s">
        <v>86</v>
      </c>
      <c r="E1373" t="s">
        <v>18</v>
      </c>
      <c r="F1373">
        <v>64</v>
      </c>
      <c r="G1373" t="s">
        <v>82</v>
      </c>
      <c r="H1373" t="s">
        <v>39</v>
      </c>
      <c r="I1373" t="s">
        <v>54</v>
      </c>
      <c r="J1373" t="s">
        <v>33</v>
      </c>
      <c r="K1373">
        <v>2.8</v>
      </c>
      <c r="L1373" t="s">
        <v>143</v>
      </c>
      <c r="M1373" t="s">
        <v>23</v>
      </c>
      <c r="N1373">
        <v>42</v>
      </c>
      <c r="O1373" t="s">
        <v>34</v>
      </c>
      <c r="P1373" t="s">
        <v>79</v>
      </c>
    </row>
    <row r="1374" spans="1:16" ht="14.5" x14ac:dyDescent="0.35">
      <c r="A1374">
        <v>1373</v>
      </c>
      <c r="B1374">
        <v>64</v>
      </c>
      <c r="C1374" t="s">
        <v>16</v>
      </c>
      <c r="D1374" t="s">
        <v>17</v>
      </c>
      <c r="E1374" t="s">
        <v>18</v>
      </c>
      <c r="F1374">
        <v>61</v>
      </c>
      <c r="G1374" t="s">
        <v>142</v>
      </c>
      <c r="H1374" t="s">
        <v>39</v>
      </c>
      <c r="I1374" t="s">
        <v>21</v>
      </c>
      <c r="J1374" t="s">
        <v>50</v>
      </c>
      <c r="K1374">
        <v>4</v>
      </c>
      <c r="L1374" t="s">
        <v>143</v>
      </c>
      <c r="M1374" t="s">
        <v>23</v>
      </c>
      <c r="N1374">
        <v>44</v>
      </c>
      <c r="O1374" t="s">
        <v>40</v>
      </c>
      <c r="P1374" t="s">
        <v>67</v>
      </c>
    </row>
    <row r="1375" spans="1:16" ht="14.5" x14ac:dyDescent="0.35">
      <c r="A1375">
        <v>1374</v>
      </c>
      <c r="B1375">
        <v>18</v>
      </c>
      <c r="C1375" t="s">
        <v>16</v>
      </c>
      <c r="D1375" t="s">
        <v>134</v>
      </c>
      <c r="E1375" t="s">
        <v>60</v>
      </c>
      <c r="F1375">
        <v>40</v>
      </c>
      <c r="G1375" t="s">
        <v>132</v>
      </c>
      <c r="H1375" t="s">
        <v>20</v>
      </c>
      <c r="I1375" t="s">
        <v>42</v>
      </c>
      <c r="J1375" t="s">
        <v>22</v>
      </c>
      <c r="K1375">
        <v>2.6</v>
      </c>
      <c r="L1375" t="s">
        <v>143</v>
      </c>
      <c r="M1375" t="s">
        <v>23</v>
      </c>
      <c r="N1375">
        <v>6</v>
      </c>
      <c r="O1375" t="s">
        <v>29</v>
      </c>
      <c r="P1375" t="s">
        <v>51</v>
      </c>
    </row>
    <row r="1376" spans="1:16" ht="14.5" x14ac:dyDescent="0.35">
      <c r="A1376">
        <v>1375</v>
      </c>
      <c r="B1376">
        <v>22</v>
      </c>
      <c r="C1376" t="s">
        <v>16</v>
      </c>
      <c r="D1376" t="s">
        <v>59</v>
      </c>
      <c r="E1376" t="s">
        <v>60</v>
      </c>
      <c r="F1376">
        <v>97</v>
      </c>
      <c r="G1376" t="s">
        <v>75</v>
      </c>
      <c r="H1376" t="s">
        <v>39</v>
      </c>
      <c r="I1376" t="s">
        <v>99</v>
      </c>
      <c r="J1376" t="s">
        <v>50</v>
      </c>
      <c r="K1376">
        <v>2.7</v>
      </c>
      <c r="L1376" t="s">
        <v>143</v>
      </c>
      <c r="M1376" t="s">
        <v>23</v>
      </c>
      <c r="N1376">
        <v>5</v>
      </c>
      <c r="O1376" t="s">
        <v>66</v>
      </c>
      <c r="P1376" t="s">
        <v>51</v>
      </c>
    </row>
    <row r="1377" spans="1:16" ht="14.5" x14ac:dyDescent="0.35">
      <c r="A1377">
        <v>1376</v>
      </c>
      <c r="B1377">
        <v>42</v>
      </c>
      <c r="C1377" t="s">
        <v>16</v>
      </c>
      <c r="D1377" t="s">
        <v>44</v>
      </c>
      <c r="E1377" t="s">
        <v>37</v>
      </c>
      <c r="F1377">
        <v>31</v>
      </c>
      <c r="G1377" t="s">
        <v>27</v>
      </c>
      <c r="H1377" t="s">
        <v>20</v>
      </c>
      <c r="I1377" t="s">
        <v>101</v>
      </c>
      <c r="J1377" t="s">
        <v>33</v>
      </c>
      <c r="K1377">
        <v>4.0999999999999996</v>
      </c>
      <c r="L1377" t="s">
        <v>143</v>
      </c>
      <c r="M1377" t="s">
        <v>23</v>
      </c>
      <c r="N1377">
        <v>8</v>
      </c>
      <c r="O1377" t="s">
        <v>34</v>
      </c>
      <c r="P1377" t="s">
        <v>43</v>
      </c>
    </row>
    <row r="1378" spans="1:16" ht="14.5" x14ac:dyDescent="0.35">
      <c r="A1378">
        <v>1377</v>
      </c>
      <c r="B1378">
        <v>57</v>
      </c>
      <c r="C1378" t="s">
        <v>16</v>
      </c>
      <c r="D1378" t="s">
        <v>36</v>
      </c>
      <c r="E1378" t="s">
        <v>37</v>
      </c>
      <c r="F1378">
        <v>65</v>
      </c>
      <c r="G1378" t="s">
        <v>118</v>
      </c>
      <c r="H1378" t="s">
        <v>20</v>
      </c>
      <c r="I1378" t="s">
        <v>62</v>
      </c>
      <c r="J1378" t="s">
        <v>33</v>
      </c>
      <c r="K1378">
        <v>5</v>
      </c>
      <c r="L1378" t="s">
        <v>143</v>
      </c>
      <c r="M1378" t="s">
        <v>23</v>
      </c>
      <c r="N1378">
        <v>24</v>
      </c>
      <c r="O1378" t="s">
        <v>40</v>
      </c>
      <c r="P1378" t="s">
        <v>43</v>
      </c>
    </row>
    <row r="1379" spans="1:16" ht="14.5" x14ac:dyDescent="0.35">
      <c r="A1379">
        <v>1378</v>
      </c>
      <c r="B1379">
        <v>33</v>
      </c>
      <c r="C1379" t="s">
        <v>16</v>
      </c>
      <c r="D1379" t="s">
        <v>80</v>
      </c>
      <c r="E1379" t="s">
        <v>60</v>
      </c>
      <c r="F1379">
        <v>54</v>
      </c>
      <c r="G1379" t="s">
        <v>119</v>
      </c>
      <c r="H1379" t="s">
        <v>20</v>
      </c>
      <c r="I1379" t="s">
        <v>69</v>
      </c>
      <c r="J1379" t="s">
        <v>33</v>
      </c>
      <c r="K1379">
        <v>3</v>
      </c>
      <c r="L1379" t="s">
        <v>143</v>
      </c>
      <c r="M1379" t="s">
        <v>23</v>
      </c>
      <c r="N1379">
        <v>42</v>
      </c>
      <c r="O1379" t="s">
        <v>24</v>
      </c>
      <c r="P1379" t="s">
        <v>79</v>
      </c>
    </row>
    <row r="1380" spans="1:16" ht="14.5" x14ac:dyDescent="0.35">
      <c r="A1380">
        <v>1379</v>
      </c>
      <c r="B1380">
        <v>37</v>
      </c>
      <c r="C1380" t="s">
        <v>16</v>
      </c>
      <c r="D1380" t="s">
        <v>93</v>
      </c>
      <c r="E1380" t="s">
        <v>56</v>
      </c>
      <c r="F1380">
        <v>49</v>
      </c>
      <c r="G1380" t="s">
        <v>19</v>
      </c>
      <c r="H1380" t="s">
        <v>83</v>
      </c>
      <c r="I1380" t="s">
        <v>84</v>
      </c>
      <c r="J1380" t="s">
        <v>50</v>
      </c>
      <c r="K1380">
        <v>3.6</v>
      </c>
      <c r="L1380" t="s">
        <v>143</v>
      </c>
      <c r="M1380" t="s">
        <v>23</v>
      </c>
      <c r="N1380">
        <v>24</v>
      </c>
      <c r="O1380" t="s">
        <v>24</v>
      </c>
      <c r="P1380" t="s">
        <v>35</v>
      </c>
    </row>
    <row r="1381" spans="1:16" ht="14.5" x14ac:dyDescent="0.35">
      <c r="A1381">
        <v>1380</v>
      </c>
      <c r="B1381">
        <v>21</v>
      </c>
      <c r="C1381" t="s">
        <v>16</v>
      </c>
      <c r="D1381" t="s">
        <v>104</v>
      </c>
      <c r="E1381" t="s">
        <v>18</v>
      </c>
      <c r="F1381">
        <v>64</v>
      </c>
      <c r="G1381" t="s">
        <v>139</v>
      </c>
      <c r="H1381" t="s">
        <v>20</v>
      </c>
      <c r="I1381" t="s">
        <v>65</v>
      </c>
      <c r="J1381" t="s">
        <v>50</v>
      </c>
      <c r="K1381">
        <v>2.8</v>
      </c>
      <c r="L1381" t="s">
        <v>143</v>
      </c>
      <c r="M1381" t="s">
        <v>23</v>
      </c>
      <c r="N1381">
        <v>38</v>
      </c>
      <c r="O1381" t="s">
        <v>24</v>
      </c>
      <c r="P1381" t="s">
        <v>67</v>
      </c>
    </row>
    <row r="1382" spans="1:16" ht="14.5" x14ac:dyDescent="0.35">
      <c r="A1382">
        <v>1381</v>
      </c>
      <c r="B1382">
        <v>51</v>
      </c>
      <c r="C1382" t="s">
        <v>16</v>
      </c>
      <c r="D1382" t="s">
        <v>44</v>
      </c>
      <c r="E1382" t="s">
        <v>37</v>
      </c>
      <c r="F1382">
        <v>35</v>
      </c>
      <c r="G1382" t="s">
        <v>31</v>
      </c>
      <c r="H1382" t="s">
        <v>32</v>
      </c>
      <c r="I1382" t="s">
        <v>109</v>
      </c>
      <c r="J1382" t="s">
        <v>22</v>
      </c>
      <c r="K1382">
        <v>4.5999999999999996</v>
      </c>
      <c r="L1382" t="s">
        <v>143</v>
      </c>
      <c r="M1382" t="s">
        <v>23</v>
      </c>
      <c r="N1382">
        <v>41</v>
      </c>
      <c r="O1382" t="s">
        <v>29</v>
      </c>
      <c r="P1382" t="s">
        <v>25</v>
      </c>
    </row>
    <row r="1383" spans="1:16" ht="14.5" x14ac:dyDescent="0.35">
      <c r="A1383">
        <v>1382</v>
      </c>
      <c r="B1383">
        <v>30</v>
      </c>
      <c r="C1383" t="s">
        <v>16</v>
      </c>
      <c r="D1383" t="s">
        <v>63</v>
      </c>
      <c r="E1383" t="s">
        <v>37</v>
      </c>
      <c r="F1383">
        <v>86</v>
      </c>
      <c r="G1383" t="s">
        <v>106</v>
      </c>
      <c r="H1383" t="s">
        <v>20</v>
      </c>
      <c r="I1383" t="s">
        <v>87</v>
      </c>
      <c r="J1383" t="s">
        <v>22</v>
      </c>
      <c r="K1383">
        <v>2.9</v>
      </c>
      <c r="L1383" t="s">
        <v>143</v>
      </c>
      <c r="M1383" t="s">
        <v>23</v>
      </c>
      <c r="N1383">
        <v>48</v>
      </c>
      <c r="O1383" t="s">
        <v>24</v>
      </c>
      <c r="P1383" t="s">
        <v>51</v>
      </c>
    </row>
    <row r="1384" spans="1:16" ht="14.5" x14ac:dyDescent="0.35">
      <c r="A1384">
        <v>1383</v>
      </c>
      <c r="B1384">
        <v>68</v>
      </c>
      <c r="C1384" t="s">
        <v>16</v>
      </c>
      <c r="D1384" t="s">
        <v>93</v>
      </c>
      <c r="E1384" t="s">
        <v>56</v>
      </c>
      <c r="F1384">
        <v>55</v>
      </c>
      <c r="G1384" t="s">
        <v>142</v>
      </c>
      <c r="H1384" t="s">
        <v>20</v>
      </c>
      <c r="I1384" t="s">
        <v>101</v>
      </c>
      <c r="J1384" t="s">
        <v>22</v>
      </c>
      <c r="K1384">
        <v>4.8</v>
      </c>
      <c r="L1384" t="s">
        <v>143</v>
      </c>
      <c r="M1384" t="s">
        <v>23</v>
      </c>
      <c r="N1384">
        <v>16</v>
      </c>
      <c r="O1384" t="s">
        <v>66</v>
      </c>
      <c r="P1384" t="s">
        <v>51</v>
      </c>
    </row>
    <row r="1385" spans="1:16" ht="14.5" x14ac:dyDescent="0.35">
      <c r="A1385">
        <v>1384</v>
      </c>
      <c r="B1385">
        <v>36</v>
      </c>
      <c r="C1385" t="s">
        <v>16</v>
      </c>
      <c r="D1385" t="s">
        <v>110</v>
      </c>
      <c r="E1385" t="s">
        <v>60</v>
      </c>
      <c r="F1385">
        <v>58</v>
      </c>
      <c r="G1385" t="s">
        <v>141</v>
      </c>
      <c r="H1385" t="s">
        <v>39</v>
      </c>
      <c r="I1385" t="s">
        <v>109</v>
      </c>
      <c r="J1385" t="s">
        <v>33</v>
      </c>
      <c r="K1385">
        <v>3.3</v>
      </c>
      <c r="L1385" t="s">
        <v>143</v>
      </c>
      <c r="M1385" t="s">
        <v>23</v>
      </c>
      <c r="N1385">
        <v>4</v>
      </c>
      <c r="O1385" t="s">
        <v>24</v>
      </c>
      <c r="P1385" t="s">
        <v>79</v>
      </c>
    </row>
    <row r="1386" spans="1:16" ht="14.5" x14ac:dyDescent="0.35">
      <c r="A1386">
        <v>1385</v>
      </c>
      <c r="B1386">
        <v>46</v>
      </c>
      <c r="C1386" t="s">
        <v>16</v>
      </c>
      <c r="D1386" t="s">
        <v>44</v>
      </c>
      <c r="E1386" t="s">
        <v>37</v>
      </c>
      <c r="F1386">
        <v>96</v>
      </c>
      <c r="G1386" t="s">
        <v>111</v>
      </c>
      <c r="H1386" t="s">
        <v>39</v>
      </c>
      <c r="I1386" t="s">
        <v>109</v>
      </c>
      <c r="J1386" t="s">
        <v>50</v>
      </c>
      <c r="K1386">
        <v>4.5999999999999996</v>
      </c>
      <c r="L1386" t="s">
        <v>143</v>
      </c>
      <c r="M1386" t="s">
        <v>23</v>
      </c>
      <c r="N1386">
        <v>8</v>
      </c>
      <c r="O1386" t="s">
        <v>66</v>
      </c>
      <c r="P1386" t="s">
        <v>35</v>
      </c>
    </row>
    <row r="1387" spans="1:16" ht="14.5" x14ac:dyDescent="0.35">
      <c r="A1387">
        <v>1386</v>
      </c>
      <c r="B1387">
        <v>41</v>
      </c>
      <c r="C1387" t="s">
        <v>16</v>
      </c>
      <c r="D1387" t="s">
        <v>97</v>
      </c>
      <c r="E1387" t="s">
        <v>60</v>
      </c>
      <c r="F1387">
        <v>64</v>
      </c>
      <c r="G1387" t="s">
        <v>82</v>
      </c>
      <c r="H1387" t="s">
        <v>39</v>
      </c>
      <c r="I1387" t="s">
        <v>117</v>
      </c>
      <c r="J1387" t="s">
        <v>50</v>
      </c>
      <c r="K1387">
        <v>2.6</v>
      </c>
      <c r="L1387" t="s">
        <v>143</v>
      </c>
      <c r="M1387" t="s">
        <v>23</v>
      </c>
      <c r="N1387">
        <v>1</v>
      </c>
      <c r="O1387" t="s">
        <v>66</v>
      </c>
      <c r="P1387" t="s">
        <v>67</v>
      </c>
    </row>
    <row r="1388" spans="1:16" ht="14.5" x14ac:dyDescent="0.35">
      <c r="A1388">
        <v>1387</v>
      </c>
      <c r="B1388">
        <v>68</v>
      </c>
      <c r="C1388" t="s">
        <v>16</v>
      </c>
      <c r="D1388" t="s">
        <v>93</v>
      </c>
      <c r="E1388" t="s">
        <v>56</v>
      </c>
      <c r="F1388">
        <v>56</v>
      </c>
      <c r="G1388" t="s">
        <v>41</v>
      </c>
      <c r="H1388" t="s">
        <v>39</v>
      </c>
      <c r="I1388" t="s">
        <v>58</v>
      </c>
      <c r="J1388" t="s">
        <v>50</v>
      </c>
      <c r="K1388">
        <v>4</v>
      </c>
      <c r="L1388" t="s">
        <v>143</v>
      </c>
      <c r="M1388" t="s">
        <v>23</v>
      </c>
      <c r="N1388">
        <v>4</v>
      </c>
      <c r="O1388" t="s">
        <v>77</v>
      </c>
      <c r="P1388" t="s">
        <v>51</v>
      </c>
    </row>
    <row r="1389" spans="1:16" ht="14.5" x14ac:dyDescent="0.35">
      <c r="A1389">
        <v>1388</v>
      </c>
      <c r="B1389">
        <v>21</v>
      </c>
      <c r="C1389" t="s">
        <v>16</v>
      </c>
      <c r="D1389" t="s">
        <v>17</v>
      </c>
      <c r="E1389" t="s">
        <v>18</v>
      </c>
      <c r="F1389">
        <v>85</v>
      </c>
      <c r="G1389" t="s">
        <v>119</v>
      </c>
      <c r="H1389" t="s">
        <v>39</v>
      </c>
      <c r="I1389" t="s">
        <v>71</v>
      </c>
      <c r="J1389" t="s">
        <v>22</v>
      </c>
      <c r="K1389">
        <v>3.8</v>
      </c>
      <c r="L1389" t="s">
        <v>143</v>
      </c>
      <c r="M1389" t="s">
        <v>23</v>
      </c>
      <c r="N1389">
        <v>20</v>
      </c>
      <c r="O1389" t="s">
        <v>34</v>
      </c>
      <c r="P1389" t="s">
        <v>79</v>
      </c>
    </row>
    <row r="1390" spans="1:16" ht="14.5" x14ac:dyDescent="0.35">
      <c r="A1390">
        <v>1389</v>
      </c>
      <c r="B1390">
        <v>62</v>
      </c>
      <c r="C1390" t="s">
        <v>16</v>
      </c>
      <c r="D1390" t="s">
        <v>72</v>
      </c>
      <c r="E1390" t="s">
        <v>18</v>
      </c>
      <c r="F1390">
        <v>23</v>
      </c>
      <c r="G1390" t="s">
        <v>64</v>
      </c>
      <c r="H1390" t="s">
        <v>39</v>
      </c>
      <c r="I1390" t="s">
        <v>84</v>
      </c>
      <c r="J1390" t="s">
        <v>33</v>
      </c>
      <c r="K1390">
        <v>3.9</v>
      </c>
      <c r="L1390" t="s">
        <v>143</v>
      </c>
      <c r="M1390" t="s">
        <v>23</v>
      </c>
      <c r="N1390">
        <v>40</v>
      </c>
      <c r="O1390" t="s">
        <v>29</v>
      </c>
      <c r="P1390" t="s">
        <v>51</v>
      </c>
    </row>
    <row r="1391" spans="1:16" ht="14.5" x14ac:dyDescent="0.35">
      <c r="A1391">
        <v>1390</v>
      </c>
      <c r="B1391">
        <v>59</v>
      </c>
      <c r="C1391" t="s">
        <v>16</v>
      </c>
      <c r="D1391" t="s">
        <v>110</v>
      </c>
      <c r="E1391" t="s">
        <v>60</v>
      </c>
      <c r="F1391">
        <v>72</v>
      </c>
      <c r="G1391" t="s">
        <v>106</v>
      </c>
      <c r="H1391" t="s">
        <v>20</v>
      </c>
      <c r="I1391" t="s">
        <v>112</v>
      </c>
      <c r="J1391" t="s">
        <v>50</v>
      </c>
      <c r="K1391">
        <v>2.6</v>
      </c>
      <c r="L1391" t="s">
        <v>143</v>
      </c>
      <c r="M1391" t="s">
        <v>23</v>
      </c>
      <c r="N1391">
        <v>8</v>
      </c>
      <c r="O1391" t="s">
        <v>77</v>
      </c>
      <c r="P1391" t="s">
        <v>25</v>
      </c>
    </row>
    <row r="1392" spans="1:16" ht="14.5" x14ac:dyDescent="0.35">
      <c r="A1392">
        <v>1391</v>
      </c>
      <c r="B1392">
        <v>25</v>
      </c>
      <c r="C1392" t="s">
        <v>16</v>
      </c>
      <c r="D1392" t="s">
        <v>115</v>
      </c>
      <c r="E1392" t="s">
        <v>60</v>
      </c>
      <c r="F1392">
        <v>38</v>
      </c>
      <c r="G1392" t="s">
        <v>64</v>
      </c>
      <c r="H1392" t="s">
        <v>39</v>
      </c>
      <c r="I1392" t="s">
        <v>28</v>
      </c>
      <c r="J1392" t="s">
        <v>47</v>
      </c>
      <c r="K1392">
        <v>4.3</v>
      </c>
      <c r="L1392" t="s">
        <v>143</v>
      </c>
      <c r="M1392" t="s">
        <v>23</v>
      </c>
      <c r="N1392">
        <v>42</v>
      </c>
      <c r="O1392" t="s">
        <v>77</v>
      </c>
      <c r="P1392" t="s">
        <v>35</v>
      </c>
    </row>
    <row r="1393" spans="1:16" ht="14.5" x14ac:dyDescent="0.35">
      <c r="A1393">
        <v>1392</v>
      </c>
      <c r="B1393">
        <v>53</v>
      </c>
      <c r="C1393" t="s">
        <v>16</v>
      </c>
      <c r="D1393" t="s">
        <v>17</v>
      </c>
      <c r="E1393" t="s">
        <v>18</v>
      </c>
      <c r="F1393">
        <v>29</v>
      </c>
      <c r="G1393" t="s">
        <v>82</v>
      </c>
      <c r="H1393" t="s">
        <v>32</v>
      </c>
      <c r="I1393" t="s">
        <v>46</v>
      </c>
      <c r="J1393" t="s">
        <v>22</v>
      </c>
      <c r="K1393">
        <v>3.6</v>
      </c>
      <c r="L1393" t="s">
        <v>143</v>
      </c>
      <c r="M1393" t="s">
        <v>23</v>
      </c>
      <c r="N1393">
        <v>38</v>
      </c>
      <c r="O1393" t="s">
        <v>34</v>
      </c>
      <c r="P1393" t="s">
        <v>43</v>
      </c>
    </row>
    <row r="1394" spans="1:16" ht="14.5" x14ac:dyDescent="0.35">
      <c r="A1394">
        <v>1393</v>
      </c>
      <c r="B1394">
        <v>31</v>
      </c>
      <c r="C1394" t="s">
        <v>16</v>
      </c>
      <c r="D1394" t="s">
        <v>134</v>
      </c>
      <c r="E1394" t="s">
        <v>60</v>
      </c>
      <c r="F1394">
        <v>46</v>
      </c>
      <c r="G1394" t="s">
        <v>64</v>
      </c>
      <c r="H1394" t="s">
        <v>39</v>
      </c>
      <c r="I1394" t="s">
        <v>125</v>
      </c>
      <c r="J1394" t="s">
        <v>33</v>
      </c>
      <c r="K1394">
        <v>4.2</v>
      </c>
      <c r="L1394" t="s">
        <v>143</v>
      </c>
      <c r="M1394" t="s">
        <v>23</v>
      </c>
      <c r="N1394">
        <v>34</v>
      </c>
      <c r="O1394" t="s">
        <v>24</v>
      </c>
      <c r="P1394" t="s">
        <v>88</v>
      </c>
    </row>
    <row r="1395" spans="1:16" ht="14.5" x14ac:dyDescent="0.35">
      <c r="A1395">
        <v>1394</v>
      </c>
      <c r="B1395">
        <v>46</v>
      </c>
      <c r="C1395" t="s">
        <v>16</v>
      </c>
      <c r="D1395" t="s">
        <v>134</v>
      </c>
      <c r="E1395" t="s">
        <v>60</v>
      </c>
      <c r="F1395">
        <v>58</v>
      </c>
      <c r="G1395" t="s">
        <v>126</v>
      </c>
      <c r="H1395" t="s">
        <v>20</v>
      </c>
      <c r="I1395" t="s">
        <v>125</v>
      </c>
      <c r="J1395" t="s">
        <v>33</v>
      </c>
      <c r="K1395">
        <v>3.9</v>
      </c>
      <c r="L1395" t="s">
        <v>143</v>
      </c>
      <c r="M1395" t="s">
        <v>23</v>
      </c>
      <c r="N1395">
        <v>14</v>
      </c>
      <c r="O1395" t="s">
        <v>40</v>
      </c>
      <c r="P1395" t="s">
        <v>25</v>
      </c>
    </row>
    <row r="1396" spans="1:16" ht="14.5" x14ac:dyDescent="0.35">
      <c r="A1396">
        <v>1395</v>
      </c>
      <c r="B1396">
        <v>26</v>
      </c>
      <c r="C1396" t="s">
        <v>16</v>
      </c>
      <c r="D1396" t="s">
        <v>55</v>
      </c>
      <c r="E1396" t="s">
        <v>56</v>
      </c>
      <c r="F1396">
        <v>43</v>
      </c>
      <c r="G1396" t="s">
        <v>137</v>
      </c>
      <c r="H1396" t="s">
        <v>20</v>
      </c>
      <c r="I1396" t="s">
        <v>127</v>
      </c>
      <c r="J1396" t="s">
        <v>50</v>
      </c>
      <c r="K1396">
        <v>4.7</v>
      </c>
      <c r="L1396" t="s">
        <v>143</v>
      </c>
      <c r="M1396" t="s">
        <v>23</v>
      </c>
      <c r="N1396">
        <v>39</v>
      </c>
      <c r="O1396" t="s">
        <v>29</v>
      </c>
      <c r="P1396" t="s">
        <v>35</v>
      </c>
    </row>
    <row r="1397" spans="1:16" ht="14.5" x14ac:dyDescent="0.35">
      <c r="A1397">
        <v>1396</v>
      </c>
      <c r="B1397">
        <v>47</v>
      </c>
      <c r="C1397" t="s">
        <v>16</v>
      </c>
      <c r="D1397" t="s">
        <v>110</v>
      </c>
      <c r="E1397" t="s">
        <v>60</v>
      </c>
      <c r="F1397">
        <v>32</v>
      </c>
      <c r="G1397" t="s">
        <v>57</v>
      </c>
      <c r="H1397" t="s">
        <v>20</v>
      </c>
      <c r="I1397" t="s">
        <v>42</v>
      </c>
      <c r="J1397" t="s">
        <v>33</v>
      </c>
      <c r="K1397">
        <v>2.8</v>
      </c>
      <c r="L1397" t="s">
        <v>143</v>
      </c>
      <c r="M1397" t="s">
        <v>23</v>
      </c>
      <c r="N1397">
        <v>40</v>
      </c>
      <c r="O1397" t="s">
        <v>40</v>
      </c>
      <c r="P1397" t="s">
        <v>67</v>
      </c>
    </row>
    <row r="1398" spans="1:16" ht="14.5" x14ac:dyDescent="0.35">
      <c r="A1398">
        <v>1397</v>
      </c>
      <c r="B1398">
        <v>37</v>
      </c>
      <c r="C1398" t="s">
        <v>16</v>
      </c>
      <c r="D1398" t="s">
        <v>86</v>
      </c>
      <c r="E1398" t="s">
        <v>18</v>
      </c>
      <c r="F1398">
        <v>30</v>
      </c>
      <c r="G1398" t="s">
        <v>141</v>
      </c>
      <c r="H1398" t="s">
        <v>83</v>
      </c>
      <c r="I1398" t="s">
        <v>84</v>
      </c>
      <c r="J1398" t="s">
        <v>22</v>
      </c>
      <c r="K1398">
        <v>3</v>
      </c>
      <c r="L1398" t="s">
        <v>143</v>
      </c>
      <c r="M1398" t="s">
        <v>23</v>
      </c>
      <c r="N1398">
        <v>49</v>
      </c>
      <c r="O1398" t="s">
        <v>77</v>
      </c>
      <c r="P1398" t="s">
        <v>79</v>
      </c>
    </row>
    <row r="1399" spans="1:16" ht="14.5" x14ac:dyDescent="0.35">
      <c r="A1399">
        <v>1398</v>
      </c>
      <c r="B1399">
        <v>55</v>
      </c>
      <c r="C1399" t="s">
        <v>16</v>
      </c>
      <c r="D1399" t="s">
        <v>80</v>
      </c>
      <c r="E1399" t="s">
        <v>60</v>
      </c>
      <c r="F1399">
        <v>67</v>
      </c>
      <c r="G1399" t="s">
        <v>31</v>
      </c>
      <c r="H1399" t="s">
        <v>32</v>
      </c>
      <c r="I1399" t="s">
        <v>127</v>
      </c>
      <c r="J1399" t="s">
        <v>47</v>
      </c>
      <c r="K1399">
        <v>4.7</v>
      </c>
      <c r="L1399" t="s">
        <v>143</v>
      </c>
      <c r="M1399" t="s">
        <v>23</v>
      </c>
      <c r="N1399">
        <v>33</v>
      </c>
      <c r="O1399" t="s">
        <v>40</v>
      </c>
      <c r="P1399" t="s">
        <v>43</v>
      </c>
    </row>
    <row r="1400" spans="1:16" ht="14.5" x14ac:dyDescent="0.35">
      <c r="A1400">
        <v>1399</v>
      </c>
      <c r="B1400">
        <v>30</v>
      </c>
      <c r="C1400" t="s">
        <v>16</v>
      </c>
      <c r="D1400" t="s">
        <v>72</v>
      </c>
      <c r="E1400" t="s">
        <v>18</v>
      </c>
      <c r="F1400">
        <v>45</v>
      </c>
      <c r="G1400" t="s">
        <v>96</v>
      </c>
      <c r="H1400" t="s">
        <v>39</v>
      </c>
      <c r="I1400" t="s">
        <v>100</v>
      </c>
      <c r="J1400" t="s">
        <v>47</v>
      </c>
      <c r="K1400">
        <v>2.5</v>
      </c>
      <c r="L1400" t="s">
        <v>143</v>
      </c>
      <c r="M1400" t="s">
        <v>23</v>
      </c>
      <c r="N1400">
        <v>25</v>
      </c>
      <c r="O1400" t="s">
        <v>34</v>
      </c>
      <c r="P1400" t="s">
        <v>35</v>
      </c>
    </row>
    <row r="1401" spans="1:16" ht="14.5" x14ac:dyDescent="0.35">
      <c r="A1401">
        <v>1400</v>
      </c>
      <c r="B1401">
        <v>19</v>
      </c>
      <c r="C1401" t="s">
        <v>16</v>
      </c>
      <c r="D1401" t="s">
        <v>115</v>
      </c>
      <c r="E1401" t="s">
        <v>60</v>
      </c>
      <c r="F1401">
        <v>81</v>
      </c>
      <c r="G1401" t="s">
        <v>136</v>
      </c>
      <c r="H1401" t="s">
        <v>39</v>
      </c>
      <c r="I1401" t="s">
        <v>69</v>
      </c>
      <c r="J1401" t="s">
        <v>22</v>
      </c>
      <c r="K1401">
        <v>3.1</v>
      </c>
      <c r="L1401" t="s">
        <v>143</v>
      </c>
      <c r="M1401" t="s">
        <v>23</v>
      </c>
      <c r="N1401">
        <v>48</v>
      </c>
      <c r="O1401" t="s">
        <v>24</v>
      </c>
      <c r="P1401" t="s">
        <v>43</v>
      </c>
    </row>
    <row r="1402" spans="1:16" ht="14.5" x14ac:dyDescent="0.35">
      <c r="A1402">
        <v>1401</v>
      </c>
      <c r="B1402">
        <v>36</v>
      </c>
      <c r="C1402" t="s">
        <v>16</v>
      </c>
      <c r="D1402" t="s">
        <v>123</v>
      </c>
      <c r="E1402" t="s">
        <v>60</v>
      </c>
      <c r="F1402">
        <v>23</v>
      </c>
      <c r="G1402" t="s">
        <v>98</v>
      </c>
      <c r="H1402" t="s">
        <v>39</v>
      </c>
      <c r="I1402" t="s">
        <v>99</v>
      </c>
      <c r="J1402" t="s">
        <v>50</v>
      </c>
      <c r="K1402">
        <v>3.6</v>
      </c>
      <c r="L1402" t="s">
        <v>143</v>
      </c>
      <c r="M1402" t="s">
        <v>23</v>
      </c>
      <c r="N1402">
        <v>22</v>
      </c>
      <c r="O1402" t="s">
        <v>34</v>
      </c>
      <c r="P1402" t="s">
        <v>88</v>
      </c>
    </row>
    <row r="1403" spans="1:16" ht="14.5" x14ac:dyDescent="0.35">
      <c r="A1403">
        <v>1402</v>
      </c>
      <c r="B1403">
        <v>23</v>
      </c>
      <c r="C1403" t="s">
        <v>16</v>
      </c>
      <c r="D1403" t="s">
        <v>36</v>
      </c>
      <c r="E1403" t="s">
        <v>37</v>
      </c>
      <c r="F1403">
        <v>59</v>
      </c>
      <c r="G1403" t="s">
        <v>107</v>
      </c>
      <c r="H1403" t="s">
        <v>39</v>
      </c>
      <c r="I1403" t="s">
        <v>135</v>
      </c>
      <c r="J1403" t="s">
        <v>50</v>
      </c>
      <c r="K1403">
        <v>3.5</v>
      </c>
      <c r="L1403" t="s">
        <v>143</v>
      </c>
      <c r="M1403" t="s">
        <v>23</v>
      </c>
      <c r="N1403">
        <v>1</v>
      </c>
      <c r="O1403" t="s">
        <v>40</v>
      </c>
      <c r="P1403" t="s">
        <v>35</v>
      </c>
    </row>
    <row r="1404" spans="1:16" ht="14.5" x14ac:dyDescent="0.35">
      <c r="A1404">
        <v>1403</v>
      </c>
      <c r="B1404">
        <v>62</v>
      </c>
      <c r="C1404" t="s">
        <v>16</v>
      </c>
      <c r="D1404" t="s">
        <v>80</v>
      </c>
      <c r="E1404" t="s">
        <v>60</v>
      </c>
      <c r="F1404">
        <v>21</v>
      </c>
      <c r="G1404" t="s">
        <v>105</v>
      </c>
      <c r="H1404" t="s">
        <v>20</v>
      </c>
      <c r="I1404" t="s">
        <v>46</v>
      </c>
      <c r="J1404" t="s">
        <v>47</v>
      </c>
      <c r="K1404">
        <v>3.1</v>
      </c>
      <c r="L1404" t="s">
        <v>143</v>
      </c>
      <c r="M1404" t="s">
        <v>23</v>
      </c>
      <c r="N1404">
        <v>47</v>
      </c>
      <c r="O1404" t="s">
        <v>40</v>
      </c>
      <c r="P1404" t="s">
        <v>79</v>
      </c>
    </row>
    <row r="1405" spans="1:16" ht="14.5" x14ac:dyDescent="0.35">
      <c r="A1405">
        <v>1404</v>
      </c>
      <c r="B1405">
        <v>26</v>
      </c>
      <c r="C1405" t="s">
        <v>16</v>
      </c>
      <c r="D1405" t="s">
        <v>123</v>
      </c>
      <c r="E1405" t="s">
        <v>60</v>
      </c>
      <c r="F1405">
        <v>20</v>
      </c>
      <c r="G1405" t="s">
        <v>133</v>
      </c>
      <c r="H1405" t="s">
        <v>39</v>
      </c>
      <c r="I1405" t="s">
        <v>91</v>
      </c>
      <c r="J1405" t="s">
        <v>33</v>
      </c>
      <c r="K1405">
        <v>3.6</v>
      </c>
      <c r="L1405" t="s">
        <v>143</v>
      </c>
      <c r="M1405" t="s">
        <v>23</v>
      </c>
      <c r="N1405">
        <v>20</v>
      </c>
      <c r="O1405" t="s">
        <v>34</v>
      </c>
      <c r="P1405" t="s">
        <v>67</v>
      </c>
    </row>
    <row r="1406" spans="1:16" ht="14.5" x14ac:dyDescent="0.35">
      <c r="A1406">
        <v>1405</v>
      </c>
      <c r="B1406">
        <v>36</v>
      </c>
      <c r="C1406" t="s">
        <v>16</v>
      </c>
      <c r="D1406" t="s">
        <v>97</v>
      </c>
      <c r="E1406" t="s">
        <v>60</v>
      </c>
      <c r="F1406">
        <v>28</v>
      </c>
      <c r="G1406" t="s">
        <v>121</v>
      </c>
      <c r="H1406" t="s">
        <v>39</v>
      </c>
      <c r="I1406" t="s">
        <v>54</v>
      </c>
      <c r="J1406" t="s">
        <v>22</v>
      </c>
      <c r="K1406">
        <v>3.5</v>
      </c>
      <c r="L1406" t="s">
        <v>143</v>
      </c>
      <c r="M1406" t="s">
        <v>23</v>
      </c>
      <c r="N1406">
        <v>10</v>
      </c>
      <c r="O1406" t="s">
        <v>77</v>
      </c>
      <c r="P1406" t="s">
        <v>35</v>
      </c>
    </row>
    <row r="1407" spans="1:16" ht="14.5" x14ac:dyDescent="0.35">
      <c r="A1407">
        <v>1406</v>
      </c>
      <c r="B1407">
        <v>33</v>
      </c>
      <c r="C1407" t="s">
        <v>16</v>
      </c>
      <c r="D1407" t="s">
        <v>116</v>
      </c>
      <c r="E1407" t="s">
        <v>18</v>
      </c>
      <c r="F1407">
        <v>100</v>
      </c>
      <c r="G1407" t="s">
        <v>73</v>
      </c>
      <c r="H1407" t="s">
        <v>39</v>
      </c>
      <c r="I1407" t="s">
        <v>91</v>
      </c>
      <c r="J1407" t="s">
        <v>22</v>
      </c>
      <c r="K1407">
        <v>2.7</v>
      </c>
      <c r="L1407" t="s">
        <v>143</v>
      </c>
      <c r="M1407" t="s">
        <v>23</v>
      </c>
      <c r="N1407">
        <v>39</v>
      </c>
      <c r="O1407" t="s">
        <v>34</v>
      </c>
      <c r="P1407" t="s">
        <v>79</v>
      </c>
    </row>
    <row r="1408" spans="1:16" ht="14.5" x14ac:dyDescent="0.35">
      <c r="A1408">
        <v>1407</v>
      </c>
      <c r="B1408">
        <v>32</v>
      </c>
      <c r="C1408" t="s">
        <v>16</v>
      </c>
      <c r="D1408" t="s">
        <v>48</v>
      </c>
      <c r="E1408" t="s">
        <v>18</v>
      </c>
      <c r="F1408">
        <v>46</v>
      </c>
      <c r="G1408" t="s">
        <v>140</v>
      </c>
      <c r="H1408" t="s">
        <v>20</v>
      </c>
      <c r="I1408" t="s">
        <v>42</v>
      </c>
      <c r="J1408" t="s">
        <v>33</v>
      </c>
      <c r="K1408">
        <v>3.6</v>
      </c>
      <c r="L1408" t="s">
        <v>143</v>
      </c>
      <c r="M1408" t="s">
        <v>23</v>
      </c>
      <c r="N1408">
        <v>15</v>
      </c>
      <c r="O1408" t="s">
        <v>77</v>
      </c>
      <c r="P1408" t="s">
        <v>79</v>
      </c>
    </row>
    <row r="1409" spans="1:16" ht="14.5" x14ac:dyDescent="0.35">
      <c r="A1409">
        <v>1408</v>
      </c>
      <c r="B1409">
        <v>56</v>
      </c>
      <c r="C1409" t="s">
        <v>16</v>
      </c>
      <c r="D1409" t="s">
        <v>59</v>
      </c>
      <c r="E1409" t="s">
        <v>60</v>
      </c>
      <c r="F1409">
        <v>61</v>
      </c>
      <c r="G1409" t="s">
        <v>98</v>
      </c>
      <c r="H1409" t="s">
        <v>83</v>
      </c>
      <c r="I1409" t="s">
        <v>54</v>
      </c>
      <c r="J1409" t="s">
        <v>33</v>
      </c>
      <c r="K1409">
        <v>4.5</v>
      </c>
      <c r="L1409" t="s">
        <v>143</v>
      </c>
      <c r="M1409" t="s">
        <v>23</v>
      </c>
      <c r="N1409">
        <v>11</v>
      </c>
      <c r="O1409" t="s">
        <v>34</v>
      </c>
      <c r="P1409" t="s">
        <v>43</v>
      </c>
    </row>
    <row r="1410" spans="1:16" ht="14.5" x14ac:dyDescent="0.35">
      <c r="A1410">
        <v>1409</v>
      </c>
      <c r="B1410">
        <v>58</v>
      </c>
      <c r="C1410" t="s">
        <v>16</v>
      </c>
      <c r="D1410" t="s">
        <v>17</v>
      </c>
      <c r="E1410" t="s">
        <v>18</v>
      </c>
      <c r="F1410">
        <v>58</v>
      </c>
      <c r="G1410" t="s">
        <v>27</v>
      </c>
      <c r="H1410" t="s">
        <v>39</v>
      </c>
      <c r="I1410" t="s">
        <v>125</v>
      </c>
      <c r="J1410" t="s">
        <v>22</v>
      </c>
      <c r="K1410">
        <v>4.0999999999999996</v>
      </c>
      <c r="L1410" t="s">
        <v>143</v>
      </c>
      <c r="M1410" t="s">
        <v>23</v>
      </c>
      <c r="N1410">
        <v>38</v>
      </c>
      <c r="O1410" t="s">
        <v>24</v>
      </c>
      <c r="P1410" t="s">
        <v>35</v>
      </c>
    </row>
    <row r="1411" spans="1:16" ht="14.5" x14ac:dyDescent="0.35">
      <c r="A1411">
        <v>1410</v>
      </c>
      <c r="B1411">
        <v>34</v>
      </c>
      <c r="C1411" t="s">
        <v>16</v>
      </c>
      <c r="D1411" t="s">
        <v>123</v>
      </c>
      <c r="E1411" t="s">
        <v>60</v>
      </c>
      <c r="F1411">
        <v>50</v>
      </c>
      <c r="G1411" t="s">
        <v>126</v>
      </c>
      <c r="H1411" t="s">
        <v>39</v>
      </c>
      <c r="I1411" t="s">
        <v>135</v>
      </c>
      <c r="J1411" t="s">
        <v>33</v>
      </c>
      <c r="K1411">
        <v>4.2</v>
      </c>
      <c r="L1411" t="s">
        <v>143</v>
      </c>
      <c r="M1411" t="s">
        <v>23</v>
      </c>
      <c r="N1411">
        <v>41</v>
      </c>
      <c r="O1411" t="s">
        <v>29</v>
      </c>
      <c r="P1411" t="s">
        <v>25</v>
      </c>
    </row>
    <row r="1412" spans="1:16" ht="14.5" x14ac:dyDescent="0.35">
      <c r="A1412">
        <v>1411</v>
      </c>
      <c r="B1412">
        <v>61</v>
      </c>
      <c r="C1412" t="s">
        <v>16</v>
      </c>
      <c r="D1412" t="s">
        <v>115</v>
      </c>
      <c r="E1412" t="s">
        <v>60</v>
      </c>
      <c r="F1412">
        <v>93</v>
      </c>
      <c r="G1412" t="s">
        <v>113</v>
      </c>
      <c r="H1412" t="s">
        <v>39</v>
      </c>
      <c r="I1412" t="s">
        <v>65</v>
      </c>
      <c r="J1412" t="s">
        <v>47</v>
      </c>
      <c r="K1412">
        <v>4</v>
      </c>
      <c r="L1412" t="s">
        <v>143</v>
      </c>
      <c r="M1412" t="s">
        <v>23</v>
      </c>
      <c r="N1412">
        <v>18</v>
      </c>
      <c r="O1412" t="s">
        <v>77</v>
      </c>
      <c r="P1412" t="s">
        <v>43</v>
      </c>
    </row>
    <row r="1413" spans="1:16" ht="14.5" x14ac:dyDescent="0.35">
      <c r="A1413">
        <v>1412</v>
      </c>
      <c r="B1413">
        <v>48</v>
      </c>
      <c r="C1413" t="s">
        <v>16</v>
      </c>
      <c r="D1413" t="s">
        <v>78</v>
      </c>
      <c r="E1413" t="s">
        <v>18</v>
      </c>
      <c r="F1413">
        <v>24</v>
      </c>
      <c r="G1413" t="s">
        <v>53</v>
      </c>
      <c r="H1413" t="s">
        <v>20</v>
      </c>
      <c r="I1413" t="s">
        <v>87</v>
      </c>
      <c r="J1413" t="s">
        <v>47</v>
      </c>
      <c r="K1413">
        <v>2.8</v>
      </c>
      <c r="L1413" t="s">
        <v>143</v>
      </c>
      <c r="M1413" t="s">
        <v>23</v>
      </c>
      <c r="N1413">
        <v>13</v>
      </c>
      <c r="O1413" t="s">
        <v>24</v>
      </c>
      <c r="P1413" t="s">
        <v>51</v>
      </c>
    </row>
    <row r="1414" spans="1:16" ht="14.5" x14ac:dyDescent="0.35">
      <c r="A1414">
        <v>1413</v>
      </c>
      <c r="B1414">
        <v>25</v>
      </c>
      <c r="C1414" t="s">
        <v>16</v>
      </c>
      <c r="D1414" t="s">
        <v>52</v>
      </c>
      <c r="E1414" t="s">
        <v>18</v>
      </c>
      <c r="F1414">
        <v>100</v>
      </c>
      <c r="G1414" t="s">
        <v>142</v>
      </c>
      <c r="H1414" t="s">
        <v>39</v>
      </c>
      <c r="I1414" t="s">
        <v>54</v>
      </c>
      <c r="J1414" t="s">
        <v>47</v>
      </c>
      <c r="K1414">
        <v>2.6</v>
      </c>
      <c r="L1414" t="s">
        <v>143</v>
      </c>
      <c r="M1414" t="s">
        <v>23</v>
      </c>
      <c r="N1414">
        <v>43</v>
      </c>
      <c r="O1414" t="s">
        <v>24</v>
      </c>
      <c r="P1414" t="s">
        <v>43</v>
      </c>
    </row>
    <row r="1415" spans="1:16" ht="14.5" x14ac:dyDescent="0.35">
      <c r="A1415">
        <v>1414</v>
      </c>
      <c r="B1415">
        <v>51</v>
      </c>
      <c r="C1415" t="s">
        <v>16</v>
      </c>
      <c r="D1415" t="s">
        <v>17</v>
      </c>
      <c r="E1415" t="s">
        <v>18</v>
      </c>
      <c r="F1415">
        <v>79</v>
      </c>
      <c r="G1415" t="s">
        <v>73</v>
      </c>
      <c r="H1415" t="s">
        <v>32</v>
      </c>
      <c r="I1415" t="s">
        <v>117</v>
      </c>
      <c r="J1415" t="s">
        <v>50</v>
      </c>
      <c r="K1415">
        <v>2.7</v>
      </c>
      <c r="L1415" t="s">
        <v>143</v>
      </c>
      <c r="M1415" t="s">
        <v>23</v>
      </c>
      <c r="N1415">
        <v>12</v>
      </c>
      <c r="O1415" t="s">
        <v>66</v>
      </c>
      <c r="P1415" t="s">
        <v>51</v>
      </c>
    </row>
    <row r="1416" spans="1:16" ht="14.5" x14ac:dyDescent="0.35">
      <c r="A1416">
        <v>1415</v>
      </c>
      <c r="B1416">
        <v>29</v>
      </c>
      <c r="C1416" t="s">
        <v>16</v>
      </c>
      <c r="D1416" t="s">
        <v>116</v>
      </c>
      <c r="E1416" t="s">
        <v>18</v>
      </c>
      <c r="F1416">
        <v>51</v>
      </c>
      <c r="G1416" t="s">
        <v>139</v>
      </c>
      <c r="H1416" t="s">
        <v>39</v>
      </c>
      <c r="I1416" t="s">
        <v>85</v>
      </c>
      <c r="J1416" t="s">
        <v>47</v>
      </c>
      <c r="K1416">
        <v>4.5</v>
      </c>
      <c r="L1416" t="s">
        <v>143</v>
      </c>
      <c r="M1416" t="s">
        <v>23</v>
      </c>
      <c r="N1416">
        <v>3</v>
      </c>
      <c r="O1416" t="s">
        <v>34</v>
      </c>
      <c r="P1416" t="s">
        <v>67</v>
      </c>
    </row>
    <row r="1417" spans="1:16" ht="14.5" x14ac:dyDescent="0.35">
      <c r="A1417">
        <v>1416</v>
      </c>
      <c r="B1417">
        <v>54</v>
      </c>
      <c r="C1417" t="s">
        <v>16</v>
      </c>
      <c r="D1417" t="s">
        <v>124</v>
      </c>
      <c r="E1417" t="s">
        <v>60</v>
      </c>
      <c r="F1417">
        <v>90</v>
      </c>
      <c r="G1417" t="s">
        <v>106</v>
      </c>
      <c r="H1417" t="s">
        <v>39</v>
      </c>
      <c r="I1417" t="s">
        <v>135</v>
      </c>
      <c r="J1417" t="s">
        <v>22</v>
      </c>
      <c r="K1417">
        <v>3.7</v>
      </c>
      <c r="L1417" t="s">
        <v>143</v>
      </c>
      <c r="M1417" t="s">
        <v>23</v>
      </c>
      <c r="N1417">
        <v>12</v>
      </c>
      <c r="O1417" t="s">
        <v>34</v>
      </c>
      <c r="P1417" t="s">
        <v>88</v>
      </c>
    </row>
    <row r="1418" spans="1:16" ht="14.5" x14ac:dyDescent="0.35">
      <c r="A1418">
        <v>1417</v>
      </c>
      <c r="B1418">
        <v>48</v>
      </c>
      <c r="C1418" t="s">
        <v>16</v>
      </c>
      <c r="D1418" t="s">
        <v>128</v>
      </c>
      <c r="E1418" t="s">
        <v>37</v>
      </c>
      <c r="F1418">
        <v>56</v>
      </c>
      <c r="G1418" t="s">
        <v>126</v>
      </c>
      <c r="H1418" t="s">
        <v>20</v>
      </c>
      <c r="I1418" t="s">
        <v>58</v>
      </c>
      <c r="J1418" t="s">
        <v>47</v>
      </c>
      <c r="K1418">
        <v>3.4</v>
      </c>
      <c r="L1418" t="s">
        <v>143</v>
      </c>
      <c r="M1418" t="s">
        <v>23</v>
      </c>
      <c r="N1418">
        <v>46</v>
      </c>
      <c r="O1418" t="s">
        <v>29</v>
      </c>
      <c r="P1418" t="s">
        <v>51</v>
      </c>
    </row>
    <row r="1419" spans="1:16" ht="14.5" x14ac:dyDescent="0.35">
      <c r="A1419">
        <v>1418</v>
      </c>
      <c r="B1419">
        <v>62</v>
      </c>
      <c r="C1419" t="s">
        <v>16</v>
      </c>
      <c r="D1419" t="s">
        <v>52</v>
      </c>
      <c r="E1419" t="s">
        <v>18</v>
      </c>
      <c r="F1419">
        <v>25</v>
      </c>
      <c r="G1419" t="s">
        <v>49</v>
      </c>
      <c r="H1419" t="s">
        <v>32</v>
      </c>
      <c r="I1419" t="s">
        <v>101</v>
      </c>
      <c r="J1419" t="s">
        <v>33</v>
      </c>
      <c r="K1419">
        <v>4.5999999999999996</v>
      </c>
      <c r="L1419" t="s">
        <v>143</v>
      </c>
      <c r="M1419" t="s">
        <v>23</v>
      </c>
      <c r="N1419">
        <v>21</v>
      </c>
      <c r="O1419" t="s">
        <v>77</v>
      </c>
      <c r="P1419" t="s">
        <v>25</v>
      </c>
    </row>
    <row r="1420" spans="1:16" ht="14.5" x14ac:dyDescent="0.35">
      <c r="A1420">
        <v>1419</v>
      </c>
      <c r="B1420">
        <v>18</v>
      </c>
      <c r="C1420" t="s">
        <v>16</v>
      </c>
      <c r="D1420" t="s">
        <v>48</v>
      </c>
      <c r="E1420" t="s">
        <v>18</v>
      </c>
      <c r="F1420">
        <v>75</v>
      </c>
      <c r="G1420" t="s">
        <v>81</v>
      </c>
      <c r="H1420" t="s">
        <v>39</v>
      </c>
      <c r="I1420" t="s">
        <v>74</v>
      </c>
      <c r="J1420" t="s">
        <v>47</v>
      </c>
      <c r="K1420">
        <v>4.0999999999999996</v>
      </c>
      <c r="L1420" t="s">
        <v>143</v>
      </c>
      <c r="M1420" t="s">
        <v>23</v>
      </c>
      <c r="N1420">
        <v>23</v>
      </c>
      <c r="O1420" t="s">
        <v>24</v>
      </c>
      <c r="P1420" t="s">
        <v>88</v>
      </c>
    </row>
    <row r="1421" spans="1:16" ht="14.5" x14ac:dyDescent="0.35">
      <c r="A1421">
        <v>1420</v>
      </c>
      <c r="B1421">
        <v>43</v>
      </c>
      <c r="C1421" t="s">
        <v>16</v>
      </c>
      <c r="D1421" t="s">
        <v>59</v>
      </c>
      <c r="E1421" t="s">
        <v>60</v>
      </c>
      <c r="F1421">
        <v>75</v>
      </c>
      <c r="G1421" t="s">
        <v>49</v>
      </c>
      <c r="H1421" t="s">
        <v>39</v>
      </c>
      <c r="I1421" t="s">
        <v>112</v>
      </c>
      <c r="J1421" t="s">
        <v>47</v>
      </c>
      <c r="K1421">
        <v>2.6</v>
      </c>
      <c r="L1421" t="s">
        <v>143</v>
      </c>
      <c r="M1421" t="s">
        <v>23</v>
      </c>
      <c r="N1421">
        <v>4</v>
      </c>
      <c r="O1421" t="s">
        <v>77</v>
      </c>
      <c r="P1421" t="s">
        <v>51</v>
      </c>
    </row>
    <row r="1422" spans="1:16" ht="14.5" x14ac:dyDescent="0.35">
      <c r="A1422">
        <v>1421</v>
      </c>
      <c r="B1422">
        <v>22</v>
      </c>
      <c r="C1422" t="s">
        <v>16</v>
      </c>
      <c r="D1422" t="s">
        <v>30</v>
      </c>
      <c r="E1422" t="s">
        <v>18</v>
      </c>
      <c r="F1422">
        <v>53</v>
      </c>
      <c r="G1422" t="s">
        <v>90</v>
      </c>
      <c r="H1422" t="s">
        <v>83</v>
      </c>
      <c r="I1422" t="s">
        <v>21</v>
      </c>
      <c r="J1422" t="s">
        <v>47</v>
      </c>
      <c r="K1422">
        <v>4.5999999999999996</v>
      </c>
      <c r="L1422" t="s">
        <v>143</v>
      </c>
      <c r="M1422" t="s">
        <v>23</v>
      </c>
      <c r="N1422">
        <v>45</v>
      </c>
      <c r="O1422" t="s">
        <v>40</v>
      </c>
      <c r="P1422" t="s">
        <v>88</v>
      </c>
    </row>
    <row r="1423" spans="1:16" ht="14.5" x14ac:dyDescent="0.35">
      <c r="A1423">
        <v>1422</v>
      </c>
      <c r="B1423">
        <v>68</v>
      </c>
      <c r="C1423" t="s">
        <v>16</v>
      </c>
      <c r="D1423" t="s">
        <v>72</v>
      </c>
      <c r="E1423" t="s">
        <v>18</v>
      </c>
      <c r="F1423">
        <v>100</v>
      </c>
      <c r="G1423" t="s">
        <v>129</v>
      </c>
      <c r="H1423" t="s">
        <v>32</v>
      </c>
      <c r="I1423" t="s">
        <v>71</v>
      </c>
      <c r="J1423" t="s">
        <v>33</v>
      </c>
      <c r="K1423">
        <v>3</v>
      </c>
      <c r="L1423" t="s">
        <v>143</v>
      </c>
      <c r="M1423" t="s">
        <v>23</v>
      </c>
      <c r="N1423">
        <v>24</v>
      </c>
      <c r="O1423" t="s">
        <v>66</v>
      </c>
      <c r="P1423" t="s">
        <v>25</v>
      </c>
    </row>
    <row r="1424" spans="1:16" ht="14.5" x14ac:dyDescent="0.35">
      <c r="A1424">
        <v>1423</v>
      </c>
      <c r="B1424">
        <v>44</v>
      </c>
      <c r="C1424" t="s">
        <v>16</v>
      </c>
      <c r="D1424" t="s">
        <v>72</v>
      </c>
      <c r="E1424" t="s">
        <v>18</v>
      </c>
      <c r="F1424">
        <v>27</v>
      </c>
      <c r="G1424" t="s">
        <v>96</v>
      </c>
      <c r="H1424" t="s">
        <v>20</v>
      </c>
      <c r="I1424" t="s">
        <v>54</v>
      </c>
      <c r="J1424" t="s">
        <v>50</v>
      </c>
      <c r="K1424">
        <v>3.4</v>
      </c>
      <c r="L1424" t="s">
        <v>143</v>
      </c>
      <c r="M1424" t="s">
        <v>23</v>
      </c>
      <c r="N1424">
        <v>3</v>
      </c>
      <c r="O1424" t="s">
        <v>40</v>
      </c>
      <c r="P1424" t="s">
        <v>67</v>
      </c>
    </row>
    <row r="1425" spans="1:16" ht="14.5" x14ac:dyDescent="0.35">
      <c r="A1425">
        <v>1424</v>
      </c>
      <c r="B1425">
        <v>51</v>
      </c>
      <c r="C1425" t="s">
        <v>16</v>
      </c>
      <c r="D1425" t="s">
        <v>36</v>
      </c>
      <c r="E1425" t="s">
        <v>37</v>
      </c>
      <c r="F1425">
        <v>60</v>
      </c>
      <c r="G1425" t="s">
        <v>142</v>
      </c>
      <c r="H1425" t="s">
        <v>32</v>
      </c>
      <c r="I1425" t="s">
        <v>85</v>
      </c>
      <c r="J1425" t="s">
        <v>50</v>
      </c>
      <c r="K1425">
        <v>3.5</v>
      </c>
      <c r="L1425" t="s">
        <v>143</v>
      </c>
      <c r="M1425" t="s">
        <v>23</v>
      </c>
      <c r="N1425">
        <v>12</v>
      </c>
      <c r="O1425" t="s">
        <v>24</v>
      </c>
      <c r="P1425" t="s">
        <v>88</v>
      </c>
    </row>
    <row r="1426" spans="1:16" ht="14.5" x14ac:dyDescent="0.35">
      <c r="A1426">
        <v>1425</v>
      </c>
      <c r="B1426">
        <v>66</v>
      </c>
      <c r="C1426" t="s">
        <v>16</v>
      </c>
      <c r="D1426" t="s">
        <v>93</v>
      </c>
      <c r="E1426" t="s">
        <v>56</v>
      </c>
      <c r="F1426">
        <v>23</v>
      </c>
      <c r="G1426" t="s">
        <v>130</v>
      </c>
      <c r="H1426" t="s">
        <v>32</v>
      </c>
      <c r="I1426" t="s">
        <v>117</v>
      </c>
      <c r="J1426" t="s">
        <v>50</v>
      </c>
      <c r="K1426">
        <v>3.5</v>
      </c>
      <c r="L1426" t="s">
        <v>143</v>
      </c>
      <c r="M1426" t="s">
        <v>23</v>
      </c>
      <c r="N1426">
        <v>34</v>
      </c>
      <c r="O1426" t="s">
        <v>66</v>
      </c>
      <c r="P1426" t="s">
        <v>88</v>
      </c>
    </row>
    <row r="1427" spans="1:16" ht="14.5" x14ac:dyDescent="0.35">
      <c r="A1427">
        <v>1426</v>
      </c>
      <c r="B1427">
        <v>59</v>
      </c>
      <c r="C1427" t="s">
        <v>16</v>
      </c>
      <c r="D1427" t="s">
        <v>55</v>
      </c>
      <c r="E1427" t="s">
        <v>56</v>
      </c>
      <c r="F1427">
        <v>40</v>
      </c>
      <c r="G1427" t="s">
        <v>45</v>
      </c>
      <c r="H1427" t="s">
        <v>32</v>
      </c>
      <c r="I1427" t="s">
        <v>46</v>
      </c>
      <c r="J1427" t="s">
        <v>22</v>
      </c>
      <c r="K1427">
        <v>3.7</v>
      </c>
      <c r="L1427" t="s">
        <v>143</v>
      </c>
      <c r="M1427" t="s">
        <v>23</v>
      </c>
      <c r="N1427">
        <v>39</v>
      </c>
      <c r="O1427" t="s">
        <v>34</v>
      </c>
      <c r="P1427" t="s">
        <v>43</v>
      </c>
    </row>
    <row r="1428" spans="1:16" ht="14.5" x14ac:dyDescent="0.35">
      <c r="A1428">
        <v>1427</v>
      </c>
      <c r="B1428">
        <v>60</v>
      </c>
      <c r="C1428" t="s">
        <v>16</v>
      </c>
      <c r="D1428" t="s">
        <v>86</v>
      </c>
      <c r="E1428" t="s">
        <v>18</v>
      </c>
      <c r="F1428">
        <v>38</v>
      </c>
      <c r="G1428" t="s">
        <v>142</v>
      </c>
      <c r="H1428" t="s">
        <v>39</v>
      </c>
      <c r="I1428" t="s">
        <v>125</v>
      </c>
      <c r="J1428" t="s">
        <v>47</v>
      </c>
      <c r="K1428">
        <v>4.8</v>
      </c>
      <c r="L1428" t="s">
        <v>143</v>
      </c>
      <c r="M1428" t="s">
        <v>23</v>
      </c>
      <c r="N1428">
        <v>35</v>
      </c>
      <c r="O1428" t="s">
        <v>40</v>
      </c>
      <c r="P1428" t="s">
        <v>88</v>
      </c>
    </row>
    <row r="1429" spans="1:16" ht="14.5" x14ac:dyDescent="0.35">
      <c r="A1429">
        <v>1428</v>
      </c>
      <c r="B1429">
        <v>31</v>
      </c>
      <c r="C1429" t="s">
        <v>16</v>
      </c>
      <c r="D1429" t="s">
        <v>123</v>
      </c>
      <c r="E1429" t="s">
        <v>60</v>
      </c>
      <c r="F1429">
        <v>90</v>
      </c>
      <c r="G1429" t="s">
        <v>138</v>
      </c>
      <c r="H1429" t="s">
        <v>32</v>
      </c>
      <c r="I1429" t="s">
        <v>112</v>
      </c>
      <c r="J1429" t="s">
        <v>47</v>
      </c>
      <c r="K1429">
        <v>4.9000000000000004</v>
      </c>
      <c r="L1429" t="s">
        <v>143</v>
      </c>
      <c r="M1429" t="s">
        <v>23</v>
      </c>
      <c r="N1429">
        <v>8</v>
      </c>
      <c r="O1429" t="s">
        <v>34</v>
      </c>
      <c r="P1429" t="s">
        <v>43</v>
      </c>
    </row>
    <row r="1430" spans="1:16" ht="14.5" x14ac:dyDescent="0.35">
      <c r="A1430">
        <v>1429</v>
      </c>
      <c r="B1430">
        <v>20</v>
      </c>
      <c r="C1430" t="s">
        <v>16</v>
      </c>
      <c r="D1430" t="s">
        <v>17</v>
      </c>
      <c r="E1430" t="s">
        <v>18</v>
      </c>
      <c r="F1430">
        <v>97</v>
      </c>
      <c r="G1430" t="s">
        <v>105</v>
      </c>
      <c r="H1430" t="s">
        <v>32</v>
      </c>
      <c r="I1430" t="s">
        <v>87</v>
      </c>
      <c r="J1430" t="s">
        <v>47</v>
      </c>
      <c r="K1430">
        <v>4.9000000000000004</v>
      </c>
      <c r="L1430" t="s">
        <v>143</v>
      </c>
      <c r="M1430" t="s">
        <v>23</v>
      </c>
      <c r="N1430">
        <v>42</v>
      </c>
      <c r="O1430" t="s">
        <v>40</v>
      </c>
      <c r="P1430" t="s">
        <v>51</v>
      </c>
    </row>
    <row r="1431" spans="1:16" ht="14.5" x14ac:dyDescent="0.35">
      <c r="A1431">
        <v>1430</v>
      </c>
      <c r="B1431">
        <v>24</v>
      </c>
      <c r="C1431" t="s">
        <v>16</v>
      </c>
      <c r="D1431" t="s">
        <v>78</v>
      </c>
      <c r="E1431" t="s">
        <v>18</v>
      </c>
      <c r="F1431">
        <v>38</v>
      </c>
      <c r="G1431" t="s">
        <v>119</v>
      </c>
      <c r="H1431" t="s">
        <v>20</v>
      </c>
      <c r="I1431" t="s">
        <v>71</v>
      </c>
      <c r="J1431" t="s">
        <v>50</v>
      </c>
      <c r="K1431">
        <v>4.7</v>
      </c>
      <c r="L1431" t="s">
        <v>143</v>
      </c>
      <c r="M1431" t="s">
        <v>23</v>
      </c>
      <c r="N1431">
        <v>6</v>
      </c>
      <c r="O1431" t="s">
        <v>34</v>
      </c>
      <c r="P1431" t="s">
        <v>88</v>
      </c>
    </row>
    <row r="1432" spans="1:16" ht="14.5" x14ac:dyDescent="0.35">
      <c r="A1432">
        <v>1431</v>
      </c>
      <c r="B1432">
        <v>48</v>
      </c>
      <c r="C1432" t="s">
        <v>16</v>
      </c>
      <c r="D1432" t="s">
        <v>36</v>
      </c>
      <c r="E1432" t="s">
        <v>37</v>
      </c>
      <c r="F1432">
        <v>30</v>
      </c>
      <c r="G1432" t="s">
        <v>142</v>
      </c>
      <c r="H1432" t="s">
        <v>32</v>
      </c>
      <c r="I1432" t="s">
        <v>112</v>
      </c>
      <c r="J1432" t="s">
        <v>47</v>
      </c>
      <c r="K1432">
        <v>4.9000000000000004</v>
      </c>
      <c r="L1432" t="s">
        <v>143</v>
      </c>
      <c r="M1432" t="s">
        <v>23</v>
      </c>
      <c r="N1432">
        <v>3</v>
      </c>
      <c r="O1432" t="s">
        <v>34</v>
      </c>
      <c r="P1432" t="s">
        <v>25</v>
      </c>
    </row>
    <row r="1433" spans="1:16" ht="14.5" x14ac:dyDescent="0.35">
      <c r="A1433">
        <v>1432</v>
      </c>
      <c r="B1433">
        <v>39</v>
      </c>
      <c r="C1433" t="s">
        <v>16</v>
      </c>
      <c r="D1433" t="s">
        <v>86</v>
      </c>
      <c r="E1433" t="s">
        <v>18</v>
      </c>
      <c r="F1433">
        <v>88</v>
      </c>
      <c r="G1433" t="s">
        <v>138</v>
      </c>
      <c r="H1433" t="s">
        <v>39</v>
      </c>
      <c r="I1433" t="s">
        <v>100</v>
      </c>
      <c r="J1433" t="s">
        <v>50</v>
      </c>
      <c r="K1433">
        <v>2.9</v>
      </c>
      <c r="L1433" t="s">
        <v>143</v>
      </c>
      <c r="M1433" t="s">
        <v>23</v>
      </c>
      <c r="N1433">
        <v>29</v>
      </c>
      <c r="O1433" t="s">
        <v>24</v>
      </c>
      <c r="P1433" t="s">
        <v>51</v>
      </c>
    </row>
    <row r="1434" spans="1:16" ht="14.5" x14ac:dyDescent="0.35">
      <c r="A1434">
        <v>1433</v>
      </c>
      <c r="B1434">
        <v>34</v>
      </c>
      <c r="C1434" t="s">
        <v>16</v>
      </c>
      <c r="D1434" t="s">
        <v>115</v>
      </c>
      <c r="E1434" t="s">
        <v>60</v>
      </c>
      <c r="F1434">
        <v>33</v>
      </c>
      <c r="G1434" t="s">
        <v>94</v>
      </c>
      <c r="H1434" t="s">
        <v>20</v>
      </c>
      <c r="I1434" t="s">
        <v>85</v>
      </c>
      <c r="J1434" t="s">
        <v>22</v>
      </c>
      <c r="K1434">
        <v>4.4000000000000004</v>
      </c>
      <c r="L1434" t="s">
        <v>143</v>
      </c>
      <c r="M1434" t="s">
        <v>23</v>
      </c>
      <c r="N1434">
        <v>32</v>
      </c>
      <c r="O1434" t="s">
        <v>77</v>
      </c>
      <c r="P1434" t="s">
        <v>51</v>
      </c>
    </row>
    <row r="1435" spans="1:16" ht="14.5" x14ac:dyDescent="0.35">
      <c r="A1435">
        <v>1434</v>
      </c>
      <c r="B1435">
        <v>70</v>
      </c>
      <c r="C1435" t="s">
        <v>16</v>
      </c>
      <c r="D1435" t="s">
        <v>95</v>
      </c>
      <c r="E1435" t="s">
        <v>18</v>
      </c>
      <c r="F1435">
        <v>60</v>
      </c>
      <c r="G1435" t="s">
        <v>139</v>
      </c>
      <c r="H1435" t="s">
        <v>20</v>
      </c>
      <c r="I1435" t="s">
        <v>125</v>
      </c>
      <c r="J1435" t="s">
        <v>22</v>
      </c>
      <c r="K1435">
        <v>3.2</v>
      </c>
      <c r="L1435" t="s">
        <v>143</v>
      </c>
      <c r="M1435" t="s">
        <v>23</v>
      </c>
      <c r="N1435">
        <v>45</v>
      </c>
      <c r="O1435" t="s">
        <v>77</v>
      </c>
      <c r="P1435" t="s">
        <v>35</v>
      </c>
    </row>
    <row r="1436" spans="1:16" ht="14.5" x14ac:dyDescent="0.35">
      <c r="A1436">
        <v>1435</v>
      </c>
      <c r="B1436">
        <v>59</v>
      </c>
      <c r="C1436" t="s">
        <v>16</v>
      </c>
      <c r="D1436" t="s">
        <v>26</v>
      </c>
      <c r="E1436" t="s">
        <v>18</v>
      </c>
      <c r="F1436">
        <v>64</v>
      </c>
      <c r="G1436" t="s">
        <v>75</v>
      </c>
      <c r="H1436" t="s">
        <v>20</v>
      </c>
      <c r="I1436" t="s">
        <v>28</v>
      </c>
      <c r="J1436" t="s">
        <v>47</v>
      </c>
      <c r="K1436">
        <v>4.5999999999999996</v>
      </c>
      <c r="L1436" t="s">
        <v>143</v>
      </c>
      <c r="M1436" t="s">
        <v>23</v>
      </c>
      <c r="N1436">
        <v>21</v>
      </c>
      <c r="O1436" t="s">
        <v>77</v>
      </c>
      <c r="P1436" t="s">
        <v>67</v>
      </c>
    </row>
    <row r="1437" spans="1:16" ht="14.5" x14ac:dyDescent="0.35">
      <c r="A1437">
        <v>1436</v>
      </c>
      <c r="B1437">
        <v>45</v>
      </c>
      <c r="C1437" t="s">
        <v>16</v>
      </c>
      <c r="D1437" t="s">
        <v>110</v>
      </c>
      <c r="E1437" t="s">
        <v>60</v>
      </c>
      <c r="F1437">
        <v>95</v>
      </c>
      <c r="G1437" t="s">
        <v>41</v>
      </c>
      <c r="H1437" t="s">
        <v>83</v>
      </c>
      <c r="I1437" t="s">
        <v>85</v>
      </c>
      <c r="J1437" t="s">
        <v>50</v>
      </c>
      <c r="K1437">
        <v>4</v>
      </c>
      <c r="L1437" t="s">
        <v>143</v>
      </c>
      <c r="M1437" t="s">
        <v>23</v>
      </c>
      <c r="N1437">
        <v>41</v>
      </c>
      <c r="O1437" t="s">
        <v>29</v>
      </c>
      <c r="P1437" t="s">
        <v>35</v>
      </c>
    </row>
    <row r="1438" spans="1:16" ht="14.5" x14ac:dyDescent="0.35">
      <c r="A1438">
        <v>1437</v>
      </c>
      <c r="B1438">
        <v>35</v>
      </c>
      <c r="C1438" t="s">
        <v>16</v>
      </c>
      <c r="D1438" t="s">
        <v>44</v>
      </c>
      <c r="E1438" t="s">
        <v>37</v>
      </c>
      <c r="F1438">
        <v>83</v>
      </c>
      <c r="G1438" t="s">
        <v>139</v>
      </c>
      <c r="H1438" t="s">
        <v>39</v>
      </c>
      <c r="I1438" t="s">
        <v>21</v>
      </c>
      <c r="J1438" t="s">
        <v>22</v>
      </c>
      <c r="K1438">
        <v>3.7</v>
      </c>
      <c r="L1438" t="s">
        <v>143</v>
      </c>
      <c r="M1438" t="s">
        <v>23</v>
      </c>
      <c r="N1438">
        <v>23</v>
      </c>
      <c r="O1438" t="s">
        <v>40</v>
      </c>
      <c r="P1438" t="s">
        <v>25</v>
      </c>
    </row>
    <row r="1439" spans="1:16" ht="14.5" x14ac:dyDescent="0.35">
      <c r="A1439">
        <v>1438</v>
      </c>
      <c r="B1439">
        <v>69</v>
      </c>
      <c r="C1439" t="s">
        <v>16</v>
      </c>
      <c r="D1439" t="s">
        <v>128</v>
      </c>
      <c r="E1439" t="s">
        <v>37</v>
      </c>
      <c r="F1439">
        <v>97</v>
      </c>
      <c r="G1439" t="s">
        <v>49</v>
      </c>
      <c r="H1439" t="s">
        <v>83</v>
      </c>
      <c r="I1439" t="s">
        <v>112</v>
      </c>
      <c r="J1439" t="s">
        <v>22</v>
      </c>
      <c r="K1439">
        <v>4.2</v>
      </c>
      <c r="L1439" t="s">
        <v>143</v>
      </c>
      <c r="M1439" t="s">
        <v>23</v>
      </c>
      <c r="N1439">
        <v>14</v>
      </c>
      <c r="O1439" t="s">
        <v>29</v>
      </c>
      <c r="P1439" t="s">
        <v>43</v>
      </c>
    </row>
    <row r="1440" spans="1:16" ht="14.5" x14ac:dyDescent="0.35">
      <c r="A1440">
        <v>1439</v>
      </c>
      <c r="B1440">
        <v>58</v>
      </c>
      <c r="C1440" t="s">
        <v>16</v>
      </c>
      <c r="D1440" t="s">
        <v>55</v>
      </c>
      <c r="E1440" t="s">
        <v>56</v>
      </c>
      <c r="F1440">
        <v>38</v>
      </c>
      <c r="G1440" t="s">
        <v>140</v>
      </c>
      <c r="H1440" t="s">
        <v>39</v>
      </c>
      <c r="I1440" t="s">
        <v>100</v>
      </c>
      <c r="J1440" t="s">
        <v>33</v>
      </c>
      <c r="K1440">
        <v>2.9</v>
      </c>
      <c r="L1440" t="s">
        <v>143</v>
      </c>
      <c r="M1440" t="s">
        <v>23</v>
      </c>
      <c r="N1440">
        <v>24</v>
      </c>
      <c r="O1440" t="s">
        <v>77</v>
      </c>
      <c r="P1440" t="s">
        <v>79</v>
      </c>
    </row>
    <row r="1441" spans="1:16" ht="14.5" x14ac:dyDescent="0.35">
      <c r="A1441">
        <v>1440</v>
      </c>
      <c r="B1441">
        <v>25</v>
      </c>
      <c r="C1441" t="s">
        <v>16</v>
      </c>
      <c r="D1441" t="s">
        <v>128</v>
      </c>
      <c r="E1441" t="s">
        <v>37</v>
      </c>
      <c r="F1441">
        <v>48</v>
      </c>
      <c r="G1441" t="s">
        <v>121</v>
      </c>
      <c r="H1441" t="s">
        <v>39</v>
      </c>
      <c r="I1441" t="s">
        <v>127</v>
      </c>
      <c r="J1441" t="s">
        <v>47</v>
      </c>
      <c r="K1441">
        <v>4.8</v>
      </c>
      <c r="L1441" t="s">
        <v>143</v>
      </c>
      <c r="M1441" t="s">
        <v>23</v>
      </c>
      <c r="N1441">
        <v>25</v>
      </c>
      <c r="O1441" t="s">
        <v>29</v>
      </c>
      <c r="P1441" t="s">
        <v>25</v>
      </c>
    </row>
    <row r="1442" spans="1:16" ht="14.5" x14ac:dyDescent="0.35">
      <c r="A1442">
        <v>1441</v>
      </c>
      <c r="B1442">
        <v>27</v>
      </c>
      <c r="C1442" t="s">
        <v>16</v>
      </c>
      <c r="D1442" t="s">
        <v>36</v>
      </c>
      <c r="E1442" t="s">
        <v>37</v>
      </c>
      <c r="F1442">
        <v>76</v>
      </c>
      <c r="G1442" t="s">
        <v>108</v>
      </c>
      <c r="H1442" t="s">
        <v>39</v>
      </c>
      <c r="I1442" t="s">
        <v>62</v>
      </c>
      <c r="J1442" t="s">
        <v>33</v>
      </c>
      <c r="K1442">
        <v>4.4000000000000004</v>
      </c>
      <c r="L1442" t="s">
        <v>143</v>
      </c>
      <c r="M1442" t="s">
        <v>23</v>
      </c>
      <c r="N1442">
        <v>13</v>
      </c>
      <c r="O1442" t="s">
        <v>24</v>
      </c>
      <c r="P1442" t="s">
        <v>79</v>
      </c>
    </row>
    <row r="1443" spans="1:16" ht="14.5" x14ac:dyDescent="0.35">
      <c r="A1443">
        <v>1442</v>
      </c>
      <c r="B1443">
        <v>34</v>
      </c>
      <c r="C1443" t="s">
        <v>16</v>
      </c>
      <c r="D1443" t="s">
        <v>86</v>
      </c>
      <c r="E1443" t="s">
        <v>18</v>
      </c>
      <c r="F1443">
        <v>25</v>
      </c>
      <c r="G1443" t="s">
        <v>136</v>
      </c>
      <c r="H1443" t="s">
        <v>32</v>
      </c>
      <c r="I1443" t="s">
        <v>42</v>
      </c>
      <c r="J1443" t="s">
        <v>47</v>
      </c>
      <c r="K1443">
        <v>3.4</v>
      </c>
      <c r="L1443" t="s">
        <v>143</v>
      </c>
      <c r="M1443" t="s">
        <v>23</v>
      </c>
      <c r="N1443">
        <v>3</v>
      </c>
      <c r="O1443" t="s">
        <v>24</v>
      </c>
      <c r="P1443" t="s">
        <v>88</v>
      </c>
    </row>
    <row r="1444" spans="1:16" ht="14.5" x14ac:dyDescent="0.35">
      <c r="A1444">
        <v>1443</v>
      </c>
      <c r="B1444">
        <v>53</v>
      </c>
      <c r="C1444" t="s">
        <v>16</v>
      </c>
      <c r="D1444" t="s">
        <v>95</v>
      </c>
      <c r="E1444" t="s">
        <v>18</v>
      </c>
      <c r="F1444">
        <v>92</v>
      </c>
      <c r="G1444" t="s">
        <v>126</v>
      </c>
      <c r="H1444" t="s">
        <v>32</v>
      </c>
      <c r="I1444" t="s">
        <v>74</v>
      </c>
      <c r="J1444" t="s">
        <v>33</v>
      </c>
      <c r="K1444">
        <v>2.8</v>
      </c>
      <c r="L1444" t="s">
        <v>143</v>
      </c>
      <c r="M1444" t="s">
        <v>23</v>
      </c>
      <c r="N1444">
        <v>42</v>
      </c>
      <c r="O1444" t="s">
        <v>34</v>
      </c>
      <c r="P1444" t="s">
        <v>43</v>
      </c>
    </row>
    <row r="1445" spans="1:16" ht="14.5" x14ac:dyDescent="0.35">
      <c r="A1445">
        <v>1444</v>
      </c>
      <c r="B1445">
        <v>58</v>
      </c>
      <c r="C1445" t="s">
        <v>16</v>
      </c>
      <c r="D1445" t="s">
        <v>36</v>
      </c>
      <c r="E1445" t="s">
        <v>37</v>
      </c>
      <c r="F1445">
        <v>47</v>
      </c>
      <c r="G1445" t="s">
        <v>126</v>
      </c>
      <c r="H1445" t="s">
        <v>20</v>
      </c>
      <c r="I1445" t="s">
        <v>76</v>
      </c>
      <c r="J1445" t="s">
        <v>50</v>
      </c>
      <c r="K1445">
        <v>4.2</v>
      </c>
      <c r="L1445" t="s">
        <v>143</v>
      </c>
      <c r="M1445" t="s">
        <v>23</v>
      </c>
      <c r="N1445">
        <v>2</v>
      </c>
      <c r="O1445" t="s">
        <v>29</v>
      </c>
      <c r="P1445" t="s">
        <v>79</v>
      </c>
    </row>
    <row r="1446" spans="1:16" ht="14.5" x14ac:dyDescent="0.35">
      <c r="A1446">
        <v>1445</v>
      </c>
      <c r="B1446">
        <v>32</v>
      </c>
      <c r="C1446" t="s">
        <v>16</v>
      </c>
      <c r="D1446" t="s">
        <v>26</v>
      </c>
      <c r="E1446" t="s">
        <v>18</v>
      </c>
      <c r="F1446">
        <v>36</v>
      </c>
      <c r="G1446" t="s">
        <v>120</v>
      </c>
      <c r="H1446" t="s">
        <v>20</v>
      </c>
      <c r="I1446" t="s">
        <v>62</v>
      </c>
      <c r="J1446" t="s">
        <v>50</v>
      </c>
      <c r="K1446">
        <v>3.8</v>
      </c>
      <c r="L1446" t="s">
        <v>143</v>
      </c>
      <c r="M1446" t="s">
        <v>23</v>
      </c>
      <c r="N1446">
        <v>26</v>
      </c>
      <c r="O1446" t="s">
        <v>29</v>
      </c>
      <c r="P1446" t="s">
        <v>51</v>
      </c>
    </row>
    <row r="1447" spans="1:16" ht="14.5" x14ac:dyDescent="0.35">
      <c r="A1447">
        <v>1446</v>
      </c>
      <c r="B1447">
        <v>64</v>
      </c>
      <c r="C1447" t="s">
        <v>16</v>
      </c>
      <c r="D1447" t="s">
        <v>124</v>
      </c>
      <c r="E1447" t="s">
        <v>60</v>
      </c>
      <c r="F1447">
        <v>51</v>
      </c>
      <c r="G1447" t="s">
        <v>64</v>
      </c>
      <c r="H1447" t="s">
        <v>39</v>
      </c>
      <c r="I1447" t="s">
        <v>71</v>
      </c>
      <c r="J1447" t="s">
        <v>50</v>
      </c>
      <c r="K1447">
        <v>3.1</v>
      </c>
      <c r="L1447" t="s">
        <v>143</v>
      </c>
      <c r="M1447" t="s">
        <v>23</v>
      </c>
      <c r="N1447">
        <v>24</v>
      </c>
      <c r="O1447" t="s">
        <v>34</v>
      </c>
      <c r="P1447" t="s">
        <v>43</v>
      </c>
    </row>
    <row r="1448" spans="1:16" ht="14.5" x14ac:dyDescent="0.35">
      <c r="A1448">
        <v>1447</v>
      </c>
      <c r="B1448">
        <v>63</v>
      </c>
      <c r="C1448" t="s">
        <v>16</v>
      </c>
      <c r="D1448" t="s">
        <v>30</v>
      </c>
      <c r="E1448" t="s">
        <v>18</v>
      </c>
      <c r="F1448">
        <v>35</v>
      </c>
      <c r="G1448" t="s">
        <v>45</v>
      </c>
      <c r="H1448" t="s">
        <v>83</v>
      </c>
      <c r="I1448" t="s">
        <v>99</v>
      </c>
      <c r="J1448" t="s">
        <v>47</v>
      </c>
      <c r="K1448">
        <v>3.2</v>
      </c>
      <c r="L1448" t="s">
        <v>143</v>
      </c>
      <c r="M1448" t="s">
        <v>23</v>
      </c>
      <c r="N1448">
        <v>6</v>
      </c>
      <c r="O1448" t="s">
        <v>34</v>
      </c>
      <c r="P1448" t="s">
        <v>51</v>
      </c>
    </row>
    <row r="1449" spans="1:16" ht="14.5" x14ac:dyDescent="0.35">
      <c r="A1449">
        <v>1448</v>
      </c>
      <c r="B1449">
        <v>23</v>
      </c>
      <c r="C1449" t="s">
        <v>16</v>
      </c>
      <c r="D1449" t="s">
        <v>95</v>
      </c>
      <c r="E1449" t="s">
        <v>18</v>
      </c>
      <c r="F1449">
        <v>57</v>
      </c>
      <c r="G1449" t="s">
        <v>121</v>
      </c>
      <c r="H1449" t="s">
        <v>32</v>
      </c>
      <c r="I1449" t="s">
        <v>109</v>
      </c>
      <c r="J1449" t="s">
        <v>47</v>
      </c>
      <c r="K1449">
        <v>3</v>
      </c>
      <c r="L1449" t="s">
        <v>143</v>
      </c>
      <c r="M1449" t="s">
        <v>23</v>
      </c>
      <c r="N1449">
        <v>25</v>
      </c>
      <c r="O1449" t="s">
        <v>40</v>
      </c>
      <c r="P1449" t="s">
        <v>79</v>
      </c>
    </row>
    <row r="1450" spans="1:16" ht="14.5" x14ac:dyDescent="0.35">
      <c r="A1450">
        <v>1449</v>
      </c>
      <c r="B1450">
        <v>64</v>
      </c>
      <c r="C1450" t="s">
        <v>16</v>
      </c>
      <c r="D1450" t="s">
        <v>128</v>
      </c>
      <c r="E1450" t="s">
        <v>37</v>
      </c>
      <c r="F1450">
        <v>95</v>
      </c>
      <c r="G1450" t="s">
        <v>57</v>
      </c>
      <c r="H1450" t="s">
        <v>39</v>
      </c>
      <c r="I1450" t="s">
        <v>85</v>
      </c>
      <c r="J1450" t="s">
        <v>47</v>
      </c>
      <c r="K1450">
        <v>3.6</v>
      </c>
      <c r="L1450" t="s">
        <v>143</v>
      </c>
      <c r="M1450" t="s">
        <v>23</v>
      </c>
      <c r="N1450">
        <v>11</v>
      </c>
      <c r="O1450" t="s">
        <v>34</v>
      </c>
      <c r="P1450" t="s">
        <v>88</v>
      </c>
    </row>
    <row r="1451" spans="1:16" ht="14.5" x14ac:dyDescent="0.35">
      <c r="A1451">
        <v>1450</v>
      </c>
      <c r="B1451">
        <v>18</v>
      </c>
      <c r="C1451" t="s">
        <v>16</v>
      </c>
      <c r="D1451" t="s">
        <v>116</v>
      </c>
      <c r="E1451" t="s">
        <v>18</v>
      </c>
      <c r="F1451">
        <v>41</v>
      </c>
      <c r="G1451" t="s">
        <v>75</v>
      </c>
      <c r="H1451" t="s">
        <v>20</v>
      </c>
      <c r="I1451" t="s">
        <v>84</v>
      </c>
      <c r="J1451" t="s">
        <v>22</v>
      </c>
      <c r="K1451">
        <v>2.5</v>
      </c>
      <c r="L1451" t="s">
        <v>143</v>
      </c>
      <c r="M1451" t="s">
        <v>23</v>
      </c>
      <c r="N1451">
        <v>20</v>
      </c>
      <c r="O1451" t="s">
        <v>29</v>
      </c>
      <c r="P1451" t="s">
        <v>88</v>
      </c>
    </row>
    <row r="1452" spans="1:16" ht="14.5" x14ac:dyDescent="0.35">
      <c r="A1452">
        <v>1451</v>
      </c>
      <c r="B1452">
        <v>25</v>
      </c>
      <c r="C1452" t="s">
        <v>16</v>
      </c>
      <c r="D1452" t="s">
        <v>72</v>
      </c>
      <c r="E1452" t="s">
        <v>18</v>
      </c>
      <c r="F1452">
        <v>44</v>
      </c>
      <c r="G1452" t="s">
        <v>106</v>
      </c>
      <c r="H1452" t="s">
        <v>32</v>
      </c>
      <c r="I1452" t="s">
        <v>76</v>
      </c>
      <c r="J1452" t="s">
        <v>22</v>
      </c>
      <c r="K1452">
        <v>3.4</v>
      </c>
      <c r="L1452" t="s">
        <v>143</v>
      </c>
      <c r="M1452" t="s">
        <v>23</v>
      </c>
      <c r="N1452">
        <v>25</v>
      </c>
      <c r="O1452" t="s">
        <v>29</v>
      </c>
      <c r="P1452" t="s">
        <v>51</v>
      </c>
    </row>
    <row r="1453" spans="1:16" ht="14.5" x14ac:dyDescent="0.35">
      <c r="A1453">
        <v>1452</v>
      </c>
      <c r="B1453">
        <v>54</v>
      </c>
      <c r="C1453" t="s">
        <v>16</v>
      </c>
      <c r="D1453" t="s">
        <v>93</v>
      </c>
      <c r="E1453" t="s">
        <v>56</v>
      </c>
      <c r="F1453">
        <v>34</v>
      </c>
      <c r="G1453" t="s">
        <v>131</v>
      </c>
      <c r="H1453" t="s">
        <v>39</v>
      </c>
      <c r="I1453" t="s">
        <v>28</v>
      </c>
      <c r="J1453" t="s">
        <v>50</v>
      </c>
      <c r="K1453">
        <v>2.5</v>
      </c>
      <c r="L1453" t="s">
        <v>143</v>
      </c>
      <c r="M1453" t="s">
        <v>23</v>
      </c>
      <c r="N1453">
        <v>35</v>
      </c>
      <c r="O1453" t="s">
        <v>40</v>
      </c>
      <c r="P1453" t="s">
        <v>51</v>
      </c>
    </row>
    <row r="1454" spans="1:16" ht="14.5" x14ac:dyDescent="0.35">
      <c r="A1454">
        <v>1453</v>
      </c>
      <c r="B1454">
        <v>60</v>
      </c>
      <c r="C1454" t="s">
        <v>16</v>
      </c>
      <c r="D1454" t="s">
        <v>93</v>
      </c>
      <c r="E1454" t="s">
        <v>56</v>
      </c>
      <c r="F1454">
        <v>25</v>
      </c>
      <c r="G1454" t="s">
        <v>103</v>
      </c>
      <c r="H1454" t="s">
        <v>20</v>
      </c>
      <c r="I1454" t="s">
        <v>135</v>
      </c>
      <c r="J1454" t="s">
        <v>33</v>
      </c>
      <c r="K1454">
        <v>4.7</v>
      </c>
      <c r="L1454" t="s">
        <v>143</v>
      </c>
      <c r="M1454" t="s">
        <v>23</v>
      </c>
      <c r="N1454">
        <v>11</v>
      </c>
      <c r="O1454" t="s">
        <v>66</v>
      </c>
      <c r="P1454" t="s">
        <v>51</v>
      </c>
    </row>
    <row r="1455" spans="1:16" ht="14.5" x14ac:dyDescent="0.35">
      <c r="A1455">
        <v>1454</v>
      </c>
      <c r="B1455">
        <v>36</v>
      </c>
      <c r="C1455" t="s">
        <v>16</v>
      </c>
      <c r="D1455" t="s">
        <v>128</v>
      </c>
      <c r="E1455" t="s">
        <v>37</v>
      </c>
      <c r="F1455">
        <v>93</v>
      </c>
      <c r="G1455" t="s">
        <v>132</v>
      </c>
      <c r="H1455" t="s">
        <v>32</v>
      </c>
      <c r="I1455" t="s">
        <v>76</v>
      </c>
      <c r="J1455" t="s">
        <v>22</v>
      </c>
      <c r="K1455">
        <v>3.2</v>
      </c>
      <c r="L1455" t="s">
        <v>143</v>
      </c>
      <c r="M1455" t="s">
        <v>23</v>
      </c>
      <c r="N1455">
        <v>41</v>
      </c>
      <c r="O1455" t="s">
        <v>66</v>
      </c>
      <c r="P1455" t="s">
        <v>25</v>
      </c>
    </row>
    <row r="1456" spans="1:16" ht="14.5" x14ac:dyDescent="0.35">
      <c r="A1456">
        <v>1455</v>
      </c>
      <c r="B1456">
        <v>66</v>
      </c>
      <c r="C1456" t="s">
        <v>16</v>
      </c>
      <c r="D1456" t="s">
        <v>44</v>
      </c>
      <c r="E1456" t="s">
        <v>37</v>
      </c>
      <c r="F1456">
        <v>50</v>
      </c>
      <c r="G1456" t="s">
        <v>133</v>
      </c>
      <c r="H1456" t="s">
        <v>20</v>
      </c>
      <c r="I1456" t="s">
        <v>28</v>
      </c>
      <c r="J1456" t="s">
        <v>22</v>
      </c>
      <c r="K1456">
        <v>2.9</v>
      </c>
      <c r="L1456" t="s">
        <v>143</v>
      </c>
      <c r="M1456" t="s">
        <v>23</v>
      </c>
      <c r="N1456">
        <v>17</v>
      </c>
      <c r="O1456" t="s">
        <v>34</v>
      </c>
      <c r="P1456" t="s">
        <v>43</v>
      </c>
    </row>
    <row r="1457" spans="1:16" ht="14.5" x14ac:dyDescent="0.35">
      <c r="A1457">
        <v>1456</v>
      </c>
      <c r="B1457">
        <v>60</v>
      </c>
      <c r="C1457" t="s">
        <v>16</v>
      </c>
      <c r="D1457" t="s">
        <v>86</v>
      </c>
      <c r="E1457" t="s">
        <v>18</v>
      </c>
      <c r="F1457">
        <v>79</v>
      </c>
      <c r="G1457" t="s">
        <v>81</v>
      </c>
      <c r="H1457" t="s">
        <v>20</v>
      </c>
      <c r="I1457" t="s">
        <v>58</v>
      </c>
      <c r="J1457" t="s">
        <v>50</v>
      </c>
      <c r="K1457">
        <v>4.9000000000000004</v>
      </c>
      <c r="L1457" t="s">
        <v>143</v>
      </c>
      <c r="M1457" t="s">
        <v>23</v>
      </c>
      <c r="N1457">
        <v>1</v>
      </c>
      <c r="O1457" t="s">
        <v>40</v>
      </c>
      <c r="P1457" t="s">
        <v>88</v>
      </c>
    </row>
    <row r="1458" spans="1:16" ht="14.5" x14ac:dyDescent="0.35">
      <c r="A1458">
        <v>1457</v>
      </c>
      <c r="B1458">
        <v>59</v>
      </c>
      <c r="C1458" t="s">
        <v>16</v>
      </c>
      <c r="D1458" t="s">
        <v>55</v>
      </c>
      <c r="E1458" t="s">
        <v>56</v>
      </c>
      <c r="F1458">
        <v>100</v>
      </c>
      <c r="G1458" t="s">
        <v>49</v>
      </c>
      <c r="H1458" t="s">
        <v>32</v>
      </c>
      <c r="I1458" t="s">
        <v>69</v>
      </c>
      <c r="J1458" t="s">
        <v>33</v>
      </c>
      <c r="K1458">
        <v>2.7</v>
      </c>
      <c r="L1458" t="s">
        <v>143</v>
      </c>
      <c r="M1458" t="s">
        <v>23</v>
      </c>
      <c r="N1458">
        <v>30</v>
      </c>
      <c r="O1458" t="s">
        <v>40</v>
      </c>
      <c r="P1458" t="s">
        <v>88</v>
      </c>
    </row>
    <row r="1459" spans="1:16" ht="14.5" x14ac:dyDescent="0.35">
      <c r="A1459">
        <v>1458</v>
      </c>
      <c r="B1459">
        <v>58</v>
      </c>
      <c r="C1459" t="s">
        <v>16</v>
      </c>
      <c r="D1459" t="s">
        <v>48</v>
      </c>
      <c r="E1459" t="s">
        <v>18</v>
      </c>
      <c r="F1459">
        <v>57</v>
      </c>
      <c r="G1459" t="s">
        <v>129</v>
      </c>
      <c r="H1459" t="s">
        <v>32</v>
      </c>
      <c r="I1459" t="s">
        <v>21</v>
      </c>
      <c r="J1459" t="s">
        <v>33</v>
      </c>
      <c r="K1459">
        <v>4.7</v>
      </c>
      <c r="L1459" t="s">
        <v>143</v>
      </c>
      <c r="M1459" t="s">
        <v>23</v>
      </c>
      <c r="N1459">
        <v>47</v>
      </c>
      <c r="O1459" t="s">
        <v>24</v>
      </c>
      <c r="P1459" t="s">
        <v>25</v>
      </c>
    </row>
    <row r="1460" spans="1:16" ht="14.5" x14ac:dyDescent="0.35">
      <c r="A1460">
        <v>1459</v>
      </c>
      <c r="B1460">
        <v>35</v>
      </c>
      <c r="C1460" t="s">
        <v>16</v>
      </c>
      <c r="D1460" t="s">
        <v>26</v>
      </c>
      <c r="E1460" t="s">
        <v>18</v>
      </c>
      <c r="F1460">
        <v>28</v>
      </c>
      <c r="G1460" t="s">
        <v>61</v>
      </c>
      <c r="H1460" t="s">
        <v>39</v>
      </c>
      <c r="I1460" t="s">
        <v>91</v>
      </c>
      <c r="J1460" t="s">
        <v>33</v>
      </c>
      <c r="K1460">
        <v>2.9</v>
      </c>
      <c r="L1460" t="s">
        <v>143</v>
      </c>
      <c r="M1460" t="s">
        <v>23</v>
      </c>
      <c r="N1460">
        <v>34</v>
      </c>
      <c r="O1460" t="s">
        <v>24</v>
      </c>
      <c r="P1460" t="s">
        <v>35</v>
      </c>
    </row>
    <row r="1461" spans="1:16" ht="14.5" x14ac:dyDescent="0.35">
      <c r="A1461">
        <v>1460</v>
      </c>
      <c r="B1461">
        <v>20</v>
      </c>
      <c r="C1461" t="s">
        <v>16</v>
      </c>
      <c r="D1461" t="s">
        <v>63</v>
      </c>
      <c r="E1461" t="s">
        <v>37</v>
      </c>
      <c r="F1461">
        <v>35</v>
      </c>
      <c r="G1461" t="s">
        <v>27</v>
      </c>
      <c r="H1461" t="s">
        <v>20</v>
      </c>
      <c r="I1461" t="s">
        <v>125</v>
      </c>
      <c r="J1461" t="s">
        <v>22</v>
      </c>
      <c r="K1461">
        <v>4.8</v>
      </c>
      <c r="L1461" t="s">
        <v>143</v>
      </c>
      <c r="M1461" t="s">
        <v>23</v>
      </c>
      <c r="N1461">
        <v>18</v>
      </c>
      <c r="O1461" t="s">
        <v>24</v>
      </c>
      <c r="P1461" t="s">
        <v>25</v>
      </c>
    </row>
    <row r="1462" spans="1:16" ht="14.5" x14ac:dyDescent="0.35">
      <c r="A1462">
        <v>1461</v>
      </c>
      <c r="B1462">
        <v>70</v>
      </c>
      <c r="C1462" t="s">
        <v>16</v>
      </c>
      <c r="D1462" t="s">
        <v>128</v>
      </c>
      <c r="E1462" t="s">
        <v>37</v>
      </c>
      <c r="F1462">
        <v>85</v>
      </c>
      <c r="G1462" t="s">
        <v>129</v>
      </c>
      <c r="H1462" t="s">
        <v>20</v>
      </c>
      <c r="I1462" t="s">
        <v>74</v>
      </c>
      <c r="J1462" t="s">
        <v>50</v>
      </c>
      <c r="K1462">
        <v>4.5999999999999996</v>
      </c>
      <c r="L1462" t="s">
        <v>143</v>
      </c>
      <c r="M1462" t="s">
        <v>23</v>
      </c>
      <c r="N1462">
        <v>33</v>
      </c>
      <c r="O1462" t="s">
        <v>24</v>
      </c>
      <c r="P1462" t="s">
        <v>67</v>
      </c>
    </row>
    <row r="1463" spans="1:16" ht="14.5" x14ac:dyDescent="0.35">
      <c r="A1463">
        <v>1462</v>
      </c>
      <c r="B1463">
        <v>54</v>
      </c>
      <c r="C1463" t="s">
        <v>16</v>
      </c>
      <c r="D1463" t="s">
        <v>80</v>
      </c>
      <c r="E1463" t="s">
        <v>60</v>
      </c>
      <c r="F1463">
        <v>95</v>
      </c>
      <c r="G1463" t="s">
        <v>41</v>
      </c>
      <c r="H1463" t="s">
        <v>32</v>
      </c>
      <c r="I1463" t="s">
        <v>99</v>
      </c>
      <c r="J1463" t="s">
        <v>47</v>
      </c>
      <c r="K1463">
        <v>5</v>
      </c>
      <c r="L1463" t="s">
        <v>143</v>
      </c>
      <c r="M1463" t="s">
        <v>23</v>
      </c>
      <c r="N1463">
        <v>42</v>
      </c>
      <c r="O1463" t="s">
        <v>24</v>
      </c>
      <c r="P1463" t="s">
        <v>51</v>
      </c>
    </row>
    <row r="1464" spans="1:16" ht="14.5" x14ac:dyDescent="0.35">
      <c r="A1464">
        <v>1463</v>
      </c>
      <c r="B1464">
        <v>38</v>
      </c>
      <c r="C1464" t="s">
        <v>16</v>
      </c>
      <c r="D1464" t="s">
        <v>44</v>
      </c>
      <c r="E1464" t="s">
        <v>37</v>
      </c>
      <c r="F1464">
        <v>90</v>
      </c>
      <c r="G1464" t="s">
        <v>131</v>
      </c>
      <c r="H1464" t="s">
        <v>32</v>
      </c>
      <c r="I1464" t="s">
        <v>54</v>
      </c>
      <c r="J1464" t="s">
        <v>47</v>
      </c>
      <c r="K1464">
        <v>4.8</v>
      </c>
      <c r="L1464" t="s">
        <v>143</v>
      </c>
      <c r="M1464" t="s">
        <v>23</v>
      </c>
      <c r="N1464">
        <v>2</v>
      </c>
      <c r="O1464" t="s">
        <v>24</v>
      </c>
      <c r="P1464" t="s">
        <v>51</v>
      </c>
    </row>
    <row r="1465" spans="1:16" ht="14.5" x14ac:dyDescent="0.35">
      <c r="A1465">
        <v>1464</v>
      </c>
      <c r="B1465">
        <v>54</v>
      </c>
      <c r="C1465" t="s">
        <v>16</v>
      </c>
      <c r="D1465" t="s">
        <v>97</v>
      </c>
      <c r="E1465" t="s">
        <v>60</v>
      </c>
      <c r="F1465">
        <v>49</v>
      </c>
      <c r="G1465" t="s">
        <v>92</v>
      </c>
      <c r="H1465" t="s">
        <v>39</v>
      </c>
      <c r="I1465" t="s">
        <v>109</v>
      </c>
      <c r="J1465" t="s">
        <v>47</v>
      </c>
      <c r="K1465">
        <v>4.9000000000000004</v>
      </c>
      <c r="L1465" t="s">
        <v>143</v>
      </c>
      <c r="M1465" t="s">
        <v>23</v>
      </c>
      <c r="N1465">
        <v>1</v>
      </c>
      <c r="O1465" t="s">
        <v>66</v>
      </c>
      <c r="P1465" t="s">
        <v>79</v>
      </c>
    </row>
    <row r="1466" spans="1:16" ht="14.5" x14ac:dyDescent="0.35">
      <c r="A1466">
        <v>1465</v>
      </c>
      <c r="B1466">
        <v>33</v>
      </c>
      <c r="C1466" t="s">
        <v>16</v>
      </c>
      <c r="D1466" t="s">
        <v>124</v>
      </c>
      <c r="E1466" t="s">
        <v>60</v>
      </c>
      <c r="F1466">
        <v>92</v>
      </c>
      <c r="G1466" t="s">
        <v>49</v>
      </c>
      <c r="H1466" t="s">
        <v>39</v>
      </c>
      <c r="I1466" t="s">
        <v>91</v>
      </c>
      <c r="J1466" t="s">
        <v>22</v>
      </c>
      <c r="K1466">
        <v>4.5999999999999996</v>
      </c>
      <c r="L1466" t="s">
        <v>143</v>
      </c>
      <c r="M1466" t="s">
        <v>23</v>
      </c>
      <c r="N1466">
        <v>23</v>
      </c>
      <c r="O1466" t="s">
        <v>66</v>
      </c>
      <c r="P1466" t="s">
        <v>51</v>
      </c>
    </row>
    <row r="1467" spans="1:16" ht="14.5" x14ac:dyDescent="0.35">
      <c r="A1467">
        <v>1466</v>
      </c>
      <c r="B1467">
        <v>46</v>
      </c>
      <c r="C1467" t="s">
        <v>16</v>
      </c>
      <c r="D1467" t="s">
        <v>134</v>
      </c>
      <c r="E1467" t="s">
        <v>60</v>
      </c>
      <c r="F1467">
        <v>72</v>
      </c>
      <c r="G1467" t="s">
        <v>136</v>
      </c>
      <c r="H1467" t="s">
        <v>83</v>
      </c>
      <c r="I1467" t="s">
        <v>74</v>
      </c>
      <c r="J1467" t="s">
        <v>22</v>
      </c>
      <c r="K1467">
        <v>3.9</v>
      </c>
      <c r="L1467" t="s">
        <v>143</v>
      </c>
      <c r="M1467" t="s">
        <v>23</v>
      </c>
      <c r="N1467">
        <v>42</v>
      </c>
      <c r="O1467" t="s">
        <v>29</v>
      </c>
      <c r="P1467" t="s">
        <v>67</v>
      </c>
    </row>
    <row r="1468" spans="1:16" ht="14.5" x14ac:dyDescent="0.35">
      <c r="A1468">
        <v>1467</v>
      </c>
      <c r="B1468">
        <v>58</v>
      </c>
      <c r="C1468" t="s">
        <v>16</v>
      </c>
      <c r="D1468" t="s">
        <v>52</v>
      </c>
      <c r="E1468" t="s">
        <v>18</v>
      </c>
      <c r="F1468">
        <v>71</v>
      </c>
      <c r="G1468" t="s">
        <v>81</v>
      </c>
      <c r="H1468" t="s">
        <v>39</v>
      </c>
      <c r="I1468" t="s">
        <v>87</v>
      </c>
      <c r="J1468" t="s">
        <v>47</v>
      </c>
      <c r="K1468">
        <v>4.5</v>
      </c>
      <c r="L1468" t="s">
        <v>143</v>
      </c>
      <c r="M1468" t="s">
        <v>23</v>
      </c>
      <c r="N1468">
        <v>3</v>
      </c>
      <c r="O1468" t="s">
        <v>40</v>
      </c>
      <c r="P1468" t="s">
        <v>43</v>
      </c>
    </row>
    <row r="1469" spans="1:16" ht="14.5" x14ac:dyDescent="0.35">
      <c r="A1469">
        <v>1468</v>
      </c>
      <c r="B1469">
        <v>30</v>
      </c>
      <c r="C1469" t="s">
        <v>16</v>
      </c>
      <c r="D1469" t="s">
        <v>97</v>
      </c>
      <c r="E1469" t="s">
        <v>60</v>
      </c>
      <c r="F1469">
        <v>27</v>
      </c>
      <c r="G1469" t="s">
        <v>114</v>
      </c>
      <c r="H1469" t="s">
        <v>83</v>
      </c>
      <c r="I1469" t="s">
        <v>69</v>
      </c>
      <c r="J1469" t="s">
        <v>22</v>
      </c>
      <c r="K1469">
        <v>4.7</v>
      </c>
      <c r="L1469" t="s">
        <v>143</v>
      </c>
      <c r="M1469" t="s">
        <v>23</v>
      </c>
      <c r="N1469">
        <v>16</v>
      </c>
      <c r="O1469" t="s">
        <v>77</v>
      </c>
      <c r="P1469" t="s">
        <v>25</v>
      </c>
    </row>
    <row r="1470" spans="1:16" ht="14.5" x14ac:dyDescent="0.35">
      <c r="A1470">
        <v>1469</v>
      </c>
      <c r="B1470">
        <v>42</v>
      </c>
      <c r="C1470" t="s">
        <v>16</v>
      </c>
      <c r="D1470" t="s">
        <v>134</v>
      </c>
      <c r="E1470" t="s">
        <v>60</v>
      </c>
      <c r="F1470">
        <v>39</v>
      </c>
      <c r="G1470" t="s">
        <v>64</v>
      </c>
      <c r="H1470" t="s">
        <v>32</v>
      </c>
      <c r="I1470" t="s">
        <v>58</v>
      </c>
      <c r="J1470" t="s">
        <v>50</v>
      </c>
      <c r="K1470">
        <v>3.9</v>
      </c>
      <c r="L1470" t="s">
        <v>143</v>
      </c>
      <c r="M1470" t="s">
        <v>23</v>
      </c>
      <c r="N1470">
        <v>46</v>
      </c>
      <c r="O1470" t="s">
        <v>29</v>
      </c>
      <c r="P1470" t="s">
        <v>25</v>
      </c>
    </row>
    <row r="1471" spans="1:16" ht="14.5" x14ac:dyDescent="0.35">
      <c r="A1471">
        <v>1470</v>
      </c>
      <c r="B1471">
        <v>28</v>
      </c>
      <c r="C1471" t="s">
        <v>16</v>
      </c>
      <c r="D1471" t="s">
        <v>97</v>
      </c>
      <c r="E1471" t="s">
        <v>60</v>
      </c>
      <c r="F1471">
        <v>98</v>
      </c>
      <c r="G1471" t="s">
        <v>82</v>
      </c>
      <c r="H1471" t="s">
        <v>39</v>
      </c>
      <c r="I1471" t="s">
        <v>65</v>
      </c>
      <c r="J1471" t="s">
        <v>22</v>
      </c>
      <c r="K1471">
        <v>4.4000000000000004</v>
      </c>
      <c r="L1471" t="s">
        <v>143</v>
      </c>
      <c r="M1471" t="s">
        <v>23</v>
      </c>
      <c r="N1471">
        <v>31</v>
      </c>
      <c r="O1471" t="s">
        <v>40</v>
      </c>
      <c r="P1471" t="s">
        <v>88</v>
      </c>
    </row>
    <row r="1472" spans="1:16" ht="14.5" x14ac:dyDescent="0.35">
      <c r="A1472">
        <v>1471</v>
      </c>
      <c r="B1472">
        <v>43</v>
      </c>
      <c r="C1472" t="s">
        <v>16</v>
      </c>
      <c r="D1472" t="s">
        <v>36</v>
      </c>
      <c r="E1472" t="s">
        <v>37</v>
      </c>
      <c r="F1472">
        <v>27</v>
      </c>
      <c r="G1472" t="s">
        <v>90</v>
      </c>
      <c r="H1472" t="s">
        <v>39</v>
      </c>
      <c r="I1472" t="s">
        <v>58</v>
      </c>
      <c r="J1472" t="s">
        <v>33</v>
      </c>
      <c r="K1472">
        <v>3.9</v>
      </c>
      <c r="L1472" t="s">
        <v>143</v>
      </c>
      <c r="M1472" t="s">
        <v>23</v>
      </c>
      <c r="N1472">
        <v>15</v>
      </c>
      <c r="O1472" t="s">
        <v>29</v>
      </c>
      <c r="P1472" t="s">
        <v>88</v>
      </c>
    </row>
    <row r="1473" spans="1:16" ht="14.5" x14ac:dyDescent="0.35">
      <c r="A1473">
        <v>1472</v>
      </c>
      <c r="B1473">
        <v>31</v>
      </c>
      <c r="C1473" t="s">
        <v>16</v>
      </c>
      <c r="D1473" t="s">
        <v>97</v>
      </c>
      <c r="E1473" t="s">
        <v>60</v>
      </c>
      <c r="F1473">
        <v>71</v>
      </c>
      <c r="G1473" t="s">
        <v>111</v>
      </c>
      <c r="H1473" t="s">
        <v>32</v>
      </c>
      <c r="I1473" t="s">
        <v>21</v>
      </c>
      <c r="J1473" t="s">
        <v>33</v>
      </c>
      <c r="K1473">
        <v>2.8</v>
      </c>
      <c r="L1473" t="s">
        <v>143</v>
      </c>
      <c r="M1473" t="s">
        <v>23</v>
      </c>
      <c r="N1473">
        <v>48</v>
      </c>
      <c r="O1473" t="s">
        <v>24</v>
      </c>
      <c r="P1473" t="s">
        <v>88</v>
      </c>
    </row>
    <row r="1474" spans="1:16" ht="14.5" x14ac:dyDescent="0.35">
      <c r="A1474">
        <v>1473</v>
      </c>
      <c r="B1474">
        <v>39</v>
      </c>
      <c r="C1474" t="s">
        <v>16</v>
      </c>
      <c r="D1474" t="s">
        <v>115</v>
      </c>
      <c r="E1474" t="s">
        <v>60</v>
      </c>
      <c r="F1474">
        <v>24</v>
      </c>
      <c r="G1474" t="s">
        <v>107</v>
      </c>
      <c r="H1474" t="s">
        <v>20</v>
      </c>
      <c r="I1474" t="s">
        <v>42</v>
      </c>
      <c r="J1474" t="s">
        <v>33</v>
      </c>
      <c r="K1474">
        <v>3.5</v>
      </c>
      <c r="L1474" t="s">
        <v>143</v>
      </c>
      <c r="M1474" t="s">
        <v>23</v>
      </c>
      <c r="N1474">
        <v>11</v>
      </c>
      <c r="O1474" t="s">
        <v>29</v>
      </c>
      <c r="P1474" t="s">
        <v>35</v>
      </c>
    </row>
    <row r="1475" spans="1:16" ht="14.5" x14ac:dyDescent="0.35">
      <c r="A1475">
        <v>1474</v>
      </c>
      <c r="B1475">
        <v>69</v>
      </c>
      <c r="C1475" t="s">
        <v>16</v>
      </c>
      <c r="D1475" t="s">
        <v>52</v>
      </c>
      <c r="E1475" t="s">
        <v>18</v>
      </c>
      <c r="F1475">
        <v>63</v>
      </c>
      <c r="G1475" t="s">
        <v>141</v>
      </c>
      <c r="H1475" t="s">
        <v>39</v>
      </c>
      <c r="I1475" t="s">
        <v>74</v>
      </c>
      <c r="J1475" t="s">
        <v>50</v>
      </c>
      <c r="K1475">
        <v>4.3</v>
      </c>
      <c r="L1475" t="s">
        <v>143</v>
      </c>
      <c r="M1475" t="s">
        <v>23</v>
      </c>
      <c r="N1475">
        <v>20</v>
      </c>
      <c r="O1475" t="s">
        <v>34</v>
      </c>
      <c r="P1475" t="s">
        <v>88</v>
      </c>
    </row>
    <row r="1476" spans="1:16" ht="14.5" x14ac:dyDescent="0.35">
      <c r="A1476">
        <v>1475</v>
      </c>
      <c r="B1476">
        <v>31</v>
      </c>
      <c r="C1476" t="s">
        <v>16</v>
      </c>
      <c r="D1476" t="s">
        <v>26</v>
      </c>
      <c r="E1476" t="s">
        <v>18</v>
      </c>
      <c r="F1476">
        <v>72</v>
      </c>
      <c r="G1476" t="s">
        <v>118</v>
      </c>
      <c r="H1476" t="s">
        <v>32</v>
      </c>
      <c r="I1476" t="s">
        <v>62</v>
      </c>
      <c r="J1476" t="s">
        <v>50</v>
      </c>
      <c r="K1476">
        <v>3.9</v>
      </c>
      <c r="L1476" t="s">
        <v>143</v>
      </c>
      <c r="M1476" t="s">
        <v>23</v>
      </c>
      <c r="N1476">
        <v>6</v>
      </c>
      <c r="O1476" t="s">
        <v>34</v>
      </c>
      <c r="P1476" t="s">
        <v>79</v>
      </c>
    </row>
    <row r="1477" spans="1:16" ht="14.5" x14ac:dyDescent="0.35">
      <c r="A1477">
        <v>1476</v>
      </c>
      <c r="B1477">
        <v>44</v>
      </c>
      <c r="C1477" t="s">
        <v>16</v>
      </c>
      <c r="D1477" t="s">
        <v>17</v>
      </c>
      <c r="E1477" t="s">
        <v>18</v>
      </c>
      <c r="F1477">
        <v>61</v>
      </c>
      <c r="G1477" t="s">
        <v>38</v>
      </c>
      <c r="H1477" t="s">
        <v>39</v>
      </c>
      <c r="I1477" t="s">
        <v>76</v>
      </c>
      <c r="J1477" t="s">
        <v>33</v>
      </c>
      <c r="K1477">
        <v>4</v>
      </c>
      <c r="L1477" t="s">
        <v>143</v>
      </c>
      <c r="M1477" t="s">
        <v>23</v>
      </c>
      <c r="N1477">
        <v>24</v>
      </c>
      <c r="O1477" t="s">
        <v>29</v>
      </c>
      <c r="P1477" t="s">
        <v>79</v>
      </c>
    </row>
    <row r="1478" spans="1:16" ht="14.5" x14ac:dyDescent="0.35">
      <c r="A1478">
        <v>1477</v>
      </c>
      <c r="B1478">
        <v>39</v>
      </c>
      <c r="C1478" t="s">
        <v>16</v>
      </c>
      <c r="D1478" t="s">
        <v>115</v>
      </c>
      <c r="E1478" t="s">
        <v>60</v>
      </c>
      <c r="F1478">
        <v>56</v>
      </c>
      <c r="G1478" t="s">
        <v>45</v>
      </c>
      <c r="H1478" t="s">
        <v>39</v>
      </c>
      <c r="I1478" t="s">
        <v>127</v>
      </c>
      <c r="J1478" t="s">
        <v>50</v>
      </c>
      <c r="K1478">
        <v>4.0999999999999996</v>
      </c>
      <c r="L1478" t="s">
        <v>143</v>
      </c>
      <c r="M1478" t="s">
        <v>23</v>
      </c>
      <c r="N1478">
        <v>18</v>
      </c>
      <c r="O1478" t="s">
        <v>34</v>
      </c>
      <c r="P1478" t="s">
        <v>79</v>
      </c>
    </row>
    <row r="1479" spans="1:16" ht="14.5" x14ac:dyDescent="0.35">
      <c r="A1479">
        <v>1478</v>
      </c>
      <c r="B1479">
        <v>24</v>
      </c>
      <c r="C1479" t="s">
        <v>16</v>
      </c>
      <c r="D1479" t="s">
        <v>124</v>
      </c>
      <c r="E1479" t="s">
        <v>60</v>
      </c>
      <c r="F1479">
        <v>32</v>
      </c>
      <c r="G1479" t="s">
        <v>41</v>
      </c>
      <c r="H1479" t="s">
        <v>83</v>
      </c>
      <c r="I1479" t="s">
        <v>58</v>
      </c>
      <c r="J1479" t="s">
        <v>47</v>
      </c>
      <c r="K1479">
        <v>4.3</v>
      </c>
      <c r="L1479" t="s">
        <v>143</v>
      </c>
      <c r="M1479" t="s">
        <v>23</v>
      </c>
      <c r="N1479">
        <v>1</v>
      </c>
      <c r="O1479" t="s">
        <v>40</v>
      </c>
      <c r="P1479" t="s">
        <v>88</v>
      </c>
    </row>
    <row r="1480" spans="1:16" ht="14.5" x14ac:dyDescent="0.35">
      <c r="A1480">
        <v>1479</v>
      </c>
      <c r="B1480">
        <v>28</v>
      </c>
      <c r="C1480" t="s">
        <v>16</v>
      </c>
      <c r="D1480" t="s">
        <v>134</v>
      </c>
      <c r="E1480" t="s">
        <v>60</v>
      </c>
      <c r="F1480">
        <v>23</v>
      </c>
      <c r="G1480" t="s">
        <v>140</v>
      </c>
      <c r="H1480" t="s">
        <v>39</v>
      </c>
      <c r="I1480" t="s">
        <v>135</v>
      </c>
      <c r="J1480" t="s">
        <v>47</v>
      </c>
      <c r="K1480">
        <v>4.2</v>
      </c>
      <c r="L1480" t="s">
        <v>143</v>
      </c>
      <c r="M1480" t="s">
        <v>23</v>
      </c>
      <c r="N1480">
        <v>13</v>
      </c>
      <c r="O1480" t="s">
        <v>24</v>
      </c>
      <c r="P1480" t="s">
        <v>67</v>
      </c>
    </row>
    <row r="1481" spans="1:16" ht="14.5" x14ac:dyDescent="0.35">
      <c r="A1481">
        <v>1480</v>
      </c>
      <c r="B1481">
        <v>48</v>
      </c>
      <c r="C1481" t="s">
        <v>16</v>
      </c>
      <c r="D1481" t="s">
        <v>55</v>
      </c>
      <c r="E1481" t="s">
        <v>56</v>
      </c>
      <c r="F1481">
        <v>100</v>
      </c>
      <c r="G1481" t="s">
        <v>140</v>
      </c>
      <c r="H1481" t="s">
        <v>20</v>
      </c>
      <c r="I1481" t="s">
        <v>85</v>
      </c>
      <c r="J1481" t="s">
        <v>33</v>
      </c>
      <c r="K1481">
        <v>4</v>
      </c>
      <c r="L1481" t="s">
        <v>143</v>
      </c>
      <c r="M1481" t="s">
        <v>23</v>
      </c>
      <c r="N1481">
        <v>2</v>
      </c>
      <c r="O1481" t="s">
        <v>66</v>
      </c>
      <c r="P1481" t="s">
        <v>35</v>
      </c>
    </row>
    <row r="1482" spans="1:16" ht="14.5" x14ac:dyDescent="0.35">
      <c r="A1482">
        <v>1481</v>
      </c>
      <c r="B1482">
        <v>39</v>
      </c>
      <c r="C1482" t="s">
        <v>16</v>
      </c>
      <c r="D1482" t="s">
        <v>97</v>
      </c>
      <c r="E1482" t="s">
        <v>60</v>
      </c>
      <c r="F1482">
        <v>74</v>
      </c>
      <c r="G1482" t="s">
        <v>73</v>
      </c>
      <c r="H1482" t="s">
        <v>39</v>
      </c>
      <c r="I1482" t="s">
        <v>71</v>
      </c>
      <c r="J1482" t="s">
        <v>50</v>
      </c>
      <c r="K1482">
        <v>3.6</v>
      </c>
      <c r="L1482" t="s">
        <v>143</v>
      </c>
      <c r="M1482" t="s">
        <v>23</v>
      </c>
      <c r="N1482">
        <v>26</v>
      </c>
      <c r="O1482" t="s">
        <v>29</v>
      </c>
      <c r="P1482" t="s">
        <v>51</v>
      </c>
    </row>
    <row r="1483" spans="1:16" ht="14.5" x14ac:dyDescent="0.35">
      <c r="A1483">
        <v>1482</v>
      </c>
      <c r="B1483">
        <v>64</v>
      </c>
      <c r="C1483" t="s">
        <v>16</v>
      </c>
      <c r="D1483" t="s">
        <v>78</v>
      </c>
      <c r="E1483" t="s">
        <v>18</v>
      </c>
      <c r="F1483">
        <v>33</v>
      </c>
      <c r="G1483" t="s">
        <v>119</v>
      </c>
      <c r="H1483" t="s">
        <v>32</v>
      </c>
      <c r="I1483" t="s">
        <v>21</v>
      </c>
      <c r="J1483" t="s">
        <v>33</v>
      </c>
      <c r="K1483">
        <v>3.3</v>
      </c>
      <c r="L1483" t="s">
        <v>143</v>
      </c>
      <c r="M1483" t="s">
        <v>23</v>
      </c>
      <c r="N1483">
        <v>31</v>
      </c>
      <c r="O1483" t="s">
        <v>40</v>
      </c>
      <c r="P1483" t="s">
        <v>51</v>
      </c>
    </row>
    <row r="1484" spans="1:16" ht="14.5" x14ac:dyDescent="0.35">
      <c r="A1484">
        <v>1483</v>
      </c>
      <c r="B1484">
        <v>28</v>
      </c>
      <c r="C1484" t="s">
        <v>16</v>
      </c>
      <c r="D1484" t="s">
        <v>134</v>
      </c>
      <c r="E1484" t="s">
        <v>60</v>
      </c>
      <c r="F1484">
        <v>67</v>
      </c>
      <c r="G1484" t="s">
        <v>141</v>
      </c>
      <c r="H1484" t="s">
        <v>32</v>
      </c>
      <c r="I1484" t="s">
        <v>127</v>
      </c>
      <c r="J1484" t="s">
        <v>33</v>
      </c>
      <c r="K1484">
        <v>4.0999999999999996</v>
      </c>
      <c r="L1484" t="s">
        <v>143</v>
      </c>
      <c r="M1484" t="s">
        <v>23</v>
      </c>
      <c r="N1484">
        <v>43</v>
      </c>
      <c r="O1484" t="s">
        <v>66</v>
      </c>
      <c r="P1484" t="s">
        <v>35</v>
      </c>
    </row>
    <row r="1485" spans="1:16" ht="14.5" x14ac:dyDescent="0.35">
      <c r="A1485">
        <v>1484</v>
      </c>
      <c r="B1485">
        <v>39</v>
      </c>
      <c r="C1485" t="s">
        <v>16</v>
      </c>
      <c r="D1485" t="s">
        <v>97</v>
      </c>
      <c r="E1485" t="s">
        <v>60</v>
      </c>
      <c r="F1485">
        <v>61</v>
      </c>
      <c r="G1485" t="s">
        <v>31</v>
      </c>
      <c r="H1485" t="s">
        <v>32</v>
      </c>
      <c r="I1485" t="s">
        <v>125</v>
      </c>
      <c r="J1485" t="s">
        <v>47</v>
      </c>
      <c r="K1485">
        <v>4.7</v>
      </c>
      <c r="L1485" t="s">
        <v>143</v>
      </c>
      <c r="M1485" t="s">
        <v>23</v>
      </c>
      <c r="N1485">
        <v>12</v>
      </c>
      <c r="O1485" t="s">
        <v>77</v>
      </c>
      <c r="P1485" t="s">
        <v>67</v>
      </c>
    </row>
    <row r="1486" spans="1:16" ht="14.5" x14ac:dyDescent="0.35">
      <c r="A1486">
        <v>1485</v>
      </c>
      <c r="B1486">
        <v>49</v>
      </c>
      <c r="C1486" t="s">
        <v>16</v>
      </c>
      <c r="D1486" t="s">
        <v>52</v>
      </c>
      <c r="E1486" t="s">
        <v>18</v>
      </c>
      <c r="F1486">
        <v>46</v>
      </c>
      <c r="G1486" t="s">
        <v>136</v>
      </c>
      <c r="H1486" t="s">
        <v>39</v>
      </c>
      <c r="I1486" t="s">
        <v>76</v>
      </c>
      <c r="J1486" t="s">
        <v>47</v>
      </c>
      <c r="K1486">
        <v>4.4000000000000004</v>
      </c>
      <c r="L1486" t="s">
        <v>143</v>
      </c>
      <c r="M1486" t="s">
        <v>23</v>
      </c>
      <c r="N1486">
        <v>22</v>
      </c>
      <c r="O1486" t="s">
        <v>24</v>
      </c>
      <c r="P1486" t="s">
        <v>88</v>
      </c>
    </row>
    <row r="1487" spans="1:16" ht="14.5" x14ac:dyDescent="0.35">
      <c r="A1487">
        <v>1486</v>
      </c>
      <c r="B1487">
        <v>22</v>
      </c>
      <c r="C1487" t="s">
        <v>16</v>
      </c>
      <c r="D1487" t="s">
        <v>134</v>
      </c>
      <c r="E1487" t="s">
        <v>60</v>
      </c>
      <c r="F1487">
        <v>56</v>
      </c>
      <c r="G1487" t="s">
        <v>136</v>
      </c>
      <c r="H1487" t="s">
        <v>20</v>
      </c>
      <c r="I1487" t="s">
        <v>99</v>
      </c>
      <c r="J1487" t="s">
        <v>33</v>
      </c>
      <c r="K1487">
        <v>3.4</v>
      </c>
      <c r="L1487" t="s">
        <v>143</v>
      </c>
      <c r="M1487" t="s">
        <v>23</v>
      </c>
      <c r="N1487">
        <v>3</v>
      </c>
      <c r="O1487" t="s">
        <v>29</v>
      </c>
      <c r="P1487" t="s">
        <v>25</v>
      </c>
    </row>
    <row r="1488" spans="1:16" ht="14.5" x14ac:dyDescent="0.35">
      <c r="A1488">
        <v>1487</v>
      </c>
      <c r="B1488">
        <v>25</v>
      </c>
      <c r="C1488" t="s">
        <v>16</v>
      </c>
      <c r="D1488" t="s">
        <v>44</v>
      </c>
      <c r="E1488" t="s">
        <v>37</v>
      </c>
      <c r="F1488">
        <v>73</v>
      </c>
      <c r="G1488" t="s">
        <v>126</v>
      </c>
      <c r="H1488" t="s">
        <v>32</v>
      </c>
      <c r="I1488" t="s">
        <v>125</v>
      </c>
      <c r="J1488" t="s">
        <v>33</v>
      </c>
      <c r="K1488">
        <v>5</v>
      </c>
      <c r="L1488" t="s">
        <v>143</v>
      </c>
      <c r="M1488" t="s">
        <v>23</v>
      </c>
      <c r="N1488">
        <v>23</v>
      </c>
      <c r="O1488" t="s">
        <v>24</v>
      </c>
      <c r="P1488" t="s">
        <v>88</v>
      </c>
    </row>
    <row r="1489" spans="1:16" ht="14.5" x14ac:dyDescent="0.35">
      <c r="A1489">
        <v>1488</v>
      </c>
      <c r="B1489">
        <v>40</v>
      </c>
      <c r="C1489" t="s">
        <v>16</v>
      </c>
      <c r="D1489" t="s">
        <v>78</v>
      </c>
      <c r="E1489" t="s">
        <v>18</v>
      </c>
      <c r="F1489">
        <v>44</v>
      </c>
      <c r="G1489" t="s">
        <v>108</v>
      </c>
      <c r="H1489" t="s">
        <v>20</v>
      </c>
      <c r="I1489" t="s">
        <v>85</v>
      </c>
      <c r="J1489" t="s">
        <v>47</v>
      </c>
      <c r="K1489">
        <v>4.5999999999999996</v>
      </c>
      <c r="L1489" t="s">
        <v>143</v>
      </c>
      <c r="M1489" t="s">
        <v>23</v>
      </c>
      <c r="N1489">
        <v>26</v>
      </c>
      <c r="O1489" t="s">
        <v>40</v>
      </c>
      <c r="P1489" t="s">
        <v>43</v>
      </c>
    </row>
    <row r="1490" spans="1:16" ht="14.5" x14ac:dyDescent="0.35">
      <c r="A1490">
        <v>1489</v>
      </c>
      <c r="B1490">
        <v>23</v>
      </c>
      <c r="C1490" t="s">
        <v>16</v>
      </c>
      <c r="D1490" t="s">
        <v>115</v>
      </c>
      <c r="E1490" t="s">
        <v>60</v>
      </c>
      <c r="F1490">
        <v>44</v>
      </c>
      <c r="G1490" t="s">
        <v>68</v>
      </c>
      <c r="H1490" t="s">
        <v>20</v>
      </c>
      <c r="I1490" t="s">
        <v>62</v>
      </c>
      <c r="J1490" t="s">
        <v>22</v>
      </c>
      <c r="K1490">
        <v>4</v>
      </c>
      <c r="L1490" t="s">
        <v>143</v>
      </c>
      <c r="M1490" t="s">
        <v>23</v>
      </c>
      <c r="N1490">
        <v>37</v>
      </c>
      <c r="O1490" t="s">
        <v>34</v>
      </c>
      <c r="P1490" t="s">
        <v>35</v>
      </c>
    </row>
    <row r="1491" spans="1:16" ht="14.5" x14ac:dyDescent="0.35">
      <c r="A1491">
        <v>1490</v>
      </c>
      <c r="B1491">
        <v>24</v>
      </c>
      <c r="C1491" t="s">
        <v>16</v>
      </c>
      <c r="D1491" t="s">
        <v>97</v>
      </c>
      <c r="E1491" t="s">
        <v>60</v>
      </c>
      <c r="F1491">
        <v>26</v>
      </c>
      <c r="G1491" t="s">
        <v>61</v>
      </c>
      <c r="H1491" t="s">
        <v>83</v>
      </c>
      <c r="I1491" t="s">
        <v>127</v>
      </c>
      <c r="J1491" t="s">
        <v>47</v>
      </c>
      <c r="K1491">
        <v>4.0999999999999996</v>
      </c>
      <c r="L1491" t="s">
        <v>143</v>
      </c>
      <c r="M1491" t="s">
        <v>23</v>
      </c>
      <c r="N1491">
        <v>42</v>
      </c>
      <c r="O1491" t="s">
        <v>24</v>
      </c>
      <c r="P1491" t="s">
        <v>51</v>
      </c>
    </row>
    <row r="1492" spans="1:16" ht="14.5" x14ac:dyDescent="0.35">
      <c r="A1492">
        <v>1491</v>
      </c>
      <c r="B1492">
        <v>66</v>
      </c>
      <c r="C1492" t="s">
        <v>16</v>
      </c>
      <c r="D1492" t="s">
        <v>44</v>
      </c>
      <c r="E1492" t="s">
        <v>37</v>
      </c>
      <c r="F1492">
        <v>52</v>
      </c>
      <c r="G1492" t="s">
        <v>53</v>
      </c>
      <c r="H1492" t="s">
        <v>20</v>
      </c>
      <c r="I1492" t="s">
        <v>69</v>
      </c>
      <c r="J1492" t="s">
        <v>33</v>
      </c>
      <c r="K1492">
        <v>4.9000000000000004</v>
      </c>
      <c r="L1492" t="s">
        <v>143</v>
      </c>
      <c r="M1492" t="s">
        <v>23</v>
      </c>
      <c r="N1492">
        <v>15</v>
      </c>
      <c r="O1492" t="s">
        <v>24</v>
      </c>
      <c r="P1492" t="s">
        <v>67</v>
      </c>
    </row>
    <row r="1493" spans="1:16" ht="14.5" x14ac:dyDescent="0.35">
      <c r="A1493">
        <v>1492</v>
      </c>
      <c r="B1493">
        <v>27</v>
      </c>
      <c r="C1493" t="s">
        <v>16</v>
      </c>
      <c r="D1493" t="s">
        <v>48</v>
      </c>
      <c r="E1493" t="s">
        <v>18</v>
      </c>
      <c r="F1493">
        <v>54</v>
      </c>
      <c r="G1493" t="s">
        <v>64</v>
      </c>
      <c r="H1493" t="s">
        <v>32</v>
      </c>
      <c r="I1493" t="s">
        <v>85</v>
      </c>
      <c r="J1493" t="s">
        <v>47</v>
      </c>
      <c r="K1493">
        <v>2.7</v>
      </c>
      <c r="L1493" t="s">
        <v>143</v>
      </c>
      <c r="M1493" t="s">
        <v>23</v>
      </c>
      <c r="N1493">
        <v>10</v>
      </c>
      <c r="O1493" t="s">
        <v>66</v>
      </c>
      <c r="P1493" t="s">
        <v>51</v>
      </c>
    </row>
    <row r="1494" spans="1:16" ht="14.5" x14ac:dyDescent="0.35">
      <c r="A1494">
        <v>1493</v>
      </c>
      <c r="B1494">
        <v>62</v>
      </c>
      <c r="C1494" t="s">
        <v>16</v>
      </c>
      <c r="D1494" t="s">
        <v>93</v>
      </c>
      <c r="E1494" t="s">
        <v>56</v>
      </c>
      <c r="F1494">
        <v>38</v>
      </c>
      <c r="G1494" t="s">
        <v>89</v>
      </c>
      <c r="H1494" t="s">
        <v>39</v>
      </c>
      <c r="I1494" t="s">
        <v>28</v>
      </c>
      <c r="J1494" t="s">
        <v>47</v>
      </c>
      <c r="K1494">
        <v>4.5</v>
      </c>
      <c r="L1494" t="s">
        <v>143</v>
      </c>
      <c r="M1494" t="s">
        <v>23</v>
      </c>
      <c r="N1494">
        <v>3</v>
      </c>
      <c r="O1494" t="s">
        <v>24</v>
      </c>
      <c r="P1494" t="s">
        <v>51</v>
      </c>
    </row>
    <row r="1495" spans="1:16" ht="14.5" x14ac:dyDescent="0.35">
      <c r="A1495">
        <v>1494</v>
      </c>
      <c r="B1495">
        <v>70</v>
      </c>
      <c r="C1495" t="s">
        <v>16</v>
      </c>
      <c r="D1495" t="s">
        <v>124</v>
      </c>
      <c r="E1495" t="s">
        <v>60</v>
      </c>
      <c r="F1495">
        <v>44</v>
      </c>
      <c r="G1495" t="s">
        <v>105</v>
      </c>
      <c r="H1495" t="s">
        <v>32</v>
      </c>
      <c r="I1495" t="s">
        <v>71</v>
      </c>
      <c r="J1495" t="s">
        <v>50</v>
      </c>
      <c r="K1495">
        <v>2.7</v>
      </c>
      <c r="L1495" t="s">
        <v>143</v>
      </c>
      <c r="M1495" t="s">
        <v>23</v>
      </c>
      <c r="N1495">
        <v>44</v>
      </c>
      <c r="O1495" t="s">
        <v>34</v>
      </c>
      <c r="P1495" t="s">
        <v>51</v>
      </c>
    </row>
    <row r="1496" spans="1:16" ht="14.5" x14ac:dyDescent="0.35">
      <c r="A1496">
        <v>1495</v>
      </c>
      <c r="B1496">
        <v>43</v>
      </c>
      <c r="C1496" t="s">
        <v>16</v>
      </c>
      <c r="D1496" t="s">
        <v>104</v>
      </c>
      <c r="E1496" t="s">
        <v>18</v>
      </c>
      <c r="F1496">
        <v>76</v>
      </c>
      <c r="G1496" t="s">
        <v>49</v>
      </c>
      <c r="H1496" t="s">
        <v>39</v>
      </c>
      <c r="I1496" t="s">
        <v>21</v>
      </c>
      <c r="J1496" t="s">
        <v>33</v>
      </c>
      <c r="K1496">
        <v>3</v>
      </c>
      <c r="L1496" t="s">
        <v>143</v>
      </c>
      <c r="M1496" t="s">
        <v>23</v>
      </c>
      <c r="N1496">
        <v>23</v>
      </c>
      <c r="O1496" t="s">
        <v>66</v>
      </c>
      <c r="P1496" t="s">
        <v>25</v>
      </c>
    </row>
    <row r="1497" spans="1:16" ht="14.5" x14ac:dyDescent="0.35">
      <c r="A1497">
        <v>1496</v>
      </c>
      <c r="B1497">
        <v>45</v>
      </c>
      <c r="C1497" t="s">
        <v>16</v>
      </c>
      <c r="D1497" t="s">
        <v>97</v>
      </c>
      <c r="E1497" t="s">
        <v>60</v>
      </c>
      <c r="F1497">
        <v>23</v>
      </c>
      <c r="G1497" t="s">
        <v>38</v>
      </c>
      <c r="H1497" t="s">
        <v>39</v>
      </c>
      <c r="I1497" t="s">
        <v>101</v>
      </c>
      <c r="J1497" t="s">
        <v>22</v>
      </c>
      <c r="K1497">
        <v>4.5</v>
      </c>
      <c r="L1497" t="s">
        <v>143</v>
      </c>
      <c r="M1497" t="s">
        <v>23</v>
      </c>
      <c r="N1497">
        <v>6</v>
      </c>
      <c r="O1497" t="s">
        <v>40</v>
      </c>
      <c r="P1497" t="s">
        <v>35</v>
      </c>
    </row>
    <row r="1498" spans="1:16" ht="14.5" x14ac:dyDescent="0.35">
      <c r="A1498">
        <v>1497</v>
      </c>
      <c r="B1498">
        <v>63</v>
      </c>
      <c r="C1498" t="s">
        <v>16</v>
      </c>
      <c r="D1498" t="s">
        <v>104</v>
      </c>
      <c r="E1498" t="s">
        <v>18</v>
      </c>
      <c r="F1498">
        <v>98</v>
      </c>
      <c r="G1498" t="s">
        <v>126</v>
      </c>
      <c r="H1498" t="s">
        <v>39</v>
      </c>
      <c r="I1498" t="s">
        <v>65</v>
      </c>
      <c r="J1498" t="s">
        <v>22</v>
      </c>
      <c r="K1498">
        <v>5</v>
      </c>
      <c r="L1498" t="s">
        <v>143</v>
      </c>
      <c r="M1498" t="s">
        <v>23</v>
      </c>
      <c r="N1498">
        <v>9</v>
      </c>
      <c r="O1498" t="s">
        <v>24</v>
      </c>
      <c r="P1498" t="s">
        <v>67</v>
      </c>
    </row>
    <row r="1499" spans="1:16" ht="14.5" x14ac:dyDescent="0.35">
      <c r="A1499">
        <v>1498</v>
      </c>
      <c r="B1499">
        <v>69</v>
      </c>
      <c r="C1499" t="s">
        <v>16</v>
      </c>
      <c r="D1499" t="s">
        <v>93</v>
      </c>
      <c r="E1499" t="s">
        <v>56</v>
      </c>
      <c r="F1499">
        <v>33</v>
      </c>
      <c r="G1499" t="s">
        <v>142</v>
      </c>
      <c r="H1499" t="s">
        <v>32</v>
      </c>
      <c r="I1499" t="s">
        <v>127</v>
      </c>
      <c r="J1499" t="s">
        <v>33</v>
      </c>
      <c r="K1499">
        <v>3.8</v>
      </c>
      <c r="L1499" t="s">
        <v>143</v>
      </c>
      <c r="M1499" t="s">
        <v>23</v>
      </c>
      <c r="N1499">
        <v>16</v>
      </c>
      <c r="O1499" t="s">
        <v>77</v>
      </c>
      <c r="P1499" t="s">
        <v>88</v>
      </c>
    </row>
    <row r="1500" spans="1:16" ht="14.5" x14ac:dyDescent="0.35">
      <c r="A1500">
        <v>1499</v>
      </c>
      <c r="B1500">
        <v>59</v>
      </c>
      <c r="C1500" t="s">
        <v>16</v>
      </c>
      <c r="D1500" t="s">
        <v>26</v>
      </c>
      <c r="E1500" t="s">
        <v>18</v>
      </c>
      <c r="F1500">
        <v>32</v>
      </c>
      <c r="G1500" t="s">
        <v>106</v>
      </c>
      <c r="H1500" t="s">
        <v>39</v>
      </c>
      <c r="I1500" t="s">
        <v>76</v>
      </c>
      <c r="J1500" t="s">
        <v>47</v>
      </c>
      <c r="K1500">
        <v>3.1</v>
      </c>
      <c r="L1500" t="s">
        <v>143</v>
      </c>
      <c r="M1500" t="s">
        <v>23</v>
      </c>
      <c r="N1500">
        <v>46</v>
      </c>
      <c r="O1500" t="s">
        <v>24</v>
      </c>
      <c r="P1500" t="s">
        <v>25</v>
      </c>
    </row>
    <row r="1501" spans="1:16" ht="14.5" x14ac:dyDescent="0.35">
      <c r="A1501">
        <v>1500</v>
      </c>
      <c r="B1501">
        <v>19</v>
      </c>
      <c r="C1501" t="s">
        <v>16</v>
      </c>
      <c r="D1501" t="s">
        <v>128</v>
      </c>
      <c r="E1501" t="s">
        <v>37</v>
      </c>
      <c r="F1501">
        <v>85</v>
      </c>
      <c r="G1501" t="s">
        <v>133</v>
      </c>
      <c r="H1501" t="s">
        <v>32</v>
      </c>
      <c r="I1501" t="s">
        <v>69</v>
      </c>
      <c r="J1501" t="s">
        <v>50</v>
      </c>
      <c r="K1501">
        <v>3.4</v>
      </c>
      <c r="L1501" t="s">
        <v>143</v>
      </c>
      <c r="M1501" t="s">
        <v>23</v>
      </c>
      <c r="N1501">
        <v>24</v>
      </c>
      <c r="O1501" t="s">
        <v>34</v>
      </c>
      <c r="P1501" t="s">
        <v>88</v>
      </c>
    </row>
    <row r="1502" spans="1:16" ht="14.5" x14ac:dyDescent="0.35">
      <c r="A1502">
        <v>1501</v>
      </c>
      <c r="B1502">
        <v>63</v>
      </c>
      <c r="C1502" t="s">
        <v>16</v>
      </c>
      <c r="D1502" t="s">
        <v>30</v>
      </c>
      <c r="E1502" t="s">
        <v>18</v>
      </c>
      <c r="F1502">
        <v>69</v>
      </c>
      <c r="G1502" t="s">
        <v>81</v>
      </c>
      <c r="H1502" t="s">
        <v>20</v>
      </c>
      <c r="I1502" t="s">
        <v>28</v>
      </c>
      <c r="J1502" t="s">
        <v>47</v>
      </c>
      <c r="K1502">
        <v>4.8</v>
      </c>
      <c r="L1502" t="s">
        <v>143</v>
      </c>
      <c r="M1502" t="s">
        <v>23</v>
      </c>
      <c r="N1502">
        <v>22</v>
      </c>
      <c r="O1502" t="s">
        <v>77</v>
      </c>
      <c r="P1502" t="s">
        <v>79</v>
      </c>
    </row>
    <row r="1503" spans="1:16" ht="14.5" x14ac:dyDescent="0.35">
      <c r="A1503">
        <v>1502</v>
      </c>
      <c r="B1503">
        <v>37</v>
      </c>
      <c r="C1503" t="s">
        <v>16</v>
      </c>
      <c r="D1503" t="s">
        <v>30</v>
      </c>
      <c r="E1503" t="s">
        <v>18</v>
      </c>
      <c r="F1503">
        <v>55</v>
      </c>
      <c r="G1503" t="s">
        <v>111</v>
      </c>
      <c r="H1503" t="s">
        <v>83</v>
      </c>
      <c r="I1503" t="s">
        <v>58</v>
      </c>
      <c r="J1503" t="s">
        <v>33</v>
      </c>
      <c r="K1503">
        <v>2.7</v>
      </c>
      <c r="L1503" t="s">
        <v>143</v>
      </c>
      <c r="M1503" t="s">
        <v>23</v>
      </c>
      <c r="N1503">
        <v>13</v>
      </c>
      <c r="O1503" t="s">
        <v>77</v>
      </c>
      <c r="P1503" t="s">
        <v>88</v>
      </c>
    </row>
    <row r="1504" spans="1:16" ht="14.5" x14ac:dyDescent="0.35">
      <c r="A1504">
        <v>1503</v>
      </c>
      <c r="B1504">
        <v>37</v>
      </c>
      <c r="C1504" t="s">
        <v>16</v>
      </c>
      <c r="D1504" t="s">
        <v>86</v>
      </c>
      <c r="E1504" t="s">
        <v>18</v>
      </c>
      <c r="F1504">
        <v>66</v>
      </c>
      <c r="G1504" t="s">
        <v>31</v>
      </c>
      <c r="H1504" t="s">
        <v>39</v>
      </c>
      <c r="I1504" t="s">
        <v>85</v>
      </c>
      <c r="J1504" t="s">
        <v>47</v>
      </c>
      <c r="K1504">
        <v>3.2</v>
      </c>
      <c r="L1504" t="s">
        <v>143</v>
      </c>
      <c r="M1504" t="s">
        <v>23</v>
      </c>
      <c r="N1504">
        <v>20</v>
      </c>
      <c r="O1504" t="s">
        <v>29</v>
      </c>
      <c r="P1504" t="s">
        <v>25</v>
      </c>
    </row>
    <row r="1505" spans="1:16" ht="14.5" x14ac:dyDescent="0.35">
      <c r="A1505">
        <v>1504</v>
      </c>
      <c r="B1505">
        <v>50</v>
      </c>
      <c r="C1505" t="s">
        <v>16</v>
      </c>
      <c r="D1505" t="s">
        <v>93</v>
      </c>
      <c r="E1505" t="s">
        <v>56</v>
      </c>
      <c r="F1505">
        <v>30</v>
      </c>
      <c r="G1505" t="s">
        <v>142</v>
      </c>
      <c r="H1505" t="s">
        <v>39</v>
      </c>
      <c r="I1505" t="s">
        <v>28</v>
      </c>
      <c r="J1505" t="s">
        <v>50</v>
      </c>
      <c r="K1505">
        <v>3.9</v>
      </c>
      <c r="L1505" t="s">
        <v>143</v>
      </c>
      <c r="M1505" t="s">
        <v>23</v>
      </c>
      <c r="N1505">
        <v>46</v>
      </c>
      <c r="O1505" t="s">
        <v>29</v>
      </c>
      <c r="P1505" t="s">
        <v>51</v>
      </c>
    </row>
    <row r="1506" spans="1:16" ht="14.5" x14ac:dyDescent="0.35">
      <c r="A1506">
        <v>1505</v>
      </c>
      <c r="B1506">
        <v>60</v>
      </c>
      <c r="C1506" t="s">
        <v>16</v>
      </c>
      <c r="D1506" t="s">
        <v>93</v>
      </c>
      <c r="E1506" t="s">
        <v>56</v>
      </c>
      <c r="F1506">
        <v>80</v>
      </c>
      <c r="G1506" t="s">
        <v>111</v>
      </c>
      <c r="H1506" t="s">
        <v>39</v>
      </c>
      <c r="I1506" t="s">
        <v>76</v>
      </c>
      <c r="J1506" t="s">
        <v>22</v>
      </c>
      <c r="K1506">
        <v>4.2</v>
      </c>
      <c r="L1506" t="s">
        <v>143</v>
      </c>
      <c r="M1506" t="s">
        <v>23</v>
      </c>
      <c r="N1506">
        <v>10</v>
      </c>
      <c r="O1506" t="s">
        <v>66</v>
      </c>
      <c r="P1506" t="s">
        <v>79</v>
      </c>
    </row>
    <row r="1507" spans="1:16" ht="14.5" x14ac:dyDescent="0.35">
      <c r="A1507">
        <v>1506</v>
      </c>
      <c r="B1507">
        <v>46</v>
      </c>
      <c r="C1507" t="s">
        <v>16</v>
      </c>
      <c r="D1507" t="s">
        <v>124</v>
      </c>
      <c r="E1507" t="s">
        <v>60</v>
      </c>
      <c r="F1507">
        <v>20</v>
      </c>
      <c r="G1507" t="s">
        <v>105</v>
      </c>
      <c r="H1507" t="s">
        <v>39</v>
      </c>
      <c r="I1507" t="s">
        <v>76</v>
      </c>
      <c r="J1507" t="s">
        <v>47</v>
      </c>
      <c r="K1507">
        <v>3</v>
      </c>
      <c r="L1507" t="s">
        <v>143</v>
      </c>
      <c r="M1507" t="s">
        <v>23</v>
      </c>
      <c r="N1507">
        <v>39</v>
      </c>
      <c r="O1507" t="s">
        <v>29</v>
      </c>
      <c r="P1507" t="s">
        <v>79</v>
      </c>
    </row>
    <row r="1508" spans="1:16" ht="14.5" x14ac:dyDescent="0.35">
      <c r="A1508">
        <v>1507</v>
      </c>
      <c r="B1508">
        <v>35</v>
      </c>
      <c r="C1508" t="s">
        <v>16</v>
      </c>
      <c r="D1508" t="s">
        <v>48</v>
      </c>
      <c r="E1508" t="s">
        <v>18</v>
      </c>
      <c r="F1508">
        <v>30</v>
      </c>
      <c r="G1508" t="s">
        <v>122</v>
      </c>
      <c r="H1508" t="s">
        <v>20</v>
      </c>
      <c r="I1508" t="s">
        <v>109</v>
      </c>
      <c r="J1508" t="s">
        <v>50</v>
      </c>
      <c r="K1508">
        <v>3</v>
      </c>
      <c r="L1508" t="s">
        <v>143</v>
      </c>
      <c r="M1508" t="s">
        <v>23</v>
      </c>
      <c r="N1508">
        <v>44</v>
      </c>
      <c r="O1508" t="s">
        <v>40</v>
      </c>
      <c r="P1508" t="s">
        <v>51</v>
      </c>
    </row>
    <row r="1509" spans="1:16" ht="14.5" x14ac:dyDescent="0.35">
      <c r="A1509">
        <v>1508</v>
      </c>
      <c r="B1509">
        <v>66</v>
      </c>
      <c r="C1509" t="s">
        <v>16</v>
      </c>
      <c r="D1509" t="s">
        <v>72</v>
      </c>
      <c r="E1509" t="s">
        <v>18</v>
      </c>
      <c r="F1509">
        <v>86</v>
      </c>
      <c r="G1509" t="s">
        <v>129</v>
      </c>
      <c r="H1509" t="s">
        <v>32</v>
      </c>
      <c r="I1509" t="s">
        <v>28</v>
      </c>
      <c r="J1509" t="s">
        <v>22</v>
      </c>
      <c r="K1509">
        <v>3.7</v>
      </c>
      <c r="L1509" t="s">
        <v>143</v>
      </c>
      <c r="M1509" t="s">
        <v>23</v>
      </c>
      <c r="N1509">
        <v>7</v>
      </c>
      <c r="O1509" t="s">
        <v>24</v>
      </c>
      <c r="P1509" t="s">
        <v>43</v>
      </c>
    </row>
    <row r="1510" spans="1:16" ht="14.5" x14ac:dyDescent="0.35">
      <c r="A1510">
        <v>1509</v>
      </c>
      <c r="B1510">
        <v>35</v>
      </c>
      <c r="C1510" t="s">
        <v>16</v>
      </c>
      <c r="D1510" t="s">
        <v>17</v>
      </c>
      <c r="E1510" t="s">
        <v>18</v>
      </c>
      <c r="F1510">
        <v>84</v>
      </c>
      <c r="G1510" t="s">
        <v>103</v>
      </c>
      <c r="H1510" t="s">
        <v>20</v>
      </c>
      <c r="I1510" t="s">
        <v>109</v>
      </c>
      <c r="J1510" t="s">
        <v>33</v>
      </c>
      <c r="K1510">
        <v>4.4000000000000004</v>
      </c>
      <c r="L1510" t="s">
        <v>143</v>
      </c>
      <c r="M1510" t="s">
        <v>23</v>
      </c>
      <c r="N1510">
        <v>3</v>
      </c>
      <c r="O1510" t="s">
        <v>29</v>
      </c>
      <c r="P1510" t="s">
        <v>88</v>
      </c>
    </row>
    <row r="1511" spans="1:16" ht="14.5" x14ac:dyDescent="0.35">
      <c r="A1511">
        <v>1510</v>
      </c>
      <c r="B1511">
        <v>20</v>
      </c>
      <c r="C1511" t="s">
        <v>16</v>
      </c>
      <c r="D1511" t="s">
        <v>72</v>
      </c>
      <c r="E1511" t="s">
        <v>18</v>
      </c>
      <c r="F1511">
        <v>54</v>
      </c>
      <c r="G1511" t="s">
        <v>73</v>
      </c>
      <c r="H1511" t="s">
        <v>83</v>
      </c>
      <c r="I1511" t="s">
        <v>46</v>
      </c>
      <c r="J1511" t="s">
        <v>47</v>
      </c>
      <c r="K1511">
        <v>4.5999999999999996</v>
      </c>
      <c r="L1511" t="s">
        <v>143</v>
      </c>
      <c r="M1511" t="s">
        <v>23</v>
      </c>
      <c r="N1511">
        <v>44</v>
      </c>
      <c r="O1511" t="s">
        <v>77</v>
      </c>
      <c r="P1511" t="s">
        <v>43</v>
      </c>
    </row>
    <row r="1512" spans="1:16" ht="14.5" x14ac:dyDescent="0.35">
      <c r="A1512">
        <v>1511</v>
      </c>
      <c r="B1512">
        <v>55</v>
      </c>
      <c r="C1512" t="s">
        <v>16</v>
      </c>
      <c r="D1512" t="s">
        <v>17</v>
      </c>
      <c r="E1512" t="s">
        <v>18</v>
      </c>
      <c r="F1512">
        <v>30</v>
      </c>
      <c r="G1512" t="s">
        <v>119</v>
      </c>
      <c r="H1512" t="s">
        <v>83</v>
      </c>
      <c r="I1512" t="s">
        <v>21</v>
      </c>
      <c r="J1512" t="s">
        <v>50</v>
      </c>
      <c r="K1512">
        <v>3</v>
      </c>
      <c r="L1512" t="s">
        <v>143</v>
      </c>
      <c r="M1512" t="s">
        <v>23</v>
      </c>
      <c r="N1512">
        <v>31</v>
      </c>
      <c r="O1512" t="s">
        <v>24</v>
      </c>
      <c r="P1512" t="s">
        <v>43</v>
      </c>
    </row>
    <row r="1513" spans="1:16" ht="14.5" x14ac:dyDescent="0.35">
      <c r="A1513">
        <v>1512</v>
      </c>
      <c r="B1513">
        <v>34</v>
      </c>
      <c r="C1513" t="s">
        <v>16</v>
      </c>
      <c r="D1513" t="s">
        <v>72</v>
      </c>
      <c r="E1513" t="s">
        <v>18</v>
      </c>
      <c r="F1513">
        <v>91</v>
      </c>
      <c r="G1513" t="s">
        <v>133</v>
      </c>
      <c r="H1513" t="s">
        <v>39</v>
      </c>
      <c r="I1513" t="s">
        <v>74</v>
      </c>
      <c r="J1513" t="s">
        <v>22</v>
      </c>
      <c r="K1513">
        <v>3.6</v>
      </c>
      <c r="L1513" t="s">
        <v>143</v>
      </c>
      <c r="M1513" t="s">
        <v>23</v>
      </c>
      <c r="N1513">
        <v>48</v>
      </c>
      <c r="O1513" t="s">
        <v>34</v>
      </c>
      <c r="P1513" t="s">
        <v>35</v>
      </c>
    </row>
    <row r="1514" spans="1:16" ht="14.5" x14ac:dyDescent="0.35">
      <c r="A1514">
        <v>1513</v>
      </c>
      <c r="B1514">
        <v>60</v>
      </c>
      <c r="C1514" t="s">
        <v>16</v>
      </c>
      <c r="D1514" t="s">
        <v>44</v>
      </c>
      <c r="E1514" t="s">
        <v>37</v>
      </c>
      <c r="F1514">
        <v>23</v>
      </c>
      <c r="G1514" t="s">
        <v>141</v>
      </c>
      <c r="H1514" t="s">
        <v>20</v>
      </c>
      <c r="I1514" t="s">
        <v>58</v>
      </c>
      <c r="J1514" t="s">
        <v>22</v>
      </c>
      <c r="K1514">
        <v>3.9</v>
      </c>
      <c r="L1514" t="s">
        <v>143</v>
      </c>
      <c r="M1514" t="s">
        <v>23</v>
      </c>
      <c r="N1514">
        <v>18</v>
      </c>
      <c r="O1514" t="s">
        <v>40</v>
      </c>
      <c r="P1514" t="s">
        <v>67</v>
      </c>
    </row>
    <row r="1515" spans="1:16" ht="14.5" x14ac:dyDescent="0.35">
      <c r="A1515">
        <v>1514</v>
      </c>
      <c r="B1515">
        <v>22</v>
      </c>
      <c r="C1515" t="s">
        <v>16</v>
      </c>
      <c r="D1515" t="s">
        <v>116</v>
      </c>
      <c r="E1515" t="s">
        <v>18</v>
      </c>
      <c r="F1515">
        <v>35</v>
      </c>
      <c r="G1515" t="s">
        <v>96</v>
      </c>
      <c r="H1515" t="s">
        <v>39</v>
      </c>
      <c r="I1515" t="s">
        <v>99</v>
      </c>
      <c r="J1515" t="s">
        <v>33</v>
      </c>
      <c r="K1515">
        <v>4.0999999999999996</v>
      </c>
      <c r="L1515" t="s">
        <v>143</v>
      </c>
      <c r="M1515" t="s">
        <v>23</v>
      </c>
      <c r="N1515">
        <v>27</v>
      </c>
      <c r="O1515" t="s">
        <v>29</v>
      </c>
      <c r="P1515" t="s">
        <v>79</v>
      </c>
    </row>
    <row r="1516" spans="1:16" ht="14.5" x14ac:dyDescent="0.35">
      <c r="A1516">
        <v>1515</v>
      </c>
      <c r="B1516">
        <v>26</v>
      </c>
      <c r="C1516" t="s">
        <v>16</v>
      </c>
      <c r="D1516" t="s">
        <v>63</v>
      </c>
      <c r="E1516" t="s">
        <v>37</v>
      </c>
      <c r="F1516">
        <v>90</v>
      </c>
      <c r="G1516" t="s">
        <v>131</v>
      </c>
      <c r="H1516" t="s">
        <v>20</v>
      </c>
      <c r="I1516" t="s">
        <v>101</v>
      </c>
      <c r="J1516" t="s">
        <v>22</v>
      </c>
      <c r="K1516">
        <v>3.9</v>
      </c>
      <c r="L1516" t="s">
        <v>143</v>
      </c>
      <c r="M1516" t="s">
        <v>23</v>
      </c>
      <c r="N1516">
        <v>1</v>
      </c>
      <c r="O1516" t="s">
        <v>24</v>
      </c>
      <c r="P1516" t="s">
        <v>35</v>
      </c>
    </row>
    <row r="1517" spans="1:16" ht="14.5" x14ac:dyDescent="0.35">
      <c r="A1517">
        <v>1516</v>
      </c>
      <c r="B1517">
        <v>39</v>
      </c>
      <c r="C1517" t="s">
        <v>16</v>
      </c>
      <c r="D1517" t="s">
        <v>30</v>
      </c>
      <c r="E1517" t="s">
        <v>18</v>
      </c>
      <c r="F1517">
        <v>93</v>
      </c>
      <c r="G1517" t="s">
        <v>107</v>
      </c>
      <c r="H1517" t="s">
        <v>32</v>
      </c>
      <c r="I1517" t="s">
        <v>42</v>
      </c>
      <c r="J1517" t="s">
        <v>50</v>
      </c>
      <c r="K1517">
        <v>3.9</v>
      </c>
      <c r="L1517" t="s">
        <v>143</v>
      </c>
      <c r="M1517" t="s">
        <v>23</v>
      </c>
      <c r="N1517">
        <v>34</v>
      </c>
      <c r="O1517" t="s">
        <v>29</v>
      </c>
      <c r="P1517" t="s">
        <v>35</v>
      </c>
    </row>
    <row r="1518" spans="1:16" ht="14.5" x14ac:dyDescent="0.35">
      <c r="A1518">
        <v>1517</v>
      </c>
      <c r="B1518">
        <v>20</v>
      </c>
      <c r="C1518" t="s">
        <v>16</v>
      </c>
      <c r="D1518" t="s">
        <v>30</v>
      </c>
      <c r="E1518" t="s">
        <v>18</v>
      </c>
      <c r="F1518">
        <v>68</v>
      </c>
      <c r="G1518" t="s">
        <v>98</v>
      </c>
      <c r="H1518" t="s">
        <v>20</v>
      </c>
      <c r="I1518" t="s">
        <v>117</v>
      </c>
      <c r="J1518" t="s">
        <v>22</v>
      </c>
      <c r="K1518">
        <v>4.5</v>
      </c>
      <c r="L1518" t="s">
        <v>143</v>
      </c>
      <c r="M1518" t="s">
        <v>23</v>
      </c>
      <c r="N1518">
        <v>5</v>
      </c>
      <c r="O1518" t="s">
        <v>66</v>
      </c>
      <c r="P1518" t="s">
        <v>67</v>
      </c>
    </row>
    <row r="1519" spans="1:16" ht="14.5" x14ac:dyDescent="0.35">
      <c r="A1519">
        <v>1518</v>
      </c>
      <c r="B1519">
        <v>57</v>
      </c>
      <c r="C1519" t="s">
        <v>16</v>
      </c>
      <c r="D1519" t="s">
        <v>134</v>
      </c>
      <c r="E1519" t="s">
        <v>60</v>
      </c>
      <c r="F1519">
        <v>41</v>
      </c>
      <c r="G1519" t="s">
        <v>73</v>
      </c>
      <c r="H1519" t="s">
        <v>39</v>
      </c>
      <c r="I1519" t="s">
        <v>74</v>
      </c>
      <c r="J1519" t="s">
        <v>33</v>
      </c>
      <c r="K1519">
        <v>3.4</v>
      </c>
      <c r="L1519" t="s">
        <v>143</v>
      </c>
      <c r="M1519" t="s">
        <v>23</v>
      </c>
      <c r="N1519">
        <v>12</v>
      </c>
      <c r="O1519" t="s">
        <v>29</v>
      </c>
      <c r="P1519" t="s">
        <v>51</v>
      </c>
    </row>
    <row r="1520" spans="1:16" ht="14.5" x14ac:dyDescent="0.35">
      <c r="A1520">
        <v>1519</v>
      </c>
      <c r="B1520">
        <v>68</v>
      </c>
      <c r="C1520" t="s">
        <v>16</v>
      </c>
      <c r="D1520" t="s">
        <v>124</v>
      </c>
      <c r="E1520" t="s">
        <v>60</v>
      </c>
      <c r="F1520">
        <v>73</v>
      </c>
      <c r="G1520" t="s">
        <v>75</v>
      </c>
      <c r="H1520" t="s">
        <v>39</v>
      </c>
      <c r="I1520" t="s">
        <v>125</v>
      </c>
      <c r="J1520" t="s">
        <v>22</v>
      </c>
      <c r="K1520">
        <v>4.0999999999999996</v>
      </c>
      <c r="L1520" t="s">
        <v>143</v>
      </c>
      <c r="M1520" t="s">
        <v>23</v>
      </c>
      <c r="N1520">
        <v>14</v>
      </c>
      <c r="O1520" t="s">
        <v>24</v>
      </c>
      <c r="P1520" t="s">
        <v>25</v>
      </c>
    </row>
    <row r="1521" spans="1:16" ht="14.5" x14ac:dyDescent="0.35">
      <c r="A1521">
        <v>1520</v>
      </c>
      <c r="B1521">
        <v>50</v>
      </c>
      <c r="C1521" t="s">
        <v>16</v>
      </c>
      <c r="D1521" t="s">
        <v>80</v>
      </c>
      <c r="E1521" t="s">
        <v>60</v>
      </c>
      <c r="F1521">
        <v>73</v>
      </c>
      <c r="G1521" t="s">
        <v>96</v>
      </c>
      <c r="H1521" t="s">
        <v>20</v>
      </c>
      <c r="I1521" t="s">
        <v>100</v>
      </c>
      <c r="J1521" t="s">
        <v>50</v>
      </c>
      <c r="K1521">
        <v>4.9000000000000004</v>
      </c>
      <c r="L1521" t="s">
        <v>143</v>
      </c>
      <c r="M1521" t="s">
        <v>23</v>
      </c>
      <c r="N1521">
        <v>40</v>
      </c>
      <c r="O1521" t="s">
        <v>40</v>
      </c>
      <c r="P1521" t="s">
        <v>35</v>
      </c>
    </row>
    <row r="1522" spans="1:16" ht="14.5" x14ac:dyDescent="0.35">
      <c r="A1522">
        <v>1521</v>
      </c>
      <c r="B1522">
        <v>21</v>
      </c>
      <c r="C1522" t="s">
        <v>16</v>
      </c>
      <c r="D1522" t="s">
        <v>115</v>
      </c>
      <c r="E1522" t="s">
        <v>60</v>
      </c>
      <c r="F1522">
        <v>66</v>
      </c>
      <c r="G1522" t="s">
        <v>137</v>
      </c>
      <c r="H1522" t="s">
        <v>39</v>
      </c>
      <c r="I1522" t="s">
        <v>101</v>
      </c>
      <c r="J1522" t="s">
        <v>47</v>
      </c>
      <c r="K1522">
        <v>4.4000000000000004</v>
      </c>
      <c r="L1522" t="s">
        <v>143</v>
      </c>
      <c r="M1522" t="s">
        <v>23</v>
      </c>
      <c r="N1522">
        <v>39</v>
      </c>
      <c r="O1522" t="s">
        <v>29</v>
      </c>
      <c r="P1522" t="s">
        <v>51</v>
      </c>
    </row>
    <row r="1523" spans="1:16" ht="14.5" x14ac:dyDescent="0.35">
      <c r="A1523">
        <v>1522</v>
      </c>
      <c r="B1523">
        <v>29</v>
      </c>
      <c r="C1523" t="s">
        <v>16</v>
      </c>
      <c r="D1523" t="s">
        <v>123</v>
      </c>
      <c r="E1523" t="s">
        <v>60</v>
      </c>
      <c r="F1523">
        <v>59</v>
      </c>
      <c r="G1523" t="s">
        <v>140</v>
      </c>
      <c r="H1523" t="s">
        <v>39</v>
      </c>
      <c r="I1523" t="s">
        <v>46</v>
      </c>
      <c r="J1523" t="s">
        <v>47</v>
      </c>
      <c r="K1523">
        <v>2.7</v>
      </c>
      <c r="L1523" t="s">
        <v>143</v>
      </c>
      <c r="M1523" t="s">
        <v>23</v>
      </c>
      <c r="N1523">
        <v>50</v>
      </c>
      <c r="O1523" t="s">
        <v>66</v>
      </c>
      <c r="P1523" t="s">
        <v>35</v>
      </c>
    </row>
    <row r="1524" spans="1:16" ht="14.5" x14ac:dyDescent="0.35">
      <c r="A1524">
        <v>1523</v>
      </c>
      <c r="B1524">
        <v>38</v>
      </c>
      <c r="C1524" t="s">
        <v>16</v>
      </c>
      <c r="D1524" t="s">
        <v>52</v>
      </c>
      <c r="E1524" t="s">
        <v>18</v>
      </c>
      <c r="F1524">
        <v>72</v>
      </c>
      <c r="G1524" t="s">
        <v>113</v>
      </c>
      <c r="H1524" t="s">
        <v>20</v>
      </c>
      <c r="I1524" t="s">
        <v>125</v>
      </c>
      <c r="J1524" t="s">
        <v>33</v>
      </c>
      <c r="K1524">
        <v>4.8</v>
      </c>
      <c r="L1524" t="s">
        <v>143</v>
      </c>
      <c r="M1524" t="s">
        <v>23</v>
      </c>
      <c r="N1524">
        <v>5</v>
      </c>
      <c r="O1524" t="s">
        <v>77</v>
      </c>
      <c r="P1524" t="s">
        <v>79</v>
      </c>
    </row>
    <row r="1525" spans="1:16" ht="14.5" x14ac:dyDescent="0.35">
      <c r="A1525">
        <v>1524</v>
      </c>
      <c r="B1525">
        <v>54</v>
      </c>
      <c r="C1525" t="s">
        <v>16</v>
      </c>
      <c r="D1525" t="s">
        <v>116</v>
      </c>
      <c r="E1525" t="s">
        <v>18</v>
      </c>
      <c r="F1525">
        <v>88</v>
      </c>
      <c r="G1525" t="s">
        <v>133</v>
      </c>
      <c r="H1525" t="s">
        <v>39</v>
      </c>
      <c r="I1525" t="s">
        <v>46</v>
      </c>
      <c r="J1525" t="s">
        <v>47</v>
      </c>
      <c r="K1525">
        <v>3.3</v>
      </c>
      <c r="L1525" t="s">
        <v>143</v>
      </c>
      <c r="M1525" t="s">
        <v>23</v>
      </c>
      <c r="N1525">
        <v>35</v>
      </c>
      <c r="O1525" t="s">
        <v>77</v>
      </c>
      <c r="P1525" t="s">
        <v>43</v>
      </c>
    </row>
    <row r="1526" spans="1:16" ht="14.5" x14ac:dyDescent="0.35">
      <c r="A1526">
        <v>1525</v>
      </c>
      <c r="B1526">
        <v>22</v>
      </c>
      <c r="C1526" t="s">
        <v>16</v>
      </c>
      <c r="D1526" t="s">
        <v>116</v>
      </c>
      <c r="E1526" t="s">
        <v>18</v>
      </c>
      <c r="F1526">
        <v>76</v>
      </c>
      <c r="G1526" t="s">
        <v>31</v>
      </c>
      <c r="H1526" t="s">
        <v>20</v>
      </c>
      <c r="I1526" t="s">
        <v>62</v>
      </c>
      <c r="J1526" t="s">
        <v>47</v>
      </c>
      <c r="K1526">
        <v>4.4000000000000004</v>
      </c>
      <c r="L1526" t="s">
        <v>143</v>
      </c>
      <c r="M1526" t="s">
        <v>23</v>
      </c>
      <c r="N1526">
        <v>6</v>
      </c>
      <c r="O1526" t="s">
        <v>29</v>
      </c>
      <c r="P1526" t="s">
        <v>67</v>
      </c>
    </row>
    <row r="1527" spans="1:16" ht="14.5" x14ac:dyDescent="0.35">
      <c r="A1527">
        <v>1526</v>
      </c>
      <c r="B1527">
        <v>29</v>
      </c>
      <c r="C1527" t="s">
        <v>16</v>
      </c>
      <c r="D1527" t="s">
        <v>124</v>
      </c>
      <c r="E1527" t="s">
        <v>60</v>
      </c>
      <c r="F1527">
        <v>31</v>
      </c>
      <c r="G1527" t="s">
        <v>41</v>
      </c>
      <c r="H1527" t="s">
        <v>39</v>
      </c>
      <c r="I1527" t="s">
        <v>117</v>
      </c>
      <c r="J1527" t="s">
        <v>22</v>
      </c>
      <c r="K1527">
        <v>4.5999999999999996</v>
      </c>
      <c r="L1527" t="s">
        <v>143</v>
      </c>
      <c r="M1527" t="s">
        <v>23</v>
      </c>
      <c r="N1527">
        <v>22</v>
      </c>
      <c r="O1527" t="s">
        <v>29</v>
      </c>
      <c r="P1527" t="s">
        <v>25</v>
      </c>
    </row>
    <row r="1528" spans="1:16" ht="14.5" x14ac:dyDescent="0.35">
      <c r="A1528">
        <v>1527</v>
      </c>
      <c r="B1528">
        <v>41</v>
      </c>
      <c r="C1528" t="s">
        <v>16</v>
      </c>
      <c r="D1528" t="s">
        <v>93</v>
      </c>
      <c r="E1528" t="s">
        <v>56</v>
      </c>
      <c r="F1528">
        <v>22</v>
      </c>
      <c r="G1528" t="s">
        <v>92</v>
      </c>
      <c r="H1528" t="s">
        <v>20</v>
      </c>
      <c r="I1528" t="s">
        <v>46</v>
      </c>
      <c r="J1528" t="s">
        <v>47</v>
      </c>
      <c r="K1528">
        <v>3.1</v>
      </c>
      <c r="L1528" t="s">
        <v>143</v>
      </c>
      <c r="M1528" t="s">
        <v>23</v>
      </c>
      <c r="N1528">
        <v>27</v>
      </c>
      <c r="O1528" t="s">
        <v>40</v>
      </c>
      <c r="P1528" t="s">
        <v>79</v>
      </c>
    </row>
    <row r="1529" spans="1:16" ht="14.5" x14ac:dyDescent="0.35">
      <c r="A1529">
        <v>1528</v>
      </c>
      <c r="B1529">
        <v>26</v>
      </c>
      <c r="C1529" t="s">
        <v>16</v>
      </c>
      <c r="D1529" t="s">
        <v>115</v>
      </c>
      <c r="E1529" t="s">
        <v>60</v>
      </c>
      <c r="F1529">
        <v>75</v>
      </c>
      <c r="G1529" t="s">
        <v>141</v>
      </c>
      <c r="H1529" t="s">
        <v>20</v>
      </c>
      <c r="I1529" t="s">
        <v>99</v>
      </c>
      <c r="J1529" t="s">
        <v>50</v>
      </c>
      <c r="K1529">
        <v>4.5</v>
      </c>
      <c r="L1529" t="s">
        <v>143</v>
      </c>
      <c r="M1529" t="s">
        <v>23</v>
      </c>
      <c r="N1529">
        <v>33</v>
      </c>
      <c r="O1529" t="s">
        <v>77</v>
      </c>
      <c r="P1529" t="s">
        <v>25</v>
      </c>
    </row>
    <row r="1530" spans="1:16" ht="14.5" x14ac:dyDescent="0.35">
      <c r="A1530">
        <v>1529</v>
      </c>
      <c r="B1530">
        <v>69</v>
      </c>
      <c r="C1530" t="s">
        <v>16</v>
      </c>
      <c r="D1530" t="s">
        <v>104</v>
      </c>
      <c r="E1530" t="s">
        <v>18</v>
      </c>
      <c r="F1530">
        <v>75</v>
      </c>
      <c r="G1530" t="s">
        <v>41</v>
      </c>
      <c r="H1530" t="s">
        <v>32</v>
      </c>
      <c r="I1530" t="s">
        <v>99</v>
      </c>
      <c r="J1530" t="s">
        <v>33</v>
      </c>
      <c r="K1530">
        <v>4</v>
      </c>
      <c r="L1530" t="s">
        <v>143</v>
      </c>
      <c r="M1530" t="s">
        <v>23</v>
      </c>
      <c r="N1530">
        <v>47</v>
      </c>
      <c r="O1530" t="s">
        <v>24</v>
      </c>
      <c r="P1530" t="s">
        <v>67</v>
      </c>
    </row>
    <row r="1531" spans="1:16" ht="14.5" x14ac:dyDescent="0.35">
      <c r="A1531">
        <v>1530</v>
      </c>
      <c r="B1531">
        <v>20</v>
      </c>
      <c r="C1531" t="s">
        <v>16</v>
      </c>
      <c r="D1531" t="s">
        <v>123</v>
      </c>
      <c r="E1531" t="s">
        <v>60</v>
      </c>
      <c r="F1531">
        <v>63</v>
      </c>
      <c r="G1531" t="s">
        <v>133</v>
      </c>
      <c r="H1531" t="s">
        <v>39</v>
      </c>
      <c r="I1531" t="s">
        <v>84</v>
      </c>
      <c r="J1531" t="s">
        <v>22</v>
      </c>
      <c r="K1531">
        <v>3.1</v>
      </c>
      <c r="L1531" t="s">
        <v>143</v>
      </c>
      <c r="M1531" t="s">
        <v>23</v>
      </c>
      <c r="N1531">
        <v>48</v>
      </c>
      <c r="O1531" t="s">
        <v>34</v>
      </c>
      <c r="P1531" t="s">
        <v>67</v>
      </c>
    </row>
    <row r="1532" spans="1:16" ht="14.5" x14ac:dyDescent="0.35">
      <c r="A1532">
        <v>1531</v>
      </c>
      <c r="B1532">
        <v>59</v>
      </c>
      <c r="C1532" t="s">
        <v>16</v>
      </c>
      <c r="D1532" t="s">
        <v>55</v>
      </c>
      <c r="E1532" t="s">
        <v>56</v>
      </c>
      <c r="F1532">
        <v>21</v>
      </c>
      <c r="G1532" t="s">
        <v>121</v>
      </c>
      <c r="H1532" t="s">
        <v>39</v>
      </c>
      <c r="I1532" t="s">
        <v>76</v>
      </c>
      <c r="J1532" t="s">
        <v>33</v>
      </c>
      <c r="K1532">
        <v>3.9</v>
      </c>
      <c r="L1532" t="s">
        <v>143</v>
      </c>
      <c r="M1532" t="s">
        <v>23</v>
      </c>
      <c r="N1532">
        <v>22</v>
      </c>
      <c r="O1532" t="s">
        <v>66</v>
      </c>
      <c r="P1532" t="s">
        <v>51</v>
      </c>
    </row>
    <row r="1533" spans="1:16" ht="14.5" x14ac:dyDescent="0.35">
      <c r="A1533">
        <v>1532</v>
      </c>
      <c r="B1533">
        <v>63</v>
      </c>
      <c r="C1533" t="s">
        <v>16</v>
      </c>
      <c r="D1533" t="s">
        <v>123</v>
      </c>
      <c r="E1533" t="s">
        <v>60</v>
      </c>
      <c r="F1533">
        <v>83</v>
      </c>
      <c r="G1533" t="s">
        <v>82</v>
      </c>
      <c r="H1533" t="s">
        <v>32</v>
      </c>
      <c r="I1533" t="s">
        <v>74</v>
      </c>
      <c r="J1533" t="s">
        <v>33</v>
      </c>
      <c r="K1533">
        <v>4.5</v>
      </c>
      <c r="L1533" t="s">
        <v>143</v>
      </c>
      <c r="M1533" t="s">
        <v>23</v>
      </c>
      <c r="N1533">
        <v>8</v>
      </c>
      <c r="O1533" t="s">
        <v>40</v>
      </c>
      <c r="P1533" t="s">
        <v>67</v>
      </c>
    </row>
    <row r="1534" spans="1:16" ht="14.5" x14ac:dyDescent="0.35">
      <c r="A1534">
        <v>1533</v>
      </c>
      <c r="B1534">
        <v>68</v>
      </c>
      <c r="C1534" t="s">
        <v>16</v>
      </c>
      <c r="D1534" t="s">
        <v>93</v>
      </c>
      <c r="E1534" t="s">
        <v>56</v>
      </c>
      <c r="F1534">
        <v>46</v>
      </c>
      <c r="G1534" t="s">
        <v>141</v>
      </c>
      <c r="H1534" t="s">
        <v>32</v>
      </c>
      <c r="I1534" t="s">
        <v>58</v>
      </c>
      <c r="J1534" t="s">
        <v>22</v>
      </c>
      <c r="K1534">
        <v>4.4000000000000004</v>
      </c>
      <c r="L1534" t="s">
        <v>143</v>
      </c>
      <c r="M1534" t="s">
        <v>23</v>
      </c>
      <c r="N1534">
        <v>5</v>
      </c>
      <c r="O1534" t="s">
        <v>40</v>
      </c>
      <c r="P1534" t="s">
        <v>88</v>
      </c>
    </row>
    <row r="1535" spans="1:16" ht="14.5" x14ac:dyDescent="0.35">
      <c r="A1535">
        <v>1534</v>
      </c>
      <c r="B1535">
        <v>50</v>
      </c>
      <c r="C1535" t="s">
        <v>16</v>
      </c>
      <c r="D1535" t="s">
        <v>63</v>
      </c>
      <c r="E1535" t="s">
        <v>37</v>
      </c>
      <c r="F1535">
        <v>59</v>
      </c>
      <c r="G1535" t="s">
        <v>73</v>
      </c>
      <c r="H1535" t="s">
        <v>39</v>
      </c>
      <c r="I1535" t="s">
        <v>71</v>
      </c>
      <c r="J1535" t="s">
        <v>47</v>
      </c>
      <c r="K1535">
        <v>3.6</v>
      </c>
      <c r="L1535" t="s">
        <v>143</v>
      </c>
      <c r="M1535" t="s">
        <v>23</v>
      </c>
      <c r="N1535">
        <v>16</v>
      </c>
      <c r="O1535" t="s">
        <v>66</v>
      </c>
      <c r="P1535" t="s">
        <v>51</v>
      </c>
    </row>
    <row r="1536" spans="1:16" ht="14.5" x14ac:dyDescent="0.35">
      <c r="A1536">
        <v>1535</v>
      </c>
      <c r="B1536">
        <v>55</v>
      </c>
      <c r="C1536" t="s">
        <v>16</v>
      </c>
      <c r="D1536" t="s">
        <v>17</v>
      </c>
      <c r="E1536" t="s">
        <v>18</v>
      </c>
      <c r="F1536">
        <v>66</v>
      </c>
      <c r="G1536" t="s">
        <v>45</v>
      </c>
      <c r="H1536" t="s">
        <v>39</v>
      </c>
      <c r="I1536" t="s">
        <v>87</v>
      </c>
      <c r="J1536" t="s">
        <v>47</v>
      </c>
      <c r="K1536">
        <v>3.4</v>
      </c>
      <c r="L1536" t="s">
        <v>143</v>
      </c>
      <c r="M1536" t="s">
        <v>23</v>
      </c>
      <c r="N1536">
        <v>26</v>
      </c>
      <c r="O1536" t="s">
        <v>24</v>
      </c>
      <c r="P1536" t="s">
        <v>25</v>
      </c>
    </row>
    <row r="1537" spans="1:16" ht="14.5" x14ac:dyDescent="0.35">
      <c r="A1537">
        <v>1536</v>
      </c>
      <c r="B1537">
        <v>36</v>
      </c>
      <c r="C1537" t="s">
        <v>16</v>
      </c>
      <c r="D1537" t="s">
        <v>36</v>
      </c>
      <c r="E1537" t="s">
        <v>37</v>
      </c>
      <c r="F1537">
        <v>74</v>
      </c>
      <c r="G1537" t="s">
        <v>57</v>
      </c>
      <c r="H1537" t="s">
        <v>32</v>
      </c>
      <c r="I1537" t="s">
        <v>42</v>
      </c>
      <c r="J1537" t="s">
        <v>50</v>
      </c>
      <c r="K1537">
        <v>4</v>
      </c>
      <c r="L1537" t="s">
        <v>143</v>
      </c>
      <c r="M1537" t="s">
        <v>23</v>
      </c>
      <c r="N1537">
        <v>8</v>
      </c>
      <c r="O1537" t="s">
        <v>24</v>
      </c>
      <c r="P1537" t="s">
        <v>79</v>
      </c>
    </row>
    <row r="1538" spans="1:16" ht="14.5" x14ac:dyDescent="0.35">
      <c r="A1538">
        <v>1537</v>
      </c>
      <c r="B1538">
        <v>18</v>
      </c>
      <c r="C1538" t="s">
        <v>16</v>
      </c>
      <c r="D1538" t="s">
        <v>80</v>
      </c>
      <c r="E1538" t="s">
        <v>60</v>
      </c>
      <c r="F1538">
        <v>82</v>
      </c>
      <c r="G1538" t="s">
        <v>142</v>
      </c>
      <c r="H1538" t="s">
        <v>39</v>
      </c>
      <c r="I1538" t="s">
        <v>117</v>
      </c>
      <c r="J1538" t="s">
        <v>47</v>
      </c>
      <c r="K1538">
        <v>2.6</v>
      </c>
      <c r="L1538" t="s">
        <v>143</v>
      </c>
      <c r="M1538" t="s">
        <v>23</v>
      </c>
      <c r="N1538">
        <v>17</v>
      </c>
      <c r="O1538" t="s">
        <v>29</v>
      </c>
      <c r="P1538" t="s">
        <v>51</v>
      </c>
    </row>
    <row r="1539" spans="1:16" ht="14.5" x14ac:dyDescent="0.35">
      <c r="A1539">
        <v>1538</v>
      </c>
      <c r="B1539">
        <v>68</v>
      </c>
      <c r="C1539" t="s">
        <v>16</v>
      </c>
      <c r="D1539" t="s">
        <v>63</v>
      </c>
      <c r="E1539" t="s">
        <v>37</v>
      </c>
      <c r="F1539">
        <v>89</v>
      </c>
      <c r="G1539" t="s">
        <v>111</v>
      </c>
      <c r="H1539" t="s">
        <v>20</v>
      </c>
      <c r="I1539" t="s">
        <v>85</v>
      </c>
      <c r="J1539" t="s">
        <v>33</v>
      </c>
      <c r="K1539">
        <v>3.2</v>
      </c>
      <c r="L1539" t="s">
        <v>143</v>
      </c>
      <c r="M1539" t="s">
        <v>23</v>
      </c>
      <c r="N1539">
        <v>50</v>
      </c>
      <c r="O1539" t="s">
        <v>24</v>
      </c>
      <c r="P1539" t="s">
        <v>43</v>
      </c>
    </row>
    <row r="1540" spans="1:16" ht="14.5" x14ac:dyDescent="0.35">
      <c r="A1540">
        <v>1539</v>
      </c>
      <c r="B1540">
        <v>56</v>
      </c>
      <c r="C1540" t="s">
        <v>16</v>
      </c>
      <c r="D1540" t="s">
        <v>72</v>
      </c>
      <c r="E1540" t="s">
        <v>18</v>
      </c>
      <c r="F1540">
        <v>65</v>
      </c>
      <c r="G1540" t="s">
        <v>106</v>
      </c>
      <c r="H1540" t="s">
        <v>20</v>
      </c>
      <c r="I1540" t="s">
        <v>54</v>
      </c>
      <c r="J1540" t="s">
        <v>50</v>
      </c>
      <c r="K1540">
        <v>3.2</v>
      </c>
      <c r="L1540" t="s">
        <v>143</v>
      </c>
      <c r="M1540" t="s">
        <v>23</v>
      </c>
      <c r="N1540">
        <v>22</v>
      </c>
      <c r="O1540" t="s">
        <v>24</v>
      </c>
      <c r="P1540" t="s">
        <v>67</v>
      </c>
    </row>
    <row r="1541" spans="1:16" ht="14.5" x14ac:dyDescent="0.35">
      <c r="A1541">
        <v>1540</v>
      </c>
      <c r="B1541">
        <v>32</v>
      </c>
      <c r="C1541" t="s">
        <v>16</v>
      </c>
      <c r="D1541" t="s">
        <v>124</v>
      </c>
      <c r="E1541" t="s">
        <v>60</v>
      </c>
      <c r="F1541">
        <v>55</v>
      </c>
      <c r="G1541" t="s">
        <v>68</v>
      </c>
      <c r="H1541" t="s">
        <v>39</v>
      </c>
      <c r="I1541" t="s">
        <v>42</v>
      </c>
      <c r="J1541" t="s">
        <v>33</v>
      </c>
      <c r="K1541">
        <v>5</v>
      </c>
      <c r="L1541" t="s">
        <v>143</v>
      </c>
      <c r="M1541" t="s">
        <v>23</v>
      </c>
      <c r="N1541">
        <v>19</v>
      </c>
      <c r="O1541" t="s">
        <v>29</v>
      </c>
      <c r="P1541" t="s">
        <v>88</v>
      </c>
    </row>
    <row r="1542" spans="1:16" ht="14.5" x14ac:dyDescent="0.35">
      <c r="A1542">
        <v>1541</v>
      </c>
      <c r="B1542">
        <v>28</v>
      </c>
      <c r="C1542" t="s">
        <v>16</v>
      </c>
      <c r="D1542" t="s">
        <v>52</v>
      </c>
      <c r="E1542" t="s">
        <v>18</v>
      </c>
      <c r="F1542">
        <v>95</v>
      </c>
      <c r="G1542" t="s">
        <v>103</v>
      </c>
      <c r="H1542" t="s">
        <v>39</v>
      </c>
      <c r="I1542" t="s">
        <v>99</v>
      </c>
      <c r="J1542" t="s">
        <v>22</v>
      </c>
      <c r="K1542">
        <v>2.9</v>
      </c>
      <c r="L1542" t="s">
        <v>143</v>
      </c>
      <c r="M1542" t="s">
        <v>23</v>
      </c>
      <c r="N1542">
        <v>14</v>
      </c>
      <c r="O1542" t="s">
        <v>66</v>
      </c>
      <c r="P1542" t="s">
        <v>79</v>
      </c>
    </row>
    <row r="1543" spans="1:16" ht="14.5" x14ac:dyDescent="0.35">
      <c r="A1543">
        <v>1542</v>
      </c>
      <c r="B1543">
        <v>24</v>
      </c>
      <c r="C1543" t="s">
        <v>16</v>
      </c>
      <c r="D1543" t="s">
        <v>59</v>
      </c>
      <c r="E1543" t="s">
        <v>60</v>
      </c>
      <c r="F1543">
        <v>77</v>
      </c>
      <c r="G1543" t="s">
        <v>106</v>
      </c>
      <c r="H1543" t="s">
        <v>32</v>
      </c>
      <c r="I1543" t="s">
        <v>117</v>
      </c>
      <c r="J1543" t="s">
        <v>22</v>
      </c>
      <c r="K1543">
        <v>2.9</v>
      </c>
      <c r="L1543" t="s">
        <v>143</v>
      </c>
      <c r="M1543" t="s">
        <v>23</v>
      </c>
      <c r="N1543">
        <v>35</v>
      </c>
      <c r="O1543" t="s">
        <v>29</v>
      </c>
      <c r="P1543" t="s">
        <v>67</v>
      </c>
    </row>
    <row r="1544" spans="1:16" ht="14.5" x14ac:dyDescent="0.35">
      <c r="A1544">
        <v>1543</v>
      </c>
      <c r="B1544">
        <v>59</v>
      </c>
      <c r="C1544" t="s">
        <v>16</v>
      </c>
      <c r="D1544" t="s">
        <v>17</v>
      </c>
      <c r="E1544" t="s">
        <v>18</v>
      </c>
      <c r="F1544">
        <v>44</v>
      </c>
      <c r="G1544" t="s">
        <v>68</v>
      </c>
      <c r="H1544" t="s">
        <v>39</v>
      </c>
      <c r="I1544" t="s">
        <v>28</v>
      </c>
      <c r="J1544" t="s">
        <v>22</v>
      </c>
      <c r="K1544">
        <v>3.5</v>
      </c>
      <c r="L1544" t="s">
        <v>143</v>
      </c>
      <c r="M1544" t="s">
        <v>23</v>
      </c>
      <c r="N1544">
        <v>43</v>
      </c>
      <c r="O1544" t="s">
        <v>40</v>
      </c>
      <c r="P1544" t="s">
        <v>35</v>
      </c>
    </row>
    <row r="1545" spans="1:16" ht="14.5" x14ac:dyDescent="0.35">
      <c r="A1545">
        <v>1544</v>
      </c>
      <c r="B1545">
        <v>56</v>
      </c>
      <c r="C1545" t="s">
        <v>16</v>
      </c>
      <c r="D1545" t="s">
        <v>30</v>
      </c>
      <c r="E1545" t="s">
        <v>18</v>
      </c>
      <c r="F1545">
        <v>89</v>
      </c>
      <c r="G1545" t="s">
        <v>141</v>
      </c>
      <c r="H1545" t="s">
        <v>39</v>
      </c>
      <c r="I1545" t="s">
        <v>117</v>
      </c>
      <c r="J1545" t="s">
        <v>50</v>
      </c>
      <c r="K1545">
        <v>4</v>
      </c>
      <c r="L1545" t="s">
        <v>143</v>
      </c>
      <c r="M1545" t="s">
        <v>23</v>
      </c>
      <c r="N1545">
        <v>24</v>
      </c>
      <c r="O1545" t="s">
        <v>24</v>
      </c>
      <c r="P1545" t="s">
        <v>43</v>
      </c>
    </row>
    <row r="1546" spans="1:16" ht="14.5" x14ac:dyDescent="0.35">
      <c r="A1546">
        <v>1545</v>
      </c>
      <c r="B1546">
        <v>30</v>
      </c>
      <c r="C1546" t="s">
        <v>16</v>
      </c>
      <c r="D1546" t="s">
        <v>97</v>
      </c>
      <c r="E1546" t="s">
        <v>60</v>
      </c>
      <c r="F1546">
        <v>24</v>
      </c>
      <c r="G1546" t="s">
        <v>64</v>
      </c>
      <c r="H1546" t="s">
        <v>39</v>
      </c>
      <c r="I1546" t="s">
        <v>28</v>
      </c>
      <c r="J1546" t="s">
        <v>33</v>
      </c>
      <c r="K1546">
        <v>3.9</v>
      </c>
      <c r="L1546" t="s">
        <v>143</v>
      </c>
      <c r="M1546" t="s">
        <v>23</v>
      </c>
      <c r="N1546">
        <v>17</v>
      </c>
      <c r="O1546" t="s">
        <v>77</v>
      </c>
      <c r="P1546" t="s">
        <v>67</v>
      </c>
    </row>
    <row r="1547" spans="1:16" ht="14.5" x14ac:dyDescent="0.35">
      <c r="A1547">
        <v>1546</v>
      </c>
      <c r="B1547">
        <v>48</v>
      </c>
      <c r="C1547" t="s">
        <v>16</v>
      </c>
      <c r="D1547" t="s">
        <v>124</v>
      </c>
      <c r="E1547" t="s">
        <v>60</v>
      </c>
      <c r="F1547">
        <v>43</v>
      </c>
      <c r="G1547" t="s">
        <v>70</v>
      </c>
      <c r="H1547" t="s">
        <v>39</v>
      </c>
      <c r="I1547" t="s">
        <v>85</v>
      </c>
      <c r="J1547" t="s">
        <v>22</v>
      </c>
      <c r="K1547">
        <v>4.9000000000000004</v>
      </c>
      <c r="L1547" t="s">
        <v>143</v>
      </c>
      <c r="M1547" t="s">
        <v>23</v>
      </c>
      <c r="N1547">
        <v>49</v>
      </c>
      <c r="O1547" t="s">
        <v>66</v>
      </c>
      <c r="P1547" t="s">
        <v>43</v>
      </c>
    </row>
    <row r="1548" spans="1:16" ht="14.5" x14ac:dyDescent="0.35">
      <c r="A1548">
        <v>1547</v>
      </c>
      <c r="B1548">
        <v>60</v>
      </c>
      <c r="C1548" t="s">
        <v>16</v>
      </c>
      <c r="D1548" t="s">
        <v>44</v>
      </c>
      <c r="E1548" t="s">
        <v>37</v>
      </c>
      <c r="F1548">
        <v>51</v>
      </c>
      <c r="G1548" t="s">
        <v>41</v>
      </c>
      <c r="H1548" t="s">
        <v>83</v>
      </c>
      <c r="I1548" t="s">
        <v>65</v>
      </c>
      <c r="J1548" t="s">
        <v>47</v>
      </c>
      <c r="K1548">
        <v>3.8</v>
      </c>
      <c r="L1548" t="s">
        <v>143</v>
      </c>
      <c r="M1548" t="s">
        <v>23</v>
      </c>
      <c r="N1548">
        <v>17</v>
      </c>
      <c r="O1548" t="s">
        <v>66</v>
      </c>
      <c r="P1548" t="s">
        <v>43</v>
      </c>
    </row>
    <row r="1549" spans="1:16" ht="14.5" x14ac:dyDescent="0.35">
      <c r="A1549">
        <v>1548</v>
      </c>
      <c r="B1549">
        <v>46</v>
      </c>
      <c r="C1549" t="s">
        <v>16</v>
      </c>
      <c r="D1549" t="s">
        <v>115</v>
      </c>
      <c r="E1549" t="s">
        <v>60</v>
      </c>
      <c r="F1549">
        <v>46</v>
      </c>
      <c r="G1549" t="s">
        <v>122</v>
      </c>
      <c r="H1549" t="s">
        <v>20</v>
      </c>
      <c r="I1549" t="s">
        <v>76</v>
      </c>
      <c r="J1549" t="s">
        <v>47</v>
      </c>
      <c r="K1549">
        <v>3.5</v>
      </c>
      <c r="L1549" t="s">
        <v>143</v>
      </c>
      <c r="M1549" t="s">
        <v>23</v>
      </c>
      <c r="N1549">
        <v>40</v>
      </c>
      <c r="O1549" t="s">
        <v>29</v>
      </c>
      <c r="P1549" t="s">
        <v>51</v>
      </c>
    </row>
    <row r="1550" spans="1:16" ht="14.5" x14ac:dyDescent="0.35">
      <c r="A1550">
        <v>1549</v>
      </c>
      <c r="B1550">
        <v>69</v>
      </c>
      <c r="C1550" t="s">
        <v>16</v>
      </c>
      <c r="D1550" t="s">
        <v>72</v>
      </c>
      <c r="E1550" t="s">
        <v>18</v>
      </c>
      <c r="F1550">
        <v>32</v>
      </c>
      <c r="G1550" t="s">
        <v>119</v>
      </c>
      <c r="H1550" t="s">
        <v>39</v>
      </c>
      <c r="I1550" t="s">
        <v>58</v>
      </c>
      <c r="J1550" t="s">
        <v>47</v>
      </c>
      <c r="K1550">
        <v>3.7</v>
      </c>
      <c r="L1550" t="s">
        <v>143</v>
      </c>
      <c r="M1550" t="s">
        <v>23</v>
      </c>
      <c r="N1550">
        <v>43</v>
      </c>
      <c r="O1550" t="s">
        <v>66</v>
      </c>
      <c r="P1550" t="s">
        <v>35</v>
      </c>
    </row>
    <row r="1551" spans="1:16" ht="14.5" x14ac:dyDescent="0.35">
      <c r="A1551">
        <v>1550</v>
      </c>
      <c r="B1551">
        <v>19</v>
      </c>
      <c r="C1551" t="s">
        <v>16</v>
      </c>
      <c r="D1551" t="s">
        <v>44</v>
      </c>
      <c r="E1551" t="s">
        <v>37</v>
      </c>
      <c r="F1551">
        <v>55</v>
      </c>
      <c r="G1551" t="s">
        <v>102</v>
      </c>
      <c r="H1551" t="s">
        <v>39</v>
      </c>
      <c r="I1551" t="s">
        <v>85</v>
      </c>
      <c r="J1551" t="s">
        <v>33</v>
      </c>
      <c r="K1551">
        <v>2.9</v>
      </c>
      <c r="L1551" t="s">
        <v>143</v>
      </c>
      <c r="M1551" t="s">
        <v>23</v>
      </c>
      <c r="N1551">
        <v>19</v>
      </c>
      <c r="O1551" t="s">
        <v>77</v>
      </c>
      <c r="P1551" t="s">
        <v>88</v>
      </c>
    </row>
    <row r="1552" spans="1:16" ht="14.5" x14ac:dyDescent="0.35">
      <c r="A1552">
        <v>1551</v>
      </c>
      <c r="B1552">
        <v>66</v>
      </c>
      <c r="C1552" t="s">
        <v>16</v>
      </c>
      <c r="D1552" t="s">
        <v>80</v>
      </c>
      <c r="E1552" t="s">
        <v>60</v>
      </c>
      <c r="F1552">
        <v>26</v>
      </c>
      <c r="G1552" t="s">
        <v>64</v>
      </c>
      <c r="H1552" t="s">
        <v>32</v>
      </c>
      <c r="I1552" t="s">
        <v>85</v>
      </c>
      <c r="J1552" t="s">
        <v>47</v>
      </c>
      <c r="K1552">
        <v>2.8</v>
      </c>
      <c r="L1552" t="s">
        <v>143</v>
      </c>
      <c r="M1552" t="s">
        <v>23</v>
      </c>
      <c r="N1552">
        <v>40</v>
      </c>
      <c r="O1552" t="s">
        <v>66</v>
      </c>
      <c r="P1552" t="s">
        <v>51</v>
      </c>
    </row>
    <row r="1553" spans="1:16" ht="14.5" x14ac:dyDescent="0.35">
      <c r="A1553">
        <v>1552</v>
      </c>
      <c r="B1553">
        <v>64</v>
      </c>
      <c r="C1553" t="s">
        <v>16</v>
      </c>
      <c r="D1553" t="s">
        <v>59</v>
      </c>
      <c r="E1553" t="s">
        <v>60</v>
      </c>
      <c r="F1553">
        <v>29</v>
      </c>
      <c r="G1553" t="s">
        <v>139</v>
      </c>
      <c r="H1553" t="s">
        <v>39</v>
      </c>
      <c r="I1553" t="s">
        <v>69</v>
      </c>
      <c r="J1553" t="s">
        <v>47</v>
      </c>
      <c r="K1553">
        <v>3.7</v>
      </c>
      <c r="L1553" t="s">
        <v>143</v>
      </c>
      <c r="M1553" t="s">
        <v>23</v>
      </c>
      <c r="N1553">
        <v>13</v>
      </c>
      <c r="O1553" t="s">
        <v>34</v>
      </c>
      <c r="P1553" t="s">
        <v>79</v>
      </c>
    </row>
    <row r="1554" spans="1:16" ht="14.5" x14ac:dyDescent="0.35">
      <c r="A1554">
        <v>1553</v>
      </c>
      <c r="B1554">
        <v>54</v>
      </c>
      <c r="C1554" t="s">
        <v>16</v>
      </c>
      <c r="D1554" t="s">
        <v>17</v>
      </c>
      <c r="E1554" t="s">
        <v>18</v>
      </c>
      <c r="F1554">
        <v>49</v>
      </c>
      <c r="G1554" t="s">
        <v>121</v>
      </c>
      <c r="H1554" t="s">
        <v>20</v>
      </c>
      <c r="I1554" t="s">
        <v>65</v>
      </c>
      <c r="J1554" t="s">
        <v>33</v>
      </c>
      <c r="K1554">
        <v>3</v>
      </c>
      <c r="L1554" t="s">
        <v>143</v>
      </c>
      <c r="M1554" t="s">
        <v>23</v>
      </c>
      <c r="N1554">
        <v>20</v>
      </c>
      <c r="O1554" t="s">
        <v>34</v>
      </c>
      <c r="P1554" t="s">
        <v>79</v>
      </c>
    </row>
    <row r="1555" spans="1:16" ht="14.5" x14ac:dyDescent="0.35">
      <c r="A1555">
        <v>1554</v>
      </c>
      <c r="B1555">
        <v>27</v>
      </c>
      <c r="C1555" t="s">
        <v>16</v>
      </c>
      <c r="D1555" t="s">
        <v>17</v>
      </c>
      <c r="E1555" t="s">
        <v>18</v>
      </c>
      <c r="F1555">
        <v>45</v>
      </c>
      <c r="G1555" t="s">
        <v>70</v>
      </c>
      <c r="H1555" t="s">
        <v>39</v>
      </c>
      <c r="I1555" t="s">
        <v>117</v>
      </c>
      <c r="J1555" t="s">
        <v>33</v>
      </c>
      <c r="K1555">
        <v>4.8</v>
      </c>
      <c r="L1555" t="s">
        <v>143</v>
      </c>
      <c r="M1555" t="s">
        <v>23</v>
      </c>
      <c r="N1555">
        <v>21</v>
      </c>
      <c r="O1555" t="s">
        <v>77</v>
      </c>
      <c r="P1555" t="s">
        <v>51</v>
      </c>
    </row>
    <row r="1556" spans="1:16" ht="14.5" x14ac:dyDescent="0.35">
      <c r="A1556">
        <v>1555</v>
      </c>
      <c r="B1556">
        <v>64</v>
      </c>
      <c r="C1556" t="s">
        <v>16</v>
      </c>
      <c r="D1556" t="s">
        <v>52</v>
      </c>
      <c r="E1556" t="s">
        <v>18</v>
      </c>
      <c r="F1556">
        <v>48</v>
      </c>
      <c r="G1556" t="s">
        <v>131</v>
      </c>
      <c r="H1556" t="s">
        <v>32</v>
      </c>
      <c r="I1556" t="s">
        <v>84</v>
      </c>
      <c r="J1556" t="s">
        <v>22</v>
      </c>
      <c r="K1556">
        <v>2.7</v>
      </c>
      <c r="L1556" t="s">
        <v>143</v>
      </c>
      <c r="M1556" t="s">
        <v>23</v>
      </c>
      <c r="N1556">
        <v>18</v>
      </c>
      <c r="O1556" t="s">
        <v>29</v>
      </c>
      <c r="P1556" t="s">
        <v>67</v>
      </c>
    </row>
    <row r="1557" spans="1:16" ht="14.5" x14ac:dyDescent="0.35">
      <c r="A1557">
        <v>1556</v>
      </c>
      <c r="B1557">
        <v>43</v>
      </c>
      <c r="C1557" t="s">
        <v>16</v>
      </c>
      <c r="D1557" t="s">
        <v>52</v>
      </c>
      <c r="E1557" t="s">
        <v>18</v>
      </c>
      <c r="F1557">
        <v>47</v>
      </c>
      <c r="G1557" t="s">
        <v>114</v>
      </c>
      <c r="H1557" t="s">
        <v>32</v>
      </c>
      <c r="I1557" t="s">
        <v>100</v>
      </c>
      <c r="J1557" t="s">
        <v>22</v>
      </c>
      <c r="K1557">
        <v>4.5</v>
      </c>
      <c r="L1557" t="s">
        <v>143</v>
      </c>
      <c r="M1557" t="s">
        <v>23</v>
      </c>
      <c r="N1557">
        <v>44</v>
      </c>
      <c r="O1557" t="s">
        <v>29</v>
      </c>
      <c r="P1557" t="s">
        <v>51</v>
      </c>
    </row>
    <row r="1558" spans="1:16" ht="14.5" x14ac:dyDescent="0.35">
      <c r="A1558">
        <v>1557</v>
      </c>
      <c r="B1558">
        <v>43</v>
      </c>
      <c r="C1558" t="s">
        <v>16</v>
      </c>
      <c r="D1558" t="s">
        <v>95</v>
      </c>
      <c r="E1558" t="s">
        <v>18</v>
      </c>
      <c r="F1558">
        <v>57</v>
      </c>
      <c r="G1558" t="s">
        <v>81</v>
      </c>
      <c r="H1558" t="s">
        <v>39</v>
      </c>
      <c r="I1558" t="s">
        <v>71</v>
      </c>
      <c r="J1558" t="s">
        <v>50</v>
      </c>
      <c r="K1558">
        <v>2.7</v>
      </c>
      <c r="L1558" t="s">
        <v>143</v>
      </c>
      <c r="M1558" t="s">
        <v>23</v>
      </c>
      <c r="N1558">
        <v>26</v>
      </c>
      <c r="O1558" t="s">
        <v>34</v>
      </c>
      <c r="P1558" t="s">
        <v>51</v>
      </c>
    </row>
    <row r="1559" spans="1:16" ht="14.5" x14ac:dyDescent="0.35">
      <c r="A1559">
        <v>1558</v>
      </c>
      <c r="B1559">
        <v>27</v>
      </c>
      <c r="C1559" t="s">
        <v>16</v>
      </c>
      <c r="D1559" t="s">
        <v>123</v>
      </c>
      <c r="E1559" t="s">
        <v>60</v>
      </c>
      <c r="F1559">
        <v>34</v>
      </c>
      <c r="G1559" t="s">
        <v>138</v>
      </c>
      <c r="H1559" t="s">
        <v>20</v>
      </c>
      <c r="I1559" t="s">
        <v>127</v>
      </c>
      <c r="J1559" t="s">
        <v>50</v>
      </c>
      <c r="K1559">
        <v>3.5</v>
      </c>
      <c r="L1559" t="s">
        <v>143</v>
      </c>
      <c r="M1559" t="s">
        <v>23</v>
      </c>
      <c r="N1559">
        <v>34</v>
      </c>
      <c r="O1559" t="s">
        <v>40</v>
      </c>
      <c r="P1559" t="s">
        <v>51</v>
      </c>
    </row>
    <row r="1560" spans="1:16" ht="14.5" x14ac:dyDescent="0.35">
      <c r="A1560">
        <v>1559</v>
      </c>
      <c r="B1560">
        <v>35</v>
      </c>
      <c r="C1560" t="s">
        <v>16</v>
      </c>
      <c r="D1560" t="s">
        <v>80</v>
      </c>
      <c r="E1560" t="s">
        <v>60</v>
      </c>
      <c r="F1560">
        <v>75</v>
      </c>
      <c r="G1560" t="s">
        <v>121</v>
      </c>
      <c r="H1560" t="s">
        <v>83</v>
      </c>
      <c r="I1560" t="s">
        <v>76</v>
      </c>
      <c r="J1560" t="s">
        <v>50</v>
      </c>
      <c r="K1560">
        <v>3.5</v>
      </c>
      <c r="L1560" t="s">
        <v>143</v>
      </c>
      <c r="M1560" t="s">
        <v>23</v>
      </c>
      <c r="N1560">
        <v>24</v>
      </c>
      <c r="O1560" t="s">
        <v>34</v>
      </c>
      <c r="P1560" t="s">
        <v>88</v>
      </c>
    </row>
    <row r="1561" spans="1:16" ht="14.5" x14ac:dyDescent="0.35">
      <c r="A1561">
        <v>1560</v>
      </c>
      <c r="B1561">
        <v>43</v>
      </c>
      <c r="C1561" t="s">
        <v>16</v>
      </c>
      <c r="D1561" t="s">
        <v>110</v>
      </c>
      <c r="E1561" t="s">
        <v>60</v>
      </c>
      <c r="F1561">
        <v>94</v>
      </c>
      <c r="G1561" t="s">
        <v>41</v>
      </c>
      <c r="H1561" t="s">
        <v>20</v>
      </c>
      <c r="I1561" t="s">
        <v>109</v>
      </c>
      <c r="J1561" t="s">
        <v>50</v>
      </c>
      <c r="K1561">
        <v>4.5</v>
      </c>
      <c r="L1561" t="s">
        <v>143</v>
      </c>
      <c r="M1561" t="s">
        <v>23</v>
      </c>
      <c r="N1561">
        <v>23</v>
      </c>
      <c r="O1561" t="s">
        <v>40</v>
      </c>
      <c r="P1561" t="s">
        <v>25</v>
      </c>
    </row>
    <row r="1562" spans="1:16" ht="14.5" x14ac:dyDescent="0.35">
      <c r="A1562">
        <v>1561</v>
      </c>
      <c r="B1562">
        <v>57</v>
      </c>
      <c r="C1562" t="s">
        <v>16</v>
      </c>
      <c r="D1562" t="s">
        <v>115</v>
      </c>
      <c r="E1562" t="s">
        <v>60</v>
      </c>
      <c r="F1562">
        <v>84</v>
      </c>
      <c r="G1562" t="s">
        <v>41</v>
      </c>
      <c r="H1562" t="s">
        <v>39</v>
      </c>
      <c r="I1562" t="s">
        <v>76</v>
      </c>
      <c r="J1562" t="s">
        <v>22</v>
      </c>
      <c r="K1562">
        <v>3.8</v>
      </c>
      <c r="L1562" t="s">
        <v>143</v>
      </c>
      <c r="M1562" t="s">
        <v>23</v>
      </c>
      <c r="N1562">
        <v>3</v>
      </c>
      <c r="O1562" t="s">
        <v>77</v>
      </c>
      <c r="P1562" t="s">
        <v>35</v>
      </c>
    </row>
    <row r="1563" spans="1:16" ht="14.5" x14ac:dyDescent="0.35">
      <c r="A1563">
        <v>1562</v>
      </c>
      <c r="B1563">
        <v>50</v>
      </c>
      <c r="C1563" t="s">
        <v>16</v>
      </c>
      <c r="D1563" t="s">
        <v>110</v>
      </c>
      <c r="E1563" t="s">
        <v>60</v>
      </c>
      <c r="F1563">
        <v>38</v>
      </c>
      <c r="G1563" t="s">
        <v>82</v>
      </c>
      <c r="H1563" t="s">
        <v>39</v>
      </c>
      <c r="I1563" t="s">
        <v>117</v>
      </c>
      <c r="J1563" t="s">
        <v>47</v>
      </c>
      <c r="K1563">
        <v>3.8</v>
      </c>
      <c r="L1563" t="s">
        <v>143</v>
      </c>
      <c r="M1563" t="s">
        <v>23</v>
      </c>
      <c r="N1563">
        <v>2</v>
      </c>
      <c r="O1563" t="s">
        <v>66</v>
      </c>
      <c r="P1563" t="s">
        <v>51</v>
      </c>
    </row>
    <row r="1564" spans="1:16" ht="14.5" x14ac:dyDescent="0.35">
      <c r="A1564">
        <v>1563</v>
      </c>
      <c r="B1564">
        <v>37</v>
      </c>
      <c r="C1564" t="s">
        <v>16</v>
      </c>
      <c r="D1564" t="s">
        <v>110</v>
      </c>
      <c r="E1564" t="s">
        <v>60</v>
      </c>
      <c r="F1564">
        <v>75</v>
      </c>
      <c r="G1564" t="s">
        <v>81</v>
      </c>
      <c r="H1564" t="s">
        <v>39</v>
      </c>
      <c r="I1564" t="s">
        <v>65</v>
      </c>
      <c r="J1564" t="s">
        <v>22</v>
      </c>
      <c r="K1564">
        <v>3.2</v>
      </c>
      <c r="L1564" t="s">
        <v>143</v>
      </c>
      <c r="M1564" t="s">
        <v>23</v>
      </c>
      <c r="N1564">
        <v>23</v>
      </c>
      <c r="O1564" t="s">
        <v>24</v>
      </c>
      <c r="P1564" t="s">
        <v>67</v>
      </c>
    </row>
    <row r="1565" spans="1:16" ht="14.5" x14ac:dyDescent="0.35">
      <c r="A1565">
        <v>1564</v>
      </c>
      <c r="B1565">
        <v>68</v>
      </c>
      <c r="C1565" t="s">
        <v>16</v>
      </c>
      <c r="D1565" t="s">
        <v>86</v>
      </c>
      <c r="E1565" t="s">
        <v>18</v>
      </c>
      <c r="F1565">
        <v>44</v>
      </c>
      <c r="G1565" t="s">
        <v>102</v>
      </c>
      <c r="H1565" t="s">
        <v>39</v>
      </c>
      <c r="I1565" t="s">
        <v>76</v>
      </c>
      <c r="J1565" t="s">
        <v>50</v>
      </c>
      <c r="K1565">
        <v>4.3</v>
      </c>
      <c r="L1565" t="s">
        <v>143</v>
      </c>
      <c r="M1565" t="s">
        <v>23</v>
      </c>
      <c r="N1565">
        <v>8</v>
      </c>
      <c r="O1565" t="s">
        <v>29</v>
      </c>
      <c r="P1565" t="s">
        <v>35</v>
      </c>
    </row>
    <row r="1566" spans="1:16" ht="14.5" x14ac:dyDescent="0.35">
      <c r="A1566">
        <v>1565</v>
      </c>
      <c r="B1566">
        <v>22</v>
      </c>
      <c r="C1566" t="s">
        <v>16</v>
      </c>
      <c r="D1566" t="s">
        <v>123</v>
      </c>
      <c r="E1566" t="s">
        <v>60</v>
      </c>
      <c r="F1566">
        <v>33</v>
      </c>
      <c r="G1566" t="s">
        <v>90</v>
      </c>
      <c r="H1566" t="s">
        <v>83</v>
      </c>
      <c r="I1566" t="s">
        <v>42</v>
      </c>
      <c r="J1566" t="s">
        <v>47</v>
      </c>
      <c r="K1566">
        <v>4.5</v>
      </c>
      <c r="L1566" t="s">
        <v>143</v>
      </c>
      <c r="M1566" t="s">
        <v>23</v>
      </c>
      <c r="N1566">
        <v>30</v>
      </c>
      <c r="O1566" t="s">
        <v>77</v>
      </c>
      <c r="P1566" t="s">
        <v>88</v>
      </c>
    </row>
    <row r="1567" spans="1:16" ht="14.5" x14ac:dyDescent="0.35">
      <c r="A1567">
        <v>1566</v>
      </c>
      <c r="B1567">
        <v>58</v>
      </c>
      <c r="C1567" t="s">
        <v>16</v>
      </c>
      <c r="D1567" t="s">
        <v>80</v>
      </c>
      <c r="E1567" t="s">
        <v>60</v>
      </c>
      <c r="F1567">
        <v>93</v>
      </c>
      <c r="G1567" t="s">
        <v>126</v>
      </c>
      <c r="H1567" t="s">
        <v>20</v>
      </c>
      <c r="I1567" t="s">
        <v>91</v>
      </c>
      <c r="J1567" t="s">
        <v>50</v>
      </c>
      <c r="K1567">
        <v>4.2</v>
      </c>
      <c r="L1567" t="s">
        <v>143</v>
      </c>
      <c r="M1567" t="s">
        <v>23</v>
      </c>
      <c r="N1567">
        <v>48</v>
      </c>
      <c r="O1567" t="s">
        <v>40</v>
      </c>
      <c r="P1567" t="s">
        <v>43</v>
      </c>
    </row>
    <row r="1568" spans="1:16" ht="14.5" x14ac:dyDescent="0.35">
      <c r="A1568">
        <v>1567</v>
      </c>
      <c r="B1568">
        <v>48</v>
      </c>
      <c r="C1568" t="s">
        <v>16</v>
      </c>
      <c r="D1568" t="s">
        <v>44</v>
      </c>
      <c r="E1568" t="s">
        <v>37</v>
      </c>
      <c r="F1568">
        <v>99</v>
      </c>
      <c r="G1568" t="s">
        <v>45</v>
      </c>
      <c r="H1568" t="s">
        <v>32</v>
      </c>
      <c r="I1568" t="s">
        <v>87</v>
      </c>
      <c r="J1568" t="s">
        <v>22</v>
      </c>
      <c r="K1568">
        <v>3</v>
      </c>
      <c r="L1568" t="s">
        <v>143</v>
      </c>
      <c r="M1568" t="s">
        <v>23</v>
      </c>
      <c r="N1568">
        <v>21</v>
      </c>
      <c r="O1568" t="s">
        <v>29</v>
      </c>
      <c r="P1568" t="s">
        <v>67</v>
      </c>
    </row>
    <row r="1569" spans="1:16" ht="14.5" x14ac:dyDescent="0.35">
      <c r="A1569">
        <v>1568</v>
      </c>
      <c r="B1569">
        <v>30</v>
      </c>
      <c r="C1569" t="s">
        <v>16</v>
      </c>
      <c r="D1569" t="s">
        <v>123</v>
      </c>
      <c r="E1569" t="s">
        <v>60</v>
      </c>
      <c r="F1569">
        <v>33</v>
      </c>
      <c r="G1569" t="s">
        <v>139</v>
      </c>
      <c r="H1569" t="s">
        <v>39</v>
      </c>
      <c r="I1569" t="s">
        <v>42</v>
      </c>
      <c r="J1569" t="s">
        <v>33</v>
      </c>
      <c r="K1569">
        <v>4.0999999999999996</v>
      </c>
      <c r="L1569" t="s">
        <v>143</v>
      </c>
      <c r="M1569" t="s">
        <v>23</v>
      </c>
      <c r="N1569">
        <v>9</v>
      </c>
      <c r="O1569" t="s">
        <v>29</v>
      </c>
      <c r="P1569" t="s">
        <v>79</v>
      </c>
    </row>
    <row r="1570" spans="1:16" ht="14.5" x14ac:dyDescent="0.35">
      <c r="A1570">
        <v>1569</v>
      </c>
      <c r="B1570">
        <v>51</v>
      </c>
      <c r="C1570" t="s">
        <v>16</v>
      </c>
      <c r="D1570" t="s">
        <v>44</v>
      </c>
      <c r="E1570" t="s">
        <v>37</v>
      </c>
      <c r="F1570">
        <v>76</v>
      </c>
      <c r="G1570" t="s">
        <v>140</v>
      </c>
      <c r="H1570" t="s">
        <v>20</v>
      </c>
      <c r="I1570" t="s">
        <v>125</v>
      </c>
      <c r="J1570" t="s">
        <v>33</v>
      </c>
      <c r="K1570">
        <v>4.5999999999999996</v>
      </c>
      <c r="L1570" t="s">
        <v>143</v>
      </c>
      <c r="M1570" t="s">
        <v>23</v>
      </c>
      <c r="N1570">
        <v>8</v>
      </c>
      <c r="O1570" t="s">
        <v>77</v>
      </c>
      <c r="P1570" t="s">
        <v>79</v>
      </c>
    </row>
    <row r="1571" spans="1:16" ht="14.5" x14ac:dyDescent="0.35">
      <c r="A1571">
        <v>1570</v>
      </c>
      <c r="B1571">
        <v>20</v>
      </c>
      <c r="C1571" t="s">
        <v>16</v>
      </c>
      <c r="D1571" t="s">
        <v>78</v>
      </c>
      <c r="E1571" t="s">
        <v>18</v>
      </c>
      <c r="F1571">
        <v>63</v>
      </c>
      <c r="G1571" t="s">
        <v>68</v>
      </c>
      <c r="H1571" t="s">
        <v>39</v>
      </c>
      <c r="I1571" t="s">
        <v>112</v>
      </c>
      <c r="J1571" t="s">
        <v>47</v>
      </c>
      <c r="K1571">
        <v>2.9</v>
      </c>
      <c r="L1571" t="s">
        <v>143</v>
      </c>
      <c r="M1571" t="s">
        <v>23</v>
      </c>
      <c r="N1571">
        <v>29</v>
      </c>
      <c r="O1571" t="s">
        <v>77</v>
      </c>
      <c r="P1571" t="s">
        <v>35</v>
      </c>
    </row>
    <row r="1572" spans="1:16" ht="14.5" x14ac:dyDescent="0.35">
      <c r="A1572">
        <v>1571</v>
      </c>
      <c r="B1572">
        <v>30</v>
      </c>
      <c r="C1572" t="s">
        <v>16</v>
      </c>
      <c r="D1572" t="s">
        <v>86</v>
      </c>
      <c r="E1572" t="s">
        <v>18</v>
      </c>
      <c r="F1572">
        <v>41</v>
      </c>
      <c r="G1572" t="s">
        <v>61</v>
      </c>
      <c r="H1572" t="s">
        <v>20</v>
      </c>
      <c r="I1572" t="s">
        <v>101</v>
      </c>
      <c r="J1572" t="s">
        <v>22</v>
      </c>
      <c r="K1572">
        <v>4.8</v>
      </c>
      <c r="L1572" t="s">
        <v>143</v>
      </c>
      <c r="M1572" t="s">
        <v>23</v>
      </c>
      <c r="N1572">
        <v>3</v>
      </c>
      <c r="O1572" t="s">
        <v>66</v>
      </c>
      <c r="P1572" t="s">
        <v>88</v>
      </c>
    </row>
    <row r="1573" spans="1:16" ht="14.5" x14ac:dyDescent="0.35">
      <c r="A1573">
        <v>1572</v>
      </c>
      <c r="B1573">
        <v>28</v>
      </c>
      <c r="C1573" t="s">
        <v>16</v>
      </c>
      <c r="D1573" t="s">
        <v>97</v>
      </c>
      <c r="E1573" t="s">
        <v>60</v>
      </c>
      <c r="F1573">
        <v>88</v>
      </c>
      <c r="G1573" t="s">
        <v>103</v>
      </c>
      <c r="H1573" t="s">
        <v>20</v>
      </c>
      <c r="I1573" t="s">
        <v>58</v>
      </c>
      <c r="J1573" t="s">
        <v>22</v>
      </c>
      <c r="K1573">
        <v>4.5</v>
      </c>
      <c r="L1573" t="s">
        <v>143</v>
      </c>
      <c r="M1573" t="s">
        <v>23</v>
      </c>
      <c r="N1573">
        <v>11</v>
      </c>
      <c r="O1573" t="s">
        <v>66</v>
      </c>
      <c r="P1573" t="s">
        <v>25</v>
      </c>
    </row>
    <row r="1574" spans="1:16" ht="14.5" x14ac:dyDescent="0.35">
      <c r="A1574">
        <v>1573</v>
      </c>
      <c r="B1574">
        <v>37</v>
      </c>
      <c r="C1574" t="s">
        <v>16</v>
      </c>
      <c r="D1574" t="s">
        <v>78</v>
      </c>
      <c r="E1574" t="s">
        <v>18</v>
      </c>
      <c r="F1574">
        <v>92</v>
      </c>
      <c r="G1574" t="s">
        <v>140</v>
      </c>
      <c r="H1574" t="s">
        <v>20</v>
      </c>
      <c r="I1574" t="s">
        <v>46</v>
      </c>
      <c r="J1574" t="s">
        <v>47</v>
      </c>
      <c r="K1574">
        <v>3.4</v>
      </c>
      <c r="L1574" t="s">
        <v>143</v>
      </c>
      <c r="M1574" t="s">
        <v>23</v>
      </c>
      <c r="N1574">
        <v>16</v>
      </c>
      <c r="O1574" t="s">
        <v>77</v>
      </c>
      <c r="P1574" t="s">
        <v>79</v>
      </c>
    </row>
    <row r="1575" spans="1:16" ht="14.5" x14ac:dyDescent="0.35">
      <c r="A1575">
        <v>1574</v>
      </c>
      <c r="B1575">
        <v>36</v>
      </c>
      <c r="C1575" t="s">
        <v>16</v>
      </c>
      <c r="D1575" t="s">
        <v>104</v>
      </c>
      <c r="E1575" t="s">
        <v>18</v>
      </c>
      <c r="F1575">
        <v>31</v>
      </c>
      <c r="G1575" t="s">
        <v>105</v>
      </c>
      <c r="H1575" t="s">
        <v>20</v>
      </c>
      <c r="I1575" t="s">
        <v>117</v>
      </c>
      <c r="J1575" t="s">
        <v>47</v>
      </c>
      <c r="K1575">
        <v>4.3</v>
      </c>
      <c r="L1575" t="s">
        <v>143</v>
      </c>
      <c r="M1575" t="s">
        <v>23</v>
      </c>
      <c r="N1575">
        <v>25</v>
      </c>
      <c r="O1575" t="s">
        <v>77</v>
      </c>
      <c r="P1575" t="s">
        <v>35</v>
      </c>
    </row>
    <row r="1576" spans="1:16" ht="14.5" x14ac:dyDescent="0.35">
      <c r="A1576">
        <v>1575</v>
      </c>
      <c r="B1576">
        <v>18</v>
      </c>
      <c r="C1576" t="s">
        <v>16</v>
      </c>
      <c r="D1576" t="s">
        <v>78</v>
      </c>
      <c r="E1576" t="s">
        <v>18</v>
      </c>
      <c r="F1576">
        <v>25</v>
      </c>
      <c r="G1576" t="s">
        <v>139</v>
      </c>
      <c r="H1576" t="s">
        <v>32</v>
      </c>
      <c r="I1576" t="s">
        <v>127</v>
      </c>
      <c r="J1576" t="s">
        <v>33</v>
      </c>
      <c r="K1576">
        <v>4.2</v>
      </c>
      <c r="L1576" t="s">
        <v>143</v>
      </c>
      <c r="M1576" t="s">
        <v>23</v>
      </c>
      <c r="N1576">
        <v>32</v>
      </c>
      <c r="O1576" t="s">
        <v>40</v>
      </c>
      <c r="P1576" t="s">
        <v>67</v>
      </c>
    </row>
    <row r="1577" spans="1:16" ht="14.5" x14ac:dyDescent="0.35">
      <c r="A1577">
        <v>1576</v>
      </c>
      <c r="B1577">
        <v>52</v>
      </c>
      <c r="C1577" t="s">
        <v>16</v>
      </c>
      <c r="D1577" t="s">
        <v>48</v>
      </c>
      <c r="E1577" t="s">
        <v>18</v>
      </c>
      <c r="F1577">
        <v>28</v>
      </c>
      <c r="G1577" t="s">
        <v>90</v>
      </c>
      <c r="H1577" t="s">
        <v>39</v>
      </c>
      <c r="I1577" t="s">
        <v>42</v>
      </c>
      <c r="J1577" t="s">
        <v>33</v>
      </c>
      <c r="K1577">
        <v>3.6</v>
      </c>
      <c r="L1577" t="s">
        <v>143</v>
      </c>
      <c r="M1577" t="s">
        <v>23</v>
      </c>
      <c r="N1577">
        <v>28</v>
      </c>
      <c r="O1577" t="s">
        <v>29</v>
      </c>
      <c r="P1577" t="s">
        <v>25</v>
      </c>
    </row>
    <row r="1578" spans="1:16" ht="14.5" x14ac:dyDescent="0.35">
      <c r="A1578">
        <v>1577</v>
      </c>
      <c r="B1578">
        <v>56</v>
      </c>
      <c r="C1578" t="s">
        <v>16</v>
      </c>
      <c r="D1578" t="s">
        <v>72</v>
      </c>
      <c r="E1578" t="s">
        <v>18</v>
      </c>
      <c r="F1578">
        <v>75</v>
      </c>
      <c r="G1578" t="s">
        <v>142</v>
      </c>
      <c r="H1578" t="s">
        <v>39</v>
      </c>
      <c r="I1578" t="s">
        <v>46</v>
      </c>
      <c r="J1578" t="s">
        <v>33</v>
      </c>
      <c r="K1578">
        <v>3.7</v>
      </c>
      <c r="L1578" t="s">
        <v>143</v>
      </c>
      <c r="M1578" t="s">
        <v>23</v>
      </c>
      <c r="N1578">
        <v>36</v>
      </c>
      <c r="O1578" t="s">
        <v>40</v>
      </c>
      <c r="P1578" t="s">
        <v>79</v>
      </c>
    </row>
    <row r="1579" spans="1:16" ht="14.5" x14ac:dyDescent="0.35">
      <c r="A1579">
        <v>1578</v>
      </c>
      <c r="B1579">
        <v>68</v>
      </c>
      <c r="C1579" t="s">
        <v>16</v>
      </c>
      <c r="D1579" t="s">
        <v>128</v>
      </c>
      <c r="E1579" t="s">
        <v>37</v>
      </c>
      <c r="F1579">
        <v>34</v>
      </c>
      <c r="G1579" t="s">
        <v>70</v>
      </c>
      <c r="H1579" t="s">
        <v>32</v>
      </c>
      <c r="I1579" t="s">
        <v>69</v>
      </c>
      <c r="J1579" t="s">
        <v>33</v>
      </c>
      <c r="K1579">
        <v>4</v>
      </c>
      <c r="L1579" t="s">
        <v>143</v>
      </c>
      <c r="M1579" t="s">
        <v>23</v>
      </c>
      <c r="N1579">
        <v>7</v>
      </c>
      <c r="O1579" t="s">
        <v>24</v>
      </c>
      <c r="P1579" t="s">
        <v>25</v>
      </c>
    </row>
    <row r="1580" spans="1:16" ht="14.5" x14ac:dyDescent="0.35">
      <c r="A1580">
        <v>1579</v>
      </c>
      <c r="B1580">
        <v>62</v>
      </c>
      <c r="C1580" t="s">
        <v>16</v>
      </c>
      <c r="D1580" t="s">
        <v>86</v>
      </c>
      <c r="E1580" t="s">
        <v>18</v>
      </c>
      <c r="F1580">
        <v>97</v>
      </c>
      <c r="G1580" t="s">
        <v>90</v>
      </c>
      <c r="H1580" t="s">
        <v>32</v>
      </c>
      <c r="I1580" t="s">
        <v>28</v>
      </c>
      <c r="J1580" t="s">
        <v>22</v>
      </c>
      <c r="K1580">
        <v>4.9000000000000004</v>
      </c>
      <c r="L1580" t="s">
        <v>143</v>
      </c>
      <c r="M1580" t="s">
        <v>23</v>
      </c>
      <c r="N1580">
        <v>2</v>
      </c>
      <c r="O1580" t="s">
        <v>40</v>
      </c>
      <c r="P1580" t="s">
        <v>51</v>
      </c>
    </row>
    <row r="1581" spans="1:16" ht="14.5" x14ac:dyDescent="0.35">
      <c r="A1581">
        <v>1580</v>
      </c>
      <c r="B1581">
        <v>35</v>
      </c>
      <c r="C1581" t="s">
        <v>16</v>
      </c>
      <c r="D1581" t="s">
        <v>93</v>
      </c>
      <c r="E1581" t="s">
        <v>56</v>
      </c>
      <c r="F1581">
        <v>80</v>
      </c>
      <c r="G1581" t="s">
        <v>92</v>
      </c>
      <c r="H1581" t="s">
        <v>39</v>
      </c>
      <c r="I1581" t="s">
        <v>74</v>
      </c>
      <c r="J1581" t="s">
        <v>47</v>
      </c>
      <c r="K1581">
        <v>3.1</v>
      </c>
      <c r="L1581" t="s">
        <v>143</v>
      </c>
      <c r="M1581" t="s">
        <v>23</v>
      </c>
      <c r="N1581">
        <v>6</v>
      </c>
      <c r="O1581" t="s">
        <v>66</v>
      </c>
      <c r="P1581" t="s">
        <v>79</v>
      </c>
    </row>
    <row r="1582" spans="1:16" ht="14.5" x14ac:dyDescent="0.35">
      <c r="A1582">
        <v>1581</v>
      </c>
      <c r="B1582">
        <v>65</v>
      </c>
      <c r="C1582" t="s">
        <v>16</v>
      </c>
      <c r="D1582" t="s">
        <v>44</v>
      </c>
      <c r="E1582" t="s">
        <v>37</v>
      </c>
      <c r="F1582">
        <v>71</v>
      </c>
      <c r="G1582" t="s">
        <v>105</v>
      </c>
      <c r="H1582" t="s">
        <v>20</v>
      </c>
      <c r="I1582" t="s">
        <v>100</v>
      </c>
      <c r="J1582" t="s">
        <v>47</v>
      </c>
      <c r="K1582">
        <v>3.7</v>
      </c>
      <c r="L1582" t="s">
        <v>143</v>
      </c>
      <c r="M1582" t="s">
        <v>23</v>
      </c>
      <c r="N1582">
        <v>30</v>
      </c>
      <c r="O1582" t="s">
        <v>29</v>
      </c>
      <c r="P1582" t="s">
        <v>43</v>
      </c>
    </row>
    <row r="1583" spans="1:16" ht="14.5" x14ac:dyDescent="0.35">
      <c r="A1583">
        <v>1582</v>
      </c>
      <c r="B1583">
        <v>69</v>
      </c>
      <c r="C1583" t="s">
        <v>16</v>
      </c>
      <c r="D1583" t="s">
        <v>97</v>
      </c>
      <c r="E1583" t="s">
        <v>60</v>
      </c>
      <c r="F1583">
        <v>77</v>
      </c>
      <c r="G1583" t="s">
        <v>114</v>
      </c>
      <c r="H1583" t="s">
        <v>20</v>
      </c>
      <c r="I1583" t="s">
        <v>76</v>
      </c>
      <c r="J1583" t="s">
        <v>50</v>
      </c>
      <c r="K1583">
        <v>4.2</v>
      </c>
      <c r="L1583" t="s">
        <v>143</v>
      </c>
      <c r="M1583" t="s">
        <v>23</v>
      </c>
      <c r="N1583">
        <v>46</v>
      </c>
      <c r="O1583" t="s">
        <v>29</v>
      </c>
      <c r="P1583" t="s">
        <v>51</v>
      </c>
    </row>
    <row r="1584" spans="1:16" ht="14.5" x14ac:dyDescent="0.35">
      <c r="A1584">
        <v>1583</v>
      </c>
      <c r="B1584">
        <v>28</v>
      </c>
      <c r="C1584" t="s">
        <v>16</v>
      </c>
      <c r="D1584" t="s">
        <v>124</v>
      </c>
      <c r="E1584" t="s">
        <v>60</v>
      </c>
      <c r="F1584">
        <v>41</v>
      </c>
      <c r="G1584" t="s">
        <v>68</v>
      </c>
      <c r="H1584" t="s">
        <v>20</v>
      </c>
      <c r="I1584" t="s">
        <v>99</v>
      </c>
      <c r="J1584" t="s">
        <v>33</v>
      </c>
      <c r="K1584">
        <v>2.5</v>
      </c>
      <c r="L1584" t="s">
        <v>143</v>
      </c>
      <c r="M1584" t="s">
        <v>23</v>
      </c>
      <c r="N1584">
        <v>39</v>
      </c>
      <c r="O1584" t="s">
        <v>29</v>
      </c>
      <c r="P1584" t="s">
        <v>79</v>
      </c>
    </row>
    <row r="1585" spans="1:16" ht="14.5" x14ac:dyDescent="0.35">
      <c r="A1585">
        <v>1584</v>
      </c>
      <c r="B1585">
        <v>37</v>
      </c>
      <c r="C1585" t="s">
        <v>16</v>
      </c>
      <c r="D1585" t="s">
        <v>110</v>
      </c>
      <c r="E1585" t="s">
        <v>60</v>
      </c>
      <c r="F1585">
        <v>92</v>
      </c>
      <c r="G1585" t="s">
        <v>119</v>
      </c>
      <c r="H1585" t="s">
        <v>83</v>
      </c>
      <c r="I1585" t="s">
        <v>125</v>
      </c>
      <c r="J1585" t="s">
        <v>47</v>
      </c>
      <c r="K1585">
        <v>4.3</v>
      </c>
      <c r="L1585" t="s">
        <v>143</v>
      </c>
      <c r="M1585" t="s">
        <v>23</v>
      </c>
      <c r="N1585">
        <v>8</v>
      </c>
      <c r="O1585" t="s">
        <v>24</v>
      </c>
      <c r="P1585" t="s">
        <v>43</v>
      </c>
    </row>
    <row r="1586" spans="1:16" ht="14.5" x14ac:dyDescent="0.35">
      <c r="A1586">
        <v>1585</v>
      </c>
      <c r="B1586">
        <v>41</v>
      </c>
      <c r="C1586" t="s">
        <v>16</v>
      </c>
      <c r="D1586" t="s">
        <v>17</v>
      </c>
      <c r="E1586" t="s">
        <v>18</v>
      </c>
      <c r="F1586">
        <v>95</v>
      </c>
      <c r="G1586" t="s">
        <v>68</v>
      </c>
      <c r="H1586" t="s">
        <v>32</v>
      </c>
      <c r="I1586" t="s">
        <v>58</v>
      </c>
      <c r="J1586" t="s">
        <v>33</v>
      </c>
      <c r="K1586">
        <v>3.1</v>
      </c>
      <c r="L1586" t="s">
        <v>143</v>
      </c>
      <c r="M1586" t="s">
        <v>23</v>
      </c>
      <c r="N1586">
        <v>46</v>
      </c>
      <c r="O1586" t="s">
        <v>34</v>
      </c>
      <c r="P1586" t="s">
        <v>51</v>
      </c>
    </row>
    <row r="1587" spans="1:16" ht="14.5" x14ac:dyDescent="0.35">
      <c r="A1587">
        <v>1586</v>
      </c>
      <c r="B1587">
        <v>37</v>
      </c>
      <c r="C1587" t="s">
        <v>16</v>
      </c>
      <c r="D1587" t="s">
        <v>26</v>
      </c>
      <c r="E1587" t="s">
        <v>18</v>
      </c>
      <c r="F1587">
        <v>25</v>
      </c>
      <c r="G1587" t="s">
        <v>81</v>
      </c>
      <c r="H1587" t="s">
        <v>39</v>
      </c>
      <c r="I1587" t="s">
        <v>54</v>
      </c>
      <c r="J1587" t="s">
        <v>50</v>
      </c>
      <c r="K1587">
        <v>3</v>
      </c>
      <c r="L1587" t="s">
        <v>143</v>
      </c>
      <c r="M1587" t="s">
        <v>23</v>
      </c>
      <c r="N1587">
        <v>40</v>
      </c>
      <c r="O1587" t="s">
        <v>77</v>
      </c>
      <c r="P1587" t="s">
        <v>25</v>
      </c>
    </row>
    <row r="1588" spans="1:16" ht="14.5" x14ac:dyDescent="0.35">
      <c r="A1588">
        <v>1587</v>
      </c>
      <c r="B1588">
        <v>25</v>
      </c>
      <c r="C1588" t="s">
        <v>16</v>
      </c>
      <c r="D1588" t="s">
        <v>128</v>
      </c>
      <c r="E1588" t="s">
        <v>37</v>
      </c>
      <c r="F1588">
        <v>77</v>
      </c>
      <c r="G1588" t="s">
        <v>92</v>
      </c>
      <c r="H1588" t="s">
        <v>39</v>
      </c>
      <c r="I1588" t="s">
        <v>65</v>
      </c>
      <c r="J1588" t="s">
        <v>50</v>
      </c>
      <c r="K1588">
        <v>4</v>
      </c>
      <c r="L1588" t="s">
        <v>143</v>
      </c>
      <c r="M1588" t="s">
        <v>23</v>
      </c>
      <c r="N1588">
        <v>21</v>
      </c>
      <c r="O1588" t="s">
        <v>66</v>
      </c>
      <c r="P1588" t="s">
        <v>35</v>
      </c>
    </row>
    <row r="1589" spans="1:16" ht="14.5" x14ac:dyDescent="0.35">
      <c r="A1589">
        <v>1588</v>
      </c>
      <c r="B1589">
        <v>41</v>
      </c>
      <c r="C1589" t="s">
        <v>16</v>
      </c>
      <c r="D1589" t="s">
        <v>116</v>
      </c>
      <c r="E1589" t="s">
        <v>18</v>
      </c>
      <c r="F1589">
        <v>99</v>
      </c>
      <c r="G1589" t="s">
        <v>81</v>
      </c>
      <c r="H1589" t="s">
        <v>39</v>
      </c>
      <c r="I1589" t="s">
        <v>109</v>
      </c>
      <c r="J1589" t="s">
        <v>47</v>
      </c>
      <c r="K1589">
        <v>3.5</v>
      </c>
      <c r="L1589" t="s">
        <v>143</v>
      </c>
      <c r="M1589" t="s">
        <v>23</v>
      </c>
      <c r="N1589">
        <v>33</v>
      </c>
      <c r="O1589" t="s">
        <v>34</v>
      </c>
      <c r="P1589" t="s">
        <v>25</v>
      </c>
    </row>
    <row r="1590" spans="1:16" ht="14.5" x14ac:dyDescent="0.35">
      <c r="A1590">
        <v>1589</v>
      </c>
      <c r="B1590">
        <v>48</v>
      </c>
      <c r="C1590" t="s">
        <v>16</v>
      </c>
      <c r="D1590" t="s">
        <v>124</v>
      </c>
      <c r="E1590" t="s">
        <v>60</v>
      </c>
      <c r="F1590">
        <v>24</v>
      </c>
      <c r="G1590" t="s">
        <v>120</v>
      </c>
      <c r="H1590" t="s">
        <v>20</v>
      </c>
      <c r="I1590" t="s">
        <v>100</v>
      </c>
      <c r="J1590" t="s">
        <v>22</v>
      </c>
      <c r="K1590">
        <v>3.2</v>
      </c>
      <c r="L1590" t="s">
        <v>143</v>
      </c>
      <c r="M1590" t="s">
        <v>23</v>
      </c>
      <c r="N1590">
        <v>3</v>
      </c>
      <c r="O1590" t="s">
        <v>24</v>
      </c>
      <c r="P1590" t="s">
        <v>79</v>
      </c>
    </row>
    <row r="1591" spans="1:16" ht="14.5" x14ac:dyDescent="0.35">
      <c r="A1591">
        <v>1590</v>
      </c>
      <c r="B1591">
        <v>42</v>
      </c>
      <c r="C1591" t="s">
        <v>16</v>
      </c>
      <c r="D1591" t="s">
        <v>44</v>
      </c>
      <c r="E1591" t="s">
        <v>37</v>
      </c>
      <c r="F1591">
        <v>72</v>
      </c>
      <c r="G1591" t="s">
        <v>114</v>
      </c>
      <c r="H1591" t="s">
        <v>39</v>
      </c>
      <c r="I1591" t="s">
        <v>58</v>
      </c>
      <c r="J1591" t="s">
        <v>47</v>
      </c>
      <c r="K1591">
        <v>2.7</v>
      </c>
      <c r="L1591" t="s">
        <v>143</v>
      </c>
      <c r="M1591" t="s">
        <v>23</v>
      </c>
      <c r="N1591">
        <v>48</v>
      </c>
      <c r="O1591" t="s">
        <v>29</v>
      </c>
      <c r="P1591" t="s">
        <v>35</v>
      </c>
    </row>
    <row r="1592" spans="1:16" ht="14.5" x14ac:dyDescent="0.35">
      <c r="A1592">
        <v>1591</v>
      </c>
      <c r="B1592">
        <v>54</v>
      </c>
      <c r="C1592" t="s">
        <v>16</v>
      </c>
      <c r="D1592" t="s">
        <v>30</v>
      </c>
      <c r="E1592" t="s">
        <v>18</v>
      </c>
      <c r="F1592">
        <v>80</v>
      </c>
      <c r="G1592" t="s">
        <v>141</v>
      </c>
      <c r="H1592" t="s">
        <v>32</v>
      </c>
      <c r="I1592" t="s">
        <v>62</v>
      </c>
      <c r="J1592" t="s">
        <v>22</v>
      </c>
      <c r="K1592">
        <v>3</v>
      </c>
      <c r="L1592" t="s">
        <v>143</v>
      </c>
      <c r="M1592" t="s">
        <v>23</v>
      </c>
      <c r="N1592">
        <v>8</v>
      </c>
      <c r="O1592" t="s">
        <v>40</v>
      </c>
      <c r="P1592" t="s">
        <v>43</v>
      </c>
    </row>
    <row r="1593" spans="1:16" ht="14.5" x14ac:dyDescent="0.35">
      <c r="A1593">
        <v>1592</v>
      </c>
      <c r="B1593">
        <v>18</v>
      </c>
      <c r="C1593" t="s">
        <v>16</v>
      </c>
      <c r="D1593" t="s">
        <v>78</v>
      </c>
      <c r="E1593" t="s">
        <v>18</v>
      </c>
      <c r="F1593">
        <v>100</v>
      </c>
      <c r="G1593" t="s">
        <v>138</v>
      </c>
      <c r="H1593" t="s">
        <v>20</v>
      </c>
      <c r="I1593" t="s">
        <v>71</v>
      </c>
      <c r="J1593" t="s">
        <v>22</v>
      </c>
      <c r="K1593">
        <v>2.9</v>
      </c>
      <c r="L1593" t="s">
        <v>143</v>
      </c>
      <c r="M1593" t="s">
        <v>23</v>
      </c>
      <c r="N1593">
        <v>24</v>
      </c>
      <c r="O1593" t="s">
        <v>40</v>
      </c>
      <c r="P1593" t="s">
        <v>43</v>
      </c>
    </row>
    <row r="1594" spans="1:16" ht="14.5" x14ac:dyDescent="0.35">
      <c r="A1594">
        <v>1593</v>
      </c>
      <c r="B1594">
        <v>56</v>
      </c>
      <c r="C1594" t="s">
        <v>16</v>
      </c>
      <c r="D1594" t="s">
        <v>63</v>
      </c>
      <c r="E1594" t="s">
        <v>37</v>
      </c>
      <c r="F1594">
        <v>83</v>
      </c>
      <c r="G1594" t="s">
        <v>137</v>
      </c>
      <c r="H1594" t="s">
        <v>39</v>
      </c>
      <c r="I1594" t="s">
        <v>100</v>
      </c>
      <c r="J1594" t="s">
        <v>47</v>
      </c>
      <c r="K1594">
        <v>3.3</v>
      </c>
      <c r="L1594" t="s">
        <v>143</v>
      </c>
      <c r="M1594" t="s">
        <v>23</v>
      </c>
      <c r="N1594">
        <v>10</v>
      </c>
      <c r="O1594" t="s">
        <v>66</v>
      </c>
      <c r="P1594" t="s">
        <v>88</v>
      </c>
    </row>
    <row r="1595" spans="1:16" ht="14.5" x14ac:dyDescent="0.35">
      <c r="A1595">
        <v>1594</v>
      </c>
      <c r="B1595">
        <v>61</v>
      </c>
      <c r="C1595" t="s">
        <v>16</v>
      </c>
      <c r="D1595" t="s">
        <v>72</v>
      </c>
      <c r="E1595" t="s">
        <v>18</v>
      </c>
      <c r="F1595">
        <v>95</v>
      </c>
      <c r="G1595" t="s">
        <v>119</v>
      </c>
      <c r="H1595" t="s">
        <v>39</v>
      </c>
      <c r="I1595" t="s">
        <v>85</v>
      </c>
      <c r="J1595" t="s">
        <v>33</v>
      </c>
      <c r="K1595">
        <v>4.9000000000000004</v>
      </c>
      <c r="L1595" t="s">
        <v>143</v>
      </c>
      <c r="M1595" t="s">
        <v>23</v>
      </c>
      <c r="N1595">
        <v>25</v>
      </c>
      <c r="O1595" t="s">
        <v>66</v>
      </c>
      <c r="P1595" t="s">
        <v>79</v>
      </c>
    </row>
    <row r="1596" spans="1:16" ht="14.5" x14ac:dyDescent="0.35">
      <c r="A1596">
        <v>1595</v>
      </c>
      <c r="B1596">
        <v>40</v>
      </c>
      <c r="C1596" t="s">
        <v>16</v>
      </c>
      <c r="D1596" t="s">
        <v>59</v>
      </c>
      <c r="E1596" t="s">
        <v>60</v>
      </c>
      <c r="F1596">
        <v>41</v>
      </c>
      <c r="G1596" t="s">
        <v>103</v>
      </c>
      <c r="H1596" t="s">
        <v>83</v>
      </c>
      <c r="I1596" t="s">
        <v>54</v>
      </c>
      <c r="J1596" t="s">
        <v>47</v>
      </c>
      <c r="K1596">
        <v>3.7</v>
      </c>
      <c r="L1596" t="s">
        <v>143</v>
      </c>
      <c r="M1596" t="s">
        <v>23</v>
      </c>
      <c r="N1596">
        <v>3</v>
      </c>
      <c r="O1596" t="s">
        <v>29</v>
      </c>
      <c r="P1596" t="s">
        <v>25</v>
      </c>
    </row>
    <row r="1597" spans="1:16" ht="14.5" x14ac:dyDescent="0.35">
      <c r="A1597">
        <v>1596</v>
      </c>
      <c r="B1597">
        <v>34</v>
      </c>
      <c r="C1597" t="s">
        <v>16</v>
      </c>
      <c r="D1597" t="s">
        <v>123</v>
      </c>
      <c r="E1597" t="s">
        <v>60</v>
      </c>
      <c r="F1597">
        <v>35</v>
      </c>
      <c r="G1597" t="s">
        <v>141</v>
      </c>
      <c r="H1597" t="s">
        <v>32</v>
      </c>
      <c r="I1597" t="s">
        <v>127</v>
      </c>
      <c r="J1597" t="s">
        <v>33</v>
      </c>
      <c r="K1597">
        <v>3.5</v>
      </c>
      <c r="L1597" t="s">
        <v>143</v>
      </c>
      <c r="M1597" t="s">
        <v>23</v>
      </c>
      <c r="N1597">
        <v>45</v>
      </c>
      <c r="O1597" t="s">
        <v>77</v>
      </c>
      <c r="P1597" t="s">
        <v>25</v>
      </c>
    </row>
    <row r="1598" spans="1:16" ht="14.5" x14ac:dyDescent="0.35">
      <c r="A1598">
        <v>1597</v>
      </c>
      <c r="B1598">
        <v>42</v>
      </c>
      <c r="C1598" t="s">
        <v>16</v>
      </c>
      <c r="D1598" t="s">
        <v>97</v>
      </c>
      <c r="E1598" t="s">
        <v>60</v>
      </c>
      <c r="F1598">
        <v>30</v>
      </c>
      <c r="G1598" t="s">
        <v>82</v>
      </c>
      <c r="H1598" t="s">
        <v>32</v>
      </c>
      <c r="I1598" t="s">
        <v>62</v>
      </c>
      <c r="J1598" t="s">
        <v>50</v>
      </c>
      <c r="K1598">
        <v>4.7</v>
      </c>
      <c r="L1598" t="s">
        <v>143</v>
      </c>
      <c r="M1598" t="s">
        <v>23</v>
      </c>
      <c r="N1598">
        <v>15</v>
      </c>
      <c r="O1598" t="s">
        <v>77</v>
      </c>
      <c r="P1598" t="s">
        <v>79</v>
      </c>
    </row>
    <row r="1599" spans="1:16" ht="14.5" x14ac:dyDescent="0.35">
      <c r="A1599">
        <v>1598</v>
      </c>
      <c r="B1599">
        <v>43</v>
      </c>
      <c r="C1599" t="s">
        <v>16</v>
      </c>
      <c r="D1599" t="s">
        <v>115</v>
      </c>
      <c r="E1599" t="s">
        <v>60</v>
      </c>
      <c r="F1599">
        <v>21</v>
      </c>
      <c r="G1599" t="s">
        <v>82</v>
      </c>
      <c r="H1599" t="s">
        <v>83</v>
      </c>
      <c r="I1599" t="s">
        <v>28</v>
      </c>
      <c r="J1599" t="s">
        <v>22</v>
      </c>
      <c r="K1599">
        <v>2.6</v>
      </c>
      <c r="L1599" t="s">
        <v>143</v>
      </c>
      <c r="M1599" t="s">
        <v>23</v>
      </c>
      <c r="N1599">
        <v>34</v>
      </c>
      <c r="O1599" t="s">
        <v>66</v>
      </c>
      <c r="P1599" t="s">
        <v>51</v>
      </c>
    </row>
    <row r="1600" spans="1:16" ht="14.5" x14ac:dyDescent="0.35">
      <c r="A1600">
        <v>1599</v>
      </c>
      <c r="B1600">
        <v>47</v>
      </c>
      <c r="C1600" t="s">
        <v>16</v>
      </c>
      <c r="D1600" t="s">
        <v>97</v>
      </c>
      <c r="E1600" t="s">
        <v>60</v>
      </c>
      <c r="F1600">
        <v>85</v>
      </c>
      <c r="G1600" t="s">
        <v>90</v>
      </c>
      <c r="H1600" t="s">
        <v>39</v>
      </c>
      <c r="I1600" t="s">
        <v>76</v>
      </c>
      <c r="J1600" t="s">
        <v>50</v>
      </c>
      <c r="K1600">
        <v>4.0999999999999996</v>
      </c>
      <c r="L1600" t="s">
        <v>143</v>
      </c>
      <c r="M1600" t="s">
        <v>23</v>
      </c>
      <c r="N1600">
        <v>21</v>
      </c>
      <c r="O1600" t="s">
        <v>24</v>
      </c>
      <c r="P1600" t="s">
        <v>67</v>
      </c>
    </row>
    <row r="1601" spans="1:16" ht="14.5" x14ac:dyDescent="0.35">
      <c r="A1601">
        <v>1600</v>
      </c>
      <c r="B1601">
        <v>48</v>
      </c>
      <c r="C1601" t="s">
        <v>16</v>
      </c>
      <c r="D1601" t="s">
        <v>48</v>
      </c>
      <c r="E1601" t="s">
        <v>18</v>
      </c>
      <c r="F1601">
        <v>54</v>
      </c>
      <c r="G1601" t="s">
        <v>70</v>
      </c>
      <c r="H1601" t="s">
        <v>39</v>
      </c>
      <c r="I1601" t="s">
        <v>112</v>
      </c>
      <c r="J1601" t="s">
        <v>22</v>
      </c>
      <c r="K1601">
        <v>2.8</v>
      </c>
      <c r="L1601" t="s">
        <v>143</v>
      </c>
      <c r="M1601" t="s">
        <v>23</v>
      </c>
      <c r="N1601">
        <v>22</v>
      </c>
      <c r="O1601" t="s">
        <v>77</v>
      </c>
      <c r="P1601" t="s">
        <v>67</v>
      </c>
    </row>
    <row r="1602" spans="1:16" ht="14.5" x14ac:dyDescent="0.35">
      <c r="A1602">
        <v>1601</v>
      </c>
      <c r="B1602">
        <v>20</v>
      </c>
      <c r="C1602" t="s">
        <v>16</v>
      </c>
      <c r="D1602" t="s">
        <v>128</v>
      </c>
      <c r="E1602" t="s">
        <v>37</v>
      </c>
      <c r="F1602">
        <v>26</v>
      </c>
      <c r="G1602" t="s">
        <v>49</v>
      </c>
      <c r="H1602" t="s">
        <v>32</v>
      </c>
      <c r="I1602" t="s">
        <v>125</v>
      </c>
      <c r="J1602" t="s">
        <v>33</v>
      </c>
      <c r="K1602">
        <v>4.7</v>
      </c>
      <c r="L1602" t="s">
        <v>143</v>
      </c>
      <c r="M1602" t="s">
        <v>23</v>
      </c>
      <c r="N1602">
        <v>24</v>
      </c>
      <c r="O1602" t="s">
        <v>40</v>
      </c>
      <c r="P1602" t="s">
        <v>35</v>
      </c>
    </row>
    <row r="1603" spans="1:16" ht="14.5" x14ac:dyDescent="0.35">
      <c r="A1603">
        <v>1602</v>
      </c>
      <c r="B1603">
        <v>65</v>
      </c>
      <c r="C1603" t="s">
        <v>16</v>
      </c>
      <c r="D1603" t="s">
        <v>48</v>
      </c>
      <c r="E1603" t="s">
        <v>18</v>
      </c>
      <c r="F1603">
        <v>59</v>
      </c>
      <c r="G1603" t="s">
        <v>107</v>
      </c>
      <c r="H1603" t="s">
        <v>83</v>
      </c>
      <c r="I1603" t="s">
        <v>99</v>
      </c>
      <c r="J1603" t="s">
        <v>33</v>
      </c>
      <c r="K1603">
        <v>2.9</v>
      </c>
      <c r="L1603" t="s">
        <v>143</v>
      </c>
      <c r="M1603" t="s">
        <v>23</v>
      </c>
      <c r="N1603">
        <v>33</v>
      </c>
      <c r="O1603" t="s">
        <v>34</v>
      </c>
      <c r="P1603" t="s">
        <v>79</v>
      </c>
    </row>
    <row r="1604" spans="1:16" ht="14.5" x14ac:dyDescent="0.35">
      <c r="A1604">
        <v>1603</v>
      </c>
      <c r="B1604">
        <v>54</v>
      </c>
      <c r="C1604" t="s">
        <v>16</v>
      </c>
      <c r="D1604" t="s">
        <v>80</v>
      </c>
      <c r="E1604" t="s">
        <v>60</v>
      </c>
      <c r="F1604">
        <v>48</v>
      </c>
      <c r="G1604" t="s">
        <v>57</v>
      </c>
      <c r="H1604" t="s">
        <v>32</v>
      </c>
      <c r="I1604" t="s">
        <v>54</v>
      </c>
      <c r="J1604" t="s">
        <v>22</v>
      </c>
      <c r="K1604">
        <v>2.8</v>
      </c>
      <c r="L1604" t="s">
        <v>143</v>
      </c>
      <c r="M1604" t="s">
        <v>23</v>
      </c>
      <c r="N1604">
        <v>13</v>
      </c>
      <c r="O1604" t="s">
        <v>24</v>
      </c>
      <c r="P1604" t="s">
        <v>25</v>
      </c>
    </row>
    <row r="1605" spans="1:16" ht="14.5" x14ac:dyDescent="0.35">
      <c r="A1605">
        <v>1604</v>
      </c>
      <c r="B1605">
        <v>23</v>
      </c>
      <c r="C1605" t="s">
        <v>16</v>
      </c>
      <c r="D1605" t="s">
        <v>52</v>
      </c>
      <c r="E1605" t="s">
        <v>18</v>
      </c>
      <c r="F1605">
        <v>98</v>
      </c>
      <c r="G1605" t="s">
        <v>137</v>
      </c>
      <c r="H1605" t="s">
        <v>20</v>
      </c>
      <c r="I1605" t="s">
        <v>85</v>
      </c>
      <c r="J1605" t="s">
        <v>47</v>
      </c>
      <c r="K1605">
        <v>4.3</v>
      </c>
      <c r="L1605" t="s">
        <v>143</v>
      </c>
      <c r="M1605" t="s">
        <v>23</v>
      </c>
      <c r="N1605">
        <v>17</v>
      </c>
      <c r="O1605" t="s">
        <v>77</v>
      </c>
      <c r="P1605" t="s">
        <v>67</v>
      </c>
    </row>
    <row r="1606" spans="1:16" ht="14.5" x14ac:dyDescent="0.35">
      <c r="A1606">
        <v>1605</v>
      </c>
      <c r="B1606">
        <v>18</v>
      </c>
      <c r="C1606" t="s">
        <v>16</v>
      </c>
      <c r="D1606" t="s">
        <v>26</v>
      </c>
      <c r="E1606" t="s">
        <v>18</v>
      </c>
      <c r="F1606">
        <v>92</v>
      </c>
      <c r="G1606" t="s">
        <v>27</v>
      </c>
      <c r="H1606" t="s">
        <v>39</v>
      </c>
      <c r="I1606" t="s">
        <v>46</v>
      </c>
      <c r="J1606" t="s">
        <v>47</v>
      </c>
      <c r="K1606">
        <v>4.8</v>
      </c>
      <c r="L1606" t="s">
        <v>143</v>
      </c>
      <c r="M1606" t="s">
        <v>23</v>
      </c>
      <c r="N1606">
        <v>25</v>
      </c>
      <c r="O1606" t="s">
        <v>34</v>
      </c>
      <c r="P1606" t="s">
        <v>88</v>
      </c>
    </row>
    <row r="1607" spans="1:16" ht="14.5" x14ac:dyDescent="0.35">
      <c r="A1607">
        <v>1606</v>
      </c>
      <c r="B1607">
        <v>70</v>
      </c>
      <c r="C1607" t="s">
        <v>16</v>
      </c>
      <c r="D1607" t="s">
        <v>124</v>
      </c>
      <c r="E1607" t="s">
        <v>60</v>
      </c>
      <c r="F1607">
        <v>46</v>
      </c>
      <c r="G1607" t="s">
        <v>130</v>
      </c>
      <c r="H1607" t="s">
        <v>39</v>
      </c>
      <c r="I1607" t="s">
        <v>84</v>
      </c>
      <c r="J1607" t="s">
        <v>22</v>
      </c>
      <c r="K1607">
        <v>3.4</v>
      </c>
      <c r="L1607" t="s">
        <v>143</v>
      </c>
      <c r="M1607" t="s">
        <v>23</v>
      </c>
      <c r="N1607">
        <v>15</v>
      </c>
      <c r="O1607" t="s">
        <v>34</v>
      </c>
      <c r="P1607" t="s">
        <v>67</v>
      </c>
    </row>
    <row r="1608" spans="1:16" ht="14.5" x14ac:dyDescent="0.35">
      <c r="A1608">
        <v>1607</v>
      </c>
      <c r="B1608">
        <v>55</v>
      </c>
      <c r="C1608" t="s">
        <v>16</v>
      </c>
      <c r="D1608" t="s">
        <v>104</v>
      </c>
      <c r="E1608" t="s">
        <v>18</v>
      </c>
      <c r="F1608">
        <v>21</v>
      </c>
      <c r="G1608" t="s">
        <v>102</v>
      </c>
      <c r="H1608" t="s">
        <v>32</v>
      </c>
      <c r="I1608" t="s">
        <v>46</v>
      </c>
      <c r="J1608" t="s">
        <v>33</v>
      </c>
      <c r="K1608">
        <v>4.3</v>
      </c>
      <c r="L1608" t="s">
        <v>143</v>
      </c>
      <c r="M1608" t="s">
        <v>23</v>
      </c>
      <c r="N1608">
        <v>4</v>
      </c>
      <c r="O1608" t="s">
        <v>40</v>
      </c>
      <c r="P1608" t="s">
        <v>25</v>
      </c>
    </row>
    <row r="1609" spans="1:16" ht="14.5" x14ac:dyDescent="0.35">
      <c r="A1609">
        <v>1608</v>
      </c>
      <c r="B1609">
        <v>49</v>
      </c>
      <c r="C1609" t="s">
        <v>16</v>
      </c>
      <c r="D1609" t="s">
        <v>52</v>
      </c>
      <c r="E1609" t="s">
        <v>18</v>
      </c>
      <c r="F1609">
        <v>72</v>
      </c>
      <c r="G1609" t="s">
        <v>120</v>
      </c>
      <c r="H1609" t="s">
        <v>32</v>
      </c>
      <c r="I1609" t="s">
        <v>21</v>
      </c>
      <c r="J1609" t="s">
        <v>50</v>
      </c>
      <c r="K1609">
        <v>2.7</v>
      </c>
      <c r="L1609" t="s">
        <v>143</v>
      </c>
      <c r="M1609" t="s">
        <v>23</v>
      </c>
      <c r="N1609">
        <v>43</v>
      </c>
      <c r="O1609" t="s">
        <v>77</v>
      </c>
      <c r="P1609" t="s">
        <v>51</v>
      </c>
    </row>
    <row r="1610" spans="1:16" ht="14.5" x14ac:dyDescent="0.35">
      <c r="A1610">
        <v>1609</v>
      </c>
      <c r="B1610">
        <v>26</v>
      </c>
      <c r="C1610" t="s">
        <v>16</v>
      </c>
      <c r="D1610" t="s">
        <v>36</v>
      </c>
      <c r="E1610" t="s">
        <v>37</v>
      </c>
      <c r="F1610">
        <v>58</v>
      </c>
      <c r="G1610" t="s">
        <v>136</v>
      </c>
      <c r="H1610" t="s">
        <v>83</v>
      </c>
      <c r="I1610" t="s">
        <v>100</v>
      </c>
      <c r="J1610" t="s">
        <v>50</v>
      </c>
      <c r="K1610">
        <v>4.5999999999999996</v>
      </c>
      <c r="L1610" t="s">
        <v>143</v>
      </c>
      <c r="M1610" t="s">
        <v>23</v>
      </c>
      <c r="N1610">
        <v>12</v>
      </c>
      <c r="O1610" t="s">
        <v>66</v>
      </c>
      <c r="P1610" t="s">
        <v>67</v>
      </c>
    </row>
    <row r="1611" spans="1:16" ht="14.5" x14ac:dyDescent="0.35">
      <c r="A1611">
        <v>1610</v>
      </c>
      <c r="B1611">
        <v>33</v>
      </c>
      <c r="C1611" t="s">
        <v>16</v>
      </c>
      <c r="D1611" t="s">
        <v>48</v>
      </c>
      <c r="E1611" t="s">
        <v>18</v>
      </c>
      <c r="F1611">
        <v>93</v>
      </c>
      <c r="G1611" t="s">
        <v>98</v>
      </c>
      <c r="H1611" t="s">
        <v>32</v>
      </c>
      <c r="I1611" t="s">
        <v>101</v>
      </c>
      <c r="J1611" t="s">
        <v>50</v>
      </c>
      <c r="K1611">
        <v>4.0999999999999996</v>
      </c>
      <c r="L1611" t="s">
        <v>143</v>
      </c>
      <c r="M1611" t="s">
        <v>23</v>
      </c>
      <c r="N1611">
        <v>3</v>
      </c>
      <c r="O1611" t="s">
        <v>24</v>
      </c>
      <c r="P1611" t="s">
        <v>79</v>
      </c>
    </row>
    <row r="1612" spans="1:16" ht="14.5" x14ac:dyDescent="0.35">
      <c r="A1612">
        <v>1611</v>
      </c>
      <c r="B1612">
        <v>20</v>
      </c>
      <c r="C1612" t="s">
        <v>16</v>
      </c>
      <c r="D1612" t="s">
        <v>116</v>
      </c>
      <c r="E1612" t="s">
        <v>18</v>
      </c>
      <c r="F1612">
        <v>31</v>
      </c>
      <c r="G1612" t="s">
        <v>113</v>
      </c>
      <c r="H1612" t="s">
        <v>20</v>
      </c>
      <c r="I1612" t="s">
        <v>65</v>
      </c>
      <c r="J1612" t="s">
        <v>33</v>
      </c>
      <c r="K1612">
        <v>3.4</v>
      </c>
      <c r="L1612" t="s">
        <v>143</v>
      </c>
      <c r="M1612" t="s">
        <v>23</v>
      </c>
      <c r="N1612">
        <v>1</v>
      </c>
      <c r="O1612" t="s">
        <v>40</v>
      </c>
      <c r="P1612" t="s">
        <v>43</v>
      </c>
    </row>
    <row r="1613" spans="1:16" ht="14.5" x14ac:dyDescent="0.35">
      <c r="A1613">
        <v>1612</v>
      </c>
      <c r="B1613">
        <v>41</v>
      </c>
      <c r="C1613" t="s">
        <v>16</v>
      </c>
      <c r="D1613" t="s">
        <v>86</v>
      </c>
      <c r="E1613" t="s">
        <v>18</v>
      </c>
      <c r="F1613">
        <v>26</v>
      </c>
      <c r="G1613" t="s">
        <v>64</v>
      </c>
      <c r="H1613" t="s">
        <v>20</v>
      </c>
      <c r="I1613" t="s">
        <v>125</v>
      </c>
      <c r="J1613" t="s">
        <v>22</v>
      </c>
      <c r="K1613">
        <v>4.5</v>
      </c>
      <c r="L1613" t="s">
        <v>143</v>
      </c>
      <c r="M1613" t="s">
        <v>23</v>
      </c>
      <c r="N1613">
        <v>6</v>
      </c>
      <c r="O1613" t="s">
        <v>77</v>
      </c>
      <c r="P1613" t="s">
        <v>79</v>
      </c>
    </row>
    <row r="1614" spans="1:16" ht="14.5" x14ac:dyDescent="0.35">
      <c r="A1614">
        <v>1613</v>
      </c>
      <c r="B1614">
        <v>18</v>
      </c>
      <c r="C1614" t="s">
        <v>16</v>
      </c>
      <c r="D1614" t="s">
        <v>78</v>
      </c>
      <c r="E1614" t="s">
        <v>18</v>
      </c>
      <c r="F1614">
        <v>68</v>
      </c>
      <c r="G1614" t="s">
        <v>141</v>
      </c>
      <c r="H1614" t="s">
        <v>39</v>
      </c>
      <c r="I1614" t="s">
        <v>117</v>
      </c>
      <c r="J1614" t="s">
        <v>47</v>
      </c>
      <c r="K1614">
        <v>4.4000000000000004</v>
      </c>
      <c r="L1614" t="s">
        <v>143</v>
      </c>
      <c r="M1614" t="s">
        <v>23</v>
      </c>
      <c r="N1614">
        <v>26</v>
      </c>
      <c r="O1614" t="s">
        <v>24</v>
      </c>
      <c r="P1614" t="s">
        <v>79</v>
      </c>
    </row>
    <row r="1615" spans="1:16" ht="14.5" x14ac:dyDescent="0.35">
      <c r="A1615">
        <v>1614</v>
      </c>
      <c r="B1615">
        <v>26</v>
      </c>
      <c r="C1615" t="s">
        <v>16</v>
      </c>
      <c r="D1615" t="s">
        <v>97</v>
      </c>
      <c r="E1615" t="s">
        <v>60</v>
      </c>
      <c r="F1615">
        <v>31</v>
      </c>
      <c r="G1615" t="s">
        <v>106</v>
      </c>
      <c r="H1615" t="s">
        <v>32</v>
      </c>
      <c r="I1615" t="s">
        <v>85</v>
      </c>
      <c r="J1615" t="s">
        <v>47</v>
      </c>
      <c r="K1615">
        <v>4</v>
      </c>
      <c r="L1615" t="s">
        <v>143</v>
      </c>
      <c r="M1615" t="s">
        <v>23</v>
      </c>
      <c r="N1615">
        <v>6</v>
      </c>
      <c r="O1615" t="s">
        <v>34</v>
      </c>
      <c r="P1615" t="s">
        <v>25</v>
      </c>
    </row>
    <row r="1616" spans="1:16" ht="14.5" x14ac:dyDescent="0.35">
      <c r="A1616">
        <v>1615</v>
      </c>
      <c r="B1616">
        <v>30</v>
      </c>
      <c r="C1616" t="s">
        <v>16</v>
      </c>
      <c r="D1616" t="s">
        <v>104</v>
      </c>
      <c r="E1616" t="s">
        <v>18</v>
      </c>
      <c r="F1616">
        <v>41</v>
      </c>
      <c r="G1616" t="s">
        <v>102</v>
      </c>
      <c r="H1616" t="s">
        <v>32</v>
      </c>
      <c r="I1616" t="s">
        <v>21</v>
      </c>
      <c r="J1616" t="s">
        <v>47</v>
      </c>
      <c r="K1616">
        <v>3.4</v>
      </c>
      <c r="L1616" t="s">
        <v>143</v>
      </c>
      <c r="M1616" t="s">
        <v>23</v>
      </c>
      <c r="N1616">
        <v>22</v>
      </c>
      <c r="O1616" t="s">
        <v>29</v>
      </c>
      <c r="P1616" t="s">
        <v>67</v>
      </c>
    </row>
    <row r="1617" spans="1:16" ht="14.5" x14ac:dyDescent="0.35">
      <c r="A1617">
        <v>1616</v>
      </c>
      <c r="B1617">
        <v>64</v>
      </c>
      <c r="C1617" t="s">
        <v>16</v>
      </c>
      <c r="D1617" t="s">
        <v>97</v>
      </c>
      <c r="E1617" t="s">
        <v>60</v>
      </c>
      <c r="F1617">
        <v>62</v>
      </c>
      <c r="G1617" t="s">
        <v>75</v>
      </c>
      <c r="H1617" t="s">
        <v>39</v>
      </c>
      <c r="I1617" t="s">
        <v>117</v>
      </c>
      <c r="J1617" t="s">
        <v>50</v>
      </c>
      <c r="K1617">
        <v>3.2</v>
      </c>
      <c r="L1617" t="s">
        <v>143</v>
      </c>
      <c r="M1617" t="s">
        <v>23</v>
      </c>
      <c r="N1617">
        <v>45</v>
      </c>
      <c r="O1617" t="s">
        <v>29</v>
      </c>
      <c r="P1617" t="s">
        <v>67</v>
      </c>
    </row>
    <row r="1618" spans="1:16" ht="14.5" x14ac:dyDescent="0.35">
      <c r="A1618">
        <v>1617</v>
      </c>
      <c r="B1618">
        <v>26</v>
      </c>
      <c r="C1618" t="s">
        <v>16</v>
      </c>
      <c r="D1618" t="s">
        <v>115</v>
      </c>
      <c r="E1618" t="s">
        <v>60</v>
      </c>
      <c r="F1618">
        <v>41</v>
      </c>
      <c r="G1618" t="s">
        <v>103</v>
      </c>
      <c r="H1618" t="s">
        <v>39</v>
      </c>
      <c r="I1618" t="s">
        <v>87</v>
      </c>
      <c r="J1618" t="s">
        <v>33</v>
      </c>
      <c r="K1618">
        <v>3.4</v>
      </c>
      <c r="L1618" t="s">
        <v>143</v>
      </c>
      <c r="M1618" t="s">
        <v>23</v>
      </c>
      <c r="N1618">
        <v>50</v>
      </c>
      <c r="O1618" t="s">
        <v>29</v>
      </c>
      <c r="P1618" t="s">
        <v>51</v>
      </c>
    </row>
    <row r="1619" spans="1:16" ht="14.5" x14ac:dyDescent="0.35">
      <c r="A1619">
        <v>1618</v>
      </c>
      <c r="B1619">
        <v>43</v>
      </c>
      <c r="C1619" t="s">
        <v>16</v>
      </c>
      <c r="D1619" t="s">
        <v>17</v>
      </c>
      <c r="E1619" t="s">
        <v>18</v>
      </c>
      <c r="F1619">
        <v>64</v>
      </c>
      <c r="G1619" t="s">
        <v>141</v>
      </c>
      <c r="H1619" t="s">
        <v>39</v>
      </c>
      <c r="I1619" t="s">
        <v>91</v>
      </c>
      <c r="J1619" t="s">
        <v>22</v>
      </c>
      <c r="K1619">
        <v>4.3</v>
      </c>
      <c r="L1619" t="s">
        <v>143</v>
      </c>
      <c r="M1619" t="s">
        <v>23</v>
      </c>
      <c r="N1619">
        <v>50</v>
      </c>
      <c r="O1619" t="s">
        <v>34</v>
      </c>
      <c r="P1619" t="s">
        <v>25</v>
      </c>
    </row>
    <row r="1620" spans="1:16" ht="14.5" x14ac:dyDescent="0.35">
      <c r="A1620">
        <v>1619</v>
      </c>
      <c r="B1620">
        <v>63</v>
      </c>
      <c r="C1620" t="s">
        <v>16</v>
      </c>
      <c r="D1620" t="s">
        <v>36</v>
      </c>
      <c r="E1620" t="s">
        <v>37</v>
      </c>
      <c r="F1620">
        <v>72</v>
      </c>
      <c r="G1620" t="s">
        <v>142</v>
      </c>
      <c r="H1620" t="s">
        <v>20</v>
      </c>
      <c r="I1620" t="s">
        <v>65</v>
      </c>
      <c r="J1620" t="s">
        <v>47</v>
      </c>
      <c r="K1620">
        <v>5</v>
      </c>
      <c r="L1620" t="s">
        <v>143</v>
      </c>
      <c r="M1620" t="s">
        <v>23</v>
      </c>
      <c r="N1620">
        <v>39</v>
      </c>
      <c r="O1620" t="s">
        <v>77</v>
      </c>
      <c r="P1620" t="s">
        <v>51</v>
      </c>
    </row>
    <row r="1621" spans="1:16" ht="14.5" x14ac:dyDescent="0.35">
      <c r="A1621">
        <v>1620</v>
      </c>
      <c r="B1621">
        <v>57</v>
      </c>
      <c r="C1621" t="s">
        <v>16</v>
      </c>
      <c r="D1621" t="s">
        <v>59</v>
      </c>
      <c r="E1621" t="s">
        <v>60</v>
      </c>
      <c r="F1621">
        <v>78</v>
      </c>
      <c r="G1621" t="s">
        <v>68</v>
      </c>
      <c r="H1621" t="s">
        <v>20</v>
      </c>
      <c r="I1621" t="s">
        <v>109</v>
      </c>
      <c r="J1621" t="s">
        <v>22</v>
      </c>
      <c r="K1621">
        <v>3.5</v>
      </c>
      <c r="L1621" t="s">
        <v>143</v>
      </c>
      <c r="M1621" t="s">
        <v>23</v>
      </c>
      <c r="N1621">
        <v>50</v>
      </c>
      <c r="O1621" t="s">
        <v>24</v>
      </c>
      <c r="P1621" t="s">
        <v>67</v>
      </c>
    </row>
    <row r="1622" spans="1:16" ht="14.5" x14ac:dyDescent="0.35">
      <c r="A1622">
        <v>1621</v>
      </c>
      <c r="B1622">
        <v>25</v>
      </c>
      <c r="C1622" t="s">
        <v>16</v>
      </c>
      <c r="D1622" t="s">
        <v>115</v>
      </c>
      <c r="E1622" t="s">
        <v>60</v>
      </c>
      <c r="F1622">
        <v>47</v>
      </c>
      <c r="G1622" t="s">
        <v>132</v>
      </c>
      <c r="H1622" t="s">
        <v>39</v>
      </c>
      <c r="I1622" t="s">
        <v>54</v>
      </c>
      <c r="J1622" t="s">
        <v>22</v>
      </c>
      <c r="K1622">
        <v>3.1</v>
      </c>
      <c r="L1622" t="s">
        <v>143</v>
      </c>
      <c r="M1622" t="s">
        <v>23</v>
      </c>
      <c r="N1622">
        <v>27</v>
      </c>
      <c r="O1622" t="s">
        <v>40</v>
      </c>
      <c r="P1622" t="s">
        <v>88</v>
      </c>
    </row>
    <row r="1623" spans="1:16" ht="14.5" x14ac:dyDescent="0.35">
      <c r="A1623">
        <v>1622</v>
      </c>
      <c r="B1623">
        <v>68</v>
      </c>
      <c r="C1623" t="s">
        <v>16</v>
      </c>
      <c r="D1623" t="s">
        <v>110</v>
      </c>
      <c r="E1623" t="s">
        <v>60</v>
      </c>
      <c r="F1623">
        <v>46</v>
      </c>
      <c r="G1623" t="s">
        <v>114</v>
      </c>
      <c r="H1623" t="s">
        <v>20</v>
      </c>
      <c r="I1623" t="s">
        <v>21</v>
      </c>
      <c r="J1623" t="s">
        <v>47</v>
      </c>
      <c r="K1623">
        <v>3.9</v>
      </c>
      <c r="L1623" t="s">
        <v>143</v>
      </c>
      <c r="M1623" t="s">
        <v>23</v>
      </c>
      <c r="N1623">
        <v>38</v>
      </c>
      <c r="O1623" t="s">
        <v>77</v>
      </c>
      <c r="P1623" t="s">
        <v>25</v>
      </c>
    </row>
    <row r="1624" spans="1:16" ht="14.5" x14ac:dyDescent="0.35">
      <c r="A1624">
        <v>1623</v>
      </c>
      <c r="B1624">
        <v>31</v>
      </c>
      <c r="C1624" t="s">
        <v>16</v>
      </c>
      <c r="D1624" t="s">
        <v>52</v>
      </c>
      <c r="E1624" t="s">
        <v>18</v>
      </c>
      <c r="F1624">
        <v>43</v>
      </c>
      <c r="G1624" t="s">
        <v>61</v>
      </c>
      <c r="H1624" t="s">
        <v>32</v>
      </c>
      <c r="I1624" t="s">
        <v>101</v>
      </c>
      <c r="J1624" t="s">
        <v>22</v>
      </c>
      <c r="K1624">
        <v>4</v>
      </c>
      <c r="L1624" t="s">
        <v>143</v>
      </c>
      <c r="M1624" t="s">
        <v>23</v>
      </c>
      <c r="N1624">
        <v>37</v>
      </c>
      <c r="O1624" t="s">
        <v>66</v>
      </c>
      <c r="P1624" t="s">
        <v>88</v>
      </c>
    </row>
    <row r="1625" spans="1:16" ht="14.5" x14ac:dyDescent="0.35">
      <c r="A1625">
        <v>1624</v>
      </c>
      <c r="B1625">
        <v>64</v>
      </c>
      <c r="C1625" t="s">
        <v>16</v>
      </c>
      <c r="D1625" t="s">
        <v>123</v>
      </c>
      <c r="E1625" t="s">
        <v>60</v>
      </c>
      <c r="F1625">
        <v>58</v>
      </c>
      <c r="G1625" t="s">
        <v>107</v>
      </c>
      <c r="H1625" t="s">
        <v>39</v>
      </c>
      <c r="I1625" t="s">
        <v>100</v>
      </c>
      <c r="J1625" t="s">
        <v>47</v>
      </c>
      <c r="K1625">
        <v>3.5</v>
      </c>
      <c r="L1625" t="s">
        <v>143</v>
      </c>
      <c r="M1625" t="s">
        <v>23</v>
      </c>
      <c r="N1625">
        <v>50</v>
      </c>
      <c r="O1625" t="s">
        <v>77</v>
      </c>
      <c r="P1625" t="s">
        <v>43</v>
      </c>
    </row>
    <row r="1626" spans="1:16" ht="14.5" x14ac:dyDescent="0.35">
      <c r="A1626">
        <v>1625</v>
      </c>
      <c r="B1626">
        <v>38</v>
      </c>
      <c r="C1626" t="s">
        <v>16</v>
      </c>
      <c r="D1626" t="s">
        <v>26</v>
      </c>
      <c r="E1626" t="s">
        <v>18</v>
      </c>
      <c r="F1626">
        <v>32</v>
      </c>
      <c r="G1626" t="s">
        <v>94</v>
      </c>
      <c r="H1626" t="s">
        <v>39</v>
      </c>
      <c r="I1626" t="s">
        <v>46</v>
      </c>
      <c r="J1626" t="s">
        <v>22</v>
      </c>
      <c r="K1626">
        <v>3.6</v>
      </c>
      <c r="L1626" t="s">
        <v>143</v>
      </c>
      <c r="M1626" t="s">
        <v>23</v>
      </c>
      <c r="N1626">
        <v>40</v>
      </c>
      <c r="O1626" t="s">
        <v>40</v>
      </c>
      <c r="P1626" t="s">
        <v>88</v>
      </c>
    </row>
    <row r="1627" spans="1:16" ht="14.5" x14ac:dyDescent="0.35">
      <c r="A1627">
        <v>1626</v>
      </c>
      <c r="B1627">
        <v>34</v>
      </c>
      <c r="C1627" t="s">
        <v>16</v>
      </c>
      <c r="D1627" t="s">
        <v>78</v>
      </c>
      <c r="E1627" t="s">
        <v>18</v>
      </c>
      <c r="F1627">
        <v>45</v>
      </c>
      <c r="G1627" t="s">
        <v>139</v>
      </c>
      <c r="H1627" t="s">
        <v>20</v>
      </c>
      <c r="I1627" t="s">
        <v>109</v>
      </c>
      <c r="J1627" t="s">
        <v>22</v>
      </c>
      <c r="K1627">
        <v>3</v>
      </c>
      <c r="L1627" t="s">
        <v>143</v>
      </c>
      <c r="M1627" t="s">
        <v>23</v>
      </c>
      <c r="N1627">
        <v>3</v>
      </c>
      <c r="O1627" t="s">
        <v>40</v>
      </c>
      <c r="P1627" t="s">
        <v>67</v>
      </c>
    </row>
    <row r="1628" spans="1:16" ht="14.5" x14ac:dyDescent="0.35">
      <c r="A1628">
        <v>1627</v>
      </c>
      <c r="B1628">
        <v>32</v>
      </c>
      <c r="C1628" t="s">
        <v>16</v>
      </c>
      <c r="D1628" t="s">
        <v>44</v>
      </c>
      <c r="E1628" t="s">
        <v>37</v>
      </c>
      <c r="F1628">
        <v>35</v>
      </c>
      <c r="G1628" t="s">
        <v>98</v>
      </c>
      <c r="H1628" t="s">
        <v>20</v>
      </c>
      <c r="I1628" t="s">
        <v>112</v>
      </c>
      <c r="J1628" t="s">
        <v>47</v>
      </c>
      <c r="K1628">
        <v>2.6</v>
      </c>
      <c r="L1628" t="s">
        <v>143</v>
      </c>
      <c r="M1628" t="s">
        <v>23</v>
      </c>
      <c r="N1628">
        <v>45</v>
      </c>
      <c r="O1628" t="s">
        <v>34</v>
      </c>
      <c r="P1628" t="s">
        <v>67</v>
      </c>
    </row>
    <row r="1629" spans="1:16" ht="14.5" x14ac:dyDescent="0.35">
      <c r="A1629">
        <v>1628</v>
      </c>
      <c r="B1629">
        <v>69</v>
      </c>
      <c r="C1629" t="s">
        <v>16</v>
      </c>
      <c r="D1629" t="s">
        <v>80</v>
      </c>
      <c r="E1629" t="s">
        <v>60</v>
      </c>
      <c r="F1629">
        <v>21</v>
      </c>
      <c r="G1629" t="s">
        <v>27</v>
      </c>
      <c r="H1629" t="s">
        <v>39</v>
      </c>
      <c r="I1629" t="s">
        <v>69</v>
      </c>
      <c r="J1629" t="s">
        <v>22</v>
      </c>
      <c r="K1629">
        <v>2.9</v>
      </c>
      <c r="L1629" t="s">
        <v>143</v>
      </c>
      <c r="M1629" t="s">
        <v>23</v>
      </c>
      <c r="N1629">
        <v>8</v>
      </c>
      <c r="O1629" t="s">
        <v>34</v>
      </c>
      <c r="P1629" t="s">
        <v>43</v>
      </c>
    </row>
    <row r="1630" spans="1:16" ht="14.5" x14ac:dyDescent="0.35">
      <c r="A1630">
        <v>1629</v>
      </c>
      <c r="B1630">
        <v>45</v>
      </c>
      <c r="C1630" t="s">
        <v>16</v>
      </c>
      <c r="D1630" t="s">
        <v>72</v>
      </c>
      <c r="E1630" t="s">
        <v>18</v>
      </c>
      <c r="F1630">
        <v>64</v>
      </c>
      <c r="G1630" t="s">
        <v>31</v>
      </c>
      <c r="H1630" t="s">
        <v>32</v>
      </c>
      <c r="I1630" t="s">
        <v>76</v>
      </c>
      <c r="J1630" t="s">
        <v>22</v>
      </c>
      <c r="K1630">
        <v>3.1</v>
      </c>
      <c r="L1630" t="s">
        <v>143</v>
      </c>
      <c r="M1630" t="s">
        <v>23</v>
      </c>
      <c r="N1630">
        <v>7</v>
      </c>
      <c r="O1630" t="s">
        <v>29</v>
      </c>
      <c r="P1630" t="s">
        <v>79</v>
      </c>
    </row>
    <row r="1631" spans="1:16" ht="14.5" x14ac:dyDescent="0.35">
      <c r="A1631">
        <v>1630</v>
      </c>
      <c r="B1631">
        <v>35</v>
      </c>
      <c r="C1631" t="s">
        <v>16</v>
      </c>
      <c r="D1631" t="s">
        <v>17</v>
      </c>
      <c r="E1631" t="s">
        <v>18</v>
      </c>
      <c r="F1631">
        <v>88</v>
      </c>
      <c r="G1631" t="s">
        <v>105</v>
      </c>
      <c r="H1631" t="s">
        <v>32</v>
      </c>
      <c r="I1631" t="s">
        <v>58</v>
      </c>
      <c r="J1631" t="s">
        <v>33</v>
      </c>
      <c r="K1631">
        <v>3.3</v>
      </c>
      <c r="L1631" t="s">
        <v>143</v>
      </c>
      <c r="M1631" t="s">
        <v>23</v>
      </c>
      <c r="N1631">
        <v>13</v>
      </c>
      <c r="O1631" t="s">
        <v>24</v>
      </c>
      <c r="P1631" t="s">
        <v>51</v>
      </c>
    </row>
    <row r="1632" spans="1:16" ht="14.5" x14ac:dyDescent="0.35">
      <c r="A1632">
        <v>1631</v>
      </c>
      <c r="B1632">
        <v>63</v>
      </c>
      <c r="C1632" t="s">
        <v>16</v>
      </c>
      <c r="D1632" t="s">
        <v>63</v>
      </c>
      <c r="E1632" t="s">
        <v>37</v>
      </c>
      <c r="F1632">
        <v>48</v>
      </c>
      <c r="G1632" t="s">
        <v>118</v>
      </c>
      <c r="H1632" t="s">
        <v>39</v>
      </c>
      <c r="I1632" t="s">
        <v>71</v>
      </c>
      <c r="J1632" t="s">
        <v>47</v>
      </c>
      <c r="K1632">
        <v>2.9</v>
      </c>
      <c r="L1632" t="s">
        <v>143</v>
      </c>
      <c r="M1632" t="s">
        <v>23</v>
      </c>
      <c r="N1632">
        <v>29</v>
      </c>
      <c r="O1632" t="s">
        <v>24</v>
      </c>
      <c r="P1632" t="s">
        <v>88</v>
      </c>
    </row>
    <row r="1633" spans="1:16" ht="14.5" x14ac:dyDescent="0.35">
      <c r="A1633">
        <v>1632</v>
      </c>
      <c r="B1633">
        <v>65</v>
      </c>
      <c r="C1633" t="s">
        <v>16</v>
      </c>
      <c r="D1633" t="s">
        <v>26</v>
      </c>
      <c r="E1633" t="s">
        <v>18</v>
      </c>
      <c r="F1633">
        <v>36</v>
      </c>
      <c r="G1633" t="s">
        <v>107</v>
      </c>
      <c r="H1633" t="s">
        <v>20</v>
      </c>
      <c r="I1633" t="s">
        <v>74</v>
      </c>
      <c r="J1633" t="s">
        <v>47</v>
      </c>
      <c r="K1633">
        <v>3.9</v>
      </c>
      <c r="L1633" t="s">
        <v>143</v>
      </c>
      <c r="M1633" t="s">
        <v>23</v>
      </c>
      <c r="N1633">
        <v>7</v>
      </c>
      <c r="O1633" t="s">
        <v>66</v>
      </c>
      <c r="P1633" t="s">
        <v>25</v>
      </c>
    </row>
    <row r="1634" spans="1:16" ht="14.5" x14ac:dyDescent="0.35">
      <c r="A1634">
        <v>1633</v>
      </c>
      <c r="B1634">
        <v>35</v>
      </c>
      <c r="C1634" t="s">
        <v>16</v>
      </c>
      <c r="D1634" t="s">
        <v>134</v>
      </c>
      <c r="E1634" t="s">
        <v>60</v>
      </c>
      <c r="F1634">
        <v>28</v>
      </c>
      <c r="G1634" t="s">
        <v>41</v>
      </c>
      <c r="H1634" t="s">
        <v>32</v>
      </c>
      <c r="I1634" t="s">
        <v>46</v>
      </c>
      <c r="J1634" t="s">
        <v>47</v>
      </c>
      <c r="K1634">
        <v>4.7</v>
      </c>
      <c r="L1634" t="s">
        <v>143</v>
      </c>
      <c r="M1634" t="s">
        <v>23</v>
      </c>
      <c r="N1634">
        <v>50</v>
      </c>
      <c r="O1634" t="s">
        <v>77</v>
      </c>
      <c r="P1634" t="s">
        <v>88</v>
      </c>
    </row>
    <row r="1635" spans="1:16" ht="14.5" x14ac:dyDescent="0.35">
      <c r="A1635">
        <v>1634</v>
      </c>
      <c r="B1635">
        <v>54</v>
      </c>
      <c r="C1635" t="s">
        <v>16</v>
      </c>
      <c r="D1635" t="s">
        <v>116</v>
      </c>
      <c r="E1635" t="s">
        <v>18</v>
      </c>
      <c r="F1635">
        <v>80</v>
      </c>
      <c r="G1635" t="s">
        <v>105</v>
      </c>
      <c r="H1635" t="s">
        <v>39</v>
      </c>
      <c r="I1635" t="s">
        <v>91</v>
      </c>
      <c r="J1635" t="s">
        <v>33</v>
      </c>
      <c r="K1635">
        <v>4.4000000000000004</v>
      </c>
      <c r="L1635" t="s">
        <v>143</v>
      </c>
      <c r="M1635" t="s">
        <v>23</v>
      </c>
      <c r="N1635">
        <v>33</v>
      </c>
      <c r="O1635" t="s">
        <v>77</v>
      </c>
      <c r="P1635" t="s">
        <v>67</v>
      </c>
    </row>
    <row r="1636" spans="1:16" ht="14.5" x14ac:dyDescent="0.35">
      <c r="A1636">
        <v>1635</v>
      </c>
      <c r="B1636">
        <v>28</v>
      </c>
      <c r="C1636" t="s">
        <v>16</v>
      </c>
      <c r="D1636" t="s">
        <v>55</v>
      </c>
      <c r="E1636" t="s">
        <v>56</v>
      </c>
      <c r="F1636">
        <v>23</v>
      </c>
      <c r="G1636" t="s">
        <v>122</v>
      </c>
      <c r="H1636" t="s">
        <v>32</v>
      </c>
      <c r="I1636" t="s">
        <v>112</v>
      </c>
      <c r="J1636" t="s">
        <v>47</v>
      </c>
      <c r="K1636">
        <v>3.6</v>
      </c>
      <c r="L1636" t="s">
        <v>143</v>
      </c>
      <c r="M1636" t="s">
        <v>23</v>
      </c>
      <c r="N1636">
        <v>30</v>
      </c>
      <c r="O1636" t="s">
        <v>29</v>
      </c>
      <c r="P1636" t="s">
        <v>88</v>
      </c>
    </row>
    <row r="1637" spans="1:16" ht="14.5" x14ac:dyDescent="0.35">
      <c r="A1637">
        <v>1636</v>
      </c>
      <c r="B1637">
        <v>68</v>
      </c>
      <c r="C1637" t="s">
        <v>16</v>
      </c>
      <c r="D1637" t="s">
        <v>80</v>
      </c>
      <c r="E1637" t="s">
        <v>60</v>
      </c>
      <c r="F1637">
        <v>24</v>
      </c>
      <c r="G1637" t="s">
        <v>89</v>
      </c>
      <c r="H1637" t="s">
        <v>20</v>
      </c>
      <c r="I1637" t="s">
        <v>74</v>
      </c>
      <c r="J1637" t="s">
        <v>47</v>
      </c>
      <c r="K1637">
        <v>3.2</v>
      </c>
      <c r="L1637" t="s">
        <v>143</v>
      </c>
      <c r="M1637" t="s">
        <v>23</v>
      </c>
      <c r="N1637">
        <v>40</v>
      </c>
      <c r="O1637" t="s">
        <v>29</v>
      </c>
      <c r="P1637" t="s">
        <v>43</v>
      </c>
    </row>
    <row r="1638" spans="1:16" ht="14.5" x14ac:dyDescent="0.35">
      <c r="A1638">
        <v>1637</v>
      </c>
      <c r="B1638">
        <v>58</v>
      </c>
      <c r="C1638" t="s">
        <v>16</v>
      </c>
      <c r="D1638" t="s">
        <v>128</v>
      </c>
      <c r="E1638" t="s">
        <v>37</v>
      </c>
      <c r="F1638">
        <v>22</v>
      </c>
      <c r="G1638" t="s">
        <v>105</v>
      </c>
      <c r="H1638" t="s">
        <v>20</v>
      </c>
      <c r="I1638" t="s">
        <v>87</v>
      </c>
      <c r="J1638" t="s">
        <v>50</v>
      </c>
      <c r="K1638">
        <v>4</v>
      </c>
      <c r="L1638" t="s">
        <v>143</v>
      </c>
      <c r="M1638" t="s">
        <v>23</v>
      </c>
      <c r="N1638">
        <v>49</v>
      </c>
      <c r="O1638" t="s">
        <v>29</v>
      </c>
      <c r="P1638" t="s">
        <v>25</v>
      </c>
    </row>
    <row r="1639" spans="1:16" ht="14.5" x14ac:dyDescent="0.35">
      <c r="A1639">
        <v>1638</v>
      </c>
      <c r="B1639">
        <v>35</v>
      </c>
      <c r="C1639" t="s">
        <v>16</v>
      </c>
      <c r="D1639" t="s">
        <v>72</v>
      </c>
      <c r="E1639" t="s">
        <v>18</v>
      </c>
      <c r="F1639">
        <v>21</v>
      </c>
      <c r="G1639" t="s">
        <v>31</v>
      </c>
      <c r="H1639" t="s">
        <v>39</v>
      </c>
      <c r="I1639" t="s">
        <v>91</v>
      </c>
      <c r="J1639" t="s">
        <v>33</v>
      </c>
      <c r="K1639">
        <v>3.5</v>
      </c>
      <c r="L1639" t="s">
        <v>143</v>
      </c>
      <c r="M1639" t="s">
        <v>23</v>
      </c>
      <c r="N1639">
        <v>32</v>
      </c>
      <c r="O1639" t="s">
        <v>24</v>
      </c>
      <c r="P1639" t="s">
        <v>25</v>
      </c>
    </row>
    <row r="1640" spans="1:16" ht="14.5" x14ac:dyDescent="0.35">
      <c r="A1640">
        <v>1639</v>
      </c>
      <c r="B1640">
        <v>68</v>
      </c>
      <c r="C1640" t="s">
        <v>16</v>
      </c>
      <c r="D1640" t="s">
        <v>93</v>
      </c>
      <c r="E1640" t="s">
        <v>56</v>
      </c>
      <c r="F1640">
        <v>51</v>
      </c>
      <c r="G1640" t="s">
        <v>113</v>
      </c>
      <c r="H1640" t="s">
        <v>39</v>
      </c>
      <c r="I1640" t="s">
        <v>85</v>
      </c>
      <c r="J1640" t="s">
        <v>33</v>
      </c>
      <c r="K1640">
        <v>4.5999999999999996</v>
      </c>
      <c r="L1640" t="s">
        <v>143</v>
      </c>
      <c r="M1640" t="s">
        <v>23</v>
      </c>
      <c r="N1640">
        <v>18</v>
      </c>
      <c r="O1640" t="s">
        <v>24</v>
      </c>
      <c r="P1640" t="s">
        <v>35</v>
      </c>
    </row>
    <row r="1641" spans="1:16" ht="14.5" x14ac:dyDescent="0.35">
      <c r="A1641">
        <v>1640</v>
      </c>
      <c r="B1641">
        <v>41</v>
      </c>
      <c r="C1641" t="s">
        <v>16</v>
      </c>
      <c r="D1641" t="s">
        <v>134</v>
      </c>
      <c r="E1641" t="s">
        <v>60</v>
      </c>
      <c r="F1641">
        <v>65</v>
      </c>
      <c r="G1641" t="s">
        <v>61</v>
      </c>
      <c r="H1641" t="s">
        <v>20</v>
      </c>
      <c r="I1641" t="s">
        <v>135</v>
      </c>
      <c r="J1641" t="s">
        <v>47</v>
      </c>
      <c r="K1641">
        <v>3.3</v>
      </c>
      <c r="L1641" t="s">
        <v>143</v>
      </c>
      <c r="M1641" t="s">
        <v>23</v>
      </c>
      <c r="N1641">
        <v>50</v>
      </c>
      <c r="O1641" t="s">
        <v>40</v>
      </c>
      <c r="P1641" t="s">
        <v>43</v>
      </c>
    </row>
    <row r="1642" spans="1:16" ht="14.5" x14ac:dyDescent="0.35">
      <c r="A1642">
        <v>1641</v>
      </c>
      <c r="B1642">
        <v>65</v>
      </c>
      <c r="C1642" t="s">
        <v>16</v>
      </c>
      <c r="D1642" t="s">
        <v>110</v>
      </c>
      <c r="E1642" t="s">
        <v>60</v>
      </c>
      <c r="F1642">
        <v>51</v>
      </c>
      <c r="G1642" t="s">
        <v>113</v>
      </c>
      <c r="H1642" t="s">
        <v>32</v>
      </c>
      <c r="I1642" t="s">
        <v>127</v>
      </c>
      <c r="J1642" t="s">
        <v>33</v>
      </c>
      <c r="K1642">
        <v>4</v>
      </c>
      <c r="L1642" t="s">
        <v>143</v>
      </c>
      <c r="M1642" t="s">
        <v>23</v>
      </c>
      <c r="N1642">
        <v>13</v>
      </c>
      <c r="O1642" t="s">
        <v>40</v>
      </c>
      <c r="P1642" t="s">
        <v>35</v>
      </c>
    </row>
    <row r="1643" spans="1:16" ht="14.5" x14ac:dyDescent="0.35">
      <c r="A1643">
        <v>1642</v>
      </c>
      <c r="B1643">
        <v>50</v>
      </c>
      <c r="C1643" t="s">
        <v>16</v>
      </c>
      <c r="D1643" t="s">
        <v>95</v>
      </c>
      <c r="E1643" t="s">
        <v>18</v>
      </c>
      <c r="F1643">
        <v>32</v>
      </c>
      <c r="G1643" t="s">
        <v>103</v>
      </c>
      <c r="H1643" t="s">
        <v>20</v>
      </c>
      <c r="I1643" t="s">
        <v>74</v>
      </c>
      <c r="J1643" t="s">
        <v>47</v>
      </c>
      <c r="K1643">
        <v>3.4</v>
      </c>
      <c r="L1643" t="s">
        <v>143</v>
      </c>
      <c r="M1643" t="s">
        <v>23</v>
      </c>
      <c r="N1643">
        <v>1</v>
      </c>
      <c r="O1643" t="s">
        <v>66</v>
      </c>
      <c r="P1643" t="s">
        <v>88</v>
      </c>
    </row>
    <row r="1644" spans="1:16" ht="14.5" x14ac:dyDescent="0.35">
      <c r="A1644">
        <v>1643</v>
      </c>
      <c r="B1644">
        <v>18</v>
      </c>
      <c r="C1644" t="s">
        <v>16</v>
      </c>
      <c r="D1644" t="s">
        <v>55</v>
      </c>
      <c r="E1644" t="s">
        <v>56</v>
      </c>
      <c r="F1644">
        <v>70</v>
      </c>
      <c r="G1644" t="s">
        <v>82</v>
      </c>
      <c r="H1644" t="s">
        <v>39</v>
      </c>
      <c r="I1644" t="s">
        <v>109</v>
      </c>
      <c r="J1644" t="s">
        <v>33</v>
      </c>
      <c r="K1644">
        <v>4.2</v>
      </c>
      <c r="L1644" t="s">
        <v>143</v>
      </c>
      <c r="M1644" t="s">
        <v>23</v>
      </c>
      <c r="N1644">
        <v>16</v>
      </c>
      <c r="O1644" t="s">
        <v>40</v>
      </c>
      <c r="P1644" t="s">
        <v>25</v>
      </c>
    </row>
    <row r="1645" spans="1:16" ht="14.5" x14ac:dyDescent="0.35">
      <c r="A1645">
        <v>1644</v>
      </c>
      <c r="B1645">
        <v>38</v>
      </c>
      <c r="C1645" t="s">
        <v>16</v>
      </c>
      <c r="D1645" t="s">
        <v>110</v>
      </c>
      <c r="E1645" t="s">
        <v>60</v>
      </c>
      <c r="F1645">
        <v>77</v>
      </c>
      <c r="G1645" t="s">
        <v>114</v>
      </c>
      <c r="H1645" t="s">
        <v>20</v>
      </c>
      <c r="I1645" t="s">
        <v>62</v>
      </c>
      <c r="J1645" t="s">
        <v>47</v>
      </c>
      <c r="K1645">
        <v>3.9</v>
      </c>
      <c r="L1645" t="s">
        <v>143</v>
      </c>
      <c r="M1645" t="s">
        <v>23</v>
      </c>
      <c r="N1645">
        <v>6</v>
      </c>
      <c r="O1645" t="s">
        <v>40</v>
      </c>
      <c r="P1645" t="s">
        <v>79</v>
      </c>
    </row>
    <row r="1646" spans="1:16" ht="14.5" x14ac:dyDescent="0.35">
      <c r="A1646">
        <v>1645</v>
      </c>
      <c r="B1646">
        <v>68</v>
      </c>
      <c r="C1646" t="s">
        <v>16</v>
      </c>
      <c r="D1646" t="s">
        <v>55</v>
      </c>
      <c r="E1646" t="s">
        <v>56</v>
      </c>
      <c r="F1646">
        <v>90</v>
      </c>
      <c r="G1646" t="s">
        <v>89</v>
      </c>
      <c r="H1646" t="s">
        <v>32</v>
      </c>
      <c r="I1646" t="s">
        <v>109</v>
      </c>
      <c r="J1646" t="s">
        <v>47</v>
      </c>
      <c r="K1646">
        <v>3.9</v>
      </c>
      <c r="L1646" t="s">
        <v>143</v>
      </c>
      <c r="M1646" t="s">
        <v>23</v>
      </c>
      <c r="N1646">
        <v>21</v>
      </c>
      <c r="O1646" t="s">
        <v>77</v>
      </c>
      <c r="P1646" t="s">
        <v>79</v>
      </c>
    </row>
    <row r="1647" spans="1:16" ht="14.5" x14ac:dyDescent="0.35">
      <c r="A1647">
        <v>1646</v>
      </c>
      <c r="B1647">
        <v>53</v>
      </c>
      <c r="C1647" t="s">
        <v>16</v>
      </c>
      <c r="D1647" t="s">
        <v>110</v>
      </c>
      <c r="E1647" t="s">
        <v>60</v>
      </c>
      <c r="F1647">
        <v>36</v>
      </c>
      <c r="G1647" t="s">
        <v>114</v>
      </c>
      <c r="H1647" t="s">
        <v>20</v>
      </c>
      <c r="I1647" t="s">
        <v>87</v>
      </c>
      <c r="J1647" t="s">
        <v>47</v>
      </c>
      <c r="K1647">
        <v>2.8</v>
      </c>
      <c r="L1647" t="s">
        <v>143</v>
      </c>
      <c r="M1647" t="s">
        <v>23</v>
      </c>
      <c r="N1647">
        <v>36</v>
      </c>
      <c r="O1647" t="s">
        <v>24</v>
      </c>
      <c r="P1647" t="s">
        <v>88</v>
      </c>
    </row>
    <row r="1648" spans="1:16" ht="14.5" x14ac:dyDescent="0.35">
      <c r="A1648">
        <v>1647</v>
      </c>
      <c r="B1648">
        <v>58</v>
      </c>
      <c r="C1648" t="s">
        <v>16</v>
      </c>
      <c r="D1648" t="s">
        <v>59</v>
      </c>
      <c r="E1648" t="s">
        <v>60</v>
      </c>
      <c r="F1648">
        <v>77</v>
      </c>
      <c r="G1648" t="s">
        <v>136</v>
      </c>
      <c r="H1648" t="s">
        <v>32</v>
      </c>
      <c r="I1648" t="s">
        <v>58</v>
      </c>
      <c r="J1648" t="s">
        <v>47</v>
      </c>
      <c r="K1648">
        <v>3.7</v>
      </c>
      <c r="L1648" t="s">
        <v>143</v>
      </c>
      <c r="M1648" t="s">
        <v>23</v>
      </c>
      <c r="N1648">
        <v>20</v>
      </c>
      <c r="O1648" t="s">
        <v>66</v>
      </c>
      <c r="P1648" t="s">
        <v>88</v>
      </c>
    </row>
    <row r="1649" spans="1:16" ht="14.5" x14ac:dyDescent="0.35">
      <c r="A1649">
        <v>1648</v>
      </c>
      <c r="B1649">
        <v>34</v>
      </c>
      <c r="C1649" t="s">
        <v>16</v>
      </c>
      <c r="D1649" t="s">
        <v>128</v>
      </c>
      <c r="E1649" t="s">
        <v>37</v>
      </c>
      <c r="F1649">
        <v>78</v>
      </c>
      <c r="G1649" t="s">
        <v>68</v>
      </c>
      <c r="H1649" t="s">
        <v>39</v>
      </c>
      <c r="I1649" t="s">
        <v>65</v>
      </c>
      <c r="J1649" t="s">
        <v>47</v>
      </c>
      <c r="K1649">
        <v>4.9000000000000004</v>
      </c>
      <c r="L1649" t="s">
        <v>143</v>
      </c>
      <c r="M1649" t="s">
        <v>23</v>
      </c>
      <c r="N1649">
        <v>8</v>
      </c>
      <c r="O1649" t="s">
        <v>77</v>
      </c>
      <c r="P1649" t="s">
        <v>51</v>
      </c>
    </row>
    <row r="1650" spans="1:16" ht="14.5" x14ac:dyDescent="0.35">
      <c r="A1650">
        <v>1649</v>
      </c>
      <c r="B1650">
        <v>36</v>
      </c>
      <c r="C1650" t="s">
        <v>16</v>
      </c>
      <c r="D1650" t="s">
        <v>86</v>
      </c>
      <c r="E1650" t="s">
        <v>18</v>
      </c>
      <c r="F1650">
        <v>69</v>
      </c>
      <c r="G1650" t="s">
        <v>92</v>
      </c>
      <c r="H1650" t="s">
        <v>39</v>
      </c>
      <c r="I1650" t="s">
        <v>21</v>
      </c>
      <c r="J1650" t="s">
        <v>47</v>
      </c>
      <c r="K1650">
        <v>2.6</v>
      </c>
      <c r="L1650" t="s">
        <v>143</v>
      </c>
      <c r="M1650" t="s">
        <v>23</v>
      </c>
      <c r="N1650">
        <v>22</v>
      </c>
      <c r="O1650" t="s">
        <v>34</v>
      </c>
      <c r="P1650" t="s">
        <v>79</v>
      </c>
    </row>
    <row r="1651" spans="1:16" ht="14.5" x14ac:dyDescent="0.35">
      <c r="A1651">
        <v>1650</v>
      </c>
      <c r="B1651">
        <v>58</v>
      </c>
      <c r="C1651" t="s">
        <v>16</v>
      </c>
      <c r="D1651" t="s">
        <v>104</v>
      </c>
      <c r="E1651" t="s">
        <v>18</v>
      </c>
      <c r="F1651">
        <v>63</v>
      </c>
      <c r="G1651" t="s">
        <v>141</v>
      </c>
      <c r="H1651" t="s">
        <v>39</v>
      </c>
      <c r="I1651" t="s">
        <v>46</v>
      </c>
      <c r="J1651" t="s">
        <v>47</v>
      </c>
      <c r="K1651">
        <v>4.9000000000000004</v>
      </c>
      <c r="L1651" t="s">
        <v>143</v>
      </c>
      <c r="M1651" t="s">
        <v>23</v>
      </c>
      <c r="N1651">
        <v>3</v>
      </c>
      <c r="O1651" t="s">
        <v>34</v>
      </c>
      <c r="P1651" t="s">
        <v>51</v>
      </c>
    </row>
    <row r="1652" spans="1:16" ht="14.5" x14ac:dyDescent="0.35">
      <c r="A1652">
        <v>1651</v>
      </c>
      <c r="B1652">
        <v>60</v>
      </c>
      <c r="C1652" t="s">
        <v>16</v>
      </c>
      <c r="D1652" t="s">
        <v>110</v>
      </c>
      <c r="E1652" t="s">
        <v>60</v>
      </c>
      <c r="F1652">
        <v>36</v>
      </c>
      <c r="G1652" t="s">
        <v>64</v>
      </c>
      <c r="H1652" t="s">
        <v>39</v>
      </c>
      <c r="I1652" t="s">
        <v>58</v>
      </c>
      <c r="J1652" t="s">
        <v>22</v>
      </c>
      <c r="K1652">
        <v>3.4</v>
      </c>
      <c r="L1652" t="s">
        <v>143</v>
      </c>
      <c r="M1652" t="s">
        <v>23</v>
      </c>
      <c r="N1652">
        <v>46</v>
      </c>
      <c r="O1652" t="s">
        <v>34</v>
      </c>
      <c r="P1652" t="s">
        <v>25</v>
      </c>
    </row>
    <row r="1653" spans="1:16" ht="14.5" x14ac:dyDescent="0.35">
      <c r="A1653">
        <v>1652</v>
      </c>
      <c r="B1653">
        <v>59</v>
      </c>
      <c r="C1653" t="s">
        <v>16</v>
      </c>
      <c r="D1653" t="s">
        <v>55</v>
      </c>
      <c r="E1653" t="s">
        <v>56</v>
      </c>
      <c r="F1653">
        <v>80</v>
      </c>
      <c r="G1653" t="s">
        <v>96</v>
      </c>
      <c r="H1653" t="s">
        <v>39</v>
      </c>
      <c r="I1653" t="s">
        <v>135</v>
      </c>
      <c r="J1653" t="s">
        <v>22</v>
      </c>
      <c r="K1653">
        <v>3.9</v>
      </c>
      <c r="L1653" t="s">
        <v>143</v>
      </c>
      <c r="M1653" t="s">
        <v>23</v>
      </c>
      <c r="N1653">
        <v>42</v>
      </c>
      <c r="O1653" t="s">
        <v>77</v>
      </c>
      <c r="P1653" t="s">
        <v>79</v>
      </c>
    </row>
    <row r="1654" spans="1:16" ht="14.5" x14ac:dyDescent="0.35">
      <c r="A1654">
        <v>1653</v>
      </c>
      <c r="B1654">
        <v>65</v>
      </c>
      <c r="C1654" t="s">
        <v>16</v>
      </c>
      <c r="D1654" t="s">
        <v>26</v>
      </c>
      <c r="E1654" t="s">
        <v>18</v>
      </c>
      <c r="F1654">
        <v>35</v>
      </c>
      <c r="G1654" t="s">
        <v>121</v>
      </c>
      <c r="H1654" t="s">
        <v>39</v>
      </c>
      <c r="I1654" t="s">
        <v>112</v>
      </c>
      <c r="J1654" t="s">
        <v>47</v>
      </c>
      <c r="K1654">
        <v>4</v>
      </c>
      <c r="L1654" t="s">
        <v>143</v>
      </c>
      <c r="M1654" t="s">
        <v>23</v>
      </c>
      <c r="N1654">
        <v>1</v>
      </c>
      <c r="O1654" t="s">
        <v>66</v>
      </c>
      <c r="P1654" t="s">
        <v>25</v>
      </c>
    </row>
    <row r="1655" spans="1:16" ht="14.5" x14ac:dyDescent="0.35">
      <c r="A1655">
        <v>1654</v>
      </c>
      <c r="B1655">
        <v>31</v>
      </c>
      <c r="C1655" t="s">
        <v>16</v>
      </c>
      <c r="D1655" t="s">
        <v>124</v>
      </c>
      <c r="E1655" t="s">
        <v>60</v>
      </c>
      <c r="F1655">
        <v>93</v>
      </c>
      <c r="G1655" t="s">
        <v>103</v>
      </c>
      <c r="H1655" t="s">
        <v>20</v>
      </c>
      <c r="I1655" t="s">
        <v>58</v>
      </c>
      <c r="J1655" t="s">
        <v>22</v>
      </c>
      <c r="K1655">
        <v>3</v>
      </c>
      <c r="L1655" t="s">
        <v>143</v>
      </c>
      <c r="M1655" t="s">
        <v>23</v>
      </c>
      <c r="N1655">
        <v>29</v>
      </c>
      <c r="O1655" t="s">
        <v>77</v>
      </c>
      <c r="P1655" t="s">
        <v>67</v>
      </c>
    </row>
    <row r="1656" spans="1:16" ht="14.5" x14ac:dyDescent="0.35">
      <c r="A1656">
        <v>1655</v>
      </c>
      <c r="B1656">
        <v>43</v>
      </c>
      <c r="C1656" t="s">
        <v>16</v>
      </c>
      <c r="D1656" t="s">
        <v>124</v>
      </c>
      <c r="E1656" t="s">
        <v>60</v>
      </c>
      <c r="F1656">
        <v>25</v>
      </c>
      <c r="G1656" t="s">
        <v>107</v>
      </c>
      <c r="H1656" t="s">
        <v>20</v>
      </c>
      <c r="I1656" t="s">
        <v>21</v>
      </c>
      <c r="J1656" t="s">
        <v>33</v>
      </c>
      <c r="K1656">
        <v>2.6</v>
      </c>
      <c r="L1656" t="s">
        <v>143</v>
      </c>
      <c r="M1656" t="s">
        <v>23</v>
      </c>
      <c r="N1656">
        <v>14</v>
      </c>
      <c r="O1656" t="s">
        <v>34</v>
      </c>
      <c r="P1656" t="s">
        <v>51</v>
      </c>
    </row>
    <row r="1657" spans="1:16" ht="14.5" x14ac:dyDescent="0.35">
      <c r="A1657">
        <v>1656</v>
      </c>
      <c r="B1657">
        <v>37</v>
      </c>
      <c r="C1657" t="s">
        <v>16</v>
      </c>
      <c r="D1657" t="s">
        <v>26</v>
      </c>
      <c r="E1657" t="s">
        <v>18</v>
      </c>
      <c r="F1657">
        <v>81</v>
      </c>
      <c r="G1657" t="s">
        <v>108</v>
      </c>
      <c r="H1657" t="s">
        <v>20</v>
      </c>
      <c r="I1657" t="s">
        <v>71</v>
      </c>
      <c r="J1657" t="s">
        <v>33</v>
      </c>
      <c r="K1657">
        <v>3.2</v>
      </c>
      <c r="L1657" t="s">
        <v>143</v>
      </c>
      <c r="M1657" t="s">
        <v>23</v>
      </c>
      <c r="N1657">
        <v>4</v>
      </c>
      <c r="O1657" t="s">
        <v>40</v>
      </c>
      <c r="P1657" t="s">
        <v>79</v>
      </c>
    </row>
    <row r="1658" spans="1:16" ht="14.5" x14ac:dyDescent="0.35">
      <c r="A1658">
        <v>1657</v>
      </c>
      <c r="B1658">
        <v>21</v>
      </c>
      <c r="C1658" t="s">
        <v>16</v>
      </c>
      <c r="D1658" t="s">
        <v>17</v>
      </c>
      <c r="E1658" t="s">
        <v>18</v>
      </c>
      <c r="F1658">
        <v>42</v>
      </c>
      <c r="G1658" t="s">
        <v>107</v>
      </c>
      <c r="H1658" t="s">
        <v>20</v>
      </c>
      <c r="I1658" t="s">
        <v>101</v>
      </c>
      <c r="J1658" t="s">
        <v>33</v>
      </c>
      <c r="K1658">
        <v>2.6</v>
      </c>
      <c r="L1658" t="s">
        <v>143</v>
      </c>
      <c r="M1658" t="s">
        <v>23</v>
      </c>
      <c r="N1658">
        <v>41</v>
      </c>
      <c r="O1658" t="s">
        <v>40</v>
      </c>
      <c r="P1658" t="s">
        <v>88</v>
      </c>
    </row>
    <row r="1659" spans="1:16" ht="14.5" x14ac:dyDescent="0.35">
      <c r="A1659">
        <v>1658</v>
      </c>
      <c r="B1659">
        <v>69</v>
      </c>
      <c r="C1659" t="s">
        <v>16</v>
      </c>
      <c r="D1659" t="s">
        <v>78</v>
      </c>
      <c r="E1659" t="s">
        <v>18</v>
      </c>
      <c r="F1659">
        <v>36</v>
      </c>
      <c r="G1659" t="s">
        <v>107</v>
      </c>
      <c r="H1659" t="s">
        <v>20</v>
      </c>
      <c r="I1659" t="s">
        <v>42</v>
      </c>
      <c r="J1659" t="s">
        <v>33</v>
      </c>
      <c r="K1659">
        <v>3.2</v>
      </c>
      <c r="L1659" t="s">
        <v>143</v>
      </c>
      <c r="M1659" t="s">
        <v>23</v>
      </c>
      <c r="N1659">
        <v>4</v>
      </c>
      <c r="O1659" t="s">
        <v>77</v>
      </c>
      <c r="P1659" t="s">
        <v>67</v>
      </c>
    </row>
    <row r="1660" spans="1:16" ht="14.5" x14ac:dyDescent="0.35">
      <c r="A1660">
        <v>1659</v>
      </c>
      <c r="B1660">
        <v>32</v>
      </c>
      <c r="C1660" t="s">
        <v>16</v>
      </c>
      <c r="D1660" t="s">
        <v>97</v>
      </c>
      <c r="E1660" t="s">
        <v>60</v>
      </c>
      <c r="F1660">
        <v>66</v>
      </c>
      <c r="G1660" t="s">
        <v>111</v>
      </c>
      <c r="H1660" t="s">
        <v>32</v>
      </c>
      <c r="I1660" t="s">
        <v>62</v>
      </c>
      <c r="J1660" t="s">
        <v>33</v>
      </c>
      <c r="K1660">
        <v>4.0999999999999996</v>
      </c>
      <c r="L1660" t="s">
        <v>143</v>
      </c>
      <c r="M1660" t="s">
        <v>23</v>
      </c>
      <c r="N1660">
        <v>47</v>
      </c>
      <c r="O1660" t="s">
        <v>29</v>
      </c>
      <c r="P1660" t="s">
        <v>35</v>
      </c>
    </row>
    <row r="1661" spans="1:16" ht="14.5" x14ac:dyDescent="0.35">
      <c r="A1661">
        <v>1660</v>
      </c>
      <c r="B1661">
        <v>53</v>
      </c>
      <c r="C1661" t="s">
        <v>16</v>
      </c>
      <c r="D1661" t="s">
        <v>134</v>
      </c>
      <c r="E1661" t="s">
        <v>60</v>
      </c>
      <c r="F1661">
        <v>37</v>
      </c>
      <c r="G1661" t="s">
        <v>131</v>
      </c>
      <c r="H1661" t="s">
        <v>39</v>
      </c>
      <c r="I1661" t="s">
        <v>85</v>
      </c>
      <c r="J1661" t="s">
        <v>50</v>
      </c>
      <c r="K1661">
        <v>3.9</v>
      </c>
      <c r="L1661" t="s">
        <v>143</v>
      </c>
      <c r="M1661" t="s">
        <v>23</v>
      </c>
      <c r="N1661">
        <v>44</v>
      </c>
      <c r="O1661" t="s">
        <v>24</v>
      </c>
      <c r="P1661" t="s">
        <v>43</v>
      </c>
    </row>
    <row r="1662" spans="1:16" ht="14.5" x14ac:dyDescent="0.35">
      <c r="A1662">
        <v>1661</v>
      </c>
      <c r="B1662">
        <v>59</v>
      </c>
      <c r="C1662" t="s">
        <v>16</v>
      </c>
      <c r="D1662" t="s">
        <v>104</v>
      </c>
      <c r="E1662" t="s">
        <v>18</v>
      </c>
      <c r="F1662">
        <v>45</v>
      </c>
      <c r="G1662" t="s">
        <v>53</v>
      </c>
      <c r="H1662" t="s">
        <v>20</v>
      </c>
      <c r="I1662" t="s">
        <v>125</v>
      </c>
      <c r="J1662" t="s">
        <v>22</v>
      </c>
      <c r="K1662">
        <v>4.0999999999999996</v>
      </c>
      <c r="L1662" t="s">
        <v>143</v>
      </c>
      <c r="M1662" t="s">
        <v>23</v>
      </c>
      <c r="N1662">
        <v>37</v>
      </c>
      <c r="O1662" t="s">
        <v>24</v>
      </c>
      <c r="P1662" t="s">
        <v>79</v>
      </c>
    </row>
    <row r="1663" spans="1:16" ht="14.5" x14ac:dyDescent="0.35">
      <c r="A1663">
        <v>1662</v>
      </c>
      <c r="B1663">
        <v>64</v>
      </c>
      <c r="C1663" t="s">
        <v>16</v>
      </c>
      <c r="D1663" t="s">
        <v>134</v>
      </c>
      <c r="E1663" t="s">
        <v>60</v>
      </c>
      <c r="F1663">
        <v>86</v>
      </c>
      <c r="G1663" t="s">
        <v>137</v>
      </c>
      <c r="H1663" t="s">
        <v>32</v>
      </c>
      <c r="I1663" t="s">
        <v>109</v>
      </c>
      <c r="J1663" t="s">
        <v>47</v>
      </c>
      <c r="K1663">
        <v>2.7</v>
      </c>
      <c r="L1663" t="s">
        <v>143</v>
      </c>
      <c r="M1663" t="s">
        <v>23</v>
      </c>
      <c r="N1663">
        <v>21</v>
      </c>
      <c r="O1663" t="s">
        <v>77</v>
      </c>
      <c r="P1663" t="s">
        <v>51</v>
      </c>
    </row>
    <row r="1664" spans="1:16" ht="14.5" x14ac:dyDescent="0.35">
      <c r="A1664">
        <v>1663</v>
      </c>
      <c r="B1664">
        <v>63</v>
      </c>
      <c r="C1664" t="s">
        <v>16</v>
      </c>
      <c r="D1664" t="s">
        <v>80</v>
      </c>
      <c r="E1664" t="s">
        <v>60</v>
      </c>
      <c r="F1664">
        <v>24</v>
      </c>
      <c r="G1664" t="s">
        <v>121</v>
      </c>
      <c r="H1664" t="s">
        <v>39</v>
      </c>
      <c r="I1664" t="s">
        <v>69</v>
      </c>
      <c r="J1664" t="s">
        <v>22</v>
      </c>
      <c r="K1664">
        <v>4.5999999999999996</v>
      </c>
      <c r="L1664" t="s">
        <v>143</v>
      </c>
      <c r="M1664" t="s">
        <v>23</v>
      </c>
      <c r="N1664">
        <v>46</v>
      </c>
      <c r="O1664" t="s">
        <v>77</v>
      </c>
      <c r="P1664" t="s">
        <v>25</v>
      </c>
    </row>
    <row r="1665" spans="1:16" ht="14.5" x14ac:dyDescent="0.35">
      <c r="A1665">
        <v>1664</v>
      </c>
      <c r="B1665">
        <v>43</v>
      </c>
      <c r="C1665" t="s">
        <v>16</v>
      </c>
      <c r="D1665" t="s">
        <v>48</v>
      </c>
      <c r="E1665" t="s">
        <v>18</v>
      </c>
      <c r="F1665">
        <v>22</v>
      </c>
      <c r="G1665" t="s">
        <v>27</v>
      </c>
      <c r="H1665" t="s">
        <v>83</v>
      </c>
      <c r="I1665" t="s">
        <v>71</v>
      </c>
      <c r="J1665" t="s">
        <v>47</v>
      </c>
      <c r="K1665">
        <v>3.5</v>
      </c>
      <c r="L1665" t="s">
        <v>143</v>
      </c>
      <c r="M1665" t="s">
        <v>23</v>
      </c>
      <c r="N1665">
        <v>1</v>
      </c>
      <c r="O1665" t="s">
        <v>29</v>
      </c>
      <c r="P1665" t="s">
        <v>67</v>
      </c>
    </row>
    <row r="1666" spans="1:16" ht="14.5" x14ac:dyDescent="0.35">
      <c r="A1666">
        <v>1665</v>
      </c>
      <c r="B1666">
        <v>19</v>
      </c>
      <c r="C1666" t="s">
        <v>16</v>
      </c>
      <c r="D1666" t="s">
        <v>59</v>
      </c>
      <c r="E1666" t="s">
        <v>60</v>
      </c>
      <c r="F1666">
        <v>53</v>
      </c>
      <c r="G1666" t="s">
        <v>139</v>
      </c>
      <c r="H1666" t="s">
        <v>39</v>
      </c>
      <c r="I1666" t="s">
        <v>65</v>
      </c>
      <c r="J1666" t="s">
        <v>33</v>
      </c>
      <c r="K1666">
        <v>5</v>
      </c>
      <c r="L1666" t="s">
        <v>143</v>
      </c>
      <c r="M1666" t="s">
        <v>23</v>
      </c>
      <c r="N1666">
        <v>35</v>
      </c>
      <c r="O1666" t="s">
        <v>40</v>
      </c>
      <c r="P1666" t="s">
        <v>35</v>
      </c>
    </row>
    <row r="1667" spans="1:16" ht="14.5" x14ac:dyDescent="0.35">
      <c r="A1667">
        <v>1666</v>
      </c>
      <c r="B1667">
        <v>40</v>
      </c>
      <c r="C1667" t="s">
        <v>16</v>
      </c>
      <c r="D1667" t="s">
        <v>93</v>
      </c>
      <c r="E1667" t="s">
        <v>56</v>
      </c>
      <c r="F1667">
        <v>41</v>
      </c>
      <c r="G1667" t="s">
        <v>121</v>
      </c>
      <c r="H1667" t="s">
        <v>20</v>
      </c>
      <c r="I1667" t="s">
        <v>62</v>
      </c>
      <c r="J1667" t="s">
        <v>50</v>
      </c>
      <c r="K1667">
        <v>3.4</v>
      </c>
      <c r="L1667" t="s">
        <v>143</v>
      </c>
      <c r="M1667" t="s">
        <v>23</v>
      </c>
      <c r="N1667">
        <v>49</v>
      </c>
      <c r="O1667" t="s">
        <v>24</v>
      </c>
      <c r="P1667" t="s">
        <v>79</v>
      </c>
    </row>
    <row r="1668" spans="1:16" ht="14.5" x14ac:dyDescent="0.35">
      <c r="A1668">
        <v>1667</v>
      </c>
      <c r="B1668">
        <v>51</v>
      </c>
      <c r="C1668" t="s">
        <v>16</v>
      </c>
      <c r="D1668" t="s">
        <v>78</v>
      </c>
      <c r="E1668" t="s">
        <v>18</v>
      </c>
      <c r="F1668">
        <v>64</v>
      </c>
      <c r="G1668" t="s">
        <v>64</v>
      </c>
      <c r="H1668" t="s">
        <v>39</v>
      </c>
      <c r="I1668" t="s">
        <v>135</v>
      </c>
      <c r="J1668" t="s">
        <v>47</v>
      </c>
      <c r="K1668">
        <v>3.1</v>
      </c>
      <c r="L1668" t="s">
        <v>143</v>
      </c>
      <c r="M1668" t="s">
        <v>23</v>
      </c>
      <c r="N1668">
        <v>47</v>
      </c>
      <c r="O1668" t="s">
        <v>40</v>
      </c>
      <c r="P1668" t="s">
        <v>43</v>
      </c>
    </row>
    <row r="1669" spans="1:16" ht="14.5" x14ac:dyDescent="0.35">
      <c r="A1669">
        <v>1668</v>
      </c>
      <c r="B1669">
        <v>51</v>
      </c>
      <c r="C1669" t="s">
        <v>16</v>
      </c>
      <c r="D1669" t="s">
        <v>59</v>
      </c>
      <c r="E1669" t="s">
        <v>60</v>
      </c>
      <c r="F1669">
        <v>40</v>
      </c>
      <c r="G1669" t="s">
        <v>92</v>
      </c>
      <c r="H1669" t="s">
        <v>20</v>
      </c>
      <c r="I1669" t="s">
        <v>101</v>
      </c>
      <c r="J1669" t="s">
        <v>22</v>
      </c>
      <c r="K1669">
        <v>3.4</v>
      </c>
      <c r="L1669" t="s">
        <v>143</v>
      </c>
      <c r="M1669" t="s">
        <v>23</v>
      </c>
      <c r="N1669">
        <v>24</v>
      </c>
      <c r="O1669" t="s">
        <v>66</v>
      </c>
      <c r="P1669" t="s">
        <v>88</v>
      </c>
    </row>
    <row r="1670" spans="1:16" ht="14.5" x14ac:dyDescent="0.35">
      <c r="A1670">
        <v>1669</v>
      </c>
      <c r="B1670">
        <v>66</v>
      </c>
      <c r="C1670" t="s">
        <v>16</v>
      </c>
      <c r="D1670" t="s">
        <v>17</v>
      </c>
      <c r="E1670" t="s">
        <v>18</v>
      </c>
      <c r="F1670">
        <v>33</v>
      </c>
      <c r="G1670" t="s">
        <v>131</v>
      </c>
      <c r="H1670" t="s">
        <v>20</v>
      </c>
      <c r="I1670" t="s">
        <v>54</v>
      </c>
      <c r="J1670" t="s">
        <v>47</v>
      </c>
      <c r="K1670">
        <v>4</v>
      </c>
      <c r="L1670" t="s">
        <v>143</v>
      </c>
      <c r="M1670" t="s">
        <v>23</v>
      </c>
      <c r="N1670">
        <v>28</v>
      </c>
      <c r="O1670" t="s">
        <v>77</v>
      </c>
      <c r="P1670" t="s">
        <v>25</v>
      </c>
    </row>
    <row r="1671" spans="1:16" ht="14.5" x14ac:dyDescent="0.35">
      <c r="A1671">
        <v>1670</v>
      </c>
      <c r="B1671">
        <v>42</v>
      </c>
      <c r="C1671" t="s">
        <v>16</v>
      </c>
      <c r="D1671" t="s">
        <v>104</v>
      </c>
      <c r="E1671" t="s">
        <v>18</v>
      </c>
      <c r="F1671">
        <v>59</v>
      </c>
      <c r="G1671" t="s">
        <v>141</v>
      </c>
      <c r="H1671" t="s">
        <v>20</v>
      </c>
      <c r="I1671" t="s">
        <v>28</v>
      </c>
      <c r="J1671" t="s">
        <v>22</v>
      </c>
      <c r="K1671">
        <v>2.7</v>
      </c>
      <c r="L1671" t="s">
        <v>143</v>
      </c>
      <c r="M1671" t="s">
        <v>23</v>
      </c>
      <c r="N1671">
        <v>22</v>
      </c>
      <c r="O1671" t="s">
        <v>66</v>
      </c>
      <c r="P1671" t="s">
        <v>51</v>
      </c>
    </row>
    <row r="1672" spans="1:16" ht="14.5" x14ac:dyDescent="0.35">
      <c r="A1672">
        <v>1671</v>
      </c>
      <c r="B1672">
        <v>22</v>
      </c>
      <c r="C1672" t="s">
        <v>16</v>
      </c>
      <c r="D1672" t="s">
        <v>86</v>
      </c>
      <c r="E1672" t="s">
        <v>18</v>
      </c>
      <c r="F1672">
        <v>73</v>
      </c>
      <c r="G1672" t="s">
        <v>131</v>
      </c>
      <c r="H1672" t="s">
        <v>20</v>
      </c>
      <c r="I1672" t="s">
        <v>100</v>
      </c>
      <c r="J1672" t="s">
        <v>50</v>
      </c>
      <c r="K1672">
        <v>3.6</v>
      </c>
      <c r="L1672" t="s">
        <v>143</v>
      </c>
      <c r="M1672" t="s">
        <v>23</v>
      </c>
      <c r="N1672">
        <v>20</v>
      </c>
      <c r="O1672" t="s">
        <v>29</v>
      </c>
      <c r="P1672" t="s">
        <v>35</v>
      </c>
    </row>
    <row r="1673" spans="1:16" ht="14.5" x14ac:dyDescent="0.35">
      <c r="A1673">
        <v>1672</v>
      </c>
      <c r="B1673">
        <v>31</v>
      </c>
      <c r="C1673" t="s">
        <v>16</v>
      </c>
      <c r="D1673" t="s">
        <v>95</v>
      </c>
      <c r="E1673" t="s">
        <v>18</v>
      </c>
      <c r="F1673">
        <v>22</v>
      </c>
      <c r="G1673" t="s">
        <v>131</v>
      </c>
      <c r="H1673" t="s">
        <v>39</v>
      </c>
      <c r="I1673" t="s">
        <v>69</v>
      </c>
      <c r="J1673" t="s">
        <v>22</v>
      </c>
      <c r="K1673">
        <v>4</v>
      </c>
      <c r="L1673" t="s">
        <v>143</v>
      </c>
      <c r="M1673" t="s">
        <v>23</v>
      </c>
      <c r="N1673">
        <v>25</v>
      </c>
      <c r="O1673" t="s">
        <v>66</v>
      </c>
      <c r="P1673" t="s">
        <v>35</v>
      </c>
    </row>
    <row r="1674" spans="1:16" ht="14.5" x14ac:dyDescent="0.35">
      <c r="A1674">
        <v>1673</v>
      </c>
      <c r="B1674">
        <v>18</v>
      </c>
      <c r="C1674" t="s">
        <v>16</v>
      </c>
      <c r="D1674" t="s">
        <v>128</v>
      </c>
      <c r="E1674" t="s">
        <v>37</v>
      </c>
      <c r="F1674">
        <v>73</v>
      </c>
      <c r="G1674" t="s">
        <v>122</v>
      </c>
      <c r="H1674" t="s">
        <v>20</v>
      </c>
      <c r="I1674" t="s">
        <v>71</v>
      </c>
      <c r="J1674" t="s">
        <v>50</v>
      </c>
      <c r="K1674">
        <v>3.8</v>
      </c>
      <c r="L1674" t="s">
        <v>143</v>
      </c>
      <c r="M1674" t="s">
        <v>23</v>
      </c>
      <c r="N1674">
        <v>15</v>
      </c>
      <c r="O1674" t="s">
        <v>24</v>
      </c>
      <c r="P1674" t="s">
        <v>51</v>
      </c>
    </row>
    <row r="1675" spans="1:16" ht="14.5" x14ac:dyDescent="0.35">
      <c r="A1675">
        <v>1674</v>
      </c>
      <c r="B1675">
        <v>21</v>
      </c>
      <c r="C1675" t="s">
        <v>16</v>
      </c>
      <c r="D1675" t="s">
        <v>17</v>
      </c>
      <c r="E1675" t="s">
        <v>18</v>
      </c>
      <c r="F1675">
        <v>62</v>
      </c>
      <c r="G1675" t="s">
        <v>68</v>
      </c>
      <c r="H1675" t="s">
        <v>39</v>
      </c>
      <c r="I1675" t="s">
        <v>74</v>
      </c>
      <c r="J1675" t="s">
        <v>50</v>
      </c>
      <c r="K1675">
        <v>3.4</v>
      </c>
      <c r="L1675" t="s">
        <v>143</v>
      </c>
      <c r="M1675" t="s">
        <v>23</v>
      </c>
      <c r="N1675">
        <v>49</v>
      </c>
      <c r="O1675" t="s">
        <v>24</v>
      </c>
      <c r="P1675" t="s">
        <v>67</v>
      </c>
    </row>
    <row r="1676" spans="1:16" ht="14.5" x14ac:dyDescent="0.35">
      <c r="A1676">
        <v>1675</v>
      </c>
      <c r="B1676">
        <v>35</v>
      </c>
      <c r="C1676" t="s">
        <v>16</v>
      </c>
      <c r="D1676" t="s">
        <v>55</v>
      </c>
      <c r="E1676" t="s">
        <v>56</v>
      </c>
      <c r="F1676">
        <v>56</v>
      </c>
      <c r="G1676" t="s">
        <v>111</v>
      </c>
      <c r="H1676" t="s">
        <v>39</v>
      </c>
      <c r="I1676" t="s">
        <v>91</v>
      </c>
      <c r="J1676" t="s">
        <v>22</v>
      </c>
      <c r="K1676">
        <v>3.2</v>
      </c>
      <c r="L1676" t="s">
        <v>143</v>
      </c>
      <c r="M1676" t="s">
        <v>23</v>
      </c>
      <c r="N1676">
        <v>10</v>
      </c>
      <c r="O1676" t="s">
        <v>77</v>
      </c>
      <c r="P1676" t="s">
        <v>25</v>
      </c>
    </row>
    <row r="1677" spans="1:16" ht="14.5" x14ac:dyDescent="0.35">
      <c r="A1677">
        <v>1676</v>
      </c>
      <c r="B1677">
        <v>35</v>
      </c>
      <c r="C1677" t="s">
        <v>16</v>
      </c>
      <c r="D1677" t="s">
        <v>86</v>
      </c>
      <c r="E1677" t="s">
        <v>18</v>
      </c>
      <c r="F1677">
        <v>90</v>
      </c>
      <c r="G1677" t="s">
        <v>103</v>
      </c>
      <c r="H1677" t="s">
        <v>39</v>
      </c>
      <c r="I1677" t="s">
        <v>109</v>
      </c>
      <c r="J1677" t="s">
        <v>33</v>
      </c>
      <c r="K1677">
        <v>4.7</v>
      </c>
      <c r="L1677" t="s">
        <v>143</v>
      </c>
      <c r="M1677" t="s">
        <v>23</v>
      </c>
      <c r="N1677">
        <v>21</v>
      </c>
      <c r="O1677" t="s">
        <v>34</v>
      </c>
      <c r="P1677" t="s">
        <v>43</v>
      </c>
    </row>
    <row r="1678" spans="1:16" ht="14.5" x14ac:dyDescent="0.35">
      <c r="A1678">
        <v>1677</v>
      </c>
      <c r="B1678">
        <v>27</v>
      </c>
      <c r="C1678" t="s">
        <v>16</v>
      </c>
      <c r="D1678" t="s">
        <v>80</v>
      </c>
      <c r="E1678" t="s">
        <v>60</v>
      </c>
      <c r="F1678">
        <v>44</v>
      </c>
      <c r="G1678" t="s">
        <v>57</v>
      </c>
      <c r="H1678" t="s">
        <v>39</v>
      </c>
      <c r="I1678" t="s">
        <v>100</v>
      </c>
      <c r="J1678" t="s">
        <v>22</v>
      </c>
      <c r="K1678">
        <v>3.1</v>
      </c>
      <c r="L1678" t="s">
        <v>143</v>
      </c>
      <c r="M1678" t="s">
        <v>23</v>
      </c>
      <c r="N1678">
        <v>34</v>
      </c>
      <c r="O1678" t="s">
        <v>66</v>
      </c>
      <c r="P1678" t="s">
        <v>35</v>
      </c>
    </row>
    <row r="1679" spans="1:16" ht="14.5" x14ac:dyDescent="0.35">
      <c r="A1679">
        <v>1678</v>
      </c>
      <c r="B1679">
        <v>65</v>
      </c>
      <c r="C1679" t="s">
        <v>16</v>
      </c>
      <c r="D1679" t="s">
        <v>30</v>
      </c>
      <c r="E1679" t="s">
        <v>18</v>
      </c>
      <c r="F1679">
        <v>35</v>
      </c>
      <c r="G1679" t="s">
        <v>41</v>
      </c>
      <c r="H1679" t="s">
        <v>20</v>
      </c>
      <c r="I1679" t="s">
        <v>58</v>
      </c>
      <c r="J1679" t="s">
        <v>47</v>
      </c>
      <c r="K1679">
        <v>3.3</v>
      </c>
      <c r="L1679" t="s">
        <v>143</v>
      </c>
      <c r="M1679" t="s">
        <v>143</v>
      </c>
      <c r="N1679">
        <v>41</v>
      </c>
      <c r="O1679" t="s">
        <v>77</v>
      </c>
      <c r="P1679" t="s">
        <v>35</v>
      </c>
    </row>
    <row r="1680" spans="1:16" ht="14.5" x14ac:dyDescent="0.35">
      <c r="A1680">
        <v>1679</v>
      </c>
      <c r="B1680">
        <v>41</v>
      </c>
      <c r="C1680" t="s">
        <v>16</v>
      </c>
      <c r="D1680" t="s">
        <v>86</v>
      </c>
      <c r="E1680" t="s">
        <v>18</v>
      </c>
      <c r="F1680">
        <v>71</v>
      </c>
      <c r="G1680" t="s">
        <v>114</v>
      </c>
      <c r="H1680" t="s">
        <v>32</v>
      </c>
      <c r="I1680" t="s">
        <v>127</v>
      </c>
      <c r="J1680" t="s">
        <v>47</v>
      </c>
      <c r="K1680">
        <v>4.8</v>
      </c>
      <c r="L1680" t="s">
        <v>143</v>
      </c>
      <c r="M1680" t="s">
        <v>143</v>
      </c>
      <c r="N1680">
        <v>30</v>
      </c>
      <c r="O1680" t="s">
        <v>24</v>
      </c>
      <c r="P1680" t="s">
        <v>25</v>
      </c>
    </row>
    <row r="1681" spans="1:16" ht="14.5" x14ac:dyDescent="0.35">
      <c r="A1681">
        <v>1680</v>
      </c>
      <c r="B1681">
        <v>60</v>
      </c>
      <c r="C1681" t="s">
        <v>16</v>
      </c>
      <c r="D1681" t="s">
        <v>72</v>
      </c>
      <c r="E1681" t="s">
        <v>18</v>
      </c>
      <c r="F1681">
        <v>52</v>
      </c>
      <c r="G1681" t="s">
        <v>31</v>
      </c>
      <c r="H1681" t="s">
        <v>32</v>
      </c>
      <c r="I1681" t="s">
        <v>85</v>
      </c>
      <c r="J1681" t="s">
        <v>50</v>
      </c>
      <c r="K1681">
        <v>4.5</v>
      </c>
      <c r="L1681" t="s">
        <v>143</v>
      </c>
      <c r="M1681" t="s">
        <v>143</v>
      </c>
      <c r="N1681">
        <v>24</v>
      </c>
      <c r="O1681" t="s">
        <v>77</v>
      </c>
      <c r="P1681" t="s">
        <v>67</v>
      </c>
    </row>
    <row r="1682" spans="1:16" ht="14.5" x14ac:dyDescent="0.35">
      <c r="A1682">
        <v>1681</v>
      </c>
      <c r="B1682">
        <v>61</v>
      </c>
      <c r="C1682" t="s">
        <v>16</v>
      </c>
      <c r="D1682" t="s">
        <v>63</v>
      </c>
      <c r="E1682" t="s">
        <v>37</v>
      </c>
      <c r="F1682">
        <v>37</v>
      </c>
      <c r="G1682" t="s">
        <v>53</v>
      </c>
      <c r="H1682" t="s">
        <v>39</v>
      </c>
      <c r="I1682" t="s">
        <v>69</v>
      </c>
      <c r="J1682" t="s">
        <v>47</v>
      </c>
      <c r="K1682">
        <v>3.4</v>
      </c>
      <c r="L1682" t="s">
        <v>143</v>
      </c>
      <c r="M1682" t="s">
        <v>143</v>
      </c>
      <c r="N1682">
        <v>6</v>
      </c>
      <c r="O1682" t="s">
        <v>34</v>
      </c>
      <c r="P1682" t="s">
        <v>43</v>
      </c>
    </row>
    <row r="1683" spans="1:16" ht="14.5" x14ac:dyDescent="0.35">
      <c r="A1683">
        <v>1682</v>
      </c>
      <c r="B1683">
        <v>24</v>
      </c>
      <c r="C1683" t="s">
        <v>16</v>
      </c>
      <c r="D1683" t="s">
        <v>44</v>
      </c>
      <c r="E1683" t="s">
        <v>37</v>
      </c>
      <c r="F1683">
        <v>95</v>
      </c>
      <c r="G1683" t="s">
        <v>132</v>
      </c>
      <c r="H1683" t="s">
        <v>20</v>
      </c>
      <c r="I1683" t="s">
        <v>87</v>
      </c>
      <c r="J1683" t="s">
        <v>22</v>
      </c>
      <c r="K1683">
        <v>3.7</v>
      </c>
      <c r="L1683" t="s">
        <v>143</v>
      </c>
      <c r="M1683" t="s">
        <v>143</v>
      </c>
      <c r="N1683">
        <v>14</v>
      </c>
      <c r="O1683" t="s">
        <v>34</v>
      </c>
      <c r="P1683" t="s">
        <v>67</v>
      </c>
    </row>
    <row r="1684" spans="1:16" ht="14.5" x14ac:dyDescent="0.35">
      <c r="A1684">
        <v>1683</v>
      </c>
      <c r="B1684">
        <v>65</v>
      </c>
      <c r="C1684" t="s">
        <v>16</v>
      </c>
      <c r="D1684" t="s">
        <v>116</v>
      </c>
      <c r="E1684" t="s">
        <v>18</v>
      </c>
      <c r="F1684">
        <v>97</v>
      </c>
      <c r="G1684" t="s">
        <v>75</v>
      </c>
      <c r="H1684" t="s">
        <v>39</v>
      </c>
      <c r="I1684" t="s">
        <v>125</v>
      </c>
      <c r="J1684" t="s">
        <v>50</v>
      </c>
      <c r="K1684">
        <v>4.9000000000000004</v>
      </c>
      <c r="L1684" t="s">
        <v>143</v>
      </c>
      <c r="M1684" t="s">
        <v>143</v>
      </c>
      <c r="N1684">
        <v>37</v>
      </c>
      <c r="O1684" t="s">
        <v>34</v>
      </c>
      <c r="P1684" t="s">
        <v>67</v>
      </c>
    </row>
    <row r="1685" spans="1:16" ht="14.5" x14ac:dyDescent="0.35">
      <c r="A1685">
        <v>1684</v>
      </c>
      <c r="B1685">
        <v>23</v>
      </c>
      <c r="C1685" t="s">
        <v>16</v>
      </c>
      <c r="D1685" t="s">
        <v>55</v>
      </c>
      <c r="E1685" t="s">
        <v>56</v>
      </c>
      <c r="F1685">
        <v>57</v>
      </c>
      <c r="G1685" t="s">
        <v>64</v>
      </c>
      <c r="H1685" t="s">
        <v>32</v>
      </c>
      <c r="I1685" t="s">
        <v>84</v>
      </c>
      <c r="J1685" t="s">
        <v>33</v>
      </c>
      <c r="K1685">
        <v>3.5</v>
      </c>
      <c r="L1685" t="s">
        <v>143</v>
      </c>
      <c r="M1685" t="s">
        <v>143</v>
      </c>
      <c r="N1685">
        <v>37</v>
      </c>
      <c r="O1685" t="s">
        <v>24</v>
      </c>
      <c r="P1685" t="s">
        <v>51</v>
      </c>
    </row>
    <row r="1686" spans="1:16" ht="14.5" x14ac:dyDescent="0.35">
      <c r="A1686">
        <v>1685</v>
      </c>
      <c r="B1686">
        <v>30</v>
      </c>
      <c r="C1686" t="s">
        <v>16</v>
      </c>
      <c r="D1686" t="s">
        <v>48</v>
      </c>
      <c r="E1686" t="s">
        <v>18</v>
      </c>
      <c r="F1686">
        <v>93</v>
      </c>
      <c r="G1686" t="s">
        <v>121</v>
      </c>
      <c r="H1686" t="s">
        <v>39</v>
      </c>
      <c r="I1686" t="s">
        <v>117</v>
      </c>
      <c r="J1686" t="s">
        <v>33</v>
      </c>
      <c r="K1686">
        <v>4.5999999999999996</v>
      </c>
      <c r="L1686" t="s">
        <v>143</v>
      </c>
      <c r="M1686" t="s">
        <v>143</v>
      </c>
      <c r="N1686">
        <v>28</v>
      </c>
      <c r="O1686" t="s">
        <v>40</v>
      </c>
      <c r="P1686" t="s">
        <v>35</v>
      </c>
    </row>
    <row r="1687" spans="1:16" ht="14.5" x14ac:dyDescent="0.35">
      <c r="A1687">
        <v>1686</v>
      </c>
      <c r="B1687">
        <v>33</v>
      </c>
      <c r="C1687" t="s">
        <v>16</v>
      </c>
      <c r="D1687" t="s">
        <v>17</v>
      </c>
      <c r="E1687" t="s">
        <v>18</v>
      </c>
      <c r="F1687">
        <v>48</v>
      </c>
      <c r="G1687" t="s">
        <v>139</v>
      </c>
      <c r="H1687" t="s">
        <v>39</v>
      </c>
      <c r="I1687" t="s">
        <v>62</v>
      </c>
      <c r="J1687" t="s">
        <v>22</v>
      </c>
      <c r="K1687">
        <v>4.5999999999999996</v>
      </c>
      <c r="L1687" t="s">
        <v>143</v>
      </c>
      <c r="M1687" t="s">
        <v>143</v>
      </c>
      <c r="N1687">
        <v>43</v>
      </c>
      <c r="O1687" t="s">
        <v>40</v>
      </c>
      <c r="P1687" t="s">
        <v>67</v>
      </c>
    </row>
    <row r="1688" spans="1:16" ht="14.5" x14ac:dyDescent="0.35">
      <c r="A1688">
        <v>1687</v>
      </c>
      <c r="B1688">
        <v>22</v>
      </c>
      <c r="C1688" t="s">
        <v>16</v>
      </c>
      <c r="D1688" t="s">
        <v>134</v>
      </c>
      <c r="E1688" t="s">
        <v>60</v>
      </c>
      <c r="F1688">
        <v>75</v>
      </c>
      <c r="G1688" t="s">
        <v>106</v>
      </c>
      <c r="H1688" t="s">
        <v>20</v>
      </c>
      <c r="I1688" t="s">
        <v>99</v>
      </c>
      <c r="J1688" t="s">
        <v>50</v>
      </c>
      <c r="K1688">
        <v>4.2</v>
      </c>
      <c r="L1688" t="s">
        <v>143</v>
      </c>
      <c r="M1688" t="s">
        <v>143</v>
      </c>
      <c r="N1688">
        <v>25</v>
      </c>
      <c r="O1688" t="s">
        <v>29</v>
      </c>
      <c r="P1688" t="s">
        <v>43</v>
      </c>
    </row>
    <row r="1689" spans="1:16" ht="14.5" x14ac:dyDescent="0.35">
      <c r="A1689">
        <v>1688</v>
      </c>
      <c r="B1689">
        <v>67</v>
      </c>
      <c r="C1689" t="s">
        <v>16</v>
      </c>
      <c r="D1689" t="s">
        <v>78</v>
      </c>
      <c r="E1689" t="s">
        <v>18</v>
      </c>
      <c r="F1689">
        <v>70</v>
      </c>
      <c r="G1689" t="s">
        <v>133</v>
      </c>
      <c r="H1689" t="s">
        <v>32</v>
      </c>
      <c r="I1689" t="s">
        <v>127</v>
      </c>
      <c r="J1689" t="s">
        <v>22</v>
      </c>
      <c r="K1689">
        <v>3.7</v>
      </c>
      <c r="L1689" t="s">
        <v>143</v>
      </c>
      <c r="M1689" t="s">
        <v>143</v>
      </c>
      <c r="N1689">
        <v>4</v>
      </c>
      <c r="O1689" t="s">
        <v>40</v>
      </c>
      <c r="P1689" t="s">
        <v>43</v>
      </c>
    </row>
    <row r="1690" spans="1:16" ht="14.5" x14ac:dyDescent="0.35">
      <c r="A1690">
        <v>1689</v>
      </c>
      <c r="B1690">
        <v>28</v>
      </c>
      <c r="C1690" t="s">
        <v>16</v>
      </c>
      <c r="D1690" t="s">
        <v>59</v>
      </c>
      <c r="E1690" t="s">
        <v>60</v>
      </c>
      <c r="F1690">
        <v>26</v>
      </c>
      <c r="G1690" t="s">
        <v>82</v>
      </c>
      <c r="H1690" t="s">
        <v>32</v>
      </c>
      <c r="I1690" t="s">
        <v>91</v>
      </c>
      <c r="J1690" t="s">
        <v>22</v>
      </c>
      <c r="K1690">
        <v>3</v>
      </c>
      <c r="L1690" t="s">
        <v>143</v>
      </c>
      <c r="M1690" t="s">
        <v>143</v>
      </c>
      <c r="N1690">
        <v>13</v>
      </c>
      <c r="O1690" t="s">
        <v>24</v>
      </c>
      <c r="P1690" t="s">
        <v>25</v>
      </c>
    </row>
    <row r="1691" spans="1:16" ht="14.5" x14ac:dyDescent="0.35">
      <c r="A1691">
        <v>1690</v>
      </c>
      <c r="B1691">
        <v>32</v>
      </c>
      <c r="C1691" t="s">
        <v>16</v>
      </c>
      <c r="D1691" t="s">
        <v>48</v>
      </c>
      <c r="E1691" t="s">
        <v>18</v>
      </c>
      <c r="F1691">
        <v>73</v>
      </c>
      <c r="G1691" t="s">
        <v>89</v>
      </c>
      <c r="H1691" t="s">
        <v>20</v>
      </c>
      <c r="I1691" t="s">
        <v>42</v>
      </c>
      <c r="J1691" t="s">
        <v>22</v>
      </c>
      <c r="K1691">
        <v>4.5999999999999996</v>
      </c>
      <c r="L1691" t="s">
        <v>143</v>
      </c>
      <c r="M1691" t="s">
        <v>143</v>
      </c>
      <c r="N1691">
        <v>32</v>
      </c>
      <c r="O1691" t="s">
        <v>66</v>
      </c>
      <c r="P1691" t="s">
        <v>79</v>
      </c>
    </row>
    <row r="1692" spans="1:16" ht="14.5" x14ac:dyDescent="0.35">
      <c r="A1692">
        <v>1691</v>
      </c>
      <c r="B1692">
        <v>40</v>
      </c>
      <c r="C1692" t="s">
        <v>16</v>
      </c>
      <c r="D1692" t="s">
        <v>55</v>
      </c>
      <c r="E1692" t="s">
        <v>56</v>
      </c>
      <c r="F1692">
        <v>30</v>
      </c>
      <c r="G1692" t="s">
        <v>98</v>
      </c>
      <c r="H1692" t="s">
        <v>39</v>
      </c>
      <c r="I1692" t="s">
        <v>85</v>
      </c>
      <c r="J1692" t="s">
        <v>47</v>
      </c>
      <c r="K1692">
        <v>3.2</v>
      </c>
      <c r="L1692" t="s">
        <v>143</v>
      </c>
      <c r="M1692" t="s">
        <v>143</v>
      </c>
      <c r="N1692">
        <v>1</v>
      </c>
      <c r="O1692" t="s">
        <v>29</v>
      </c>
      <c r="P1692" t="s">
        <v>43</v>
      </c>
    </row>
    <row r="1693" spans="1:16" ht="14.5" x14ac:dyDescent="0.35">
      <c r="A1693">
        <v>1692</v>
      </c>
      <c r="B1693">
        <v>64</v>
      </c>
      <c r="C1693" t="s">
        <v>16</v>
      </c>
      <c r="D1693" t="s">
        <v>63</v>
      </c>
      <c r="E1693" t="s">
        <v>37</v>
      </c>
      <c r="F1693">
        <v>61</v>
      </c>
      <c r="G1693" t="s">
        <v>130</v>
      </c>
      <c r="H1693" t="s">
        <v>20</v>
      </c>
      <c r="I1693" t="s">
        <v>135</v>
      </c>
      <c r="J1693" t="s">
        <v>47</v>
      </c>
      <c r="K1693">
        <v>3.5</v>
      </c>
      <c r="L1693" t="s">
        <v>143</v>
      </c>
      <c r="M1693" t="s">
        <v>143</v>
      </c>
      <c r="N1693">
        <v>4</v>
      </c>
      <c r="O1693" t="s">
        <v>29</v>
      </c>
      <c r="P1693" t="s">
        <v>43</v>
      </c>
    </row>
    <row r="1694" spans="1:16" ht="14.5" x14ac:dyDescent="0.35">
      <c r="A1694">
        <v>1693</v>
      </c>
      <c r="B1694">
        <v>56</v>
      </c>
      <c r="C1694" t="s">
        <v>16</v>
      </c>
      <c r="D1694" t="s">
        <v>59</v>
      </c>
      <c r="E1694" t="s">
        <v>60</v>
      </c>
      <c r="F1694">
        <v>75</v>
      </c>
      <c r="G1694" t="s">
        <v>131</v>
      </c>
      <c r="H1694" t="s">
        <v>39</v>
      </c>
      <c r="I1694" t="s">
        <v>109</v>
      </c>
      <c r="J1694" t="s">
        <v>22</v>
      </c>
      <c r="K1694">
        <v>2.6</v>
      </c>
      <c r="L1694" t="s">
        <v>143</v>
      </c>
      <c r="M1694" t="s">
        <v>143</v>
      </c>
      <c r="N1694">
        <v>33</v>
      </c>
      <c r="O1694" t="s">
        <v>29</v>
      </c>
      <c r="P1694" t="s">
        <v>67</v>
      </c>
    </row>
    <row r="1695" spans="1:16" ht="14.5" x14ac:dyDescent="0.35">
      <c r="A1695">
        <v>1694</v>
      </c>
      <c r="B1695">
        <v>63</v>
      </c>
      <c r="C1695" t="s">
        <v>16</v>
      </c>
      <c r="D1695" t="s">
        <v>93</v>
      </c>
      <c r="E1695" t="s">
        <v>56</v>
      </c>
      <c r="F1695">
        <v>88</v>
      </c>
      <c r="G1695" t="s">
        <v>113</v>
      </c>
      <c r="H1695" t="s">
        <v>83</v>
      </c>
      <c r="I1695" t="s">
        <v>69</v>
      </c>
      <c r="J1695" t="s">
        <v>50</v>
      </c>
      <c r="K1695">
        <v>4.9000000000000004</v>
      </c>
      <c r="L1695" t="s">
        <v>143</v>
      </c>
      <c r="M1695" t="s">
        <v>143</v>
      </c>
      <c r="N1695">
        <v>45</v>
      </c>
      <c r="O1695" t="s">
        <v>66</v>
      </c>
      <c r="P1695" t="s">
        <v>25</v>
      </c>
    </row>
    <row r="1696" spans="1:16" ht="14.5" x14ac:dyDescent="0.35">
      <c r="A1696">
        <v>1695</v>
      </c>
      <c r="B1696">
        <v>20</v>
      </c>
      <c r="C1696" t="s">
        <v>16</v>
      </c>
      <c r="D1696" t="s">
        <v>48</v>
      </c>
      <c r="E1696" t="s">
        <v>18</v>
      </c>
      <c r="F1696">
        <v>67</v>
      </c>
      <c r="G1696" t="s">
        <v>82</v>
      </c>
      <c r="H1696" t="s">
        <v>39</v>
      </c>
      <c r="I1696" t="s">
        <v>42</v>
      </c>
      <c r="J1696" t="s">
        <v>47</v>
      </c>
      <c r="K1696">
        <v>2.7</v>
      </c>
      <c r="L1696" t="s">
        <v>143</v>
      </c>
      <c r="M1696" t="s">
        <v>143</v>
      </c>
      <c r="N1696">
        <v>20</v>
      </c>
      <c r="O1696" t="s">
        <v>77</v>
      </c>
      <c r="P1696" t="s">
        <v>25</v>
      </c>
    </row>
    <row r="1697" spans="1:16" ht="14.5" x14ac:dyDescent="0.35">
      <c r="A1697">
        <v>1696</v>
      </c>
      <c r="B1697">
        <v>54</v>
      </c>
      <c r="C1697" t="s">
        <v>16</v>
      </c>
      <c r="D1697" t="s">
        <v>115</v>
      </c>
      <c r="E1697" t="s">
        <v>60</v>
      </c>
      <c r="F1697">
        <v>95</v>
      </c>
      <c r="G1697" t="s">
        <v>136</v>
      </c>
      <c r="H1697" t="s">
        <v>32</v>
      </c>
      <c r="I1697" t="s">
        <v>125</v>
      </c>
      <c r="J1697" t="s">
        <v>50</v>
      </c>
      <c r="K1697">
        <v>4.7</v>
      </c>
      <c r="L1697" t="s">
        <v>143</v>
      </c>
      <c r="M1697" t="s">
        <v>143</v>
      </c>
      <c r="N1697">
        <v>1</v>
      </c>
      <c r="O1697" t="s">
        <v>40</v>
      </c>
      <c r="P1697" t="s">
        <v>25</v>
      </c>
    </row>
    <row r="1698" spans="1:16" ht="14.5" x14ac:dyDescent="0.35">
      <c r="A1698">
        <v>1697</v>
      </c>
      <c r="B1698">
        <v>31</v>
      </c>
      <c r="C1698" t="s">
        <v>16</v>
      </c>
      <c r="D1698" t="s">
        <v>80</v>
      </c>
      <c r="E1698" t="s">
        <v>60</v>
      </c>
      <c r="F1698">
        <v>69</v>
      </c>
      <c r="G1698" t="s">
        <v>57</v>
      </c>
      <c r="H1698" t="s">
        <v>32</v>
      </c>
      <c r="I1698" t="s">
        <v>42</v>
      </c>
      <c r="J1698" t="s">
        <v>33</v>
      </c>
      <c r="K1698">
        <v>4</v>
      </c>
      <c r="L1698" t="s">
        <v>143</v>
      </c>
      <c r="M1698" t="s">
        <v>143</v>
      </c>
      <c r="N1698">
        <v>7</v>
      </c>
      <c r="O1698" t="s">
        <v>34</v>
      </c>
      <c r="P1698" t="s">
        <v>67</v>
      </c>
    </row>
    <row r="1699" spans="1:16" ht="14.5" x14ac:dyDescent="0.35">
      <c r="A1699">
        <v>1698</v>
      </c>
      <c r="B1699">
        <v>36</v>
      </c>
      <c r="C1699" t="s">
        <v>16</v>
      </c>
      <c r="D1699" t="s">
        <v>48</v>
      </c>
      <c r="E1699" t="s">
        <v>18</v>
      </c>
      <c r="F1699">
        <v>87</v>
      </c>
      <c r="G1699" t="s">
        <v>122</v>
      </c>
      <c r="H1699" t="s">
        <v>20</v>
      </c>
      <c r="I1699" t="s">
        <v>84</v>
      </c>
      <c r="J1699" t="s">
        <v>50</v>
      </c>
      <c r="K1699">
        <v>3.5</v>
      </c>
      <c r="L1699" t="s">
        <v>143</v>
      </c>
      <c r="M1699" t="s">
        <v>143</v>
      </c>
      <c r="N1699">
        <v>48</v>
      </c>
      <c r="O1699" t="s">
        <v>34</v>
      </c>
      <c r="P1699" t="s">
        <v>88</v>
      </c>
    </row>
    <row r="1700" spans="1:16" ht="14.5" x14ac:dyDescent="0.35">
      <c r="A1700">
        <v>1699</v>
      </c>
      <c r="B1700">
        <v>25</v>
      </c>
      <c r="C1700" t="s">
        <v>16</v>
      </c>
      <c r="D1700" t="s">
        <v>124</v>
      </c>
      <c r="E1700" t="s">
        <v>60</v>
      </c>
      <c r="F1700">
        <v>41</v>
      </c>
      <c r="G1700" t="s">
        <v>137</v>
      </c>
      <c r="H1700" t="s">
        <v>83</v>
      </c>
      <c r="I1700" t="s">
        <v>42</v>
      </c>
      <c r="J1700" t="s">
        <v>22</v>
      </c>
      <c r="K1700">
        <v>4.8</v>
      </c>
      <c r="L1700" t="s">
        <v>143</v>
      </c>
      <c r="M1700" t="s">
        <v>143</v>
      </c>
      <c r="N1700">
        <v>46</v>
      </c>
      <c r="O1700" t="s">
        <v>66</v>
      </c>
      <c r="P1700" t="s">
        <v>51</v>
      </c>
    </row>
    <row r="1701" spans="1:16" ht="14.5" x14ac:dyDescent="0.35">
      <c r="A1701">
        <v>1700</v>
      </c>
      <c r="B1701">
        <v>20</v>
      </c>
      <c r="C1701" t="s">
        <v>16</v>
      </c>
      <c r="D1701" t="s">
        <v>26</v>
      </c>
      <c r="E1701" t="s">
        <v>18</v>
      </c>
      <c r="F1701">
        <v>67</v>
      </c>
      <c r="G1701" t="s">
        <v>105</v>
      </c>
      <c r="H1701" t="s">
        <v>20</v>
      </c>
      <c r="I1701" t="s">
        <v>76</v>
      </c>
      <c r="J1701" t="s">
        <v>33</v>
      </c>
      <c r="K1701">
        <v>4</v>
      </c>
      <c r="L1701" t="s">
        <v>143</v>
      </c>
      <c r="M1701" t="s">
        <v>143</v>
      </c>
      <c r="N1701">
        <v>34</v>
      </c>
      <c r="O1701" t="s">
        <v>77</v>
      </c>
      <c r="P1701" t="s">
        <v>43</v>
      </c>
    </row>
    <row r="1702" spans="1:16" ht="14.5" x14ac:dyDescent="0.35">
      <c r="A1702">
        <v>1701</v>
      </c>
      <c r="B1702">
        <v>62</v>
      </c>
      <c r="C1702" t="s">
        <v>16</v>
      </c>
      <c r="D1702" t="s">
        <v>95</v>
      </c>
      <c r="E1702" t="s">
        <v>18</v>
      </c>
      <c r="F1702">
        <v>70</v>
      </c>
      <c r="G1702" t="s">
        <v>57</v>
      </c>
      <c r="H1702" t="s">
        <v>20</v>
      </c>
      <c r="I1702" t="s">
        <v>85</v>
      </c>
      <c r="J1702" t="s">
        <v>50</v>
      </c>
      <c r="K1702">
        <v>4.0999999999999996</v>
      </c>
      <c r="L1702" t="s">
        <v>143</v>
      </c>
      <c r="M1702" t="s">
        <v>143</v>
      </c>
      <c r="N1702">
        <v>36</v>
      </c>
      <c r="O1702" t="s">
        <v>66</v>
      </c>
      <c r="P1702" t="s">
        <v>79</v>
      </c>
    </row>
    <row r="1703" spans="1:16" ht="14.5" x14ac:dyDescent="0.35">
      <c r="A1703">
        <v>1702</v>
      </c>
      <c r="B1703">
        <v>69</v>
      </c>
      <c r="C1703" t="s">
        <v>16</v>
      </c>
      <c r="D1703" t="s">
        <v>59</v>
      </c>
      <c r="E1703" t="s">
        <v>60</v>
      </c>
      <c r="F1703">
        <v>41</v>
      </c>
      <c r="G1703" t="s">
        <v>82</v>
      </c>
      <c r="H1703" t="s">
        <v>83</v>
      </c>
      <c r="I1703" t="s">
        <v>135</v>
      </c>
      <c r="J1703" t="s">
        <v>22</v>
      </c>
      <c r="K1703">
        <v>3.8</v>
      </c>
      <c r="L1703" t="s">
        <v>143</v>
      </c>
      <c r="M1703" t="s">
        <v>143</v>
      </c>
      <c r="N1703">
        <v>44</v>
      </c>
      <c r="O1703" t="s">
        <v>77</v>
      </c>
      <c r="P1703" t="s">
        <v>88</v>
      </c>
    </row>
    <row r="1704" spans="1:16" ht="14.5" x14ac:dyDescent="0.35">
      <c r="A1704">
        <v>1703</v>
      </c>
      <c r="B1704">
        <v>54</v>
      </c>
      <c r="C1704" t="s">
        <v>16</v>
      </c>
      <c r="D1704" t="s">
        <v>30</v>
      </c>
      <c r="E1704" t="s">
        <v>18</v>
      </c>
      <c r="F1704">
        <v>83</v>
      </c>
      <c r="G1704" t="s">
        <v>81</v>
      </c>
      <c r="H1704" t="s">
        <v>83</v>
      </c>
      <c r="I1704" t="s">
        <v>125</v>
      </c>
      <c r="J1704" t="s">
        <v>47</v>
      </c>
      <c r="K1704">
        <v>5</v>
      </c>
      <c r="L1704" t="s">
        <v>143</v>
      </c>
      <c r="M1704" t="s">
        <v>143</v>
      </c>
      <c r="N1704">
        <v>48</v>
      </c>
      <c r="O1704" t="s">
        <v>66</v>
      </c>
      <c r="P1704" t="s">
        <v>35</v>
      </c>
    </row>
    <row r="1705" spans="1:16" ht="14.5" x14ac:dyDescent="0.35">
      <c r="A1705">
        <v>1704</v>
      </c>
      <c r="B1705">
        <v>39</v>
      </c>
      <c r="C1705" t="s">
        <v>16</v>
      </c>
      <c r="D1705" t="s">
        <v>123</v>
      </c>
      <c r="E1705" t="s">
        <v>60</v>
      </c>
      <c r="F1705">
        <v>22</v>
      </c>
      <c r="G1705" t="s">
        <v>90</v>
      </c>
      <c r="H1705" t="s">
        <v>39</v>
      </c>
      <c r="I1705" t="s">
        <v>85</v>
      </c>
      <c r="J1705" t="s">
        <v>33</v>
      </c>
      <c r="K1705">
        <v>4</v>
      </c>
      <c r="L1705" t="s">
        <v>143</v>
      </c>
      <c r="M1705" t="s">
        <v>143</v>
      </c>
      <c r="N1705">
        <v>12</v>
      </c>
      <c r="O1705" t="s">
        <v>66</v>
      </c>
      <c r="P1705" t="s">
        <v>43</v>
      </c>
    </row>
    <row r="1706" spans="1:16" ht="14.5" x14ac:dyDescent="0.35">
      <c r="A1706">
        <v>1705</v>
      </c>
      <c r="B1706">
        <v>56</v>
      </c>
      <c r="C1706" t="s">
        <v>16</v>
      </c>
      <c r="D1706" t="s">
        <v>44</v>
      </c>
      <c r="E1706" t="s">
        <v>37</v>
      </c>
      <c r="F1706">
        <v>20</v>
      </c>
      <c r="G1706" t="s">
        <v>126</v>
      </c>
      <c r="H1706" t="s">
        <v>39</v>
      </c>
      <c r="I1706" t="s">
        <v>84</v>
      </c>
      <c r="J1706" t="s">
        <v>47</v>
      </c>
      <c r="K1706">
        <v>3.9</v>
      </c>
      <c r="L1706" t="s">
        <v>143</v>
      </c>
      <c r="M1706" t="s">
        <v>143</v>
      </c>
      <c r="N1706">
        <v>19</v>
      </c>
      <c r="O1706" t="s">
        <v>29</v>
      </c>
      <c r="P1706" t="s">
        <v>88</v>
      </c>
    </row>
    <row r="1707" spans="1:16" ht="14.5" x14ac:dyDescent="0.35">
      <c r="A1707">
        <v>1706</v>
      </c>
      <c r="B1707">
        <v>39</v>
      </c>
      <c r="C1707" t="s">
        <v>16</v>
      </c>
      <c r="D1707" t="s">
        <v>97</v>
      </c>
      <c r="E1707" t="s">
        <v>60</v>
      </c>
      <c r="F1707">
        <v>29</v>
      </c>
      <c r="G1707" t="s">
        <v>138</v>
      </c>
      <c r="H1707" t="s">
        <v>20</v>
      </c>
      <c r="I1707" t="s">
        <v>100</v>
      </c>
      <c r="J1707" t="s">
        <v>47</v>
      </c>
      <c r="K1707">
        <v>3.4</v>
      </c>
      <c r="L1707" t="s">
        <v>143</v>
      </c>
      <c r="M1707" t="s">
        <v>143</v>
      </c>
      <c r="N1707">
        <v>49</v>
      </c>
      <c r="O1707" t="s">
        <v>24</v>
      </c>
      <c r="P1707" t="s">
        <v>67</v>
      </c>
    </row>
    <row r="1708" spans="1:16" ht="14.5" x14ac:dyDescent="0.35">
      <c r="A1708">
        <v>1707</v>
      </c>
      <c r="B1708">
        <v>37</v>
      </c>
      <c r="C1708" t="s">
        <v>16</v>
      </c>
      <c r="D1708" t="s">
        <v>80</v>
      </c>
      <c r="E1708" t="s">
        <v>60</v>
      </c>
      <c r="F1708">
        <v>87</v>
      </c>
      <c r="G1708" t="s">
        <v>105</v>
      </c>
      <c r="H1708" t="s">
        <v>39</v>
      </c>
      <c r="I1708" t="s">
        <v>101</v>
      </c>
      <c r="J1708" t="s">
        <v>33</v>
      </c>
      <c r="K1708">
        <v>3</v>
      </c>
      <c r="L1708" t="s">
        <v>143</v>
      </c>
      <c r="M1708" t="s">
        <v>143</v>
      </c>
      <c r="N1708">
        <v>25</v>
      </c>
      <c r="O1708" t="s">
        <v>24</v>
      </c>
      <c r="P1708" t="s">
        <v>25</v>
      </c>
    </row>
    <row r="1709" spans="1:16" ht="14.5" x14ac:dyDescent="0.35">
      <c r="A1709">
        <v>1708</v>
      </c>
      <c r="B1709">
        <v>25</v>
      </c>
      <c r="C1709" t="s">
        <v>16</v>
      </c>
      <c r="D1709" t="s">
        <v>52</v>
      </c>
      <c r="E1709" t="s">
        <v>18</v>
      </c>
      <c r="F1709">
        <v>81</v>
      </c>
      <c r="G1709" t="s">
        <v>98</v>
      </c>
      <c r="H1709" t="s">
        <v>20</v>
      </c>
      <c r="I1709" t="s">
        <v>28</v>
      </c>
      <c r="J1709" t="s">
        <v>50</v>
      </c>
      <c r="K1709">
        <v>4.9000000000000004</v>
      </c>
      <c r="L1709" t="s">
        <v>143</v>
      </c>
      <c r="M1709" t="s">
        <v>143</v>
      </c>
      <c r="N1709">
        <v>25</v>
      </c>
      <c r="O1709" t="s">
        <v>29</v>
      </c>
      <c r="P1709" t="s">
        <v>67</v>
      </c>
    </row>
    <row r="1710" spans="1:16" ht="14.5" x14ac:dyDescent="0.35">
      <c r="A1710">
        <v>1709</v>
      </c>
      <c r="B1710">
        <v>35</v>
      </c>
      <c r="C1710" t="s">
        <v>16</v>
      </c>
      <c r="D1710" t="s">
        <v>128</v>
      </c>
      <c r="E1710" t="s">
        <v>37</v>
      </c>
      <c r="F1710">
        <v>58</v>
      </c>
      <c r="G1710" t="s">
        <v>94</v>
      </c>
      <c r="H1710" t="s">
        <v>20</v>
      </c>
      <c r="I1710" t="s">
        <v>100</v>
      </c>
      <c r="J1710" t="s">
        <v>33</v>
      </c>
      <c r="K1710">
        <v>3.2</v>
      </c>
      <c r="L1710" t="s">
        <v>143</v>
      </c>
      <c r="M1710" t="s">
        <v>143</v>
      </c>
      <c r="N1710">
        <v>1</v>
      </c>
      <c r="O1710" t="s">
        <v>34</v>
      </c>
      <c r="P1710" t="s">
        <v>51</v>
      </c>
    </row>
    <row r="1711" spans="1:16" ht="14.5" x14ac:dyDescent="0.35">
      <c r="A1711">
        <v>1710</v>
      </c>
      <c r="B1711">
        <v>45</v>
      </c>
      <c r="C1711" t="s">
        <v>16</v>
      </c>
      <c r="D1711" t="s">
        <v>78</v>
      </c>
      <c r="E1711" t="s">
        <v>18</v>
      </c>
      <c r="F1711">
        <v>83</v>
      </c>
      <c r="G1711" t="s">
        <v>107</v>
      </c>
      <c r="H1711" t="s">
        <v>39</v>
      </c>
      <c r="I1711" t="s">
        <v>62</v>
      </c>
      <c r="J1711" t="s">
        <v>22</v>
      </c>
      <c r="K1711">
        <v>3.8</v>
      </c>
      <c r="L1711" t="s">
        <v>143</v>
      </c>
      <c r="M1711" t="s">
        <v>143</v>
      </c>
      <c r="N1711">
        <v>19</v>
      </c>
      <c r="O1711" t="s">
        <v>66</v>
      </c>
      <c r="P1711" t="s">
        <v>43</v>
      </c>
    </row>
    <row r="1712" spans="1:16" ht="14.5" x14ac:dyDescent="0.35">
      <c r="A1712">
        <v>1711</v>
      </c>
      <c r="B1712">
        <v>19</v>
      </c>
      <c r="C1712" t="s">
        <v>16</v>
      </c>
      <c r="D1712" t="s">
        <v>86</v>
      </c>
      <c r="E1712" t="s">
        <v>18</v>
      </c>
      <c r="F1712">
        <v>59</v>
      </c>
      <c r="G1712" t="s">
        <v>64</v>
      </c>
      <c r="H1712" t="s">
        <v>83</v>
      </c>
      <c r="I1712" t="s">
        <v>112</v>
      </c>
      <c r="J1712" t="s">
        <v>50</v>
      </c>
      <c r="K1712">
        <v>3.8</v>
      </c>
      <c r="L1712" t="s">
        <v>143</v>
      </c>
      <c r="M1712" t="s">
        <v>143</v>
      </c>
      <c r="N1712">
        <v>7</v>
      </c>
      <c r="O1712" t="s">
        <v>34</v>
      </c>
      <c r="P1712" t="s">
        <v>51</v>
      </c>
    </row>
    <row r="1713" spans="1:16" ht="14.5" x14ac:dyDescent="0.35">
      <c r="A1713">
        <v>1712</v>
      </c>
      <c r="B1713">
        <v>21</v>
      </c>
      <c r="C1713" t="s">
        <v>16</v>
      </c>
      <c r="D1713" t="s">
        <v>104</v>
      </c>
      <c r="E1713" t="s">
        <v>18</v>
      </c>
      <c r="F1713">
        <v>93</v>
      </c>
      <c r="G1713" t="s">
        <v>89</v>
      </c>
      <c r="H1713" t="s">
        <v>39</v>
      </c>
      <c r="I1713" t="s">
        <v>84</v>
      </c>
      <c r="J1713" t="s">
        <v>33</v>
      </c>
      <c r="K1713">
        <v>4.7</v>
      </c>
      <c r="L1713" t="s">
        <v>143</v>
      </c>
      <c r="M1713" t="s">
        <v>143</v>
      </c>
      <c r="N1713">
        <v>19</v>
      </c>
      <c r="O1713" t="s">
        <v>34</v>
      </c>
      <c r="P1713" t="s">
        <v>79</v>
      </c>
    </row>
    <row r="1714" spans="1:16" ht="14.5" x14ac:dyDescent="0.35">
      <c r="A1714">
        <v>1713</v>
      </c>
      <c r="B1714">
        <v>65</v>
      </c>
      <c r="C1714" t="s">
        <v>16</v>
      </c>
      <c r="D1714" t="s">
        <v>104</v>
      </c>
      <c r="E1714" t="s">
        <v>18</v>
      </c>
      <c r="F1714">
        <v>87</v>
      </c>
      <c r="G1714" t="s">
        <v>106</v>
      </c>
      <c r="H1714" t="s">
        <v>32</v>
      </c>
      <c r="I1714" t="s">
        <v>109</v>
      </c>
      <c r="J1714" t="s">
        <v>50</v>
      </c>
      <c r="K1714">
        <v>3.8</v>
      </c>
      <c r="L1714" t="s">
        <v>143</v>
      </c>
      <c r="M1714" t="s">
        <v>143</v>
      </c>
      <c r="N1714">
        <v>9</v>
      </c>
      <c r="O1714" t="s">
        <v>29</v>
      </c>
      <c r="P1714" t="s">
        <v>25</v>
      </c>
    </row>
    <row r="1715" spans="1:16" ht="14.5" x14ac:dyDescent="0.35">
      <c r="A1715">
        <v>1714</v>
      </c>
      <c r="B1715">
        <v>49</v>
      </c>
      <c r="C1715" t="s">
        <v>16</v>
      </c>
      <c r="D1715" t="s">
        <v>93</v>
      </c>
      <c r="E1715" t="s">
        <v>56</v>
      </c>
      <c r="F1715">
        <v>22</v>
      </c>
      <c r="G1715" t="s">
        <v>61</v>
      </c>
      <c r="H1715" t="s">
        <v>39</v>
      </c>
      <c r="I1715" t="s">
        <v>62</v>
      </c>
      <c r="J1715" t="s">
        <v>22</v>
      </c>
      <c r="K1715">
        <v>4.5999999999999996</v>
      </c>
      <c r="L1715" t="s">
        <v>143</v>
      </c>
      <c r="M1715" t="s">
        <v>143</v>
      </c>
      <c r="N1715">
        <v>37</v>
      </c>
      <c r="O1715" t="s">
        <v>40</v>
      </c>
      <c r="P1715" t="s">
        <v>51</v>
      </c>
    </row>
    <row r="1716" spans="1:16" ht="14.5" x14ac:dyDescent="0.35">
      <c r="A1716">
        <v>1715</v>
      </c>
      <c r="B1716">
        <v>30</v>
      </c>
      <c r="C1716" t="s">
        <v>16</v>
      </c>
      <c r="D1716" t="s">
        <v>30</v>
      </c>
      <c r="E1716" t="s">
        <v>18</v>
      </c>
      <c r="F1716">
        <v>71</v>
      </c>
      <c r="G1716" t="s">
        <v>138</v>
      </c>
      <c r="H1716" t="s">
        <v>32</v>
      </c>
      <c r="I1716" t="s">
        <v>54</v>
      </c>
      <c r="J1716" t="s">
        <v>47</v>
      </c>
      <c r="K1716">
        <v>4.4000000000000004</v>
      </c>
      <c r="L1716" t="s">
        <v>143</v>
      </c>
      <c r="M1716" t="s">
        <v>143</v>
      </c>
      <c r="N1716">
        <v>15</v>
      </c>
      <c r="O1716" t="s">
        <v>29</v>
      </c>
      <c r="P1716" t="s">
        <v>79</v>
      </c>
    </row>
    <row r="1717" spans="1:16" ht="14.5" x14ac:dyDescent="0.35">
      <c r="A1717">
        <v>1716</v>
      </c>
      <c r="B1717">
        <v>23</v>
      </c>
      <c r="C1717" t="s">
        <v>16</v>
      </c>
      <c r="D1717" t="s">
        <v>72</v>
      </c>
      <c r="E1717" t="s">
        <v>18</v>
      </c>
      <c r="F1717">
        <v>69</v>
      </c>
      <c r="G1717" t="s">
        <v>126</v>
      </c>
      <c r="H1717" t="s">
        <v>83</v>
      </c>
      <c r="I1717" t="s">
        <v>21</v>
      </c>
      <c r="J1717" t="s">
        <v>33</v>
      </c>
      <c r="K1717">
        <v>3.4</v>
      </c>
      <c r="L1717" t="s">
        <v>143</v>
      </c>
      <c r="M1717" t="s">
        <v>143</v>
      </c>
      <c r="N1717">
        <v>30</v>
      </c>
      <c r="O1717" t="s">
        <v>40</v>
      </c>
      <c r="P1717" t="s">
        <v>67</v>
      </c>
    </row>
    <row r="1718" spans="1:16" ht="14.5" x14ac:dyDescent="0.35">
      <c r="A1718">
        <v>1717</v>
      </c>
      <c r="B1718">
        <v>69</v>
      </c>
      <c r="C1718" t="s">
        <v>16</v>
      </c>
      <c r="D1718" t="s">
        <v>17</v>
      </c>
      <c r="E1718" t="s">
        <v>18</v>
      </c>
      <c r="F1718">
        <v>47</v>
      </c>
      <c r="G1718" t="s">
        <v>130</v>
      </c>
      <c r="H1718" t="s">
        <v>39</v>
      </c>
      <c r="I1718" t="s">
        <v>100</v>
      </c>
      <c r="J1718" t="s">
        <v>22</v>
      </c>
      <c r="K1718">
        <v>4.7</v>
      </c>
      <c r="L1718" t="s">
        <v>143</v>
      </c>
      <c r="M1718" t="s">
        <v>143</v>
      </c>
      <c r="N1718">
        <v>30</v>
      </c>
      <c r="O1718" t="s">
        <v>29</v>
      </c>
      <c r="P1718" t="s">
        <v>88</v>
      </c>
    </row>
    <row r="1719" spans="1:16" ht="14.5" x14ac:dyDescent="0.35">
      <c r="A1719">
        <v>1718</v>
      </c>
      <c r="B1719">
        <v>29</v>
      </c>
      <c r="C1719" t="s">
        <v>16</v>
      </c>
      <c r="D1719" t="s">
        <v>95</v>
      </c>
      <c r="E1719" t="s">
        <v>18</v>
      </c>
      <c r="F1719">
        <v>50</v>
      </c>
      <c r="G1719" t="s">
        <v>68</v>
      </c>
      <c r="H1719" t="s">
        <v>20</v>
      </c>
      <c r="I1719" t="s">
        <v>112</v>
      </c>
      <c r="J1719" t="s">
        <v>47</v>
      </c>
      <c r="K1719">
        <v>2.9</v>
      </c>
      <c r="L1719" t="s">
        <v>143</v>
      </c>
      <c r="M1719" t="s">
        <v>143</v>
      </c>
      <c r="N1719">
        <v>16</v>
      </c>
      <c r="O1719" t="s">
        <v>77</v>
      </c>
      <c r="P1719" t="s">
        <v>67</v>
      </c>
    </row>
    <row r="1720" spans="1:16" ht="14.5" x14ac:dyDescent="0.35">
      <c r="A1720">
        <v>1719</v>
      </c>
      <c r="B1720">
        <v>54</v>
      </c>
      <c r="C1720" t="s">
        <v>16</v>
      </c>
      <c r="D1720" t="s">
        <v>104</v>
      </c>
      <c r="E1720" t="s">
        <v>18</v>
      </c>
      <c r="F1720">
        <v>96</v>
      </c>
      <c r="G1720" t="s">
        <v>119</v>
      </c>
      <c r="H1720" t="s">
        <v>20</v>
      </c>
      <c r="I1720" t="s">
        <v>62</v>
      </c>
      <c r="J1720" t="s">
        <v>22</v>
      </c>
      <c r="K1720">
        <v>3.4</v>
      </c>
      <c r="L1720" t="s">
        <v>143</v>
      </c>
      <c r="M1720" t="s">
        <v>143</v>
      </c>
      <c r="N1720">
        <v>14</v>
      </c>
      <c r="O1720" t="s">
        <v>40</v>
      </c>
      <c r="P1720" t="s">
        <v>88</v>
      </c>
    </row>
    <row r="1721" spans="1:16" ht="14.5" x14ac:dyDescent="0.35">
      <c r="A1721">
        <v>1720</v>
      </c>
      <c r="B1721">
        <v>45</v>
      </c>
      <c r="C1721" t="s">
        <v>16</v>
      </c>
      <c r="D1721" t="s">
        <v>26</v>
      </c>
      <c r="E1721" t="s">
        <v>18</v>
      </c>
      <c r="F1721">
        <v>39</v>
      </c>
      <c r="G1721" t="s">
        <v>119</v>
      </c>
      <c r="H1721" t="s">
        <v>39</v>
      </c>
      <c r="I1721" t="s">
        <v>46</v>
      </c>
      <c r="J1721" t="s">
        <v>22</v>
      </c>
      <c r="K1721">
        <v>3.2</v>
      </c>
      <c r="L1721" t="s">
        <v>143</v>
      </c>
      <c r="M1721" t="s">
        <v>143</v>
      </c>
      <c r="N1721">
        <v>8</v>
      </c>
      <c r="O1721" t="s">
        <v>24</v>
      </c>
      <c r="P1721" t="s">
        <v>51</v>
      </c>
    </row>
    <row r="1722" spans="1:16" ht="14.5" x14ac:dyDescent="0.35">
      <c r="A1722">
        <v>1721</v>
      </c>
      <c r="B1722">
        <v>25</v>
      </c>
      <c r="C1722" t="s">
        <v>16</v>
      </c>
      <c r="D1722" t="s">
        <v>52</v>
      </c>
      <c r="E1722" t="s">
        <v>18</v>
      </c>
      <c r="F1722">
        <v>84</v>
      </c>
      <c r="G1722" t="s">
        <v>31</v>
      </c>
      <c r="H1722" t="s">
        <v>32</v>
      </c>
      <c r="I1722" t="s">
        <v>109</v>
      </c>
      <c r="J1722" t="s">
        <v>22</v>
      </c>
      <c r="K1722">
        <v>2.8</v>
      </c>
      <c r="L1722" t="s">
        <v>143</v>
      </c>
      <c r="M1722" t="s">
        <v>143</v>
      </c>
      <c r="N1722">
        <v>40</v>
      </c>
      <c r="O1722" t="s">
        <v>77</v>
      </c>
      <c r="P1722" t="s">
        <v>67</v>
      </c>
    </row>
    <row r="1723" spans="1:16" ht="14.5" x14ac:dyDescent="0.35">
      <c r="A1723">
        <v>1722</v>
      </c>
      <c r="B1723">
        <v>34</v>
      </c>
      <c r="C1723" t="s">
        <v>16</v>
      </c>
      <c r="D1723" t="s">
        <v>97</v>
      </c>
      <c r="E1723" t="s">
        <v>60</v>
      </c>
      <c r="F1723">
        <v>28</v>
      </c>
      <c r="G1723" t="s">
        <v>70</v>
      </c>
      <c r="H1723" t="s">
        <v>32</v>
      </c>
      <c r="I1723" t="s">
        <v>127</v>
      </c>
      <c r="J1723" t="s">
        <v>33</v>
      </c>
      <c r="K1723">
        <v>4.3</v>
      </c>
      <c r="L1723" t="s">
        <v>143</v>
      </c>
      <c r="M1723" t="s">
        <v>143</v>
      </c>
      <c r="N1723">
        <v>24</v>
      </c>
      <c r="O1723" t="s">
        <v>34</v>
      </c>
      <c r="P1723" t="s">
        <v>79</v>
      </c>
    </row>
    <row r="1724" spans="1:16" ht="14.5" x14ac:dyDescent="0.35">
      <c r="A1724">
        <v>1723</v>
      </c>
      <c r="B1724">
        <v>46</v>
      </c>
      <c r="C1724" t="s">
        <v>16</v>
      </c>
      <c r="D1724" t="s">
        <v>104</v>
      </c>
      <c r="E1724" t="s">
        <v>18</v>
      </c>
      <c r="F1724">
        <v>51</v>
      </c>
      <c r="G1724" t="s">
        <v>31</v>
      </c>
      <c r="H1724" t="s">
        <v>20</v>
      </c>
      <c r="I1724" t="s">
        <v>74</v>
      </c>
      <c r="J1724" t="s">
        <v>47</v>
      </c>
      <c r="K1724">
        <v>3.3</v>
      </c>
      <c r="L1724" t="s">
        <v>143</v>
      </c>
      <c r="M1724" t="s">
        <v>143</v>
      </c>
      <c r="N1724">
        <v>14</v>
      </c>
      <c r="O1724" t="s">
        <v>29</v>
      </c>
      <c r="P1724" t="s">
        <v>25</v>
      </c>
    </row>
    <row r="1725" spans="1:16" ht="14.5" x14ac:dyDescent="0.35">
      <c r="A1725">
        <v>1724</v>
      </c>
      <c r="B1725">
        <v>70</v>
      </c>
      <c r="C1725" t="s">
        <v>16</v>
      </c>
      <c r="D1725" t="s">
        <v>110</v>
      </c>
      <c r="E1725" t="s">
        <v>60</v>
      </c>
      <c r="F1725">
        <v>20</v>
      </c>
      <c r="G1725" t="s">
        <v>75</v>
      </c>
      <c r="H1725" t="s">
        <v>83</v>
      </c>
      <c r="I1725" t="s">
        <v>71</v>
      </c>
      <c r="J1725" t="s">
        <v>33</v>
      </c>
      <c r="K1725">
        <v>3.3</v>
      </c>
      <c r="L1725" t="s">
        <v>143</v>
      </c>
      <c r="M1725" t="s">
        <v>143</v>
      </c>
      <c r="N1725">
        <v>39</v>
      </c>
      <c r="O1725" t="s">
        <v>40</v>
      </c>
      <c r="P1725" t="s">
        <v>43</v>
      </c>
    </row>
    <row r="1726" spans="1:16" ht="14.5" x14ac:dyDescent="0.35">
      <c r="A1726">
        <v>1725</v>
      </c>
      <c r="B1726">
        <v>42</v>
      </c>
      <c r="C1726" t="s">
        <v>16</v>
      </c>
      <c r="D1726" t="s">
        <v>63</v>
      </c>
      <c r="E1726" t="s">
        <v>37</v>
      </c>
      <c r="F1726">
        <v>72</v>
      </c>
      <c r="G1726" t="s">
        <v>70</v>
      </c>
      <c r="H1726" t="s">
        <v>32</v>
      </c>
      <c r="I1726" t="s">
        <v>76</v>
      </c>
      <c r="J1726" t="s">
        <v>22</v>
      </c>
      <c r="K1726">
        <v>3.3</v>
      </c>
      <c r="L1726" t="s">
        <v>143</v>
      </c>
      <c r="M1726" t="s">
        <v>143</v>
      </c>
      <c r="N1726">
        <v>21</v>
      </c>
      <c r="O1726" t="s">
        <v>40</v>
      </c>
      <c r="P1726" t="s">
        <v>35</v>
      </c>
    </row>
    <row r="1727" spans="1:16" ht="14.5" x14ac:dyDescent="0.35">
      <c r="A1727">
        <v>1726</v>
      </c>
      <c r="B1727">
        <v>45</v>
      </c>
      <c r="C1727" t="s">
        <v>16</v>
      </c>
      <c r="D1727" t="s">
        <v>80</v>
      </c>
      <c r="E1727" t="s">
        <v>60</v>
      </c>
      <c r="F1727">
        <v>33</v>
      </c>
      <c r="G1727" t="s">
        <v>31</v>
      </c>
      <c r="H1727" t="s">
        <v>39</v>
      </c>
      <c r="I1727" t="s">
        <v>117</v>
      </c>
      <c r="J1727" t="s">
        <v>33</v>
      </c>
      <c r="K1727">
        <v>3</v>
      </c>
      <c r="L1727" t="s">
        <v>143</v>
      </c>
      <c r="M1727" t="s">
        <v>143</v>
      </c>
      <c r="N1727">
        <v>32</v>
      </c>
      <c r="O1727" t="s">
        <v>24</v>
      </c>
      <c r="P1727" t="s">
        <v>51</v>
      </c>
    </row>
    <row r="1728" spans="1:16" ht="14.5" x14ac:dyDescent="0.35">
      <c r="A1728">
        <v>1727</v>
      </c>
      <c r="B1728">
        <v>57</v>
      </c>
      <c r="C1728" t="s">
        <v>16</v>
      </c>
      <c r="D1728" t="s">
        <v>55</v>
      </c>
      <c r="E1728" t="s">
        <v>56</v>
      </c>
      <c r="F1728">
        <v>28</v>
      </c>
      <c r="G1728" t="s">
        <v>107</v>
      </c>
      <c r="H1728" t="s">
        <v>32</v>
      </c>
      <c r="I1728" t="s">
        <v>69</v>
      </c>
      <c r="J1728" t="s">
        <v>47</v>
      </c>
      <c r="K1728">
        <v>2.8</v>
      </c>
      <c r="L1728" t="s">
        <v>143</v>
      </c>
      <c r="M1728" t="s">
        <v>143</v>
      </c>
      <c r="N1728">
        <v>45</v>
      </c>
      <c r="O1728" t="s">
        <v>77</v>
      </c>
      <c r="P1728" t="s">
        <v>35</v>
      </c>
    </row>
    <row r="1729" spans="1:16" ht="14.5" x14ac:dyDescent="0.35">
      <c r="A1729">
        <v>1728</v>
      </c>
      <c r="B1729">
        <v>49</v>
      </c>
      <c r="C1729" t="s">
        <v>16</v>
      </c>
      <c r="D1729" t="s">
        <v>17</v>
      </c>
      <c r="E1729" t="s">
        <v>18</v>
      </c>
      <c r="F1729">
        <v>53</v>
      </c>
      <c r="G1729" t="s">
        <v>132</v>
      </c>
      <c r="H1729" t="s">
        <v>32</v>
      </c>
      <c r="I1729" t="s">
        <v>74</v>
      </c>
      <c r="J1729" t="s">
        <v>33</v>
      </c>
      <c r="K1729">
        <v>4</v>
      </c>
      <c r="L1729" t="s">
        <v>143</v>
      </c>
      <c r="M1729" t="s">
        <v>143</v>
      </c>
      <c r="N1729">
        <v>19</v>
      </c>
      <c r="O1729" t="s">
        <v>40</v>
      </c>
      <c r="P1729" t="s">
        <v>79</v>
      </c>
    </row>
    <row r="1730" spans="1:16" ht="14.5" x14ac:dyDescent="0.35">
      <c r="A1730">
        <v>1729</v>
      </c>
      <c r="B1730">
        <v>23</v>
      </c>
      <c r="C1730" t="s">
        <v>16</v>
      </c>
      <c r="D1730" t="s">
        <v>30</v>
      </c>
      <c r="E1730" t="s">
        <v>18</v>
      </c>
      <c r="F1730">
        <v>48</v>
      </c>
      <c r="G1730" t="s">
        <v>45</v>
      </c>
      <c r="H1730" t="s">
        <v>20</v>
      </c>
      <c r="I1730" t="s">
        <v>85</v>
      </c>
      <c r="J1730" t="s">
        <v>50</v>
      </c>
      <c r="K1730">
        <v>4.3</v>
      </c>
      <c r="L1730" t="s">
        <v>143</v>
      </c>
      <c r="M1730" t="s">
        <v>143</v>
      </c>
      <c r="N1730">
        <v>1</v>
      </c>
      <c r="O1730" t="s">
        <v>77</v>
      </c>
      <c r="P1730" t="s">
        <v>88</v>
      </c>
    </row>
    <row r="1731" spans="1:16" ht="14.5" x14ac:dyDescent="0.35">
      <c r="A1731">
        <v>1730</v>
      </c>
      <c r="B1731">
        <v>47</v>
      </c>
      <c r="C1731" t="s">
        <v>16</v>
      </c>
      <c r="D1731" t="s">
        <v>52</v>
      </c>
      <c r="E1731" t="s">
        <v>18</v>
      </c>
      <c r="F1731">
        <v>21</v>
      </c>
      <c r="G1731" t="s">
        <v>106</v>
      </c>
      <c r="H1731" t="s">
        <v>39</v>
      </c>
      <c r="I1731" t="s">
        <v>101</v>
      </c>
      <c r="J1731" t="s">
        <v>22</v>
      </c>
      <c r="K1731">
        <v>3.8</v>
      </c>
      <c r="L1731" t="s">
        <v>143</v>
      </c>
      <c r="M1731" t="s">
        <v>143</v>
      </c>
      <c r="N1731">
        <v>12</v>
      </c>
      <c r="O1731" t="s">
        <v>24</v>
      </c>
      <c r="P1731" t="s">
        <v>25</v>
      </c>
    </row>
    <row r="1732" spans="1:16" ht="14.5" x14ac:dyDescent="0.35">
      <c r="A1732">
        <v>1731</v>
      </c>
      <c r="B1732">
        <v>23</v>
      </c>
      <c r="C1732" t="s">
        <v>16</v>
      </c>
      <c r="D1732" t="s">
        <v>48</v>
      </c>
      <c r="E1732" t="s">
        <v>18</v>
      </c>
      <c r="F1732">
        <v>22</v>
      </c>
      <c r="G1732" t="s">
        <v>81</v>
      </c>
      <c r="H1732" t="s">
        <v>32</v>
      </c>
      <c r="I1732" t="s">
        <v>58</v>
      </c>
      <c r="J1732" t="s">
        <v>50</v>
      </c>
      <c r="K1732">
        <v>4.2</v>
      </c>
      <c r="L1732" t="s">
        <v>143</v>
      </c>
      <c r="M1732" t="s">
        <v>143</v>
      </c>
      <c r="N1732">
        <v>26</v>
      </c>
      <c r="O1732" t="s">
        <v>34</v>
      </c>
      <c r="P1732" t="s">
        <v>35</v>
      </c>
    </row>
    <row r="1733" spans="1:16" ht="14.5" x14ac:dyDescent="0.35">
      <c r="A1733">
        <v>1732</v>
      </c>
      <c r="B1733">
        <v>21</v>
      </c>
      <c r="C1733" t="s">
        <v>16</v>
      </c>
      <c r="D1733" t="s">
        <v>123</v>
      </c>
      <c r="E1733" t="s">
        <v>60</v>
      </c>
      <c r="F1733">
        <v>87</v>
      </c>
      <c r="G1733" t="s">
        <v>126</v>
      </c>
      <c r="H1733" t="s">
        <v>39</v>
      </c>
      <c r="I1733" t="s">
        <v>21</v>
      </c>
      <c r="J1733" t="s">
        <v>50</v>
      </c>
      <c r="K1733">
        <v>3.1</v>
      </c>
      <c r="L1733" t="s">
        <v>143</v>
      </c>
      <c r="M1733" t="s">
        <v>143</v>
      </c>
      <c r="N1733">
        <v>12</v>
      </c>
      <c r="O1733" t="s">
        <v>29</v>
      </c>
      <c r="P1733" t="s">
        <v>79</v>
      </c>
    </row>
    <row r="1734" spans="1:16" ht="14.5" x14ac:dyDescent="0.35">
      <c r="A1734">
        <v>1733</v>
      </c>
      <c r="B1734">
        <v>45</v>
      </c>
      <c r="C1734" t="s">
        <v>16</v>
      </c>
      <c r="D1734" t="s">
        <v>124</v>
      </c>
      <c r="E1734" t="s">
        <v>60</v>
      </c>
      <c r="F1734">
        <v>50</v>
      </c>
      <c r="G1734" t="s">
        <v>38</v>
      </c>
      <c r="H1734" t="s">
        <v>32</v>
      </c>
      <c r="I1734" t="s">
        <v>54</v>
      </c>
      <c r="J1734" t="s">
        <v>22</v>
      </c>
      <c r="K1734">
        <v>2.6</v>
      </c>
      <c r="L1734" t="s">
        <v>143</v>
      </c>
      <c r="M1734" t="s">
        <v>143</v>
      </c>
      <c r="N1734">
        <v>36</v>
      </c>
      <c r="O1734" t="s">
        <v>29</v>
      </c>
      <c r="P1734" t="s">
        <v>88</v>
      </c>
    </row>
    <row r="1735" spans="1:16" ht="14.5" x14ac:dyDescent="0.35">
      <c r="A1735">
        <v>1734</v>
      </c>
      <c r="B1735">
        <v>67</v>
      </c>
      <c r="C1735" t="s">
        <v>16</v>
      </c>
      <c r="D1735" t="s">
        <v>17</v>
      </c>
      <c r="E1735" t="s">
        <v>18</v>
      </c>
      <c r="F1735">
        <v>85</v>
      </c>
      <c r="G1735" t="s">
        <v>75</v>
      </c>
      <c r="H1735" t="s">
        <v>20</v>
      </c>
      <c r="I1735" t="s">
        <v>85</v>
      </c>
      <c r="J1735" t="s">
        <v>47</v>
      </c>
      <c r="K1735">
        <v>3.4</v>
      </c>
      <c r="L1735" t="s">
        <v>143</v>
      </c>
      <c r="M1735" t="s">
        <v>143</v>
      </c>
      <c r="N1735">
        <v>22</v>
      </c>
      <c r="O1735" t="s">
        <v>34</v>
      </c>
      <c r="P1735" t="s">
        <v>43</v>
      </c>
    </row>
    <row r="1736" spans="1:16" ht="14.5" x14ac:dyDescent="0.35">
      <c r="A1736">
        <v>1735</v>
      </c>
      <c r="B1736">
        <v>31</v>
      </c>
      <c r="C1736" t="s">
        <v>16</v>
      </c>
      <c r="D1736" t="s">
        <v>30</v>
      </c>
      <c r="E1736" t="s">
        <v>18</v>
      </c>
      <c r="F1736">
        <v>98</v>
      </c>
      <c r="G1736" t="s">
        <v>61</v>
      </c>
      <c r="H1736" t="s">
        <v>20</v>
      </c>
      <c r="I1736" t="s">
        <v>101</v>
      </c>
      <c r="J1736" t="s">
        <v>33</v>
      </c>
      <c r="K1736">
        <v>3.1</v>
      </c>
      <c r="L1736" t="s">
        <v>143</v>
      </c>
      <c r="M1736" t="s">
        <v>143</v>
      </c>
      <c r="N1736">
        <v>16</v>
      </c>
      <c r="O1736" t="s">
        <v>40</v>
      </c>
      <c r="P1736" t="s">
        <v>51</v>
      </c>
    </row>
    <row r="1737" spans="1:16" ht="14.5" x14ac:dyDescent="0.35">
      <c r="A1737">
        <v>1736</v>
      </c>
      <c r="B1737">
        <v>58</v>
      </c>
      <c r="C1737" t="s">
        <v>16</v>
      </c>
      <c r="D1737" t="s">
        <v>72</v>
      </c>
      <c r="E1737" t="s">
        <v>18</v>
      </c>
      <c r="F1737">
        <v>34</v>
      </c>
      <c r="G1737" t="s">
        <v>96</v>
      </c>
      <c r="H1737" t="s">
        <v>39</v>
      </c>
      <c r="I1737" t="s">
        <v>65</v>
      </c>
      <c r="J1737" t="s">
        <v>22</v>
      </c>
      <c r="K1737">
        <v>3.6</v>
      </c>
      <c r="L1737" t="s">
        <v>143</v>
      </c>
      <c r="M1737" t="s">
        <v>143</v>
      </c>
      <c r="N1737">
        <v>31</v>
      </c>
      <c r="O1737" t="s">
        <v>24</v>
      </c>
      <c r="P1737" t="s">
        <v>43</v>
      </c>
    </row>
    <row r="1738" spans="1:16" ht="14.5" x14ac:dyDescent="0.35">
      <c r="A1738">
        <v>1737</v>
      </c>
      <c r="B1738">
        <v>57</v>
      </c>
      <c r="C1738" t="s">
        <v>16</v>
      </c>
      <c r="D1738" t="s">
        <v>52</v>
      </c>
      <c r="E1738" t="s">
        <v>18</v>
      </c>
      <c r="F1738">
        <v>61</v>
      </c>
      <c r="G1738" t="s">
        <v>113</v>
      </c>
      <c r="H1738" t="s">
        <v>39</v>
      </c>
      <c r="I1738" t="s">
        <v>65</v>
      </c>
      <c r="J1738" t="s">
        <v>47</v>
      </c>
      <c r="K1738">
        <v>2.6</v>
      </c>
      <c r="L1738" t="s">
        <v>143</v>
      </c>
      <c r="M1738" t="s">
        <v>143</v>
      </c>
      <c r="N1738">
        <v>43</v>
      </c>
      <c r="O1738" t="s">
        <v>29</v>
      </c>
      <c r="P1738" t="s">
        <v>51</v>
      </c>
    </row>
    <row r="1739" spans="1:16" ht="14.5" x14ac:dyDescent="0.35">
      <c r="A1739">
        <v>1738</v>
      </c>
      <c r="B1739">
        <v>42</v>
      </c>
      <c r="C1739" t="s">
        <v>16</v>
      </c>
      <c r="D1739" t="s">
        <v>97</v>
      </c>
      <c r="E1739" t="s">
        <v>60</v>
      </c>
      <c r="F1739">
        <v>98</v>
      </c>
      <c r="G1739" t="s">
        <v>114</v>
      </c>
      <c r="H1739" t="s">
        <v>20</v>
      </c>
      <c r="I1739" t="s">
        <v>21</v>
      </c>
      <c r="J1739" t="s">
        <v>47</v>
      </c>
      <c r="K1739">
        <v>4.2</v>
      </c>
      <c r="L1739" t="s">
        <v>143</v>
      </c>
      <c r="M1739" t="s">
        <v>143</v>
      </c>
      <c r="N1739">
        <v>50</v>
      </c>
      <c r="O1739" t="s">
        <v>24</v>
      </c>
      <c r="P1739" t="s">
        <v>67</v>
      </c>
    </row>
    <row r="1740" spans="1:16" ht="14.5" x14ac:dyDescent="0.35">
      <c r="A1740">
        <v>1739</v>
      </c>
      <c r="B1740">
        <v>60</v>
      </c>
      <c r="C1740" t="s">
        <v>16</v>
      </c>
      <c r="D1740" t="s">
        <v>59</v>
      </c>
      <c r="E1740" t="s">
        <v>60</v>
      </c>
      <c r="F1740">
        <v>61</v>
      </c>
      <c r="G1740" t="s">
        <v>113</v>
      </c>
      <c r="H1740" t="s">
        <v>39</v>
      </c>
      <c r="I1740" t="s">
        <v>87</v>
      </c>
      <c r="J1740" t="s">
        <v>33</v>
      </c>
      <c r="K1740">
        <v>2.9</v>
      </c>
      <c r="L1740" t="s">
        <v>143</v>
      </c>
      <c r="M1740" t="s">
        <v>143</v>
      </c>
      <c r="N1740">
        <v>37</v>
      </c>
      <c r="O1740" t="s">
        <v>34</v>
      </c>
      <c r="P1740" t="s">
        <v>35</v>
      </c>
    </row>
    <row r="1741" spans="1:16" ht="14.5" x14ac:dyDescent="0.35">
      <c r="A1741">
        <v>1740</v>
      </c>
      <c r="B1741">
        <v>21</v>
      </c>
      <c r="C1741" t="s">
        <v>16</v>
      </c>
      <c r="D1741" t="s">
        <v>97</v>
      </c>
      <c r="E1741" t="s">
        <v>60</v>
      </c>
      <c r="F1741">
        <v>98</v>
      </c>
      <c r="G1741" t="s">
        <v>139</v>
      </c>
      <c r="H1741" t="s">
        <v>20</v>
      </c>
      <c r="I1741" t="s">
        <v>58</v>
      </c>
      <c r="J1741" t="s">
        <v>22</v>
      </c>
      <c r="K1741">
        <v>4.2</v>
      </c>
      <c r="L1741" t="s">
        <v>143</v>
      </c>
      <c r="M1741" t="s">
        <v>143</v>
      </c>
      <c r="N1741">
        <v>23</v>
      </c>
      <c r="O1741" t="s">
        <v>29</v>
      </c>
      <c r="P1741" t="s">
        <v>35</v>
      </c>
    </row>
    <row r="1742" spans="1:16" ht="14.5" x14ac:dyDescent="0.35">
      <c r="A1742">
        <v>1741</v>
      </c>
      <c r="B1742">
        <v>69</v>
      </c>
      <c r="C1742" t="s">
        <v>16</v>
      </c>
      <c r="D1742" t="s">
        <v>86</v>
      </c>
      <c r="E1742" t="s">
        <v>18</v>
      </c>
      <c r="F1742">
        <v>21</v>
      </c>
      <c r="G1742" t="s">
        <v>141</v>
      </c>
      <c r="H1742" t="s">
        <v>20</v>
      </c>
      <c r="I1742" t="s">
        <v>54</v>
      </c>
      <c r="J1742" t="s">
        <v>50</v>
      </c>
      <c r="K1742">
        <v>3.3</v>
      </c>
      <c r="L1742" t="s">
        <v>143</v>
      </c>
      <c r="M1742" t="s">
        <v>143</v>
      </c>
      <c r="N1742">
        <v>10</v>
      </c>
      <c r="O1742" t="s">
        <v>66</v>
      </c>
      <c r="P1742" t="s">
        <v>88</v>
      </c>
    </row>
    <row r="1743" spans="1:16" ht="14.5" x14ac:dyDescent="0.35">
      <c r="A1743">
        <v>1742</v>
      </c>
      <c r="B1743">
        <v>41</v>
      </c>
      <c r="C1743" t="s">
        <v>16</v>
      </c>
      <c r="D1743" t="s">
        <v>86</v>
      </c>
      <c r="E1743" t="s">
        <v>18</v>
      </c>
      <c r="F1743">
        <v>51</v>
      </c>
      <c r="G1743" t="s">
        <v>70</v>
      </c>
      <c r="H1743" t="s">
        <v>83</v>
      </c>
      <c r="I1743" t="s">
        <v>76</v>
      </c>
      <c r="J1743" t="s">
        <v>22</v>
      </c>
      <c r="K1743">
        <v>3.6</v>
      </c>
      <c r="L1743" t="s">
        <v>143</v>
      </c>
      <c r="M1743" t="s">
        <v>143</v>
      </c>
      <c r="N1743">
        <v>20</v>
      </c>
      <c r="O1743" t="s">
        <v>66</v>
      </c>
      <c r="P1743" t="s">
        <v>79</v>
      </c>
    </row>
    <row r="1744" spans="1:16" ht="14.5" x14ac:dyDescent="0.35">
      <c r="A1744">
        <v>1743</v>
      </c>
      <c r="B1744">
        <v>51</v>
      </c>
      <c r="C1744" t="s">
        <v>16</v>
      </c>
      <c r="D1744" t="s">
        <v>36</v>
      </c>
      <c r="E1744" t="s">
        <v>37</v>
      </c>
      <c r="F1744">
        <v>80</v>
      </c>
      <c r="G1744" t="s">
        <v>102</v>
      </c>
      <c r="H1744" t="s">
        <v>83</v>
      </c>
      <c r="I1744" t="s">
        <v>46</v>
      </c>
      <c r="J1744" t="s">
        <v>33</v>
      </c>
      <c r="K1744">
        <v>4.3</v>
      </c>
      <c r="L1744" t="s">
        <v>143</v>
      </c>
      <c r="M1744" t="s">
        <v>143</v>
      </c>
      <c r="N1744">
        <v>18</v>
      </c>
      <c r="O1744" t="s">
        <v>24</v>
      </c>
      <c r="P1744" t="s">
        <v>88</v>
      </c>
    </row>
    <row r="1745" spans="1:16" ht="14.5" x14ac:dyDescent="0.35">
      <c r="A1745">
        <v>1744</v>
      </c>
      <c r="B1745">
        <v>23</v>
      </c>
      <c r="C1745" t="s">
        <v>16</v>
      </c>
      <c r="D1745" t="s">
        <v>78</v>
      </c>
      <c r="E1745" t="s">
        <v>18</v>
      </c>
      <c r="F1745">
        <v>72</v>
      </c>
      <c r="G1745" t="s">
        <v>61</v>
      </c>
      <c r="H1745" t="s">
        <v>83</v>
      </c>
      <c r="I1745" t="s">
        <v>101</v>
      </c>
      <c r="J1745" t="s">
        <v>22</v>
      </c>
      <c r="K1745">
        <v>3.3</v>
      </c>
      <c r="L1745" t="s">
        <v>143</v>
      </c>
      <c r="M1745" t="s">
        <v>143</v>
      </c>
      <c r="N1745">
        <v>3</v>
      </c>
      <c r="O1745" t="s">
        <v>66</v>
      </c>
      <c r="P1745" t="s">
        <v>35</v>
      </c>
    </row>
    <row r="1746" spans="1:16" ht="14.5" x14ac:dyDescent="0.35">
      <c r="A1746">
        <v>1745</v>
      </c>
      <c r="B1746">
        <v>57</v>
      </c>
      <c r="C1746" t="s">
        <v>16</v>
      </c>
      <c r="D1746" t="s">
        <v>80</v>
      </c>
      <c r="E1746" t="s">
        <v>60</v>
      </c>
      <c r="F1746">
        <v>63</v>
      </c>
      <c r="G1746" t="s">
        <v>142</v>
      </c>
      <c r="H1746" t="s">
        <v>20</v>
      </c>
      <c r="I1746" t="s">
        <v>76</v>
      </c>
      <c r="J1746" t="s">
        <v>22</v>
      </c>
      <c r="K1746">
        <v>3</v>
      </c>
      <c r="L1746" t="s">
        <v>143</v>
      </c>
      <c r="M1746" t="s">
        <v>143</v>
      </c>
      <c r="N1746">
        <v>23</v>
      </c>
      <c r="O1746" t="s">
        <v>40</v>
      </c>
      <c r="P1746" t="s">
        <v>35</v>
      </c>
    </row>
    <row r="1747" spans="1:16" ht="14.5" x14ac:dyDescent="0.35">
      <c r="A1747">
        <v>1746</v>
      </c>
      <c r="B1747">
        <v>40</v>
      </c>
      <c r="C1747" t="s">
        <v>16</v>
      </c>
      <c r="D1747" t="s">
        <v>78</v>
      </c>
      <c r="E1747" t="s">
        <v>18</v>
      </c>
      <c r="F1747">
        <v>27</v>
      </c>
      <c r="G1747" t="s">
        <v>57</v>
      </c>
      <c r="H1747" t="s">
        <v>20</v>
      </c>
      <c r="I1747" t="s">
        <v>99</v>
      </c>
      <c r="J1747" t="s">
        <v>22</v>
      </c>
      <c r="K1747">
        <v>3.6</v>
      </c>
      <c r="L1747" t="s">
        <v>143</v>
      </c>
      <c r="M1747" t="s">
        <v>143</v>
      </c>
      <c r="N1747">
        <v>27</v>
      </c>
      <c r="O1747" t="s">
        <v>29</v>
      </c>
      <c r="P1747" t="s">
        <v>35</v>
      </c>
    </row>
    <row r="1748" spans="1:16" ht="14.5" x14ac:dyDescent="0.35">
      <c r="A1748">
        <v>1747</v>
      </c>
      <c r="B1748">
        <v>65</v>
      </c>
      <c r="C1748" t="s">
        <v>16</v>
      </c>
      <c r="D1748" t="s">
        <v>59</v>
      </c>
      <c r="E1748" t="s">
        <v>60</v>
      </c>
      <c r="F1748">
        <v>44</v>
      </c>
      <c r="G1748" t="s">
        <v>81</v>
      </c>
      <c r="H1748" t="s">
        <v>20</v>
      </c>
      <c r="I1748" t="s">
        <v>101</v>
      </c>
      <c r="J1748" t="s">
        <v>47</v>
      </c>
      <c r="K1748">
        <v>3.1</v>
      </c>
      <c r="L1748" t="s">
        <v>143</v>
      </c>
      <c r="M1748" t="s">
        <v>143</v>
      </c>
      <c r="N1748">
        <v>44</v>
      </c>
      <c r="O1748" t="s">
        <v>66</v>
      </c>
      <c r="P1748" t="s">
        <v>25</v>
      </c>
    </row>
    <row r="1749" spans="1:16" ht="14.5" x14ac:dyDescent="0.35">
      <c r="A1749">
        <v>1748</v>
      </c>
      <c r="B1749">
        <v>61</v>
      </c>
      <c r="C1749" t="s">
        <v>16</v>
      </c>
      <c r="D1749" t="s">
        <v>55</v>
      </c>
      <c r="E1749" t="s">
        <v>56</v>
      </c>
      <c r="F1749">
        <v>23</v>
      </c>
      <c r="G1749" t="s">
        <v>73</v>
      </c>
      <c r="H1749" t="s">
        <v>39</v>
      </c>
      <c r="I1749" t="s">
        <v>125</v>
      </c>
      <c r="J1749" t="s">
        <v>22</v>
      </c>
      <c r="K1749">
        <v>2.9</v>
      </c>
      <c r="L1749" t="s">
        <v>143</v>
      </c>
      <c r="M1749" t="s">
        <v>143</v>
      </c>
      <c r="N1749">
        <v>41</v>
      </c>
      <c r="O1749" t="s">
        <v>24</v>
      </c>
      <c r="P1749" t="s">
        <v>51</v>
      </c>
    </row>
    <row r="1750" spans="1:16" ht="14.5" x14ac:dyDescent="0.35">
      <c r="A1750">
        <v>1749</v>
      </c>
      <c r="B1750">
        <v>34</v>
      </c>
      <c r="C1750" t="s">
        <v>16</v>
      </c>
      <c r="D1750" t="s">
        <v>78</v>
      </c>
      <c r="E1750" t="s">
        <v>18</v>
      </c>
      <c r="F1750">
        <v>93</v>
      </c>
      <c r="G1750" t="s">
        <v>49</v>
      </c>
      <c r="H1750" t="s">
        <v>20</v>
      </c>
      <c r="I1750" t="s">
        <v>76</v>
      </c>
      <c r="J1750" t="s">
        <v>22</v>
      </c>
      <c r="K1750">
        <v>3.9</v>
      </c>
      <c r="L1750" t="s">
        <v>143</v>
      </c>
      <c r="M1750" t="s">
        <v>143</v>
      </c>
      <c r="N1750">
        <v>41</v>
      </c>
      <c r="O1750" t="s">
        <v>66</v>
      </c>
      <c r="P1750" t="s">
        <v>43</v>
      </c>
    </row>
    <row r="1751" spans="1:16" ht="14.5" x14ac:dyDescent="0.35">
      <c r="A1751">
        <v>1750</v>
      </c>
      <c r="B1751">
        <v>43</v>
      </c>
      <c r="C1751" t="s">
        <v>16</v>
      </c>
      <c r="D1751" t="s">
        <v>95</v>
      </c>
      <c r="E1751" t="s">
        <v>18</v>
      </c>
      <c r="F1751">
        <v>70</v>
      </c>
      <c r="G1751" t="s">
        <v>45</v>
      </c>
      <c r="H1751" t="s">
        <v>20</v>
      </c>
      <c r="I1751" t="s">
        <v>62</v>
      </c>
      <c r="J1751" t="s">
        <v>50</v>
      </c>
      <c r="K1751">
        <v>3.2</v>
      </c>
      <c r="L1751" t="s">
        <v>143</v>
      </c>
      <c r="M1751" t="s">
        <v>143</v>
      </c>
      <c r="N1751">
        <v>36</v>
      </c>
      <c r="O1751" t="s">
        <v>77</v>
      </c>
      <c r="P1751" t="s">
        <v>88</v>
      </c>
    </row>
    <row r="1752" spans="1:16" ht="14.5" x14ac:dyDescent="0.35">
      <c r="A1752">
        <v>1751</v>
      </c>
      <c r="B1752">
        <v>31</v>
      </c>
      <c r="C1752" t="s">
        <v>16</v>
      </c>
      <c r="D1752" t="s">
        <v>80</v>
      </c>
      <c r="E1752" t="s">
        <v>60</v>
      </c>
      <c r="F1752">
        <v>85</v>
      </c>
      <c r="G1752" t="s">
        <v>61</v>
      </c>
      <c r="H1752" t="s">
        <v>39</v>
      </c>
      <c r="I1752" t="s">
        <v>46</v>
      </c>
      <c r="J1752" t="s">
        <v>50</v>
      </c>
      <c r="K1752">
        <v>3.1</v>
      </c>
      <c r="L1752" t="s">
        <v>143</v>
      </c>
      <c r="M1752" t="s">
        <v>143</v>
      </c>
      <c r="N1752">
        <v>38</v>
      </c>
      <c r="O1752" t="s">
        <v>24</v>
      </c>
      <c r="P1752" t="s">
        <v>88</v>
      </c>
    </row>
    <row r="1753" spans="1:16" ht="14.5" x14ac:dyDescent="0.35">
      <c r="A1753">
        <v>1752</v>
      </c>
      <c r="B1753">
        <v>57</v>
      </c>
      <c r="C1753" t="s">
        <v>16</v>
      </c>
      <c r="D1753" t="s">
        <v>26</v>
      </c>
      <c r="E1753" t="s">
        <v>18</v>
      </c>
      <c r="F1753">
        <v>40</v>
      </c>
      <c r="G1753" t="s">
        <v>114</v>
      </c>
      <c r="H1753" t="s">
        <v>39</v>
      </c>
      <c r="I1753" t="s">
        <v>58</v>
      </c>
      <c r="J1753" t="s">
        <v>22</v>
      </c>
      <c r="K1753">
        <v>3.2</v>
      </c>
      <c r="L1753" t="s">
        <v>143</v>
      </c>
      <c r="M1753" t="s">
        <v>143</v>
      </c>
      <c r="N1753">
        <v>34</v>
      </c>
      <c r="O1753" t="s">
        <v>29</v>
      </c>
      <c r="P1753" t="s">
        <v>43</v>
      </c>
    </row>
    <row r="1754" spans="1:16" ht="14.5" x14ac:dyDescent="0.35">
      <c r="A1754">
        <v>1753</v>
      </c>
      <c r="B1754">
        <v>34</v>
      </c>
      <c r="C1754" t="s">
        <v>16</v>
      </c>
      <c r="D1754" t="s">
        <v>128</v>
      </c>
      <c r="E1754" t="s">
        <v>37</v>
      </c>
      <c r="F1754">
        <v>29</v>
      </c>
      <c r="G1754" t="s">
        <v>138</v>
      </c>
      <c r="H1754" t="s">
        <v>20</v>
      </c>
      <c r="I1754" t="s">
        <v>135</v>
      </c>
      <c r="J1754" t="s">
        <v>22</v>
      </c>
      <c r="K1754">
        <v>3.3</v>
      </c>
      <c r="L1754" t="s">
        <v>143</v>
      </c>
      <c r="M1754" t="s">
        <v>143</v>
      </c>
      <c r="N1754">
        <v>14</v>
      </c>
      <c r="O1754" t="s">
        <v>24</v>
      </c>
      <c r="P1754" t="s">
        <v>51</v>
      </c>
    </row>
    <row r="1755" spans="1:16" ht="14.5" x14ac:dyDescent="0.35">
      <c r="A1755">
        <v>1754</v>
      </c>
      <c r="B1755">
        <v>25</v>
      </c>
      <c r="C1755" t="s">
        <v>16</v>
      </c>
      <c r="D1755" t="s">
        <v>78</v>
      </c>
      <c r="E1755" t="s">
        <v>18</v>
      </c>
      <c r="F1755">
        <v>27</v>
      </c>
      <c r="G1755" t="s">
        <v>103</v>
      </c>
      <c r="H1755" t="s">
        <v>20</v>
      </c>
      <c r="I1755" t="s">
        <v>85</v>
      </c>
      <c r="J1755" t="s">
        <v>50</v>
      </c>
      <c r="K1755">
        <v>4.8</v>
      </c>
      <c r="L1755" t="s">
        <v>143</v>
      </c>
      <c r="M1755" t="s">
        <v>143</v>
      </c>
      <c r="N1755">
        <v>23</v>
      </c>
      <c r="O1755" t="s">
        <v>34</v>
      </c>
      <c r="P1755" t="s">
        <v>25</v>
      </c>
    </row>
    <row r="1756" spans="1:16" ht="14.5" x14ac:dyDescent="0.35">
      <c r="A1756">
        <v>1755</v>
      </c>
      <c r="B1756">
        <v>66</v>
      </c>
      <c r="C1756" t="s">
        <v>16</v>
      </c>
      <c r="D1756" t="s">
        <v>72</v>
      </c>
      <c r="E1756" t="s">
        <v>18</v>
      </c>
      <c r="F1756">
        <v>93</v>
      </c>
      <c r="G1756" t="s">
        <v>31</v>
      </c>
      <c r="H1756" t="s">
        <v>32</v>
      </c>
      <c r="I1756" t="s">
        <v>109</v>
      </c>
      <c r="J1756" t="s">
        <v>50</v>
      </c>
      <c r="K1756">
        <v>3.8</v>
      </c>
      <c r="L1756" t="s">
        <v>143</v>
      </c>
      <c r="M1756" t="s">
        <v>143</v>
      </c>
      <c r="N1756">
        <v>18</v>
      </c>
      <c r="O1756" t="s">
        <v>34</v>
      </c>
      <c r="P1756" t="s">
        <v>25</v>
      </c>
    </row>
    <row r="1757" spans="1:16" ht="14.5" x14ac:dyDescent="0.35">
      <c r="A1757">
        <v>1756</v>
      </c>
      <c r="B1757">
        <v>56</v>
      </c>
      <c r="C1757" t="s">
        <v>16</v>
      </c>
      <c r="D1757" t="s">
        <v>124</v>
      </c>
      <c r="E1757" t="s">
        <v>60</v>
      </c>
      <c r="F1757">
        <v>20</v>
      </c>
      <c r="G1757" t="s">
        <v>70</v>
      </c>
      <c r="H1757" t="s">
        <v>83</v>
      </c>
      <c r="I1757" t="s">
        <v>54</v>
      </c>
      <c r="J1757" t="s">
        <v>33</v>
      </c>
      <c r="K1757">
        <v>4.5999999999999996</v>
      </c>
      <c r="L1757" t="s">
        <v>143</v>
      </c>
      <c r="M1757" t="s">
        <v>143</v>
      </c>
      <c r="N1757">
        <v>45</v>
      </c>
      <c r="O1757" t="s">
        <v>29</v>
      </c>
      <c r="P1757" t="s">
        <v>79</v>
      </c>
    </row>
    <row r="1758" spans="1:16" ht="14.5" x14ac:dyDescent="0.35">
      <c r="A1758">
        <v>1757</v>
      </c>
      <c r="B1758">
        <v>49</v>
      </c>
      <c r="C1758" t="s">
        <v>16</v>
      </c>
      <c r="D1758" t="s">
        <v>97</v>
      </c>
      <c r="E1758" t="s">
        <v>60</v>
      </c>
      <c r="F1758">
        <v>55</v>
      </c>
      <c r="G1758" t="s">
        <v>73</v>
      </c>
      <c r="H1758" t="s">
        <v>32</v>
      </c>
      <c r="I1758" t="s">
        <v>100</v>
      </c>
      <c r="J1758" t="s">
        <v>50</v>
      </c>
      <c r="K1758">
        <v>2.8</v>
      </c>
      <c r="L1758" t="s">
        <v>143</v>
      </c>
      <c r="M1758" t="s">
        <v>143</v>
      </c>
      <c r="N1758">
        <v>14</v>
      </c>
      <c r="O1758" t="s">
        <v>66</v>
      </c>
      <c r="P1758" t="s">
        <v>35</v>
      </c>
    </row>
    <row r="1759" spans="1:16" ht="14.5" x14ac:dyDescent="0.35">
      <c r="A1759">
        <v>1758</v>
      </c>
      <c r="B1759">
        <v>19</v>
      </c>
      <c r="C1759" t="s">
        <v>16</v>
      </c>
      <c r="D1759" t="s">
        <v>72</v>
      </c>
      <c r="E1759" t="s">
        <v>18</v>
      </c>
      <c r="F1759">
        <v>94</v>
      </c>
      <c r="G1759" t="s">
        <v>142</v>
      </c>
      <c r="H1759" t="s">
        <v>20</v>
      </c>
      <c r="I1759" t="s">
        <v>125</v>
      </c>
      <c r="J1759" t="s">
        <v>50</v>
      </c>
      <c r="K1759">
        <v>3.6</v>
      </c>
      <c r="L1759" t="s">
        <v>143</v>
      </c>
      <c r="M1759" t="s">
        <v>143</v>
      </c>
      <c r="N1759">
        <v>48</v>
      </c>
      <c r="O1759" t="s">
        <v>77</v>
      </c>
      <c r="P1759" t="s">
        <v>43</v>
      </c>
    </row>
    <row r="1760" spans="1:16" ht="14.5" x14ac:dyDescent="0.35">
      <c r="A1760">
        <v>1759</v>
      </c>
      <c r="B1760">
        <v>27</v>
      </c>
      <c r="C1760" t="s">
        <v>16</v>
      </c>
      <c r="D1760" t="s">
        <v>115</v>
      </c>
      <c r="E1760" t="s">
        <v>60</v>
      </c>
      <c r="F1760">
        <v>56</v>
      </c>
      <c r="G1760" t="s">
        <v>129</v>
      </c>
      <c r="H1760" t="s">
        <v>39</v>
      </c>
      <c r="I1760" t="s">
        <v>58</v>
      </c>
      <c r="J1760" t="s">
        <v>22</v>
      </c>
      <c r="K1760">
        <v>4.3</v>
      </c>
      <c r="L1760" t="s">
        <v>143</v>
      </c>
      <c r="M1760" t="s">
        <v>143</v>
      </c>
      <c r="N1760">
        <v>17</v>
      </c>
      <c r="O1760" t="s">
        <v>24</v>
      </c>
      <c r="P1760" t="s">
        <v>67</v>
      </c>
    </row>
    <row r="1761" spans="1:16" ht="14.5" x14ac:dyDescent="0.35">
      <c r="A1761">
        <v>1760</v>
      </c>
      <c r="B1761">
        <v>68</v>
      </c>
      <c r="C1761" t="s">
        <v>16</v>
      </c>
      <c r="D1761" t="s">
        <v>26</v>
      </c>
      <c r="E1761" t="s">
        <v>18</v>
      </c>
      <c r="F1761">
        <v>58</v>
      </c>
      <c r="G1761" t="s">
        <v>53</v>
      </c>
      <c r="H1761" t="s">
        <v>20</v>
      </c>
      <c r="I1761" t="s">
        <v>87</v>
      </c>
      <c r="J1761" t="s">
        <v>33</v>
      </c>
      <c r="K1761">
        <v>4</v>
      </c>
      <c r="L1761" t="s">
        <v>143</v>
      </c>
      <c r="M1761" t="s">
        <v>143</v>
      </c>
      <c r="N1761">
        <v>1</v>
      </c>
      <c r="O1761" t="s">
        <v>40</v>
      </c>
      <c r="P1761" t="s">
        <v>35</v>
      </c>
    </row>
    <row r="1762" spans="1:16" ht="14.5" x14ac:dyDescent="0.35">
      <c r="A1762">
        <v>1761</v>
      </c>
      <c r="B1762">
        <v>20</v>
      </c>
      <c r="C1762" t="s">
        <v>16</v>
      </c>
      <c r="D1762" t="s">
        <v>78</v>
      </c>
      <c r="E1762" t="s">
        <v>18</v>
      </c>
      <c r="F1762">
        <v>44</v>
      </c>
      <c r="G1762" t="s">
        <v>139</v>
      </c>
      <c r="H1762" t="s">
        <v>83</v>
      </c>
      <c r="I1762" t="s">
        <v>91</v>
      </c>
      <c r="J1762" t="s">
        <v>33</v>
      </c>
      <c r="K1762">
        <v>3.5</v>
      </c>
      <c r="L1762" t="s">
        <v>143</v>
      </c>
      <c r="M1762" t="s">
        <v>143</v>
      </c>
      <c r="N1762">
        <v>39</v>
      </c>
      <c r="O1762" t="s">
        <v>40</v>
      </c>
      <c r="P1762" t="s">
        <v>35</v>
      </c>
    </row>
    <row r="1763" spans="1:16" ht="14.5" x14ac:dyDescent="0.35">
      <c r="A1763">
        <v>1762</v>
      </c>
      <c r="B1763">
        <v>21</v>
      </c>
      <c r="C1763" t="s">
        <v>16</v>
      </c>
      <c r="D1763" t="s">
        <v>95</v>
      </c>
      <c r="E1763" t="s">
        <v>18</v>
      </c>
      <c r="F1763">
        <v>95</v>
      </c>
      <c r="G1763" t="s">
        <v>68</v>
      </c>
      <c r="H1763" t="s">
        <v>32</v>
      </c>
      <c r="I1763" t="s">
        <v>87</v>
      </c>
      <c r="J1763" t="s">
        <v>50</v>
      </c>
      <c r="K1763">
        <v>4.9000000000000004</v>
      </c>
      <c r="L1763" t="s">
        <v>143</v>
      </c>
      <c r="M1763" t="s">
        <v>143</v>
      </c>
      <c r="N1763">
        <v>24</v>
      </c>
      <c r="O1763" t="s">
        <v>29</v>
      </c>
      <c r="P1763" t="s">
        <v>35</v>
      </c>
    </row>
    <row r="1764" spans="1:16" ht="14.5" x14ac:dyDescent="0.35">
      <c r="A1764">
        <v>1763</v>
      </c>
      <c r="B1764">
        <v>36</v>
      </c>
      <c r="C1764" t="s">
        <v>16</v>
      </c>
      <c r="D1764" t="s">
        <v>36</v>
      </c>
      <c r="E1764" t="s">
        <v>37</v>
      </c>
      <c r="F1764">
        <v>42</v>
      </c>
      <c r="G1764" t="s">
        <v>126</v>
      </c>
      <c r="H1764" t="s">
        <v>39</v>
      </c>
      <c r="I1764" t="s">
        <v>101</v>
      </c>
      <c r="J1764" t="s">
        <v>47</v>
      </c>
      <c r="K1764">
        <v>3.1</v>
      </c>
      <c r="L1764" t="s">
        <v>143</v>
      </c>
      <c r="M1764" t="s">
        <v>143</v>
      </c>
      <c r="N1764">
        <v>41</v>
      </c>
      <c r="O1764" t="s">
        <v>66</v>
      </c>
      <c r="P1764" t="s">
        <v>25</v>
      </c>
    </row>
    <row r="1765" spans="1:16" ht="14.5" x14ac:dyDescent="0.35">
      <c r="A1765">
        <v>1764</v>
      </c>
      <c r="B1765">
        <v>37</v>
      </c>
      <c r="C1765" t="s">
        <v>16</v>
      </c>
      <c r="D1765" t="s">
        <v>97</v>
      </c>
      <c r="E1765" t="s">
        <v>60</v>
      </c>
      <c r="F1765">
        <v>93</v>
      </c>
      <c r="G1765" t="s">
        <v>120</v>
      </c>
      <c r="H1765" t="s">
        <v>39</v>
      </c>
      <c r="I1765" t="s">
        <v>84</v>
      </c>
      <c r="J1765" t="s">
        <v>22</v>
      </c>
      <c r="K1765">
        <v>3.9</v>
      </c>
      <c r="L1765" t="s">
        <v>143</v>
      </c>
      <c r="M1765" t="s">
        <v>143</v>
      </c>
      <c r="N1765">
        <v>28</v>
      </c>
      <c r="O1765" t="s">
        <v>40</v>
      </c>
      <c r="P1765" t="s">
        <v>43</v>
      </c>
    </row>
    <row r="1766" spans="1:16" ht="14.5" x14ac:dyDescent="0.35">
      <c r="A1766">
        <v>1765</v>
      </c>
      <c r="B1766">
        <v>61</v>
      </c>
      <c r="C1766" t="s">
        <v>16</v>
      </c>
      <c r="D1766" t="s">
        <v>72</v>
      </c>
      <c r="E1766" t="s">
        <v>18</v>
      </c>
      <c r="F1766">
        <v>56</v>
      </c>
      <c r="G1766" t="s">
        <v>70</v>
      </c>
      <c r="H1766" t="s">
        <v>39</v>
      </c>
      <c r="I1766" t="s">
        <v>54</v>
      </c>
      <c r="J1766" t="s">
        <v>47</v>
      </c>
      <c r="K1766">
        <v>3</v>
      </c>
      <c r="L1766" t="s">
        <v>143</v>
      </c>
      <c r="M1766" t="s">
        <v>143</v>
      </c>
      <c r="N1766">
        <v>34</v>
      </c>
      <c r="O1766" t="s">
        <v>24</v>
      </c>
      <c r="P1766" t="s">
        <v>51</v>
      </c>
    </row>
    <row r="1767" spans="1:16" ht="14.5" x14ac:dyDescent="0.35">
      <c r="A1767">
        <v>1766</v>
      </c>
      <c r="B1767">
        <v>68</v>
      </c>
      <c r="C1767" t="s">
        <v>16</v>
      </c>
      <c r="D1767" t="s">
        <v>95</v>
      </c>
      <c r="E1767" t="s">
        <v>18</v>
      </c>
      <c r="F1767">
        <v>88</v>
      </c>
      <c r="G1767" t="s">
        <v>121</v>
      </c>
      <c r="H1767" t="s">
        <v>39</v>
      </c>
      <c r="I1767" t="s">
        <v>112</v>
      </c>
      <c r="J1767" t="s">
        <v>33</v>
      </c>
      <c r="K1767">
        <v>4.0999999999999996</v>
      </c>
      <c r="L1767" t="s">
        <v>143</v>
      </c>
      <c r="M1767" t="s">
        <v>143</v>
      </c>
      <c r="N1767">
        <v>41</v>
      </c>
      <c r="O1767" t="s">
        <v>24</v>
      </c>
      <c r="P1767" t="s">
        <v>51</v>
      </c>
    </row>
    <row r="1768" spans="1:16" ht="14.5" x14ac:dyDescent="0.35">
      <c r="A1768">
        <v>1767</v>
      </c>
      <c r="B1768">
        <v>60</v>
      </c>
      <c r="C1768" t="s">
        <v>16</v>
      </c>
      <c r="D1768" t="s">
        <v>26</v>
      </c>
      <c r="E1768" t="s">
        <v>18</v>
      </c>
      <c r="F1768">
        <v>54</v>
      </c>
      <c r="G1768" t="s">
        <v>111</v>
      </c>
      <c r="H1768" t="s">
        <v>32</v>
      </c>
      <c r="I1768" t="s">
        <v>100</v>
      </c>
      <c r="J1768" t="s">
        <v>22</v>
      </c>
      <c r="K1768">
        <v>4.3</v>
      </c>
      <c r="L1768" t="s">
        <v>143</v>
      </c>
      <c r="M1768" t="s">
        <v>143</v>
      </c>
      <c r="N1768">
        <v>27</v>
      </c>
      <c r="O1768" t="s">
        <v>29</v>
      </c>
      <c r="P1768" t="s">
        <v>67</v>
      </c>
    </row>
    <row r="1769" spans="1:16" ht="14.5" x14ac:dyDescent="0.35">
      <c r="A1769">
        <v>1768</v>
      </c>
      <c r="B1769">
        <v>69</v>
      </c>
      <c r="C1769" t="s">
        <v>16</v>
      </c>
      <c r="D1769" t="s">
        <v>97</v>
      </c>
      <c r="E1769" t="s">
        <v>60</v>
      </c>
      <c r="F1769">
        <v>89</v>
      </c>
      <c r="G1769" t="s">
        <v>139</v>
      </c>
      <c r="H1769" t="s">
        <v>20</v>
      </c>
      <c r="I1769" t="s">
        <v>84</v>
      </c>
      <c r="J1769" t="s">
        <v>50</v>
      </c>
      <c r="K1769">
        <v>3.8</v>
      </c>
      <c r="L1769" t="s">
        <v>143</v>
      </c>
      <c r="M1769" t="s">
        <v>143</v>
      </c>
      <c r="N1769">
        <v>46</v>
      </c>
      <c r="O1769" t="s">
        <v>77</v>
      </c>
      <c r="P1769" t="s">
        <v>25</v>
      </c>
    </row>
    <row r="1770" spans="1:16" ht="14.5" x14ac:dyDescent="0.35">
      <c r="A1770">
        <v>1769</v>
      </c>
      <c r="B1770">
        <v>25</v>
      </c>
      <c r="C1770" t="s">
        <v>16</v>
      </c>
      <c r="D1770" t="s">
        <v>36</v>
      </c>
      <c r="E1770" t="s">
        <v>37</v>
      </c>
      <c r="F1770">
        <v>45</v>
      </c>
      <c r="G1770" t="s">
        <v>136</v>
      </c>
      <c r="H1770" t="s">
        <v>39</v>
      </c>
      <c r="I1770" t="s">
        <v>117</v>
      </c>
      <c r="J1770" t="s">
        <v>47</v>
      </c>
      <c r="K1770">
        <v>3.9</v>
      </c>
      <c r="L1770" t="s">
        <v>143</v>
      </c>
      <c r="M1770" t="s">
        <v>143</v>
      </c>
      <c r="N1770">
        <v>2</v>
      </c>
      <c r="O1770" t="s">
        <v>40</v>
      </c>
      <c r="P1770" t="s">
        <v>88</v>
      </c>
    </row>
    <row r="1771" spans="1:16" ht="14.5" x14ac:dyDescent="0.35">
      <c r="A1771">
        <v>1770</v>
      </c>
      <c r="B1771">
        <v>32</v>
      </c>
      <c r="C1771" t="s">
        <v>16</v>
      </c>
      <c r="D1771" t="s">
        <v>116</v>
      </c>
      <c r="E1771" t="s">
        <v>18</v>
      </c>
      <c r="F1771">
        <v>75</v>
      </c>
      <c r="G1771" t="s">
        <v>111</v>
      </c>
      <c r="H1771" t="s">
        <v>20</v>
      </c>
      <c r="I1771" t="s">
        <v>101</v>
      </c>
      <c r="J1771" t="s">
        <v>22</v>
      </c>
      <c r="K1771">
        <v>4.3</v>
      </c>
      <c r="L1771" t="s">
        <v>143</v>
      </c>
      <c r="M1771" t="s">
        <v>143</v>
      </c>
      <c r="N1771">
        <v>45</v>
      </c>
      <c r="O1771" t="s">
        <v>29</v>
      </c>
      <c r="P1771" t="s">
        <v>79</v>
      </c>
    </row>
    <row r="1772" spans="1:16" ht="14.5" x14ac:dyDescent="0.35">
      <c r="A1772">
        <v>1771</v>
      </c>
      <c r="B1772">
        <v>53</v>
      </c>
      <c r="C1772" t="s">
        <v>16</v>
      </c>
      <c r="D1772" t="s">
        <v>123</v>
      </c>
      <c r="E1772" t="s">
        <v>60</v>
      </c>
      <c r="F1772">
        <v>22</v>
      </c>
      <c r="G1772" t="s">
        <v>142</v>
      </c>
      <c r="H1772" t="s">
        <v>39</v>
      </c>
      <c r="I1772" t="s">
        <v>62</v>
      </c>
      <c r="J1772" t="s">
        <v>50</v>
      </c>
      <c r="K1772">
        <v>4.3</v>
      </c>
      <c r="L1772" t="s">
        <v>143</v>
      </c>
      <c r="M1772" t="s">
        <v>143</v>
      </c>
      <c r="N1772">
        <v>34</v>
      </c>
      <c r="O1772" t="s">
        <v>66</v>
      </c>
      <c r="P1772" t="s">
        <v>35</v>
      </c>
    </row>
    <row r="1773" spans="1:16" ht="14.5" x14ac:dyDescent="0.35">
      <c r="A1773">
        <v>1772</v>
      </c>
      <c r="B1773">
        <v>46</v>
      </c>
      <c r="C1773" t="s">
        <v>16</v>
      </c>
      <c r="D1773" t="s">
        <v>48</v>
      </c>
      <c r="E1773" t="s">
        <v>18</v>
      </c>
      <c r="F1773">
        <v>82</v>
      </c>
      <c r="G1773" t="s">
        <v>107</v>
      </c>
      <c r="H1773" t="s">
        <v>83</v>
      </c>
      <c r="I1773" t="s">
        <v>42</v>
      </c>
      <c r="J1773" t="s">
        <v>50</v>
      </c>
      <c r="K1773">
        <v>4.7</v>
      </c>
      <c r="L1773" t="s">
        <v>143</v>
      </c>
      <c r="M1773" t="s">
        <v>143</v>
      </c>
      <c r="N1773">
        <v>9</v>
      </c>
      <c r="O1773" t="s">
        <v>34</v>
      </c>
      <c r="P1773" t="s">
        <v>43</v>
      </c>
    </row>
    <row r="1774" spans="1:16" ht="14.5" x14ac:dyDescent="0.35">
      <c r="A1774">
        <v>1773</v>
      </c>
      <c r="B1774">
        <v>58</v>
      </c>
      <c r="C1774" t="s">
        <v>16</v>
      </c>
      <c r="D1774" t="s">
        <v>63</v>
      </c>
      <c r="E1774" t="s">
        <v>37</v>
      </c>
      <c r="F1774">
        <v>34</v>
      </c>
      <c r="G1774" t="s">
        <v>68</v>
      </c>
      <c r="H1774" t="s">
        <v>39</v>
      </c>
      <c r="I1774" t="s">
        <v>71</v>
      </c>
      <c r="J1774" t="s">
        <v>47</v>
      </c>
      <c r="K1774">
        <v>3.1</v>
      </c>
      <c r="L1774" t="s">
        <v>143</v>
      </c>
      <c r="M1774" t="s">
        <v>143</v>
      </c>
      <c r="N1774">
        <v>1</v>
      </c>
      <c r="O1774" t="s">
        <v>66</v>
      </c>
      <c r="P1774" t="s">
        <v>43</v>
      </c>
    </row>
    <row r="1775" spans="1:16" ht="14.5" x14ac:dyDescent="0.35">
      <c r="A1775">
        <v>1774</v>
      </c>
      <c r="B1775">
        <v>21</v>
      </c>
      <c r="C1775" t="s">
        <v>16</v>
      </c>
      <c r="D1775" t="s">
        <v>55</v>
      </c>
      <c r="E1775" t="s">
        <v>56</v>
      </c>
      <c r="F1775">
        <v>92</v>
      </c>
      <c r="G1775" t="s">
        <v>57</v>
      </c>
      <c r="H1775" t="s">
        <v>39</v>
      </c>
      <c r="I1775" t="s">
        <v>135</v>
      </c>
      <c r="J1775" t="s">
        <v>47</v>
      </c>
      <c r="K1775">
        <v>2.7</v>
      </c>
      <c r="L1775" t="s">
        <v>143</v>
      </c>
      <c r="M1775" t="s">
        <v>143</v>
      </c>
      <c r="N1775">
        <v>17</v>
      </c>
      <c r="O1775" t="s">
        <v>40</v>
      </c>
      <c r="P1775" t="s">
        <v>43</v>
      </c>
    </row>
    <row r="1776" spans="1:16" ht="14.5" x14ac:dyDescent="0.35">
      <c r="A1776">
        <v>1775</v>
      </c>
      <c r="B1776">
        <v>46</v>
      </c>
      <c r="C1776" t="s">
        <v>16</v>
      </c>
      <c r="D1776" t="s">
        <v>26</v>
      </c>
      <c r="E1776" t="s">
        <v>18</v>
      </c>
      <c r="F1776">
        <v>78</v>
      </c>
      <c r="G1776" t="s">
        <v>75</v>
      </c>
      <c r="H1776" t="s">
        <v>39</v>
      </c>
      <c r="I1776" t="s">
        <v>84</v>
      </c>
      <c r="J1776" t="s">
        <v>33</v>
      </c>
      <c r="K1776">
        <v>3.7</v>
      </c>
      <c r="L1776" t="s">
        <v>143</v>
      </c>
      <c r="M1776" t="s">
        <v>143</v>
      </c>
      <c r="N1776">
        <v>6</v>
      </c>
      <c r="O1776" t="s">
        <v>40</v>
      </c>
      <c r="P1776" t="s">
        <v>35</v>
      </c>
    </row>
    <row r="1777" spans="1:16" ht="14.5" x14ac:dyDescent="0.35">
      <c r="A1777">
        <v>1776</v>
      </c>
      <c r="B1777">
        <v>18</v>
      </c>
      <c r="C1777" t="s">
        <v>16</v>
      </c>
      <c r="D1777" t="s">
        <v>93</v>
      </c>
      <c r="E1777" t="s">
        <v>56</v>
      </c>
      <c r="F1777">
        <v>47</v>
      </c>
      <c r="G1777" t="s">
        <v>137</v>
      </c>
      <c r="H1777" t="s">
        <v>39</v>
      </c>
      <c r="I1777" t="s">
        <v>74</v>
      </c>
      <c r="J1777" t="s">
        <v>33</v>
      </c>
      <c r="K1777">
        <v>3.3</v>
      </c>
      <c r="L1777" t="s">
        <v>143</v>
      </c>
      <c r="M1777" t="s">
        <v>143</v>
      </c>
      <c r="N1777">
        <v>12</v>
      </c>
      <c r="O1777" t="s">
        <v>29</v>
      </c>
      <c r="P1777" t="s">
        <v>67</v>
      </c>
    </row>
    <row r="1778" spans="1:16" ht="14.5" x14ac:dyDescent="0.35">
      <c r="A1778">
        <v>1777</v>
      </c>
      <c r="B1778">
        <v>56</v>
      </c>
      <c r="C1778" t="s">
        <v>16</v>
      </c>
      <c r="D1778" t="s">
        <v>93</v>
      </c>
      <c r="E1778" t="s">
        <v>56</v>
      </c>
      <c r="F1778">
        <v>64</v>
      </c>
      <c r="G1778" t="s">
        <v>108</v>
      </c>
      <c r="H1778" t="s">
        <v>20</v>
      </c>
      <c r="I1778" t="s">
        <v>100</v>
      </c>
      <c r="J1778" t="s">
        <v>47</v>
      </c>
      <c r="K1778">
        <v>3.4</v>
      </c>
      <c r="L1778" t="s">
        <v>143</v>
      </c>
      <c r="M1778" t="s">
        <v>143</v>
      </c>
      <c r="N1778">
        <v>10</v>
      </c>
      <c r="O1778" t="s">
        <v>24</v>
      </c>
      <c r="P1778" t="s">
        <v>88</v>
      </c>
    </row>
    <row r="1779" spans="1:16" ht="14.5" x14ac:dyDescent="0.35">
      <c r="A1779">
        <v>1778</v>
      </c>
      <c r="B1779">
        <v>18</v>
      </c>
      <c r="C1779" t="s">
        <v>16</v>
      </c>
      <c r="D1779" t="s">
        <v>44</v>
      </c>
      <c r="E1779" t="s">
        <v>37</v>
      </c>
      <c r="F1779">
        <v>44</v>
      </c>
      <c r="G1779" t="s">
        <v>139</v>
      </c>
      <c r="H1779" t="s">
        <v>20</v>
      </c>
      <c r="I1779" t="s">
        <v>65</v>
      </c>
      <c r="J1779" t="s">
        <v>22</v>
      </c>
      <c r="K1779">
        <v>4.7</v>
      </c>
      <c r="L1779" t="s">
        <v>143</v>
      </c>
      <c r="M1779" t="s">
        <v>143</v>
      </c>
      <c r="N1779">
        <v>4</v>
      </c>
      <c r="O1779" t="s">
        <v>29</v>
      </c>
      <c r="P1779" t="s">
        <v>25</v>
      </c>
    </row>
    <row r="1780" spans="1:16" ht="14.5" x14ac:dyDescent="0.35">
      <c r="A1780">
        <v>1779</v>
      </c>
      <c r="B1780">
        <v>49</v>
      </c>
      <c r="C1780" t="s">
        <v>16</v>
      </c>
      <c r="D1780" t="s">
        <v>124</v>
      </c>
      <c r="E1780" t="s">
        <v>60</v>
      </c>
      <c r="F1780">
        <v>94</v>
      </c>
      <c r="G1780" t="s">
        <v>96</v>
      </c>
      <c r="H1780" t="s">
        <v>39</v>
      </c>
      <c r="I1780" t="s">
        <v>99</v>
      </c>
      <c r="J1780" t="s">
        <v>22</v>
      </c>
      <c r="K1780">
        <v>4.9000000000000004</v>
      </c>
      <c r="L1780" t="s">
        <v>143</v>
      </c>
      <c r="M1780" t="s">
        <v>143</v>
      </c>
      <c r="N1780">
        <v>8</v>
      </c>
      <c r="O1780" t="s">
        <v>77</v>
      </c>
      <c r="P1780" t="s">
        <v>67</v>
      </c>
    </row>
    <row r="1781" spans="1:16" ht="14.5" x14ac:dyDescent="0.35">
      <c r="A1781">
        <v>1780</v>
      </c>
      <c r="B1781">
        <v>29</v>
      </c>
      <c r="C1781" t="s">
        <v>16</v>
      </c>
      <c r="D1781" t="s">
        <v>110</v>
      </c>
      <c r="E1781" t="s">
        <v>60</v>
      </c>
      <c r="F1781">
        <v>62</v>
      </c>
      <c r="G1781" t="s">
        <v>132</v>
      </c>
      <c r="H1781" t="s">
        <v>39</v>
      </c>
      <c r="I1781" t="s">
        <v>54</v>
      </c>
      <c r="J1781" t="s">
        <v>22</v>
      </c>
      <c r="K1781">
        <v>4.3</v>
      </c>
      <c r="L1781" t="s">
        <v>143</v>
      </c>
      <c r="M1781" t="s">
        <v>143</v>
      </c>
      <c r="N1781">
        <v>41</v>
      </c>
      <c r="O1781" t="s">
        <v>24</v>
      </c>
      <c r="P1781" t="s">
        <v>35</v>
      </c>
    </row>
    <row r="1782" spans="1:16" ht="14.5" x14ac:dyDescent="0.35">
      <c r="A1782">
        <v>1781</v>
      </c>
      <c r="B1782">
        <v>67</v>
      </c>
      <c r="C1782" t="s">
        <v>16</v>
      </c>
      <c r="D1782" t="s">
        <v>97</v>
      </c>
      <c r="E1782" t="s">
        <v>60</v>
      </c>
      <c r="F1782">
        <v>81</v>
      </c>
      <c r="G1782" t="s">
        <v>105</v>
      </c>
      <c r="H1782" t="s">
        <v>32</v>
      </c>
      <c r="I1782" t="s">
        <v>21</v>
      </c>
      <c r="J1782" t="s">
        <v>47</v>
      </c>
      <c r="K1782">
        <v>4.2</v>
      </c>
      <c r="L1782" t="s">
        <v>143</v>
      </c>
      <c r="M1782" t="s">
        <v>143</v>
      </c>
      <c r="N1782">
        <v>49</v>
      </c>
      <c r="O1782" t="s">
        <v>34</v>
      </c>
      <c r="P1782" t="s">
        <v>35</v>
      </c>
    </row>
    <row r="1783" spans="1:16" ht="14.5" x14ac:dyDescent="0.35">
      <c r="A1783">
        <v>1782</v>
      </c>
      <c r="B1783">
        <v>31</v>
      </c>
      <c r="C1783" t="s">
        <v>16</v>
      </c>
      <c r="D1783" t="s">
        <v>104</v>
      </c>
      <c r="E1783" t="s">
        <v>18</v>
      </c>
      <c r="F1783">
        <v>33</v>
      </c>
      <c r="G1783" t="s">
        <v>137</v>
      </c>
      <c r="H1783" t="s">
        <v>39</v>
      </c>
      <c r="I1783" t="s">
        <v>62</v>
      </c>
      <c r="J1783" t="s">
        <v>50</v>
      </c>
      <c r="K1783">
        <v>3.7</v>
      </c>
      <c r="L1783" t="s">
        <v>143</v>
      </c>
      <c r="M1783" t="s">
        <v>143</v>
      </c>
      <c r="N1783">
        <v>49</v>
      </c>
      <c r="O1783" t="s">
        <v>66</v>
      </c>
      <c r="P1783" t="s">
        <v>51</v>
      </c>
    </row>
    <row r="1784" spans="1:16" ht="14.5" x14ac:dyDescent="0.35">
      <c r="A1784">
        <v>1783</v>
      </c>
      <c r="B1784">
        <v>52</v>
      </c>
      <c r="C1784" t="s">
        <v>16</v>
      </c>
      <c r="D1784" t="s">
        <v>86</v>
      </c>
      <c r="E1784" t="s">
        <v>18</v>
      </c>
      <c r="F1784">
        <v>88</v>
      </c>
      <c r="G1784" t="s">
        <v>131</v>
      </c>
      <c r="H1784" t="s">
        <v>39</v>
      </c>
      <c r="I1784" t="s">
        <v>84</v>
      </c>
      <c r="J1784" t="s">
        <v>50</v>
      </c>
      <c r="K1784">
        <v>2.7</v>
      </c>
      <c r="L1784" t="s">
        <v>143</v>
      </c>
      <c r="M1784" t="s">
        <v>143</v>
      </c>
      <c r="N1784">
        <v>40</v>
      </c>
      <c r="O1784" t="s">
        <v>66</v>
      </c>
      <c r="P1784" t="s">
        <v>25</v>
      </c>
    </row>
    <row r="1785" spans="1:16" ht="14.5" x14ac:dyDescent="0.35">
      <c r="A1785">
        <v>1784</v>
      </c>
      <c r="B1785">
        <v>42</v>
      </c>
      <c r="C1785" t="s">
        <v>16</v>
      </c>
      <c r="D1785" t="s">
        <v>59</v>
      </c>
      <c r="E1785" t="s">
        <v>60</v>
      </c>
      <c r="F1785">
        <v>49</v>
      </c>
      <c r="G1785" t="s">
        <v>114</v>
      </c>
      <c r="H1785" t="s">
        <v>20</v>
      </c>
      <c r="I1785" t="s">
        <v>84</v>
      </c>
      <c r="J1785" t="s">
        <v>22</v>
      </c>
      <c r="K1785">
        <v>3.3</v>
      </c>
      <c r="L1785" t="s">
        <v>143</v>
      </c>
      <c r="M1785" t="s">
        <v>143</v>
      </c>
      <c r="N1785">
        <v>30</v>
      </c>
      <c r="O1785" t="s">
        <v>34</v>
      </c>
      <c r="P1785" t="s">
        <v>79</v>
      </c>
    </row>
    <row r="1786" spans="1:16" ht="14.5" x14ac:dyDescent="0.35">
      <c r="A1786">
        <v>1785</v>
      </c>
      <c r="B1786">
        <v>32</v>
      </c>
      <c r="C1786" t="s">
        <v>16</v>
      </c>
      <c r="D1786" t="s">
        <v>123</v>
      </c>
      <c r="E1786" t="s">
        <v>60</v>
      </c>
      <c r="F1786">
        <v>31</v>
      </c>
      <c r="G1786" t="s">
        <v>53</v>
      </c>
      <c r="H1786" t="s">
        <v>20</v>
      </c>
      <c r="I1786" t="s">
        <v>125</v>
      </c>
      <c r="J1786" t="s">
        <v>47</v>
      </c>
      <c r="K1786">
        <v>4.8</v>
      </c>
      <c r="L1786" t="s">
        <v>143</v>
      </c>
      <c r="M1786" t="s">
        <v>143</v>
      </c>
      <c r="N1786">
        <v>4</v>
      </c>
      <c r="O1786" t="s">
        <v>77</v>
      </c>
      <c r="P1786" t="s">
        <v>51</v>
      </c>
    </row>
    <row r="1787" spans="1:16" ht="14.5" x14ac:dyDescent="0.35">
      <c r="A1787">
        <v>1786</v>
      </c>
      <c r="B1787">
        <v>47</v>
      </c>
      <c r="C1787" t="s">
        <v>16</v>
      </c>
      <c r="D1787" t="s">
        <v>134</v>
      </c>
      <c r="E1787" t="s">
        <v>60</v>
      </c>
      <c r="F1787">
        <v>29</v>
      </c>
      <c r="G1787" t="s">
        <v>137</v>
      </c>
      <c r="H1787" t="s">
        <v>32</v>
      </c>
      <c r="I1787" t="s">
        <v>91</v>
      </c>
      <c r="J1787" t="s">
        <v>50</v>
      </c>
      <c r="K1787">
        <v>4.0999999999999996</v>
      </c>
      <c r="L1787" t="s">
        <v>143</v>
      </c>
      <c r="M1787" t="s">
        <v>143</v>
      </c>
      <c r="N1787">
        <v>22</v>
      </c>
      <c r="O1787" t="s">
        <v>24</v>
      </c>
      <c r="P1787" t="s">
        <v>79</v>
      </c>
    </row>
    <row r="1788" spans="1:16" ht="14.5" x14ac:dyDescent="0.35">
      <c r="A1788">
        <v>1787</v>
      </c>
      <c r="B1788">
        <v>45</v>
      </c>
      <c r="C1788" t="s">
        <v>16</v>
      </c>
      <c r="D1788" t="s">
        <v>93</v>
      </c>
      <c r="E1788" t="s">
        <v>56</v>
      </c>
      <c r="F1788">
        <v>34</v>
      </c>
      <c r="G1788" t="s">
        <v>119</v>
      </c>
      <c r="H1788" t="s">
        <v>39</v>
      </c>
      <c r="I1788" t="s">
        <v>101</v>
      </c>
      <c r="J1788" t="s">
        <v>33</v>
      </c>
      <c r="K1788">
        <v>4.5999999999999996</v>
      </c>
      <c r="L1788" t="s">
        <v>143</v>
      </c>
      <c r="M1788" t="s">
        <v>143</v>
      </c>
      <c r="N1788">
        <v>22</v>
      </c>
      <c r="O1788" t="s">
        <v>24</v>
      </c>
      <c r="P1788" t="s">
        <v>79</v>
      </c>
    </row>
    <row r="1789" spans="1:16" ht="14.5" x14ac:dyDescent="0.35">
      <c r="A1789">
        <v>1788</v>
      </c>
      <c r="B1789">
        <v>20</v>
      </c>
      <c r="C1789" t="s">
        <v>16</v>
      </c>
      <c r="D1789" t="s">
        <v>26</v>
      </c>
      <c r="E1789" t="s">
        <v>18</v>
      </c>
      <c r="F1789">
        <v>38</v>
      </c>
      <c r="G1789" t="s">
        <v>49</v>
      </c>
      <c r="H1789" t="s">
        <v>20</v>
      </c>
      <c r="I1789" t="s">
        <v>71</v>
      </c>
      <c r="J1789" t="s">
        <v>50</v>
      </c>
      <c r="K1789">
        <v>4.9000000000000004</v>
      </c>
      <c r="L1789" t="s">
        <v>143</v>
      </c>
      <c r="M1789" t="s">
        <v>143</v>
      </c>
      <c r="N1789">
        <v>10</v>
      </c>
      <c r="O1789" t="s">
        <v>66</v>
      </c>
      <c r="P1789" t="s">
        <v>51</v>
      </c>
    </row>
    <row r="1790" spans="1:16" ht="14.5" x14ac:dyDescent="0.35">
      <c r="A1790">
        <v>1789</v>
      </c>
      <c r="B1790">
        <v>66</v>
      </c>
      <c r="C1790" t="s">
        <v>16</v>
      </c>
      <c r="D1790" t="s">
        <v>17</v>
      </c>
      <c r="E1790" t="s">
        <v>18</v>
      </c>
      <c r="F1790">
        <v>41</v>
      </c>
      <c r="G1790" t="s">
        <v>106</v>
      </c>
      <c r="H1790" t="s">
        <v>20</v>
      </c>
      <c r="I1790" t="s">
        <v>62</v>
      </c>
      <c r="J1790" t="s">
        <v>47</v>
      </c>
      <c r="K1790">
        <v>3.1</v>
      </c>
      <c r="L1790" t="s">
        <v>143</v>
      </c>
      <c r="M1790" t="s">
        <v>143</v>
      </c>
      <c r="N1790">
        <v>23</v>
      </c>
      <c r="O1790" t="s">
        <v>29</v>
      </c>
      <c r="P1790" t="s">
        <v>67</v>
      </c>
    </row>
    <row r="1791" spans="1:16" ht="14.5" x14ac:dyDescent="0.35">
      <c r="A1791">
        <v>1790</v>
      </c>
      <c r="B1791">
        <v>52</v>
      </c>
      <c r="C1791" t="s">
        <v>16</v>
      </c>
      <c r="D1791" t="s">
        <v>17</v>
      </c>
      <c r="E1791" t="s">
        <v>18</v>
      </c>
      <c r="F1791">
        <v>34</v>
      </c>
      <c r="G1791" t="s">
        <v>108</v>
      </c>
      <c r="H1791" t="s">
        <v>20</v>
      </c>
      <c r="I1791" t="s">
        <v>91</v>
      </c>
      <c r="J1791" t="s">
        <v>33</v>
      </c>
      <c r="K1791">
        <v>3</v>
      </c>
      <c r="L1791" t="s">
        <v>143</v>
      </c>
      <c r="M1791" t="s">
        <v>143</v>
      </c>
      <c r="N1791">
        <v>43</v>
      </c>
      <c r="O1791" t="s">
        <v>77</v>
      </c>
      <c r="P1791" t="s">
        <v>51</v>
      </c>
    </row>
    <row r="1792" spans="1:16" ht="14.5" x14ac:dyDescent="0.35">
      <c r="A1792">
        <v>1791</v>
      </c>
      <c r="B1792">
        <v>50</v>
      </c>
      <c r="C1792" t="s">
        <v>16</v>
      </c>
      <c r="D1792" t="s">
        <v>134</v>
      </c>
      <c r="E1792" t="s">
        <v>60</v>
      </c>
      <c r="F1792">
        <v>26</v>
      </c>
      <c r="G1792" t="s">
        <v>89</v>
      </c>
      <c r="H1792" t="s">
        <v>32</v>
      </c>
      <c r="I1792" t="s">
        <v>74</v>
      </c>
      <c r="J1792" t="s">
        <v>47</v>
      </c>
      <c r="K1792">
        <v>3.7</v>
      </c>
      <c r="L1792" t="s">
        <v>143</v>
      </c>
      <c r="M1792" t="s">
        <v>143</v>
      </c>
      <c r="N1792">
        <v>31</v>
      </c>
      <c r="O1792" t="s">
        <v>40</v>
      </c>
      <c r="P1792" t="s">
        <v>67</v>
      </c>
    </row>
    <row r="1793" spans="1:16" ht="14.5" x14ac:dyDescent="0.35">
      <c r="A1793">
        <v>1792</v>
      </c>
      <c r="B1793">
        <v>62</v>
      </c>
      <c r="C1793" t="s">
        <v>16</v>
      </c>
      <c r="D1793" t="s">
        <v>30</v>
      </c>
      <c r="E1793" t="s">
        <v>18</v>
      </c>
      <c r="F1793">
        <v>98</v>
      </c>
      <c r="G1793" t="s">
        <v>49</v>
      </c>
      <c r="H1793" t="s">
        <v>32</v>
      </c>
      <c r="I1793" t="s">
        <v>65</v>
      </c>
      <c r="J1793" t="s">
        <v>22</v>
      </c>
      <c r="K1793">
        <v>4</v>
      </c>
      <c r="L1793" t="s">
        <v>143</v>
      </c>
      <c r="M1793" t="s">
        <v>143</v>
      </c>
      <c r="N1793">
        <v>38</v>
      </c>
      <c r="O1793" t="s">
        <v>29</v>
      </c>
      <c r="P1793" t="s">
        <v>43</v>
      </c>
    </row>
    <row r="1794" spans="1:16" ht="14.5" x14ac:dyDescent="0.35">
      <c r="A1794">
        <v>1793</v>
      </c>
      <c r="B1794">
        <v>38</v>
      </c>
      <c r="C1794" t="s">
        <v>16</v>
      </c>
      <c r="D1794" t="s">
        <v>44</v>
      </c>
      <c r="E1794" t="s">
        <v>37</v>
      </c>
      <c r="F1794">
        <v>59</v>
      </c>
      <c r="G1794" t="s">
        <v>137</v>
      </c>
      <c r="H1794" t="s">
        <v>39</v>
      </c>
      <c r="I1794" t="s">
        <v>91</v>
      </c>
      <c r="J1794" t="s">
        <v>50</v>
      </c>
      <c r="K1794">
        <v>3</v>
      </c>
      <c r="L1794" t="s">
        <v>143</v>
      </c>
      <c r="M1794" t="s">
        <v>143</v>
      </c>
      <c r="N1794">
        <v>22</v>
      </c>
      <c r="O1794" t="s">
        <v>77</v>
      </c>
      <c r="P1794" t="s">
        <v>88</v>
      </c>
    </row>
    <row r="1795" spans="1:16" ht="14.5" x14ac:dyDescent="0.35">
      <c r="A1795">
        <v>1794</v>
      </c>
      <c r="B1795">
        <v>65</v>
      </c>
      <c r="C1795" t="s">
        <v>16</v>
      </c>
      <c r="D1795" t="s">
        <v>115</v>
      </c>
      <c r="E1795" t="s">
        <v>60</v>
      </c>
      <c r="F1795">
        <v>92</v>
      </c>
      <c r="G1795" t="s">
        <v>137</v>
      </c>
      <c r="H1795" t="s">
        <v>32</v>
      </c>
      <c r="I1795" t="s">
        <v>46</v>
      </c>
      <c r="J1795" t="s">
        <v>50</v>
      </c>
      <c r="K1795">
        <v>3.8</v>
      </c>
      <c r="L1795" t="s">
        <v>143</v>
      </c>
      <c r="M1795" t="s">
        <v>143</v>
      </c>
      <c r="N1795">
        <v>45</v>
      </c>
      <c r="O1795" t="s">
        <v>29</v>
      </c>
      <c r="P1795" t="s">
        <v>88</v>
      </c>
    </row>
    <row r="1796" spans="1:16" ht="14.5" x14ac:dyDescent="0.35">
      <c r="A1796">
        <v>1795</v>
      </c>
      <c r="B1796">
        <v>60</v>
      </c>
      <c r="C1796" t="s">
        <v>16</v>
      </c>
      <c r="D1796" t="s">
        <v>123</v>
      </c>
      <c r="E1796" t="s">
        <v>60</v>
      </c>
      <c r="F1796">
        <v>40</v>
      </c>
      <c r="G1796" t="s">
        <v>114</v>
      </c>
      <c r="H1796" t="s">
        <v>20</v>
      </c>
      <c r="I1796" t="s">
        <v>117</v>
      </c>
      <c r="J1796" t="s">
        <v>33</v>
      </c>
      <c r="K1796">
        <v>3.7</v>
      </c>
      <c r="L1796" t="s">
        <v>143</v>
      </c>
      <c r="M1796" t="s">
        <v>143</v>
      </c>
      <c r="N1796">
        <v>21</v>
      </c>
      <c r="O1796" t="s">
        <v>77</v>
      </c>
      <c r="P1796" t="s">
        <v>25</v>
      </c>
    </row>
    <row r="1797" spans="1:16" ht="14.5" x14ac:dyDescent="0.35">
      <c r="A1797">
        <v>1796</v>
      </c>
      <c r="B1797">
        <v>68</v>
      </c>
      <c r="C1797" t="s">
        <v>16</v>
      </c>
      <c r="D1797" t="s">
        <v>30</v>
      </c>
      <c r="E1797" t="s">
        <v>18</v>
      </c>
      <c r="F1797">
        <v>20</v>
      </c>
      <c r="G1797" t="s">
        <v>141</v>
      </c>
      <c r="H1797" t="s">
        <v>32</v>
      </c>
      <c r="I1797" t="s">
        <v>74</v>
      </c>
      <c r="J1797" t="s">
        <v>50</v>
      </c>
      <c r="K1797">
        <v>4</v>
      </c>
      <c r="L1797" t="s">
        <v>143</v>
      </c>
      <c r="M1797" t="s">
        <v>143</v>
      </c>
      <c r="N1797">
        <v>9</v>
      </c>
      <c r="O1797" t="s">
        <v>77</v>
      </c>
      <c r="P1797" t="s">
        <v>25</v>
      </c>
    </row>
    <row r="1798" spans="1:16" ht="14.5" x14ac:dyDescent="0.35">
      <c r="A1798">
        <v>1797</v>
      </c>
      <c r="B1798">
        <v>62</v>
      </c>
      <c r="C1798" t="s">
        <v>16</v>
      </c>
      <c r="D1798" t="s">
        <v>78</v>
      </c>
      <c r="E1798" t="s">
        <v>18</v>
      </c>
      <c r="F1798">
        <v>35</v>
      </c>
      <c r="G1798" t="s">
        <v>122</v>
      </c>
      <c r="H1798" t="s">
        <v>32</v>
      </c>
      <c r="I1798" t="s">
        <v>101</v>
      </c>
      <c r="J1798" t="s">
        <v>33</v>
      </c>
      <c r="K1798">
        <v>3.1</v>
      </c>
      <c r="L1798" t="s">
        <v>143</v>
      </c>
      <c r="M1798" t="s">
        <v>143</v>
      </c>
      <c r="N1798">
        <v>34</v>
      </c>
      <c r="O1798" t="s">
        <v>24</v>
      </c>
      <c r="P1798" t="s">
        <v>35</v>
      </c>
    </row>
    <row r="1799" spans="1:16" ht="14.5" x14ac:dyDescent="0.35">
      <c r="A1799">
        <v>1798</v>
      </c>
      <c r="B1799">
        <v>62</v>
      </c>
      <c r="C1799" t="s">
        <v>16</v>
      </c>
      <c r="D1799" t="s">
        <v>124</v>
      </c>
      <c r="E1799" t="s">
        <v>60</v>
      </c>
      <c r="F1799">
        <v>35</v>
      </c>
      <c r="G1799" t="s">
        <v>41</v>
      </c>
      <c r="H1799" t="s">
        <v>20</v>
      </c>
      <c r="I1799" t="s">
        <v>28</v>
      </c>
      <c r="J1799" t="s">
        <v>33</v>
      </c>
      <c r="K1799">
        <v>3.9</v>
      </c>
      <c r="L1799" t="s">
        <v>143</v>
      </c>
      <c r="M1799" t="s">
        <v>143</v>
      </c>
      <c r="N1799">
        <v>26</v>
      </c>
      <c r="O1799" t="s">
        <v>24</v>
      </c>
      <c r="P1799" t="s">
        <v>35</v>
      </c>
    </row>
    <row r="1800" spans="1:16" ht="14.5" x14ac:dyDescent="0.35">
      <c r="A1800">
        <v>1799</v>
      </c>
      <c r="B1800">
        <v>40</v>
      </c>
      <c r="C1800" t="s">
        <v>16</v>
      </c>
      <c r="D1800" t="s">
        <v>72</v>
      </c>
      <c r="E1800" t="s">
        <v>18</v>
      </c>
      <c r="F1800">
        <v>82</v>
      </c>
      <c r="G1800" t="s">
        <v>105</v>
      </c>
      <c r="H1800" t="s">
        <v>20</v>
      </c>
      <c r="I1800" t="s">
        <v>127</v>
      </c>
      <c r="J1800" t="s">
        <v>22</v>
      </c>
      <c r="K1800">
        <v>3.7</v>
      </c>
      <c r="L1800" t="s">
        <v>143</v>
      </c>
      <c r="M1800" t="s">
        <v>143</v>
      </c>
      <c r="N1800">
        <v>1</v>
      </c>
      <c r="O1800" t="s">
        <v>29</v>
      </c>
      <c r="P1800" t="s">
        <v>35</v>
      </c>
    </row>
    <row r="1801" spans="1:16" ht="14.5" x14ac:dyDescent="0.35">
      <c r="A1801">
        <v>1800</v>
      </c>
      <c r="B1801">
        <v>32</v>
      </c>
      <c r="C1801" t="s">
        <v>16</v>
      </c>
      <c r="D1801" t="s">
        <v>95</v>
      </c>
      <c r="E1801" t="s">
        <v>18</v>
      </c>
      <c r="F1801">
        <v>48</v>
      </c>
      <c r="G1801" t="s">
        <v>90</v>
      </c>
      <c r="H1801" t="s">
        <v>39</v>
      </c>
      <c r="I1801" t="s">
        <v>54</v>
      </c>
      <c r="J1801" t="s">
        <v>50</v>
      </c>
      <c r="K1801">
        <v>3.9</v>
      </c>
      <c r="L1801" t="s">
        <v>143</v>
      </c>
      <c r="M1801" t="s">
        <v>143</v>
      </c>
      <c r="N1801">
        <v>47</v>
      </c>
      <c r="O1801" t="s">
        <v>24</v>
      </c>
      <c r="P1801" t="s">
        <v>35</v>
      </c>
    </row>
    <row r="1802" spans="1:16" ht="14.5" x14ac:dyDescent="0.35">
      <c r="A1802">
        <v>1801</v>
      </c>
      <c r="B1802">
        <v>22</v>
      </c>
      <c r="C1802" t="s">
        <v>16</v>
      </c>
      <c r="D1802" t="s">
        <v>55</v>
      </c>
      <c r="E1802" t="s">
        <v>56</v>
      </c>
      <c r="F1802">
        <v>58</v>
      </c>
      <c r="G1802" t="s">
        <v>82</v>
      </c>
      <c r="H1802" t="s">
        <v>83</v>
      </c>
      <c r="I1802" t="s">
        <v>117</v>
      </c>
      <c r="J1802" t="s">
        <v>22</v>
      </c>
      <c r="K1802">
        <v>2.7</v>
      </c>
      <c r="L1802" t="s">
        <v>143</v>
      </c>
      <c r="M1802" t="s">
        <v>143</v>
      </c>
      <c r="N1802">
        <v>30</v>
      </c>
      <c r="O1802" t="s">
        <v>34</v>
      </c>
      <c r="P1802" t="s">
        <v>35</v>
      </c>
    </row>
    <row r="1803" spans="1:16" ht="14.5" x14ac:dyDescent="0.35">
      <c r="A1803">
        <v>1802</v>
      </c>
      <c r="B1803">
        <v>33</v>
      </c>
      <c r="C1803" t="s">
        <v>16</v>
      </c>
      <c r="D1803" t="s">
        <v>26</v>
      </c>
      <c r="E1803" t="s">
        <v>18</v>
      </c>
      <c r="F1803">
        <v>57</v>
      </c>
      <c r="G1803" t="s">
        <v>118</v>
      </c>
      <c r="H1803" t="s">
        <v>39</v>
      </c>
      <c r="I1803" t="s">
        <v>42</v>
      </c>
      <c r="J1803" t="s">
        <v>33</v>
      </c>
      <c r="K1803">
        <v>3.9</v>
      </c>
      <c r="L1803" t="s">
        <v>143</v>
      </c>
      <c r="M1803" t="s">
        <v>143</v>
      </c>
      <c r="N1803">
        <v>48</v>
      </c>
      <c r="O1803" t="s">
        <v>77</v>
      </c>
      <c r="P1803" t="s">
        <v>25</v>
      </c>
    </row>
    <row r="1804" spans="1:16" ht="14.5" x14ac:dyDescent="0.35">
      <c r="A1804">
        <v>1803</v>
      </c>
      <c r="B1804">
        <v>57</v>
      </c>
      <c r="C1804" t="s">
        <v>16</v>
      </c>
      <c r="D1804" t="s">
        <v>52</v>
      </c>
      <c r="E1804" t="s">
        <v>18</v>
      </c>
      <c r="F1804">
        <v>96</v>
      </c>
      <c r="G1804" t="s">
        <v>38</v>
      </c>
      <c r="H1804" t="s">
        <v>20</v>
      </c>
      <c r="I1804" t="s">
        <v>42</v>
      </c>
      <c r="J1804" t="s">
        <v>22</v>
      </c>
      <c r="K1804">
        <v>2.6</v>
      </c>
      <c r="L1804" t="s">
        <v>143</v>
      </c>
      <c r="M1804" t="s">
        <v>143</v>
      </c>
      <c r="N1804">
        <v>31</v>
      </c>
      <c r="O1804" t="s">
        <v>24</v>
      </c>
      <c r="P1804" t="s">
        <v>67</v>
      </c>
    </row>
    <row r="1805" spans="1:16" ht="14.5" x14ac:dyDescent="0.35">
      <c r="A1805">
        <v>1804</v>
      </c>
      <c r="B1805">
        <v>60</v>
      </c>
      <c r="C1805" t="s">
        <v>16</v>
      </c>
      <c r="D1805" t="s">
        <v>44</v>
      </c>
      <c r="E1805" t="s">
        <v>37</v>
      </c>
      <c r="F1805">
        <v>97</v>
      </c>
      <c r="G1805" t="s">
        <v>73</v>
      </c>
      <c r="H1805" t="s">
        <v>32</v>
      </c>
      <c r="I1805" t="s">
        <v>21</v>
      </c>
      <c r="J1805" t="s">
        <v>47</v>
      </c>
      <c r="K1805">
        <v>3.5</v>
      </c>
      <c r="L1805" t="s">
        <v>143</v>
      </c>
      <c r="M1805" t="s">
        <v>143</v>
      </c>
      <c r="N1805">
        <v>33</v>
      </c>
      <c r="O1805" t="s">
        <v>24</v>
      </c>
      <c r="P1805" t="s">
        <v>25</v>
      </c>
    </row>
    <row r="1806" spans="1:16" ht="14.5" x14ac:dyDescent="0.35">
      <c r="A1806">
        <v>1805</v>
      </c>
      <c r="B1806">
        <v>30</v>
      </c>
      <c r="C1806" t="s">
        <v>16</v>
      </c>
      <c r="D1806" t="s">
        <v>26</v>
      </c>
      <c r="E1806" t="s">
        <v>18</v>
      </c>
      <c r="F1806">
        <v>42</v>
      </c>
      <c r="G1806" t="s">
        <v>53</v>
      </c>
      <c r="H1806" t="s">
        <v>20</v>
      </c>
      <c r="I1806" t="s">
        <v>91</v>
      </c>
      <c r="J1806" t="s">
        <v>22</v>
      </c>
      <c r="K1806">
        <v>4.4000000000000004</v>
      </c>
      <c r="L1806" t="s">
        <v>143</v>
      </c>
      <c r="M1806" t="s">
        <v>143</v>
      </c>
      <c r="N1806">
        <v>39</v>
      </c>
      <c r="O1806" t="s">
        <v>34</v>
      </c>
      <c r="P1806" t="s">
        <v>35</v>
      </c>
    </row>
    <row r="1807" spans="1:16" ht="14.5" x14ac:dyDescent="0.35">
      <c r="A1807">
        <v>1806</v>
      </c>
      <c r="B1807">
        <v>41</v>
      </c>
      <c r="C1807" t="s">
        <v>16</v>
      </c>
      <c r="D1807" t="s">
        <v>104</v>
      </c>
      <c r="E1807" t="s">
        <v>18</v>
      </c>
      <c r="F1807">
        <v>62</v>
      </c>
      <c r="G1807" t="s">
        <v>108</v>
      </c>
      <c r="H1807" t="s">
        <v>20</v>
      </c>
      <c r="I1807" t="s">
        <v>71</v>
      </c>
      <c r="J1807" t="s">
        <v>33</v>
      </c>
      <c r="K1807">
        <v>4.9000000000000004</v>
      </c>
      <c r="L1807" t="s">
        <v>143</v>
      </c>
      <c r="M1807" t="s">
        <v>143</v>
      </c>
      <c r="N1807">
        <v>46</v>
      </c>
      <c r="O1807" t="s">
        <v>77</v>
      </c>
      <c r="P1807" t="s">
        <v>35</v>
      </c>
    </row>
    <row r="1808" spans="1:16" ht="14.5" x14ac:dyDescent="0.35">
      <c r="A1808">
        <v>1807</v>
      </c>
      <c r="B1808">
        <v>58</v>
      </c>
      <c r="C1808" t="s">
        <v>16</v>
      </c>
      <c r="D1808" t="s">
        <v>59</v>
      </c>
      <c r="E1808" t="s">
        <v>60</v>
      </c>
      <c r="F1808">
        <v>67</v>
      </c>
      <c r="G1808" t="s">
        <v>38</v>
      </c>
      <c r="H1808" t="s">
        <v>39</v>
      </c>
      <c r="I1808" t="s">
        <v>87</v>
      </c>
      <c r="J1808" t="s">
        <v>50</v>
      </c>
      <c r="K1808">
        <v>3.9</v>
      </c>
      <c r="L1808" t="s">
        <v>143</v>
      </c>
      <c r="M1808" t="s">
        <v>143</v>
      </c>
      <c r="N1808">
        <v>24</v>
      </c>
      <c r="O1808" t="s">
        <v>24</v>
      </c>
      <c r="P1808" t="s">
        <v>43</v>
      </c>
    </row>
    <row r="1809" spans="1:16" ht="14.5" x14ac:dyDescent="0.35">
      <c r="A1809">
        <v>1808</v>
      </c>
      <c r="B1809">
        <v>34</v>
      </c>
      <c r="C1809" t="s">
        <v>16</v>
      </c>
      <c r="D1809" t="s">
        <v>44</v>
      </c>
      <c r="E1809" t="s">
        <v>37</v>
      </c>
      <c r="F1809">
        <v>46</v>
      </c>
      <c r="G1809" t="s">
        <v>120</v>
      </c>
      <c r="H1809" t="s">
        <v>20</v>
      </c>
      <c r="I1809" t="s">
        <v>71</v>
      </c>
      <c r="J1809" t="s">
        <v>47</v>
      </c>
      <c r="K1809">
        <v>3.5</v>
      </c>
      <c r="L1809" t="s">
        <v>143</v>
      </c>
      <c r="M1809" t="s">
        <v>143</v>
      </c>
      <c r="N1809">
        <v>37</v>
      </c>
      <c r="O1809" t="s">
        <v>24</v>
      </c>
      <c r="P1809" t="s">
        <v>25</v>
      </c>
    </row>
    <row r="1810" spans="1:16" ht="14.5" x14ac:dyDescent="0.35">
      <c r="A1810">
        <v>1809</v>
      </c>
      <c r="B1810">
        <v>67</v>
      </c>
      <c r="C1810" t="s">
        <v>16</v>
      </c>
      <c r="D1810" t="s">
        <v>93</v>
      </c>
      <c r="E1810" t="s">
        <v>56</v>
      </c>
      <c r="F1810">
        <v>71</v>
      </c>
      <c r="G1810" t="s">
        <v>113</v>
      </c>
      <c r="H1810" t="s">
        <v>39</v>
      </c>
      <c r="I1810" t="s">
        <v>84</v>
      </c>
      <c r="J1810" t="s">
        <v>33</v>
      </c>
      <c r="K1810">
        <v>4.3</v>
      </c>
      <c r="L1810" t="s">
        <v>143</v>
      </c>
      <c r="M1810" t="s">
        <v>143</v>
      </c>
      <c r="N1810">
        <v>7</v>
      </c>
      <c r="O1810" t="s">
        <v>77</v>
      </c>
      <c r="P1810" t="s">
        <v>79</v>
      </c>
    </row>
    <row r="1811" spans="1:16" ht="14.5" x14ac:dyDescent="0.35">
      <c r="A1811">
        <v>1810</v>
      </c>
      <c r="B1811">
        <v>58</v>
      </c>
      <c r="C1811" t="s">
        <v>16</v>
      </c>
      <c r="D1811" t="s">
        <v>123</v>
      </c>
      <c r="E1811" t="s">
        <v>60</v>
      </c>
      <c r="F1811">
        <v>99</v>
      </c>
      <c r="G1811" t="s">
        <v>111</v>
      </c>
      <c r="H1811" t="s">
        <v>32</v>
      </c>
      <c r="I1811" t="s">
        <v>135</v>
      </c>
      <c r="J1811" t="s">
        <v>50</v>
      </c>
      <c r="K1811">
        <v>3.4</v>
      </c>
      <c r="L1811" t="s">
        <v>143</v>
      </c>
      <c r="M1811" t="s">
        <v>143</v>
      </c>
      <c r="N1811">
        <v>6</v>
      </c>
      <c r="O1811" t="s">
        <v>77</v>
      </c>
      <c r="P1811" t="s">
        <v>25</v>
      </c>
    </row>
    <row r="1812" spans="1:16" ht="14.5" x14ac:dyDescent="0.35">
      <c r="A1812">
        <v>1811</v>
      </c>
      <c r="B1812">
        <v>41</v>
      </c>
      <c r="C1812" t="s">
        <v>16</v>
      </c>
      <c r="D1812" t="s">
        <v>30</v>
      </c>
      <c r="E1812" t="s">
        <v>18</v>
      </c>
      <c r="F1812">
        <v>28</v>
      </c>
      <c r="G1812" t="s">
        <v>119</v>
      </c>
      <c r="H1812" t="s">
        <v>39</v>
      </c>
      <c r="I1812" t="s">
        <v>127</v>
      </c>
      <c r="J1812" t="s">
        <v>50</v>
      </c>
      <c r="K1812">
        <v>2.7</v>
      </c>
      <c r="L1812" t="s">
        <v>143</v>
      </c>
      <c r="M1812" t="s">
        <v>143</v>
      </c>
      <c r="N1812">
        <v>16</v>
      </c>
      <c r="O1812" t="s">
        <v>29</v>
      </c>
      <c r="P1812" t="s">
        <v>67</v>
      </c>
    </row>
    <row r="1813" spans="1:16" ht="14.5" x14ac:dyDescent="0.35">
      <c r="A1813">
        <v>1812</v>
      </c>
      <c r="B1813">
        <v>42</v>
      </c>
      <c r="C1813" t="s">
        <v>16</v>
      </c>
      <c r="D1813" t="s">
        <v>124</v>
      </c>
      <c r="E1813" t="s">
        <v>60</v>
      </c>
      <c r="F1813">
        <v>77</v>
      </c>
      <c r="G1813" t="s">
        <v>141</v>
      </c>
      <c r="H1813" t="s">
        <v>20</v>
      </c>
      <c r="I1813" t="s">
        <v>135</v>
      </c>
      <c r="J1813" t="s">
        <v>47</v>
      </c>
      <c r="K1813">
        <v>3.6</v>
      </c>
      <c r="L1813" t="s">
        <v>143</v>
      </c>
      <c r="M1813" t="s">
        <v>143</v>
      </c>
      <c r="N1813">
        <v>33</v>
      </c>
      <c r="O1813" t="s">
        <v>66</v>
      </c>
      <c r="P1813" t="s">
        <v>43</v>
      </c>
    </row>
    <row r="1814" spans="1:16" ht="14.5" x14ac:dyDescent="0.35">
      <c r="A1814">
        <v>1813</v>
      </c>
      <c r="B1814">
        <v>50</v>
      </c>
      <c r="C1814" t="s">
        <v>16</v>
      </c>
      <c r="D1814" t="s">
        <v>128</v>
      </c>
      <c r="E1814" t="s">
        <v>37</v>
      </c>
      <c r="F1814">
        <v>63</v>
      </c>
      <c r="G1814" t="s">
        <v>98</v>
      </c>
      <c r="H1814" t="s">
        <v>32</v>
      </c>
      <c r="I1814" t="s">
        <v>135</v>
      </c>
      <c r="J1814" t="s">
        <v>47</v>
      </c>
      <c r="K1814">
        <v>4.9000000000000004</v>
      </c>
      <c r="L1814" t="s">
        <v>143</v>
      </c>
      <c r="M1814" t="s">
        <v>143</v>
      </c>
      <c r="N1814">
        <v>18</v>
      </c>
      <c r="O1814" t="s">
        <v>40</v>
      </c>
      <c r="P1814" t="s">
        <v>67</v>
      </c>
    </row>
    <row r="1815" spans="1:16" ht="14.5" x14ac:dyDescent="0.35">
      <c r="A1815">
        <v>1814</v>
      </c>
      <c r="B1815">
        <v>40</v>
      </c>
      <c r="C1815" t="s">
        <v>16</v>
      </c>
      <c r="D1815" t="s">
        <v>52</v>
      </c>
      <c r="E1815" t="s">
        <v>18</v>
      </c>
      <c r="F1815">
        <v>62</v>
      </c>
      <c r="G1815" t="s">
        <v>106</v>
      </c>
      <c r="H1815" t="s">
        <v>39</v>
      </c>
      <c r="I1815" t="s">
        <v>69</v>
      </c>
      <c r="J1815" t="s">
        <v>33</v>
      </c>
      <c r="K1815">
        <v>3.5</v>
      </c>
      <c r="L1815" t="s">
        <v>143</v>
      </c>
      <c r="M1815" t="s">
        <v>143</v>
      </c>
      <c r="N1815">
        <v>24</v>
      </c>
      <c r="O1815" t="s">
        <v>40</v>
      </c>
      <c r="P1815" t="s">
        <v>35</v>
      </c>
    </row>
    <row r="1816" spans="1:16" ht="14.5" x14ac:dyDescent="0.35">
      <c r="A1816">
        <v>1815</v>
      </c>
      <c r="B1816">
        <v>32</v>
      </c>
      <c r="C1816" t="s">
        <v>16</v>
      </c>
      <c r="D1816" t="s">
        <v>30</v>
      </c>
      <c r="E1816" t="s">
        <v>18</v>
      </c>
      <c r="F1816">
        <v>92</v>
      </c>
      <c r="G1816" t="s">
        <v>49</v>
      </c>
      <c r="H1816" t="s">
        <v>39</v>
      </c>
      <c r="I1816" t="s">
        <v>46</v>
      </c>
      <c r="J1816" t="s">
        <v>47</v>
      </c>
      <c r="K1816">
        <v>3.8</v>
      </c>
      <c r="L1816" t="s">
        <v>143</v>
      </c>
      <c r="M1816" t="s">
        <v>143</v>
      </c>
      <c r="N1816">
        <v>24</v>
      </c>
      <c r="O1816" t="s">
        <v>29</v>
      </c>
      <c r="P1816" t="s">
        <v>51</v>
      </c>
    </row>
    <row r="1817" spans="1:16" ht="14.5" x14ac:dyDescent="0.35">
      <c r="A1817">
        <v>1816</v>
      </c>
      <c r="B1817">
        <v>51</v>
      </c>
      <c r="C1817" t="s">
        <v>16</v>
      </c>
      <c r="D1817" t="s">
        <v>63</v>
      </c>
      <c r="E1817" t="s">
        <v>37</v>
      </c>
      <c r="F1817">
        <v>72</v>
      </c>
      <c r="G1817" t="s">
        <v>121</v>
      </c>
      <c r="H1817" t="s">
        <v>20</v>
      </c>
      <c r="I1817" t="s">
        <v>46</v>
      </c>
      <c r="J1817" t="s">
        <v>22</v>
      </c>
      <c r="K1817">
        <v>4.5</v>
      </c>
      <c r="L1817" t="s">
        <v>143</v>
      </c>
      <c r="M1817" t="s">
        <v>143</v>
      </c>
      <c r="N1817">
        <v>48</v>
      </c>
      <c r="O1817" t="s">
        <v>34</v>
      </c>
      <c r="P1817" t="s">
        <v>88</v>
      </c>
    </row>
    <row r="1818" spans="1:16" ht="14.5" x14ac:dyDescent="0.35">
      <c r="A1818">
        <v>1817</v>
      </c>
      <c r="B1818">
        <v>26</v>
      </c>
      <c r="C1818" t="s">
        <v>16</v>
      </c>
      <c r="D1818" t="s">
        <v>115</v>
      </c>
      <c r="E1818" t="s">
        <v>60</v>
      </c>
      <c r="F1818">
        <v>79</v>
      </c>
      <c r="G1818" t="s">
        <v>132</v>
      </c>
      <c r="H1818" t="s">
        <v>39</v>
      </c>
      <c r="I1818" t="s">
        <v>65</v>
      </c>
      <c r="J1818" t="s">
        <v>47</v>
      </c>
      <c r="K1818">
        <v>4</v>
      </c>
      <c r="L1818" t="s">
        <v>143</v>
      </c>
      <c r="M1818" t="s">
        <v>143</v>
      </c>
      <c r="N1818">
        <v>4</v>
      </c>
      <c r="O1818" t="s">
        <v>29</v>
      </c>
      <c r="P1818" t="s">
        <v>35</v>
      </c>
    </row>
    <row r="1819" spans="1:16" ht="14.5" x14ac:dyDescent="0.35">
      <c r="A1819">
        <v>1818</v>
      </c>
      <c r="B1819">
        <v>32</v>
      </c>
      <c r="C1819" t="s">
        <v>16</v>
      </c>
      <c r="D1819" t="s">
        <v>104</v>
      </c>
      <c r="E1819" t="s">
        <v>18</v>
      </c>
      <c r="F1819">
        <v>27</v>
      </c>
      <c r="G1819" t="s">
        <v>70</v>
      </c>
      <c r="H1819" t="s">
        <v>39</v>
      </c>
      <c r="I1819" t="s">
        <v>46</v>
      </c>
      <c r="J1819" t="s">
        <v>47</v>
      </c>
      <c r="K1819">
        <v>4.7</v>
      </c>
      <c r="L1819" t="s">
        <v>143</v>
      </c>
      <c r="M1819" t="s">
        <v>143</v>
      </c>
      <c r="N1819">
        <v>20</v>
      </c>
      <c r="O1819" t="s">
        <v>29</v>
      </c>
      <c r="P1819" t="s">
        <v>35</v>
      </c>
    </row>
    <row r="1820" spans="1:16" ht="14.5" x14ac:dyDescent="0.35">
      <c r="A1820">
        <v>1819</v>
      </c>
      <c r="B1820">
        <v>58</v>
      </c>
      <c r="C1820" t="s">
        <v>16</v>
      </c>
      <c r="D1820" t="s">
        <v>80</v>
      </c>
      <c r="E1820" t="s">
        <v>60</v>
      </c>
      <c r="F1820">
        <v>39</v>
      </c>
      <c r="G1820" t="s">
        <v>89</v>
      </c>
      <c r="H1820" t="s">
        <v>39</v>
      </c>
      <c r="I1820" t="s">
        <v>46</v>
      </c>
      <c r="J1820" t="s">
        <v>50</v>
      </c>
      <c r="K1820">
        <v>3.8</v>
      </c>
      <c r="L1820" t="s">
        <v>143</v>
      </c>
      <c r="M1820" t="s">
        <v>143</v>
      </c>
      <c r="N1820">
        <v>47</v>
      </c>
      <c r="O1820" t="s">
        <v>77</v>
      </c>
      <c r="P1820" t="s">
        <v>88</v>
      </c>
    </row>
    <row r="1821" spans="1:16" ht="14.5" x14ac:dyDescent="0.35">
      <c r="A1821">
        <v>1820</v>
      </c>
      <c r="B1821">
        <v>51</v>
      </c>
      <c r="C1821" t="s">
        <v>16</v>
      </c>
      <c r="D1821" t="s">
        <v>116</v>
      </c>
      <c r="E1821" t="s">
        <v>18</v>
      </c>
      <c r="F1821">
        <v>86</v>
      </c>
      <c r="G1821" t="s">
        <v>98</v>
      </c>
      <c r="H1821" t="s">
        <v>32</v>
      </c>
      <c r="I1821" t="s">
        <v>91</v>
      </c>
      <c r="J1821" t="s">
        <v>33</v>
      </c>
      <c r="K1821">
        <v>4.5</v>
      </c>
      <c r="L1821" t="s">
        <v>143</v>
      </c>
      <c r="M1821" t="s">
        <v>143</v>
      </c>
      <c r="N1821">
        <v>50</v>
      </c>
      <c r="O1821" t="s">
        <v>29</v>
      </c>
      <c r="P1821" t="s">
        <v>51</v>
      </c>
    </row>
    <row r="1822" spans="1:16" ht="14.5" x14ac:dyDescent="0.35">
      <c r="A1822">
        <v>1821</v>
      </c>
      <c r="B1822">
        <v>19</v>
      </c>
      <c r="C1822" t="s">
        <v>16</v>
      </c>
      <c r="D1822" t="s">
        <v>48</v>
      </c>
      <c r="E1822" t="s">
        <v>18</v>
      </c>
      <c r="F1822">
        <v>94</v>
      </c>
      <c r="G1822" t="s">
        <v>140</v>
      </c>
      <c r="H1822" t="s">
        <v>83</v>
      </c>
      <c r="I1822" t="s">
        <v>71</v>
      </c>
      <c r="J1822" t="s">
        <v>50</v>
      </c>
      <c r="K1822">
        <v>5</v>
      </c>
      <c r="L1822" t="s">
        <v>143</v>
      </c>
      <c r="M1822" t="s">
        <v>143</v>
      </c>
      <c r="N1822">
        <v>31</v>
      </c>
      <c r="O1822" t="s">
        <v>40</v>
      </c>
      <c r="P1822" t="s">
        <v>79</v>
      </c>
    </row>
    <row r="1823" spans="1:16" ht="14.5" x14ac:dyDescent="0.35">
      <c r="A1823">
        <v>1822</v>
      </c>
      <c r="B1823">
        <v>57</v>
      </c>
      <c r="C1823" t="s">
        <v>16</v>
      </c>
      <c r="D1823" t="s">
        <v>52</v>
      </c>
      <c r="E1823" t="s">
        <v>18</v>
      </c>
      <c r="F1823">
        <v>53</v>
      </c>
      <c r="G1823" t="s">
        <v>27</v>
      </c>
      <c r="H1823" t="s">
        <v>39</v>
      </c>
      <c r="I1823" t="s">
        <v>76</v>
      </c>
      <c r="J1823" t="s">
        <v>33</v>
      </c>
      <c r="K1823">
        <v>2.8</v>
      </c>
      <c r="L1823" t="s">
        <v>143</v>
      </c>
      <c r="M1823" t="s">
        <v>143</v>
      </c>
      <c r="N1823">
        <v>29</v>
      </c>
      <c r="O1823" t="s">
        <v>40</v>
      </c>
      <c r="P1823" t="s">
        <v>51</v>
      </c>
    </row>
    <row r="1824" spans="1:16" ht="14.5" x14ac:dyDescent="0.35">
      <c r="A1824">
        <v>1823</v>
      </c>
      <c r="B1824">
        <v>66</v>
      </c>
      <c r="C1824" t="s">
        <v>16</v>
      </c>
      <c r="D1824" t="s">
        <v>48</v>
      </c>
      <c r="E1824" t="s">
        <v>18</v>
      </c>
      <c r="F1824">
        <v>85</v>
      </c>
      <c r="G1824" t="s">
        <v>130</v>
      </c>
      <c r="H1824" t="s">
        <v>32</v>
      </c>
      <c r="I1824" t="s">
        <v>100</v>
      </c>
      <c r="J1824" t="s">
        <v>47</v>
      </c>
      <c r="K1824">
        <v>4.4000000000000004</v>
      </c>
      <c r="L1824" t="s">
        <v>143</v>
      </c>
      <c r="M1824" t="s">
        <v>143</v>
      </c>
      <c r="N1824">
        <v>4</v>
      </c>
      <c r="O1824" t="s">
        <v>29</v>
      </c>
      <c r="P1824" t="s">
        <v>43</v>
      </c>
    </row>
    <row r="1825" spans="1:16" ht="14.5" x14ac:dyDescent="0.35">
      <c r="A1825">
        <v>1824</v>
      </c>
      <c r="B1825">
        <v>62</v>
      </c>
      <c r="C1825" t="s">
        <v>16</v>
      </c>
      <c r="D1825" t="s">
        <v>116</v>
      </c>
      <c r="E1825" t="s">
        <v>18</v>
      </c>
      <c r="F1825">
        <v>50</v>
      </c>
      <c r="G1825" t="s">
        <v>53</v>
      </c>
      <c r="H1825" t="s">
        <v>20</v>
      </c>
      <c r="I1825" t="s">
        <v>62</v>
      </c>
      <c r="J1825" t="s">
        <v>50</v>
      </c>
      <c r="K1825">
        <v>4.7</v>
      </c>
      <c r="L1825" t="s">
        <v>143</v>
      </c>
      <c r="M1825" t="s">
        <v>143</v>
      </c>
      <c r="N1825">
        <v>40</v>
      </c>
      <c r="O1825" t="s">
        <v>66</v>
      </c>
      <c r="P1825" t="s">
        <v>67</v>
      </c>
    </row>
    <row r="1826" spans="1:16" ht="14.5" x14ac:dyDescent="0.35">
      <c r="A1826">
        <v>1825</v>
      </c>
      <c r="B1826">
        <v>58</v>
      </c>
      <c r="C1826" t="s">
        <v>16</v>
      </c>
      <c r="D1826" t="s">
        <v>86</v>
      </c>
      <c r="E1826" t="s">
        <v>18</v>
      </c>
      <c r="F1826">
        <v>47</v>
      </c>
      <c r="G1826" t="s">
        <v>106</v>
      </c>
      <c r="H1826" t="s">
        <v>83</v>
      </c>
      <c r="I1826" t="s">
        <v>127</v>
      </c>
      <c r="J1826" t="s">
        <v>22</v>
      </c>
      <c r="K1826">
        <v>3.8</v>
      </c>
      <c r="L1826" t="s">
        <v>143</v>
      </c>
      <c r="M1826" t="s">
        <v>143</v>
      </c>
      <c r="N1826">
        <v>31</v>
      </c>
      <c r="O1826" t="s">
        <v>29</v>
      </c>
      <c r="P1826" t="s">
        <v>79</v>
      </c>
    </row>
    <row r="1827" spans="1:16" ht="14.5" x14ac:dyDescent="0.35">
      <c r="A1827">
        <v>1826</v>
      </c>
      <c r="B1827">
        <v>23</v>
      </c>
      <c r="C1827" t="s">
        <v>16</v>
      </c>
      <c r="D1827" t="s">
        <v>128</v>
      </c>
      <c r="E1827" t="s">
        <v>37</v>
      </c>
      <c r="F1827">
        <v>75</v>
      </c>
      <c r="G1827" t="s">
        <v>138</v>
      </c>
      <c r="H1827" t="s">
        <v>39</v>
      </c>
      <c r="I1827" t="s">
        <v>62</v>
      </c>
      <c r="J1827" t="s">
        <v>22</v>
      </c>
      <c r="K1827">
        <v>4.9000000000000004</v>
      </c>
      <c r="L1827" t="s">
        <v>143</v>
      </c>
      <c r="M1827" t="s">
        <v>143</v>
      </c>
      <c r="N1827">
        <v>41</v>
      </c>
      <c r="O1827" t="s">
        <v>34</v>
      </c>
      <c r="P1827" t="s">
        <v>35</v>
      </c>
    </row>
    <row r="1828" spans="1:16" ht="14.5" x14ac:dyDescent="0.35">
      <c r="A1828">
        <v>1827</v>
      </c>
      <c r="B1828">
        <v>45</v>
      </c>
      <c r="C1828" t="s">
        <v>16</v>
      </c>
      <c r="D1828" t="s">
        <v>104</v>
      </c>
      <c r="E1828" t="s">
        <v>18</v>
      </c>
      <c r="F1828">
        <v>60</v>
      </c>
      <c r="G1828" t="s">
        <v>107</v>
      </c>
      <c r="H1828" t="s">
        <v>39</v>
      </c>
      <c r="I1828" t="s">
        <v>42</v>
      </c>
      <c r="J1828" t="s">
        <v>22</v>
      </c>
      <c r="K1828">
        <v>4.2</v>
      </c>
      <c r="L1828" t="s">
        <v>143</v>
      </c>
      <c r="M1828" t="s">
        <v>143</v>
      </c>
      <c r="N1828">
        <v>44</v>
      </c>
      <c r="O1828" t="s">
        <v>77</v>
      </c>
      <c r="P1828" t="s">
        <v>43</v>
      </c>
    </row>
    <row r="1829" spans="1:16" ht="14.5" x14ac:dyDescent="0.35">
      <c r="A1829">
        <v>1828</v>
      </c>
      <c r="B1829">
        <v>20</v>
      </c>
      <c r="C1829" t="s">
        <v>16</v>
      </c>
      <c r="D1829" t="s">
        <v>104</v>
      </c>
      <c r="E1829" t="s">
        <v>18</v>
      </c>
      <c r="F1829">
        <v>36</v>
      </c>
      <c r="G1829" t="s">
        <v>120</v>
      </c>
      <c r="H1829" t="s">
        <v>32</v>
      </c>
      <c r="I1829" t="s">
        <v>62</v>
      </c>
      <c r="J1829" t="s">
        <v>33</v>
      </c>
      <c r="K1829">
        <v>4.9000000000000004</v>
      </c>
      <c r="L1829" t="s">
        <v>143</v>
      </c>
      <c r="M1829" t="s">
        <v>143</v>
      </c>
      <c r="N1829">
        <v>31</v>
      </c>
      <c r="O1829" t="s">
        <v>66</v>
      </c>
      <c r="P1829" t="s">
        <v>35</v>
      </c>
    </row>
    <row r="1830" spans="1:16" ht="14.5" x14ac:dyDescent="0.35">
      <c r="A1830">
        <v>1829</v>
      </c>
      <c r="B1830">
        <v>33</v>
      </c>
      <c r="C1830" t="s">
        <v>16</v>
      </c>
      <c r="D1830" t="s">
        <v>55</v>
      </c>
      <c r="E1830" t="s">
        <v>56</v>
      </c>
      <c r="F1830">
        <v>80</v>
      </c>
      <c r="G1830" t="s">
        <v>73</v>
      </c>
      <c r="H1830" t="s">
        <v>20</v>
      </c>
      <c r="I1830" t="s">
        <v>21</v>
      </c>
      <c r="J1830" t="s">
        <v>33</v>
      </c>
      <c r="K1830">
        <v>3.9</v>
      </c>
      <c r="L1830" t="s">
        <v>143</v>
      </c>
      <c r="M1830" t="s">
        <v>143</v>
      </c>
      <c r="N1830">
        <v>45</v>
      </c>
      <c r="O1830" t="s">
        <v>29</v>
      </c>
      <c r="P1830" t="s">
        <v>88</v>
      </c>
    </row>
    <row r="1831" spans="1:16" ht="14.5" x14ac:dyDescent="0.35">
      <c r="A1831">
        <v>1830</v>
      </c>
      <c r="B1831">
        <v>30</v>
      </c>
      <c r="C1831" t="s">
        <v>16</v>
      </c>
      <c r="D1831" t="s">
        <v>115</v>
      </c>
      <c r="E1831" t="s">
        <v>60</v>
      </c>
      <c r="F1831">
        <v>96</v>
      </c>
      <c r="G1831" t="s">
        <v>41</v>
      </c>
      <c r="H1831" t="s">
        <v>39</v>
      </c>
      <c r="I1831" t="s">
        <v>46</v>
      </c>
      <c r="J1831" t="s">
        <v>33</v>
      </c>
      <c r="K1831">
        <v>4.9000000000000004</v>
      </c>
      <c r="L1831" t="s">
        <v>143</v>
      </c>
      <c r="M1831" t="s">
        <v>143</v>
      </c>
      <c r="N1831">
        <v>50</v>
      </c>
      <c r="O1831" t="s">
        <v>34</v>
      </c>
      <c r="P1831" t="s">
        <v>51</v>
      </c>
    </row>
    <row r="1832" spans="1:16" ht="14.5" x14ac:dyDescent="0.35">
      <c r="A1832">
        <v>1831</v>
      </c>
      <c r="B1832">
        <v>50</v>
      </c>
      <c r="C1832" t="s">
        <v>16</v>
      </c>
      <c r="D1832" t="s">
        <v>80</v>
      </c>
      <c r="E1832" t="s">
        <v>60</v>
      </c>
      <c r="F1832">
        <v>80</v>
      </c>
      <c r="G1832" t="s">
        <v>102</v>
      </c>
      <c r="H1832" t="s">
        <v>39</v>
      </c>
      <c r="I1832" t="s">
        <v>135</v>
      </c>
      <c r="J1832" t="s">
        <v>22</v>
      </c>
      <c r="K1832">
        <v>4.8</v>
      </c>
      <c r="L1832" t="s">
        <v>143</v>
      </c>
      <c r="M1832" t="s">
        <v>143</v>
      </c>
      <c r="N1832">
        <v>7</v>
      </c>
      <c r="O1832" t="s">
        <v>24</v>
      </c>
      <c r="P1832" t="s">
        <v>43</v>
      </c>
    </row>
    <row r="1833" spans="1:16" ht="14.5" x14ac:dyDescent="0.35">
      <c r="A1833">
        <v>1832</v>
      </c>
      <c r="B1833">
        <v>62</v>
      </c>
      <c r="C1833" t="s">
        <v>16</v>
      </c>
      <c r="D1833" t="s">
        <v>17</v>
      </c>
      <c r="E1833" t="s">
        <v>18</v>
      </c>
      <c r="F1833">
        <v>71</v>
      </c>
      <c r="G1833" t="s">
        <v>27</v>
      </c>
      <c r="H1833" t="s">
        <v>39</v>
      </c>
      <c r="I1833" t="s">
        <v>100</v>
      </c>
      <c r="J1833" t="s">
        <v>47</v>
      </c>
      <c r="K1833">
        <v>3.3</v>
      </c>
      <c r="L1833" t="s">
        <v>143</v>
      </c>
      <c r="M1833" t="s">
        <v>143</v>
      </c>
      <c r="N1833">
        <v>5</v>
      </c>
      <c r="O1833" t="s">
        <v>66</v>
      </c>
      <c r="P1833" t="s">
        <v>88</v>
      </c>
    </row>
    <row r="1834" spans="1:16" ht="14.5" x14ac:dyDescent="0.35">
      <c r="A1834">
        <v>1833</v>
      </c>
      <c r="B1834">
        <v>69</v>
      </c>
      <c r="C1834" t="s">
        <v>16</v>
      </c>
      <c r="D1834" t="s">
        <v>97</v>
      </c>
      <c r="E1834" t="s">
        <v>60</v>
      </c>
      <c r="F1834">
        <v>29</v>
      </c>
      <c r="G1834" t="s">
        <v>53</v>
      </c>
      <c r="H1834" t="s">
        <v>39</v>
      </c>
      <c r="I1834" t="s">
        <v>135</v>
      </c>
      <c r="J1834" t="s">
        <v>50</v>
      </c>
      <c r="K1834">
        <v>4.5999999999999996</v>
      </c>
      <c r="L1834" t="s">
        <v>143</v>
      </c>
      <c r="M1834" t="s">
        <v>143</v>
      </c>
      <c r="N1834">
        <v>48</v>
      </c>
      <c r="O1834" t="s">
        <v>29</v>
      </c>
      <c r="P1834" t="s">
        <v>79</v>
      </c>
    </row>
    <row r="1835" spans="1:16" ht="14.5" x14ac:dyDescent="0.35">
      <c r="A1835">
        <v>1834</v>
      </c>
      <c r="B1835">
        <v>34</v>
      </c>
      <c r="C1835" t="s">
        <v>16</v>
      </c>
      <c r="D1835" t="s">
        <v>97</v>
      </c>
      <c r="E1835" t="s">
        <v>60</v>
      </c>
      <c r="F1835">
        <v>53</v>
      </c>
      <c r="G1835" t="s">
        <v>53</v>
      </c>
      <c r="H1835" t="s">
        <v>39</v>
      </c>
      <c r="I1835" t="s">
        <v>125</v>
      </c>
      <c r="J1835" t="s">
        <v>33</v>
      </c>
      <c r="K1835">
        <v>4.5</v>
      </c>
      <c r="L1835" t="s">
        <v>143</v>
      </c>
      <c r="M1835" t="s">
        <v>143</v>
      </c>
      <c r="N1835">
        <v>19</v>
      </c>
      <c r="O1835" t="s">
        <v>40</v>
      </c>
      <c r="P1835" t="s">
        <v>25</v>
      </c>
    </row>
    <row r="1836" spans="1:16" ht="14.5" x14ac:dyDescent="0.35">
      <c r="A1836">
        <v>1835</v>
      </c>
      <c r="B1836">
        <v>49</v>
      </c>
      <c r="C1836" t="s">
        <v>16</v>
      </c>
      <c r="D1836" t="s">
        <v>78</v>
      </c>
      <c r="E1836" t="s">
        <v>18</v>
      </c>
      <c r="F1836">
        <v>35</v>
      </c>
      <c r="G1836" t="s">
        <v>107</v>
      </c>
      <c r="H1836" t="s">
        <v>39</v>
      </c>
      <c r="I1836" t="s">
        <v>54</v>
      </c>
      <c r="J1836" t="s">
        <v>47</v>
      </c>
      <c r="K1836">
        <v>4.0999999999999996</v>
      </c>
      <c r="L1836" t="s">
        <v>143</v>
      </c>
      <c r="M1836" t="s">
        <v>143</v>
      </c>
      <c r="N1836">
        <v>39</v>
      </c>
      <c r="O1836" t="s">
        <v>24</v>
      </c>
      <c r="P1836" t="s">
        <v>25</v>
      </c>
    </row>
    <row r="1837" spans="1:16" ht="14.5" x14ac:dyDescent="0.35">
      <c r="A1837">
        <v>1836</v>
      </c>
      <c r="B1837">
        <v>65</v>
      </c>
      <c r="C1837" t="s">
        <v>16</v>
      </c>
      <c r="D1837" t="s">
        <v>110</v>
      </c>
      <c r="E1837" t="s">
        <v>60</v>
      </c>
      <c r="F1837">
        <v>75</v>
      </c>
      <c r="G1837" t="s">
        <v>19</v>
      </c>
      <c r="H1837" t="s">
        <v>39</v>
      </c>
      <c r="I1837" t="s">
        <v>84</v>
      </c>
      <c r="J1837" t="s">
        <v>50</v>
      </c>
      <c r="K1837">
        <v>3.2</v>
      </c>
      <c r="L1837" t="s">
        <v>143</v>
      </c>
      <c r="M1837" t="s">
        <v>143</v>
      </c>
      <c r="N1837">
        <v>45</v>
      </c>
      <c r="O1837" t="s">
        <v>34</v>
      </c>
      <c r="P1837" t="s">
        <v>51</v>
      </c>
    </row>
    <row r="1838" spans="1:16" ht="14.5" x14ac:dyDescent="0.35">
      <c r="A1838">
        <v>1837</v>
      </c>
      <c r="B1838">
        <v>66</v>
      </c>
      <c r="C1838" t="s">
        <v>16</v>
      </c>
      <c r="D1838" t="s">
        <v>86</v>
      </c>
      <c r="E1838" t="s">
        <v>18</v>
      </c>
      <c r="F1838">
        <v>52</v>
      </c>
      <c r="G1838" t="s">
        <v>122</v>
      </c>
      <c r="H1838" t="s">
        <v>39</v>
      </c>
      <c r="I1838" t="s">
        <v>76</v>
      </c>
      <c r="J1838" t="s">
        <v>50</v>
      </c>
      <c r="K1838">
        <v>4.2</v>
      </c>
      <c r="L1838" t="s">
        <v>143</v>
      </c>
      <c r="M1838" t="s">
        <v>143</v>
      </c>
      <c r="N1838">
        <v>35</v>
      </c>
      <c r="O1838" t="s">
        <v>34</v>
      </c>
      <c r="P1838" t="s">
        <v>79</v>
      </c>
    </row>
    <row r="1839" spans="1:16" ht="14.5" x14ac:dyDescent="0.35">
      <c r="A1839">
        <v>1838</v>
      </c>
      <c r="B1839">
        <v>41</v>
      </c>
      <c r="C1839" t="s">
        <v>16</v>
      </c>
      <c r="D1839" t="s">
        <v>115</v>
      </c>
      <c r="E1839" t="s">
        <v>60</v>
      </c>
      <c r="F1839">
        <v>77</v>
      </c>
      <c r="G1839" t="s">
        <v>49</v>
      </c>
      <c r="H1839" t="s">
        <v>39</v>
      </c>
      <c r="I1839" t="s">
        <v>109</v>
      </c>
      <c r="J1839" t="s">
        <v>22</v>
      </c>
      <c r="K1839">
        <v>4.8</v>
      </c>
      <c r="L1839" t="s">
        <v>143</v>
      </c>
      <c r="M1839" t="s">
        <v>143</v>
      </c>
      <c r="N1839">
        <v>8</v>
      </c>
      <c r="O1839" t="s">
        <v>24</v>
      </c>
      <c r="P1839" t="s">
        <v>79</v>
      </c>
    </row>
    <row r="1840" spans="1:16" ht="14.5" x14ac:dyDescent="0.35">
      <c r="A1840">
        <v>1839</v>
      </c>
      <c r="B1840">
        <v>37</v>
      </c>
      <c r="C1840" t="s">
        <v>16</v>
      </c>
      <c r="D1840" t="s">
        <v>134</v>
      </c>
      <c r="E1840" t="s">
        <v>60</v>
      </c>
      <c r="F1840">
        <v>24</v>
      </c>
      <c r="G1840" t="s">
        <v>120</v>
      </c>
      <c r="H1840" t="s">
        <v>20</v>
      </c>
      <c r="I1840" t="s">
        <v>135</v>
      </c>
      <c r="J1840" t="s">
        <v>50</v>
      </c>
      <c r="K1840">
        <v>4.0999999999999996</v>
      </c>
      <c r="L1840" t="s">
        <v>143</v>
      </c>
      <c r="M1840" t="s">
        <v>143</v>
      </c>
      <c r="N1840">
        <v>11</v>
      </c>
      <c r="O1840" t="s">
        <v>34</v>
      </c>
      <c r="P1840" t="s">
        <v>51</v>
      </c>
    </row>
    <row r="1841" spans="1:16" ht="14.5" x14ac:dyDescent="0.35">
      <c r="A1841">
        <v>1840</v>
      </c>
      <c r="B1841">
        <v>32</v>
      </c>
      <c r="C1841" t="s">
        <v>16</v>
      </c>
      <c r="D1841" t="s">
        <v>48</v>
      </c>
      <c r="E1841" t="s">
        <v>18</v>
      </c>
      <c r="F1841">
        <v>78</v>
      </c>
      <c r="G1841" t="s">
        <v>82</v>
      </c>
      <c r="H1841" t="s">
        <v>83</v>
      </c>
      <c r="I1841" t="s">
        <v>65</v>
      </c>
      <c r="J1841" t="s">
        <v>22</v>
      </c>
      <c r="K1841">
        <v>3.7</v>
      </c>
      <c r="L1841" t="s">
        <v>143</v>
      </c>
      <c r="M1841" t="s">
        <v>143</v>
      </c>
      <c r="N1841">
        <v>32</v>
      </c>
      <c r="O1841" t="s">
        <v>29</v>
      </c>
      <c r="P1841" t="s">
        <v>43</v>
      </c>
    </row>
    <row r="1842" spans="1:16" ht="14.5" x14ac:dyDescent="0.35">
      <c r="A1842">
        <v>1841</v>
      </c>
      <c r="B1842">
        <v>42</v>
      </c>
      <c r="C1842" t="s">
        <v>16</v>
      </c>
      <c r="D1842" t="s">
        <v>36</v>
      </c>
      <c r="E1842" t="s">
        <v>37</v>
      </c>
      <c r="F1842">
        <v>98</v>
      </c>
      <c r="G1842" t="s">
        <v>45</v>
      </c>
      <c r="H1842" t="s">
        <v>39</v>
      </c>
      <c r="I1842" t="s">
        <v>71</v>
      </c>
      <c r="J1842" t="s">
        <v>22</v>
      </c>
      <c r="K1842">
        <v>2.6</v>
      </c>
      <c r="L1842" t="s">
        <v>143</v>
      </c>
      <c r="M1842" t="s">
        <v>143</v>
      </c>
      <c r="N1842">
        <v>46</v>
      </c>
      <c r="O1842" t="s">
        <v>66</v>
      </c>
      <c r="P1842" t="s">
        <v>88</v>
      </c>
    </row>
    <row r="1843" spans="1:16" ht="14.5" x14ac:dyDescent="0.35">
      <c r="A1843">
        <v>1842</v>
      </c>
      <c r="B1843">
        <v>31</v>
      </c>
      <c r="C1843" t="s">
        <v>16</v>
      </c>
      <c r="D1843" t="s">
        <v>116</v>
      </c>
      <c r="E1843" t="s">
        <v>18</v>
      </c>
      <c r="F1843">
        <v>57</v>
      </c>
      <c r="G1843" t="s">
        <v>120</v>
      </c>
      <c r="H1843" t="s">
        <v>20</v>
      </c>
      <c r="I1843" t="s">
        <v>135</v>
      </c>
      <c r="J1843" t="s">
        <v>22</v>
      </c>
      <c r="K1843">
        <v>3</v>
      </c>
      <c r="L1843" t="s">
        <v>143</v>
      </c>
      <c r="M1843" t="s">
        <v>143</v>
      </c>
      <c r="N1843">
        <v>7</v>
      </c>
      <c r="O1843" t="s">
        <v>40</v>
      </c>
      <c r="P1843" t="s">
        <v>88</v>
      </c>
    </row>
    <row r="1844" spans="1:16" ht="14.5" x14ac:dyDescent="0.35">
      <c r="A1844">
        <v>1843</v>
      </c>
      <c r="B1844">
        <v>61</v>
      </c>
      <c r="C1844" t="s">
        <v>16</v>
      </c>
      <c r="D1844" t="s">
        <v>59</v>
      </c>
      <c r="E1844" t="s">
        <v>60</v>
      </c>
      <c r="F1844">
        <v>78</v>
      </c>
      <c r="G1844" t="s">
        <v>81</v>
      </c>
      <c r="H1844" t="s">
        <v>39</v>
      </c>
      <c r="I1844" t="s">
        <v>85</v>
      </c>
      <c r="J1844" t="s">
        <v>47</v>
      </c>
      <c r="K1844">
        <v>4.4000000000000004</v>
      </c>
      <c r="L1844" t="s">
        <v>143</v>
      </c>
      <c r="M1844" t="s">
        <v>143</v>
      </c>
      <c r="N1844">
        <v>1</v>
      </c>
      <c r="O1844" t="s">
        <v>77</v>
      </c>
      <c r="P1844" t="s">
        <v>43</v>
      </c>
    </row>
    <row r="1845" spans="1:16" ht="14.5" x14ac:dyDescent="0.35">
      <c r="A1845">
        <v>1844</v>
      </c>
      <c r="B1845">
        <v>36</v>
      </c>
      <c r="C1845" t="s">
        <v>16</v>
      </c>
      <c r="D1845" t="s">
        <v>93</v>
      </c>
      <c r="E1845" t="s">
        <v>56</v>
      </c>
      <c r="F1845">
        <v>76</v>
      </c>
      <c r="G1845" t="s">
        <v>19</v>
      </c>
      <c r="H1845" t="s">
        <v>39</v>
      </c>
      <c r="I1845" t="s">
        <v>54</v>
      </c>
      <c r="J1845" t="s">
        <v>50</v>
      </c>
      <c r="K1845">
        <v>4.7</v>
      </c>
      <c r="L1845" t="s">
        <v>143</v>
      </c>
      <c r="M1845" t="s">
        <v>143</v>
      </c>
      <c r="N1845">
        <v>32</v>
      </c>
      <c r="O1845" t="s">
        <v>34</v>
      </c>
      <c r="P1845" t="s">
        <v>79</v>
      </c>
    </row>
    <row r="1846" spans="1:16" ht="14.5" x14ac:dyDescent="0.35">
      <c r="A1846">
        <v>1845</v>
      </c>
      <c r="B1846">
        <v>60</v>
      </c>
      <c r="C1846" t="s">
        <v>16</v>
      </c>
      <c r="D1846" t="s">
        <v>52</v>
      </c>
      <c r="E1846" t="s">
        <v>18</v>
      </c>
      <c r="F1846">
        <v>26</v>
      </c>
      <c r="G1846" t="s">
        <v>138</v>
      </c>
      <c r="H1846" t="s">
        <v>39</v>
      </c>
      <c r="I1846" t="s">
        <v>65</v>
      </c>
      <c r="J1846" t="s">
        <v>33</v>
      </c>
      <c r="K1846">
        <v>2.7</v>
      </c>
      <c r="L1846" t="s">
        <v>143</v>
      </c>
      <c r="M1846" t="s">
        <v>143</v>
      </c>
      <c r="N1846">
        <v>31</v>
      </c>
      <c r="O1846" t="s">
        <v>34</v>
      </c>
      <c r="P1846" t="s">
        <v>43</v>
      </c>
    </row>
    <row r="1847" spans="1:16" ht="14.5" x14ac:dyDescent="0.35">
      <c r="A1847">
        <v>1846</v>
      </c>
      <c r="B1847">
        <v>51</v>
      </c>
      <c r="C1847" t="s">
        <v>16</v>
      </c>
      <c r="D1847" t="s">
        <v>36</v>
      </c>
      <c r="E1847" t="s">
        <v>37</v>
      </c>
      <c r="F1847">
        <v>78</v>
      </c>
      <c r="G1847" t="s">
        <v>70</v>
      </c>
      <c r="H1847" t="s">
        <v>39</v>
      </c>
      <c r="I1847" t="s">
        <v>112</v>
      </c>
      <c r="J1847" t="s">
        <v>22</v>
      </c>
      <c r="K1847">
        <v>2.8</v>
      </c>
      <c r="L1847" t="s">
        <v>143</v>
      </c>
      <c r="M1847" t="s">
        <v>143</v>
      </c>
      <c r="N1847">
        <v>39</v>
      </c>
      <c r="O1847" t="s">
        <v>66</v>
      </c>
      <c r="P1847" t="s">
        <v>51</v>
      </c>
    </row>
    <row r="1848" spans="1:16" ht="14.5" x14ac:dyDescent="0.35">
      <c r="A1848">
        <v>1847</v>
      </c>
      <c r="B1848">
        <v>68</v>
      </c>
      <c r="C1848" t="s">
        <v>16</v>
      </c>
      <c r="D1848" t="s">
        <v>110</v>
      </c>
      <c r="E1848" t="s">
        <v>60</v>
      </c>
      <c r="F1848">
        <v>53</v>
      </c>
      <c r="G1848" t="s">
        <v>141</v>
      </c>
      <c r="H1848" t="s">
        <v>39</v>
      </c>
      <c r="I1848" t="s">
        <v>125</v>
      </c>
      <c r="J1848" t="s">
        <v>47</v>
      </c>
      <c r="K1848">
        <v>2.9</v>
      </c>
      <c r="L1848" t="s">
        <v>143</v>
      </c>
      <c r="M1848" t="s">
        <v>143</v>
      </c>
      <c r="N1848">
        <v>9</v>
      </c>
      <c r="O1848" t="s">
        <v>24</v>
      </c>
      <c r="P1848" t="s">
        <v>51</v>
      </c>
    </row>
    <row r="1849" spans="1:16" ht="14.5" x14ac:dyDescent="0.35">
      <c r="A1849">
        <v>1848</v>
      </c>
      <c r="B1849">
        <v>46</v>
      </c>
      <c r="C1849" t="s">
        <v>16</v>
      </c>
      <c r="D1849" t="s">
        <v>36</v>
      </c>
      <c r="E1849" t="s">
        <v>37</v>
      </c>
      <c r="F1849">
        <v>100</v>
      </c>
      <c r="G1849" t="s">
        <v>108</v>
      </c>
      <c r="H1849" t="s">
        <v>83</v>
      </c>
      <c r="I1849" t="s">
        <v>100</v>
      </c>
      <c r="J1849" t="s">
        <v>47</v>
      </c>
      <c r="K1849">
        <v>4.4000000000000004</v>
      </c>
      <c r="L1849" t="s">
        <v>143</v>
      </c>
      <c r="M1849" t="s">
        <v>143</v>
      </c>
      <c r="N1849">
        <v>49</v>
      </c>
      <c r="O1849" t="s">
        <v>34</v>
      </c>
      <c r="P1849" t="s">
        <v>35</v>
      </c>
    </row>
    <row r="1850" spans="1:16" ht="14.5" x14ac:dyDescent="0.35">
      <c r="A1850">
        <v>1849</v>
      </c>
      <c r="B1850">
        <v>19</v>
      </c>
      <c r="C1850" t="s">
        <v>16</v>
      </c>
      <c r="D1850" t="s">
        <v>30</v>
      </c>
      <c r="E1850" t="s">
        <v>18</v>
      </c>
      <c r="F1850">
        <v>73</v>
      </c>
      <c r="G1850" t="s">
        <v>27</v>
      </c>
      <c r="H1850" t="s">
        <v>83</v>
      </c>
      <c r="I1850" t="s">
        <v>125</v>
      </c>
      <c r="J1850" t="s">
        <v>22</v>
      </c>
      <c r="K1850">
        <v>2.7</v>
      </c>
      <c r="L1850" t="s">
        <v>143</v>
      </c>
      <c r="M1850" t="s">
        <v>143</v>
      </c>
      <c r="N1850">
        <v>34</v>
      </c>
      <c r="O1850" t="s">
        <v>29</v>
      </c>
      <c r="P1850" t="s">
        <v>88</v>
      </c>
    </row>
    <row r="1851" spans="1:16" ht="14.5" x14ac:dyDescent="0.35">
      <c r="A1851">
        <v>1850</v>
      </c>
      <c r="B1851">
        <v>30</v>
      </c>
      <c r="C1851" t="s">
        <v>16</v>
      </c>
      <c r="D1851" t="s">
        <v>78</v>
      </c>
      <c r="E1851" t="s">
        <v>18</v>
      </c>
      <c r="F1851">
        <v>40</v>
      </c>
      <c r="G1851" t="s">
        <v>121</v>
      </c>
      <c r="H1851" t="s">
        <v>39</v>
      </c>
      <c r="I1851" t="s">
        <v>28</v>
      </c>
      <c r="J1851" t="s">
        <v>22</v>
      </c>
      <c r="K1851">
        <v>4.5</v>
      </c>
      <c r="L1851" t="s">
        <v>143</v>
      </c>
      <c r="M1851" t="s">
        <v>143</v>
      </c>
      <c r="N1851">
        <v>35</v>
      </c>
      <c r="O1851" t="s">
        <v>66</v>
      </c>
      <c r="P1851" t="s">
        <v>79</v>
      </c>
    </row>
    <row r="1852" spans="1:16" ht="14.5" x14ac:dyDescent="0.35">
      <c r="A1852">
        <v>1851</v>
      </c>
      <c r="B1852">
        <v>51</v>
      </c>
      <c r="C1852" t="s">
        <v>16</v>
      </c>
      <c r="D1852" t="s">
        <v>134</v>
      </c>
      <c r="E1852" t="s">
        <v>60</v>
      </c>
      <c r="F1852">
        <v>76</v>
      </c>
      <c r="G1852" t="s">
        <v>45</v>
      </c>
      <c r="H1852" t="s">
        <v>32</v>
      </c>
      <c r="I1852" t="s">
        <v>85</v>
      </c>
      <c r="J1852" t="s">
        <v>22</v>
      </c>
      <c r="K1852">
        <v>2.8</v>
      </c>
      <c r="L1852" t="s">
        <v>143</v>
      </c>
      <c r="M1852" t="s">
        <v>143</v>
      </c>
      <c r="N1852">
        <v>50</v>
      </c>
      <c r="O1852" t="s">
        <v>77</v>
      </c>
      <c r="P1852" t="s">
        <v>35</v>
      </c>
    </row>
    <row r="1853" spans="1:16" ht="14.5" x14ac:dyDescent="0.35">
      <c r="A1853">
        <v>1852</v>
      </c>
      <c r="B1853">
        <v>28</v>
      </c>
      <c r="C1853" t="s">
        <v>16</v>
      </c>
      <c r="D1853" t="s">
        <v>78</v>
      </c>
      <c r="E1853" t="s">
        <v>18</v>
      </c>
      <c r="F1853">
        <v>80</v>
      </c>
      <c r="G1853" t="s">
        <v>70</v>
      </c>
      <c r="H1853" t="s">
        <v>32</v>
      </c>
      <c r="I1853" t="s">
        <v>84</v>
      </c>
      <c r="J1853" t="s">
        <v>50</v>
      </c>
      <c r="K1853">
        <v>3.1</v>
      </c>
      <c r="L1853" t="s">
        <v>143</v>
      </c>
      <c r="M1853" t="s">
        <v>143</v>
      </c>
      <c r="N1853">
        <v>4</v>
      </c>
      <c r="O1853" t="s">
        <v>66</v>
      </c>
      <c r="P1853" t="s">
        <v>25</v>
      </c>
    </row>
    <row r="1854" spans="1:16" ht="14.5" x14ac:dyDescent="0.35">
      <c r="A1854">
        <v>1853</v>
      </c>
      <c r="B1854">
        <v>41</v>
      </c>
      <c r="C1854" t="s">
        <v>16</v>
      </c>
      <c r="D1854" t="s">
        <v>26</v>
      </c>
      <c r="E1854" t="s">
        <v>18</v>
      </c>
      <c r="F1854">
        <v>80</v>
      </c>
      <c r="G1854" t="s">
        <v>129</v>
      </c>
      <c r="H1854" t="s">
        <v>83</v>
      </c>
      <c r="I1854" t="s">
        <v>74</v>
      </c>
      <c r="J1854" t="s">
        <v>22</v>
      </c>
      <c r="K1854">
        <v>3.8</v>
      </c>
      <c r="L1854" t="s">
        <v>143</v>
      </c>
      <c r="M1854" t="s">
        <v>143</v>
      </c>
      <c r="N1854">
        <v>32</v>
      </c>
      <c r="O1854" t="s">
        <v>29</v>
      </c>
      <c r="P1854" t="s">
        <v>35</v>
      </c>
    </row>
    <row r="1855" spans="1:16" ht="14.5" x14ac:dyDescent="0.35">
      <c r="A1855">
        <v>1854</v>
      </c>
      <c r="B1855">
        <v>29</v>
      </c>
      <c r="C1855" t="s">
        <v>16</v>
      </c>
      <c r="D1855" t="s">
        <v>17</v>
      </c>
      <c r="E1855" t="s">
        <v>18</v>
      </c>
      <c r="F1855">
        <v>67</v>
      </c>
      <c r="G1855" t="s">
        <v>105</v>
      </c>
      <c r="H1855" t="s">
        <v>83</v>
      </c>
      <c r="I1855" t="s">
        <v>69</v>
      </c>
      <c r="J1855" t="s">
        <v>33</v>
      </c>
      <c r="K1855">
        <v>2.9</v>
      </c>
      <c r="L1855" t="s">
        <v>143</v>
      </c>
      <c r="M1855" t="s">
        <v>143</v>
      </c>
      <c r="N1855">
        <v>11</v>
      </c>
      <c r="O1855" t="s">
        <v>40</v>
      </c>
      <c r="P1855" t="s">
        <v>25</v>
      </c>
    </row>
    <row r="1856" spans="1:16" ht="14.5" x14ac:dyDescent="0.35">
      <c r="A1856">
        <v>1855</v>
      </c>
      <c r="B1856">
        <v>25</v>
      </c>
      <c r="C1856" t="s">
        <v>16</v>
      </c>
      <c r="D1856" t="s">
        <v>26</v>
      </c>
      <c r="E1856" t="s">
        <v>18</v>
      </c>
      <c r="F1856">
        <v>61</v>
      </c>
      <c r="G1856" t="s">
        <v>19</v>
      </c>
      <c r="H1856" t="s">
        <v>39</v>
      </c>
      <c r="I1856" t="s">
        <v>76</v>
      </c>
      <c r="J1856" t="s">
        <v>33</v>
      </c>
      <c r="K1856">
        <v>3.8</v>
      </c>
      <c r="L1856" t="s">
        <v>143</v>
      </c>
      <c r="M1856" t="s">
        <v>143</v>
      </c>
      <c r="N1856">
        <v>49</v>
      </c>
      <c r="O1856" t="s">
        <v>34</v>
      </c>
      <c r="P1856" t="s">
        <v>43</v>
      </c>
    </row>
    <row r="1857" spans="1:16" ht="14.5" x14ac:dyDescent="0.35">
      <c r="A1857">
        <v>1856</v>
      </c>
      <c r="B1857">
        <v>60</v>
      </c>
      <c r="C1857" t="s">
        <v>16</v>
      </c>
      <c r="D1857" t="s">
        <v>48</v>
      </c>
      <c r="E1857" t="s">
        <v>18</v>
      </c>
      <c r="F1857">
        <v>76</v>
      </c>
      <c r="G1857" t="s">
        <v>38</v>
      </c>
      <c r="H1857" t="s">
        <v>83</v>
      </c>
      <c r="I1857" t="s">
        <v>76</v>
      </c>
      <c r="J1857" t="s">
        <v>33</v>
      </c>
      <c r="K1857">
        <v>4.7</v>
      </c>
      <c r="L1857" t="s">
        <v>143</v>
      </c>
      <c r="M1857" t="s">
        <v>143</v>
      </c>
      <c r="N1857">
        <v>9</v>
      </c>
      <c r="O1857" t="s">
        <v>29</v>
      </c>
      <c r="P1857" t="s">
        <v>43</v>
      </c>
    </row>
    <row r="1858" spans="1:16" ht="14.5" x14ac:dyDescent="0.35">
      <c r="A1858">
        <v>1857</v>
      </c>
      <c r="B1858">
        <v>63</v>
      </c>
      <c r="C1858" t="s">
        <v>16</v>
      </c>
      <c r="D1858" t="s">
        <v>97</v>
      </c>
      <c r="E1858" t="s">
        <v>60</v>
      </c>
      <c r="F1858">
        <v>55</v>
      </c>
      <c r="G1858" t="s">
        <v>108</v>
      </c>
      <c r="H1858" t="s">
        <v>83</v>
      </c>
      <c r="I1858" t="s">
        <v>109</v>
      </c>
      <c r="J1858" t="s">
        <v>47</v>
      </c>
      <c r="K1858">
        <v>3.2</v>
      </c>
      <c r="L1858" t="s">
        <v>143</v>
      </c>
      <c r="M1858" t="s">
        <v>143</v>
      </c>
      <c r="N1858">
        <v>30</v>
      </c>
      <c r="O1858" t="s">
        <v>40</v>
      </c>
      <c r="P1858" t="s">
        <v>67</v>
      </c>
    </row>
    <row r="1859" spans="1:16" ht="14.5" x14ac:dyDescent="0.35">
      <c r="A1859">
        <v>1858</v>
      </c>
      <c r="B1859">
        <v>51</v>
      </c>
      <c r="C1859" t="s">
        <v>16</v>
      </c>
      <c r="D1859" t="s">
        <v>104</v>
      </c>
      <c r="E1859" t="s">
        <v>18</v>
      </c>
      <c r="F1859">
        <v>85</v>
      </c>
      <c r="G1859" t="s">
        <v>103</v>
      </c>
      <c r="H1859" t="s">
        <v>20</v>
      </c>
      <c r="I1859" t="s">
        <v>28</v>
      </c>
      <c r="J1859" t="s">
        <v>47</v>
      </c>
      <c r="K1859">
        <v>4</v>
      </c>
      <c r="L1859" t="s">
        <v>143</v>
      </c>
      <c r="M1859" t="s">
        <v>143</v>
      </c>
      <c r="N1859">
        <v>33</v>
      </c>
      <c r="O1859" t="s">
        <v>29</v>
      </c>
      <c r="P1859" t="s">
        <v>79</v>
      </c>
    </row>
    <row r="1860" spans="1:16" ht="14.5" x14ac:dyDescent="0.35">
      <c r="A1860">
        <v>1859</v>
      </c>
      <c r="B1860">
        <v>22</v>
      </c>
      <c r="C1860" t="s">
        <v>16</v>
      </c>
      <c r="D1860" t="s">
        <v>110</v>
      </c>
      <c r="E1860" t="s">
        <v>60</v>
      </c>
      <c r="F1860">
        <v>69</v>
      </c>
      <c r="G1860" t="s">
        <v>27</v>
      </c>
      <c r="H1860" t="s">
        <v>32</v>
      </c>
      <c r="I1860" t="s">
        <v>91</v>
      </c>
      <c r="J1860" t="s">
        <v>33</v>
      </c>
      <c r="K1860">
        <v>4.9000000000000004</v>
      </c>
      <c r="L1860" t="s">
        <v>143</v>
      </c>
      <c r="M1860" t="s">
        <v>143</v>
      </c>
      <c r="N1860">
        <v>8</v>
      </c>
      <c r="O1860" t="s">
        <v>77</v>
      </c>
      <c r="P1860" t="s">
        <v>43</v>
      </c>
    </row>
    <row r="1861" spans="1:16" ht="14.5" x14ac:dyDescent="0.35">
      <c r="A1861">
        <v>1860</v>
      </c>
      <c r="B1861">
        <v>54</v>
      </c>
      <c r="C1861" t="s">
        <v>16</v>
      </c>
      <c r="D1861" t="s">
        <v>124</v>
      </c>
      <c r="E1861" t="s">
        <v>60</v>
      </c>
      <c r="F1861">
        <v>26</v>
      </c>
      <c r="G1861" t="s">
        <v>118</v>
      </c>
      <c r="H1861" t="s">
        <v>20</v>
      </c>
      <c r="I1861" t="s">
        <v>109</v>
      </c>
      <c r="J1861" t="s">
        <v>47</v>
      </c>
      <c r="K1861">
        <v>3.7</v>
      </c>
      <c r="L1861" t="s">
        <v>143</v>
      </c>
      <c r="M1861" t="s">
        <v>143</v>
      </c>
      <c r="N1861">
        <v>29</v>
      </c>
      <c r="O1861" t="s">
        <v>77</v>
      </c>
      <c r="P1861" t="s">
        <v>25</v>
      </c>
    </row>
    <row r="1862" spans="1:16" ht="14.5" x14ac:dyDescent="0.35">
      <c r="A1862">
        <v>1861</v>
      </c>
      <c r="B1862">
        <v>18</v>
      </c>
      <c r="C1862" t="s">
        <v>16</v>
      </c>
      <c r="D1862" t="s">
        <v>104</v>
      </c>
      <c r="E1862" t="s">
        <v>18</v>
      </c>
      <c r="F1862">
        <v>64</v>
      </c>
      <c r="G1862" t="s">
        <v>102</v>
      </c>
      <c r="H1862" t="s">
        <v>39</v>
      </c>
      <c r="I1862" t="s">
        <v>58</v>
      </c>
      <c r="J1862" t="s">
        <v>47</v>
      </c>
      <c r="K1862">
        <v>4.8</v>
      </c>
      <c r="L1862" t="s">
        <v>143</v>
      </c>
      <c r="M1862" t="s">
        <v>143</v>
      </c>
      <c r="N1862">
        <v>4</v>
      </c>
      <c r="O1862" t="s">
        <v>34</v>
      </c>
      <c r="P1862" t="s">
        <v>79</v>
      </c>
    </row>
    <row r="1863" spans="1:16" ht="14.5" x14ac:dyDescent="0.35">
      <c r="A1863">
        <v>1862</v>
      </c>
      <c r="B1863">
        <v>29</v>
      </c>
      <c r="C1863" t="s">
        <v>16</v>
      </c>
      <c r="D1863" t="s">
        <v>44</v>
      </c>
      <c r="E1863" t="s">
        <v>37</v>
      </c>
      <c r="F1863">
        <v>60</v>
      </c>
      <c r="G1863" t="s">
        <v>138</v>
      </c>
      <c r="H1863" t="s">
        <v>32</v>
      </c>
      <c r="I1863" t="s">
        <v>91</v>
      </c>
      <c r="J1863" t="s">
        <v>50</v>
      </c>
      <c r="K1863">
        <v>3.6</v>
      </c>
      <c r="L1863" t="s">
        <v>143</v>
      </c>
      <c r="M1863" t="s">
        <v>143</v>
      </c>
      <c r="N1863">
        <v>19</v>
      </c>
      <c r="O1863" t="s">
        <v>77</v>
      </c>
      <c r="P1863" t="s">
        <v>79</v>
      </c>
    </row>
    <row r="1864" spans="1:16" ht="14.5" x14ac:dyDescent="0.35">
      <c r="A1864">
        <v>1863</v>
      </c>
      <c r="B1864">
        <v>59</v>
      </c>
      <c r="C1864" t="s">
        <v>16</v>
      </c>
      <c r="D1864" t="s">
        <v>134</v>
      </c>
      <c r="E1864" t="s">
        <v>60</v>
      </c>
      <c r="F1864">
        <v>36</v>
      </c>
      <c r="G1864" t="s">
        <v>73</v>
      </c>
      <c r="H1864" t="s">
        <v>39</v>
      </c>
      <c r="I1864" t="s">
        <v>42</v>
      </c>
      <c r="J1864" t="s">
        <v>22</v>
      </c>
      <c r="K1864">
        <v>4.5999999999999996</v>
      </c>
      <c r="L1864" t="s">
        <v>143</v>
      </c>
      <c r="M1864" t="s">
        <v>143</v>
      </c>
      <c r="N1864">
        <v>10</v>
      </c>
      <c r="O1864" t="s">
        <v>40</v>
      </c>
      <c r="P1864" t="s">
        <v>25</v>
      </c>
    </row>
    <row r="1865" spans="1:16" ht="14.5" x14ac:dyDescent="0.35">
      <c r="A1865">
        <v>1864</v>
      </c>
      <c r="B1865">
        <v>25</v>
      </c>
      <c r="C1865" t="s">
        <v>16</v>
      </c>
      <c r="D1865" t="s">
        <v>36</v>
      </c>
      <c r="E1865" t="s">
        <v>37</v>
      </c>
      <c r="F1865">
        <v>21</v>
      </c>
      <c r="G1865" t="s">
        <v>130</v>
      </c>
      <c r="H1865" t="s">
        <v>20</v>
      </c>
      <c r="I1865" t="s">
        <v>112</v>
      </c>
      <c r="J1865" t="s">
        <v>33</v>
      </c>
      <c r="K1865">
        <v>4.3</v>
      </c>
      <c r="L1865" t="s">
        <v>143</v>
      </c>
      <c r="M1865" t="s">
        <v>143</v>
      </c>
      <c r="N1865">
        <v>39</v>
      </c>
      <c r="O1865" t="s">
        <v>77</v>
      </c>
      <c r="P1865" t="s">
        <v>79</v>
      </c>
    </row>
    <row r="1866" spans="1:16" ht="14.5" x14ac:dyDescent="0.35">
      <c r="A1866">
        <v>1865</v>
      </c>
      <c r="B1866">
        <v>19</v>
      </c>
      <c r="C1866" t="s">
        <v>16</v>
      </c>
      <c r="D1866" t="s">
        <v>123</v>
      </c>
      <c r="E1866" t="s">
        <v>60</v>
      </c>
      <c r="F1866">
        <v>72</v>
      </c>
      <c r="G1866" t="s">
        <v>45</v>
      </c>
      <c r="H1866" t="s">
        <v>32</v>
      </c>
      <c r="I1866" t="s">
        <v>100</v>
      </c>
      <c r="J1866" t="s">
        <v>50</v>
      </c>
      <c r="K1866">
        <v>3.2</v>
      </c>
      <c r="L1866" t="s">
        <v>143</v>
      </c>
      <c r="M1866" t="s">
        <v>143</v>
      </c>
      <c r="N1866">
        <v>21</v>
      </c>
      <c r="O1866" t="s">
        <v>24</v>
      </c>
      <c r="P1866" t="s">
        <v>51</v>
      </c>
    </row>
    <row r="1867" spans="1:16" ht="14.5" x14ac:dyDescent="0.35">
      <c r="A1867">
        <v>1866</v>
      </c>
      <c r="B1867">
        <v>56</v>
      </c>
      <c r="C1867" t="s">
        <v>16</v>
      </c>
      <c r="D1867" t="s">
        <v>86</v>
      </c>
      <c r="E1867" t="s">
        <v>18</v>
      </c>
      <c r="F1867">
        <v>62</v>
      </c>
      <c r="G1867" t="s">
        <v>61</v>
      </c>
      <c r="H1867" t="s">
        <v>32</v>
      </c>
      <c r="I1867" t="s">
        <v>58</v>
      </c>
      <c r="J1867" t="s">
        <v>47</v>
      </c>
      <c r="K1867">
        <v>3.8</v>
      </c>
      <c r="L1867" t="s">
        <v>143</v>
      </c>
      <c r="M1867" t="s">
        <v>143</v>
      </c>
      <c r="N1867">
        <v>12</v>
      </c>
      <c r="O1867" t="s">
        <v>66</v>
      </c>
      <c r="P1867" t="s">
        <v>79</v>
      </c>
    </row>
    <row r="1868" spans="1:16" ht="14.5" x14ac:dyDescent="0.35">
      <c r="A1868">
        <v>1867</v>
      </c>
      <c r="B1868">
        <v>31</v>
      </c>
      <c r="C1868" t="s">
        <v>16</v>
      </c>
      <c r="D1868" t="s">
        <v>104</v>
      </c>
      <c r="E1868" t="s">
        <v>18</v>
      </c>
      <c r="F1868">
        <v>44</v>
      </c>
      <c r="G1868" t="s">
        <v>111</v>
      </c>
      <c r="H1868" t="s">
        <v>83</v>
      </c>
      <c r="I1868" t="s">
        <v>71</v>
      </c>
      <c r="J1868" t="s">
        <v>22</v>
      </c>
      <c r="K1868">
        <v>4.2</v>
      </c>
      <c r="L1868" t="s">
        <v>143</v>
      </c>
      <c r="M1868" t="s">
        <v>143</v>
      </c>
      <c r="N1868">
        <v>9</v>
      </c>
      <c r="O1868" t="s">
        <v>34</v>
      </c>
      <c r="P1868" t="s">
        <v>25</v>
      </c>
    </row>
    <row r="1869" spans="1:16" ht="14.5" x14ac:dyDescent="0.35">
      <c r="A1869">
        <v>1868</v>
      </c>
      <c r="B1869">
        <v>45</v>
      </c>
      <c r="C1869" t="s">
        <v>16</v>
      </c>
      <c r="D1869" t="s">
        <v>78</v>
      </c>
      <c r="E1869" t="s">
        <v>18</v>
      </c>
      <c r="F1869">
        <v>52</v>
      </c>
      <c r="G1869" t="s">
        <v>70</v>
      </c>
      <c r="H1869" t="s">
        <v>39</v>
      </c>
      <c r="I1869" t="s">
        <v>101</v>
      </c>
      <c r="J1869" t="s">
        <v>50</v>
      </c>
      <c r="K1869">
        <v>3.4</v>
      </c>
      <c r="L1869" t="s">
        <v>143</v>
      </c>
      <c r="M1869" t="s">
        <v>143</v>
      </c>
      <c r="N1869">
        <v>20</v>
      </c>
      <c r="O1869" t="s">
        <v>24</v>
      </c>
      <c r="P1869" t="s">
        <v>51</v>
      </c>
    </row>
    <row r="1870" spans="1:16" ht="14.5" x14ac:dyDescent="0.35">
      <c r="A1870">
        <v>1869</v>
      </c>
      <c r="B1870">
        <v>23</v>
      </c>
      <c r="C1870" t="s">
        <v>16</v>
      </c>
      <c r="D1870" t="s">
        <v>134</v>
      </c>
      <c r="E1870" t="s">
        <v>60</v>
      </c>
      <c r="F1870">
        <v>58</v>
      </c>
      <c r="G1870" t="s">
        <v>107</v>
      </c>
      <c r="H1870" t="s">
        <v>39</v>
      </c>
      <c r="I1870" t="s">
        <v>58</v>
      </c>
      <c r="J1870" t="s">
        <v>33</v>
      </c>
      <c r="K1870">
        <v>4.7</v>
      </c>
      <c r="L1870" t="s">
        <v>143</v>
      </c>
      <c r="M1870" t="s">
        <v>143</v>
      </c>
      <c r="N1870">
        <v>44</v>
      </c>
      <c r="O1870" t="s">
        <v>29</v>
      </c>
      <c r="P1870" t="s">
        <v>25</v>
      </c>
    </row>
    <row r="1871" spans="1:16" ht="14.5" x14ac:dyDescent="0.35">
      <c r="A1871">
        <v>1870</v>
      </c>
      <c r="B1871">
        <v>18</v>
      </c>
      <c r="C1871" t="s">
        <v>16</v>
      </c>
      <c r="D1871" t="s">
        <v>17</v>
      </c>
      <c r="E1871" t="s">
        <v>18</v>
      </c>
      <c r="F1871">
        <v>77</v>
      </c>
      <c r="G1871" t="s">
        <v>57</v>
      </c>
      <c r="H1871" t="s">
        <v>32</v>
      </c>
      <c r="I1871" t="s">
        <v>109</v>
      </c>
      <c r="J1871" t="s">
        <v>33</v>
      </c>
      <c r="K1871">
        <v>3.9</v>
      </c>
      <c r="L1871" t="s">
        <v>143</v>
      </c>
      <c r="M1871" t="s">
        <v>143</v>
      </c>
      <c r="N1871">
        <v>16</v>
      </c>
      <c r="O1871" t="s">
        <v>77</v>
      </c>
      <c r="P1871" t="s">
        <v>88</v>
      </c>
    </row>
    <row r="1872" spans="1:16" ht="14.5" x14ac:dyDescent="0.35">
      <c r="A1872">
        <v>1871</v>
      </c>
      <c r="B1872">
        <v>43</v>
      </c>
      <c r="C1872" t="s">
        <v>16</v>
      </c>
      <c r="D1872" t="s">
        <v>17</v>
      </c>
      <c r="E1872" t="s">
        <v>18</v>
      </c>
      <c r="F1872">
        <v>99</v>
      </c>
      <c r="G1872" t="s">
        <v>45</v>
      </c>
      <c r="H1872" t="s">
        <v>20</v>
      </c>
      <c r="I1872" t="s">
        <v>74</v>
      </c>
      <c r="J1872" t="s">
        <v>33</v>
      </c>
      <c r="K1872">
        <v>4.3</v>
      </c>
      <c r="L1872" t="s">
        <v>143</v>
      </c>
      <c r="M1872" t="s">
        <v>143</v>
      </c>
      <c r="N1872">
        <v>27</v>
      </c>
      <c r="O1872" t="s">
        <v>77</v>
      </c>
      <c r="P1872" t="s">
        <v>25</v>
      </c>
    </row>
    <row r="1873" spans="1:16" ht="14.5" x14ac:dyDescent="0.35">
      <c r="A1873">
        <v>1872</v>
      </c>
      <c r="B1873">
        <v>56</v>
      </c>
      <c r="C1873" t="s">
        <v>16</v>
      </c>
      <c r="D1873" t="s">
        <v>30</v>
      </c>
      <c r="E1873" t="s">
        <v>18</v>
      </c>
      <c r="F1873">
        <v>96</v>
      </c>
      <c r="G1873" t="s">
        <v>106</v>
      </c>
      <c r="H1873" t="s">
        <v>83</v>
      </c>
      <c r="I1873" t="s">
        <v>74</v>
      </c>
      <c r="J1873" t="s">
        <v>50</v>
      </c>
      <c r="K1873">
        <v>2.7</v>
      </c>
      <c r="L1873" t="s">
        <v>143</v>
      </c>
      <c r="M1873" t="s">
        <v>143</v>
      </c>
      <c r="N1873">
        <v>14</v>
      </c>
      <c r="O1873" t="s">
        <v>29</v>
      </c>
      <c r="P1873" t="s">
        <v>88</v>
      </c>
    </row>
    <row r="1874" spans="1:16" ht="14.5" x14ac:dyDescent="0.35">
      <c r="A1874">
        <v>1873</v>
      </c>
      <c r="B1874">
        <v>43</v>
      </c>
      <c r="C1874" t="s">
        <v>16</v>
      </c>
      <c r="D1874" t="s">
        <v>104</v>
      </c>
      <c r="E1874" t="s">
        <v>18</v>
      </c>
      <c r="F1874">
        <v>64</v>
      </c>
      <c r="G1874" t="s">
        <v>111</v>
      </c>
      <c r="H1874" t="s">
        <v>39</v>
      </c>
      <c r="I1874" t="s">
        <v>84</v>
      </c>
      <c r="J1874" t="s">
        <v>47</v>
      </c>
      <c r="K1874">
        <v>4.5999999999999996</v>
      </c>
      <c r="L1874" t="s">
        <v>143</v>
      </c>
      <c r="M1874" t="s">
        <v>143</v>
      </c>
      <c r="N1874">
        <v>24</v>
      </c>
      <c r="O1874" t="s">
        <v>34</v>
      </c>
      <c r="P1874" t="s">
        <v>79</v>
      </c>
    </row>
    <row r="1875" spans="1:16" ht="14.5" x14ac:dyDescent="0.35">
      <c r="A1875">
        <v>1874</v>
      </c>
      <c r="B1875">
        <v>64</v>
      </c>
      <c r="C1875" t="s">
        <v>16</v>
      </c>
      <c r="D1875" t="s">
        <v>26</v>
      </c>
      <c r="E1875" t="s">
        <v>18</v>
      </c>
      <c r="F1875">
        <v>44</v>
      </c>
      <c r="G1875" t="s">
        <v>141</v>
      </c>
      <c r="H1875" t="s">
        <v>83</v>
      </c>
      <c r="I1875" t="s">
        <v>99</v>
      </c>
      <c r="J1875" t="s">
        <v>50</v>
      </c>
      <c r="K1875">
        <v>2.9</v>
      </c>
      <c r="L1875" t="s">
        <v>143</v>
      </c>
      <c r="M1875" t="s">
        <v>143</v>
      </c>
      <c r="N1875">
        <v>49</v>
      </c>
      <c r="O1875" t="s">
        <v>66</v>
      </c>
      <c r="P1875" t="s">
        <v>35</v>
      </c>
    </row>
    <row r="1876" spans="1:16" ht="14.5" x14ac:dyDescent="0.35">
      <c r="A1876">
        <v>1875</v>
      </c>
      <c r="B1876">
        <v>67</v>
      </c>
      <c r="C1876" t="s">
        <v>16</v>
      </c>
      <c r="D1876" t="s">
        <v>86</v>
      </c>
      <c r="E1876" t="s">
        <v>18</v>
      </c>
      <c r="F1876">
        <v>33</v>
      </c>
      <c r="G1876" t="s">
        <v>107</v>
      </c>
      <c r="H1876" t="s">
        <v>20</v>
      </c>
      <c r="I1876" t="s">
        <v>65</v>
      </c>
      <c r="J1876" t="s">
        <v>50</v>
      </c>
      <c r="K1876">
        <v>3.6</v>
      </c>
      <c r="L1876" t="s">
        <v>143</v>
      </c>
      <c r="M1876" t="s">
        <v>143</v>
      </c>
      <c r="N1876">
        <v>14</v>
      </c>
      <c r="O1876" t="s">
        <v>29</v>
      </c>
      <c r="P1876" t="s">
        <v>35</v>
      </c>
    </row>
    <row r="1877" spans="1:16" ht="14.5" x14ac:dyDescent="0.35">
      <c r="A1877">
        <v>1876</v>
      </c>
      <c r="B1877">
        <v>63</v>
      </c>
      <c r="C1877" t="s">
        <v>16</v>
      </c>
      <c r="D1877" t="s">
        <v>128</v>
      </c>
      <c r="E1877" t="s">
        <v>37</v>
      </c>
      <c r="F1877">
        <v>71</v>
      </c>
      <c r="G1877" t="s">
        <v>113</v>
      </c>
      <c r="H1877" t="s">
        <v>39</v>
      </c>
      <c r="I1877" t="s">
        <v>101</v>
      </c>
      <c r="J1877" t="s">
        <v>22</v>
      </c>
      <c r="K1877">
        <v>3.9</v>
      </c>
      <c r="L1877" t="s">
        <v>143</v>
      </c>
      <c r="M1877" t="s">
        <v>143</v>
      </c>
      <c r="N1877">
        <v>6</v>
      </c>
      <c r="O1877" t="s">
        <v>34</v>
      </c>
      <c r="P1877" t="s">
        <v>51</v>
      </c>
    </row>
    <row r="1878" spans="1:16" ht="14.5" x14ac:dyDescent="0.35">
      <c r="A1878">
        <v>1877</v>
      </c>
      <c r="B1878">
        <v>54</v>
      </c>
      <c r="C1878" t="s">
        <v>16</v>
      </c>
      <c r="D1878" t="s">
        <v>78</v>
      </c>
      <c r="E1878" t="s">
        <v>18</v>
      </c>
      <c r="F1878">
        <v>36</v>
      </c>
      <c r="G1878" t="s">
        <v>106</v>
      </c>
      <c r="H1878" t="s">
        <v>39</v>
      </c>
      <c r="I1878" t="s">
        <v>21</v>
      </c>
      <c r="J1878" t="s">
        <v>50</v>
      </c>
      <c r="K1878">
        <v>2.6</v>
      </c>
      <c r="L1878" t="s">
        <v>143</v>
      </c>
      <c r="M1878" t="s">
        <v>143</v>
      </c>
      <c r="N1878">
        <v>20</v>
      </c>
      <c r="O1878" t="s">
        <v>24</v>
      </c>
      <c r="P1878" t="s">
        <v>51</v>
      </c>
    </row>
    <row r="1879" spans="1:16" ht="14.5" x14ac:dyDescent="0.35">
      <c r="A1879">
        <v>1878</v>
      </c>
      <c r="B1879">
        <v>69</v>
      </c>
      <c r="C1879" t="s">
        <v>16</v>
      </c>
      <c r="D1879" t="s">
        <v>134</v>
      </c>
      <c r="E1879" t="s">
        <v>60</v>
      </c>
      <c r="F1879">
        <v>62</v>
      </c>
      <c r="G1879" t="s">
        <v>129</v>
      </c>
      <c r="H1879" t="s">
        <v>20</v>
      </c>
      <c r="I1879" t="s">
        <v>62</v>
      </c>
      <c r="J1879" t="s">
        <v>50</v>
      </c>
      <c r="K1879">
        <v>3.6</v>
      </c>
      <c r="L1879" t="s">
        <v>143</v>
      </c>
      <c r="M1879" t="s">
        <v>143</v>
      </c>
      <c r="N1879">
        <v>3</v>
      </c>
      <c r="O1879" t="s">
        <v>34</v>
      </c>
      <c r="P1879" t="s">
        <v>43</v>
      </c>
    </row>
    <row r="1880" spans="1:16" ht="14.5" x14ac:dyDescent="0.35">
      <c r="A1880">
        <v>1879</v>
      </c>
      <c r="B1880">
        <v>34</v>
      </c>
      <c r="C1880" t="s">
        <v>16</v>
      </c>
      <c r="D1880" t="s">
        <v>116</v>
      </c>
      <c r="E1880" t="s">
        <v>18</v>
      </c>
      <c r="F1880">
        <v>29</v>
      </c>
      <c r="G1880" t="s">
        <v>92</v>
      </c>
      <c r="H1880" t="s">
        <v>20</v>
      </c>
      <c r="I1880" t="s">
        <v>127</v>
      </c>
      <c r="J1880" t="s">
        <v>47</v>
      </c>
      <c r="K1880">
        <v>3.4</v>
      </c>
      <c r="L1880" t="s">
        <v>143</v>
      </c>
      <c r="M1880" t="s">
        <v>143</v>
      </c>
      <c r="N1880">
        <v>5</v>
      </c>
      <c r="O1880" t="s">
        <v>34</v>
      </c>
      <c r="P1880" t="s">
        <v>79</v>
      </c>
    </row>
    <row r="1881" spans="1:16" ht="14.5" x14ac:dyDescent="0.35">
      <c r="A1881">
        <v>1880</v>
      </c>
      <c r="B1881">
        <v>56</v>
      </c>
      <c r="C1881" t="s">
        <v>16</v>
      </c>
      <c r="D1881" t="s">
        <v>104</v>
      </c>
      <c r="E1881" t="s">
        <v>18</v>
      </c>
      <c r="F1881">
        <v>33</v>
      </c>
      <c r="G1881" t="s">
        <v>113</v>
      </c>
      <c r="H1881" t="s">
        <v>20</v>
      </c>
      <c r="I1881" t="s">
        <v>54</v>
      </c>
      <c r="J1881" t="s">
        <v>33</v>
      </c>
      <c r="K1881">
        <v>3.5</v>
      </c>
      <c r="L1881" t="s">
        <v>143</v>
      </c>
      <c r="M1881" t="s">
        <v>143</v>
      </c>
      <c r="N1881">
        <v>46</v>
      </c>
      <c r="O1881" t="s">
        <v>29</v>
      </c>
      <c r="P1881" t="s">
        <v>67</v>
      </c>
    </row>
    <row r="1882" spans="1:16" ht="14.5" x14ac:dyDescent="0.35">
      <c r="A1882">
        <v>1881</v>
      </c>
      <c r="B1882">
        <v>34</v>
      </c>
      <c r="C1882" t="s">
        <v>16</v>
      </c>
      <c r="D1882" t="s">
        <v>17</v>
      </c>
      <c r="E1882" t="s">
        <v>18</v>
      </c>
      <c r="F1882">
        <v>33</v>
      </c>
      <c r="G1882" t="s">
        <v>118</v>
      </c>
      <c r="H1882" t="s">
        <v>20</v>
      </c>
      <c r="I1882" t="s">
        <v>125</v>
      </c>
      <c r="J1882" t="s">
        <v>50</v>
      </c>
      <c r="K1882">
        <v>3.1</v>
      </c>
      <c r="L1882" t="s">
        <v>143</v>
      </c>
      <c r="M1882" t="s">
        <v>143</v>
      </c>
      <c r="N1882">
        <v>8</v>
      </c>
      <c r="O1882" t="s">
        <v>77</v>
      </c>
      <c r="P1882" t="s">
        <v>79</v>
      </c>
    </row>
    <row r="1883" spans="1:16" ht="14.5" x14ac:dyDescent="0.35">
      <c r="A1883">
        <v>1882</v>
      </c>
      <c r="B1883">
        <v>58</v>
      </c>
      <c r="C1883" t="s">
        <v>16</v>
      </c>
      <c r="D1883" t="s">
        <v>17</v>
      </c>
      <c r="E1883" t="s">
        <v>18</v>
      </c>
      <c r="F1883">
        <v>41</v>
      </c>
      <c r="G1883" t="s">
        <v>118</v>
      </c>
      <c r="H1883" t="s">
        <v>39</v>
      </c>
      <c r="I1883" t="s">
        <v>99</v>
      </c>
      <c r="J1883" t="s">
        <v>22</v>
      </c>
      <c r="K1883">
        <v>4.3</v>
      </c>
      <c r="L1883" t="s">
        <v>143</v>
      </c>
      <c r="M1883" t="s">
        <v>143</v>
      </c>
      <c r="N1883">
        <v>13</v>
      </c>
      <c r="O1883" t="s">
        <v>29</v>
      </c>
      <c r="P1883" t="s">
        <v>67</v>
      </c>
    </row>
    <row r="1884" spans="1:16" ht="14.5" x14ac:dyDescent="0.35">
      <c r="A1884">
        <v>1883</v>
      </c>
      <c r="B1884">
        <v>44</v>
      </c>
      <c r="C1884" t="s">
        <v>16</v>
      </c>
      <c r="D1884" t="s">
        <v>110</v>
      </c>
      <c r="E1884" t="s">
        <v>60</v>
      </c>
      <c r="F1884">
        <v>54</v>
      </c>
      <c r="G1884" t="s">
        <v>113</v>
      </c>
      <c r="H1884" t="s">
        <v>20</v>
      </c>
      <c r="I1884" t="s">
        <v>135</v>
      </c>
      <c r="J1884" t="s">
        <v>22</v>
      </c>
      <c r="K1884">
        <v>5</v>
      </c>
      <c r="L1884" t="s">
        <v>143</v>
      </c>
      <c r="M1884" t="s">
        <v>143</v>
      </c>
      <c r="N1884">
        <v>25</v>
      </c>
      <c r="O1884" t="s">
        <v>66</v>
      </c>
      <c r="P1884" t="s">
        <v>51</v>
      </c>
    </row>
    <row r="1885" spans="1:16" ht="14.5" x14ac:dyDescent="0.35">
      <c r="A1885">
        <v>1884</v>
      </c>
      <c r="B1885">
        <v>25</v>
      </c>
      <c r="C1885" t="s">
        <v>16</v>
      </c>
      <c r="D1885" t="s">
        <v>123</v>
      </c>
      <c r="E1885" t="s">
        <v>60</v>
      </c>
      <c r="F1885">
        <v>58</v>
      </c>
      <c r="G1885" t="s">
        <v>133</v>
      </c>
      <c r="H1885" t="s">
        <v>39</v>
      </c>
      <c r="I1885" t="s">
        <v>100</v>
      </c>
      <c r="J1885" t="s">
        <v>33</v>
      </c>
      <c r="K1885">
        <v>4.9000000000000004</v>
      </c>
      <c r="L1885" t="s">
        <v>143</v>
      </c>
      <c r="M1885" t="s">
        <v>143</v>
      </c>
      <c r="N1885">
        <v>39</v>
      </c>
      <c r="O1885" t="s">
        <v>77</v>
      </c>
      <c r="P1885" t="s">
        <v>25</v>
      </c>
    </row>
    <row r="1886" spans="1:16" ht="14.5" x14ac:dyDescent="0.35">
      <c r="A1886">
        <v>1885</v>
      </c>
      <c r="B1886">
        <v>27</v>
      </c>
      <c r="C1886" t="s">
        <v>16</v>
      </c>
      <c r="D1886" t="s">
        <v>52</v>
      </c>
      <c r="E1886" t="s">
        <v>18</v>
      </c>
      <c r="F1886">
        <v>30</v>
      </c>
      <c r="G1886" t="s">
        <v>108</v>
      </c>
      <c r="H1886" t="s">
        <v>32</v>
      </c>
      <c r="I1886" t="s">
        <v>62</v>
      </c>
      <c r="J1886" t="s">
        <v>47</v>
      </c>
      <c r="K1886">
        <v>4.3</v>
      </c>
      <c r="L1886" t="s">
        <v>143</v>
      </c>
      <c r="M1886" t="s">
        <v>143</v>
      </c>
      <c r="N1886">
        <v>15</v>
      </c>
      <c r="O1886" t="s">
        <v>66</v>
      </c>
      <c r="P1886" t="s">
        <v>67</v>
      </c>
    </row>
    <row r="1887" spans="1:16" ht="14.5" x14ac:dyDescent="0.35">
      <c r="A1887">
        <v>1886</v>
      </c>
      <c r="B1887">
        <v>26</v>
      </c>
      <c r="C1887" t="s">
        <v>16</v>
      </c>
      <c r="D1887" t="s">
        <v>97</v>
      </c>
      <c r="E1887" t="s">
        <v>60</v>
      </c>
      <c r="F1887">
        <v>53</v>
      </c>
      <c r="G1887" t="s">
        <v>98</v>
      </c>
      <c r="H1887" t="s">
        <v>32</v>
      </c>
      <c r="I1887" t="s">
        <v>28</v>
      </c>
      <c r="J1887" t="s">
        <v>22</v>
      </c>
      <c r="K1887">
        <v>4.4000000000000004</v>
      </c>
      <c r="L1887" t="s">
        <v>143</v>
      </c>
      <c r="M1887" t="s">
        <v>143</v>
      </c>
      <c r="N1887">
        <v>35</v>
      </c>
      <c r="O1887" t="s">
        <v>29</v>
      </c>
      <c r="P1887" t="s">
        <v>79</v>
      </c>
    </row>
    <row r="1888" spans="1:16" ht="14.5" x14ac:dyDescent="0.35">
      <c r="A1888">
        <v>1887</v>
      </c>
      <c r="B1888">
        <v>18</v>
      </c>
      <c r="C1888" t="s">
        <v>16</v>
      </c>
      <c r="D1888" t="s">
        <v>134</v>
      </c>
      <c r="E1888" t="s">
        <v>60</v>
      </c>
      <c r="F1888">
        <v>91</v>
      </c>
      <c r="G1888" t="s">
        <v>64</v>
      </c>
      <c r="H1888" t="s">
        <v>20</v>
      </c>
      <c r="I1888" t="s">
        <v>109</v>
      </c>
      <c r="J1888" t="s">
        <v>33</v>
      </c>
      <c r="K1888">
        <v>4.4000000000000004</v>
      </c>
      <c r="L1888" t="s">
        <v>143</v>
      </c>
      <c r="M1888" t="s">
        <v>143</v>
      </c>
      <c r="N1888">
        <v>46</v>
      </c>
      <c r="O1888" t="s">
        <v>29</v>
      </c>
      <c r="P1888" t="s">
        <v>67</v>
      </c>
    </row>
    <row r="1889" spans="1:16" ht="14.5" x14ac:dyDescent="0.35">
      <c r="A1889">
        <v>1888</v>
      </c>
      <c r="B1889">
        <v>64</v>
      </c>
      <c r="C1889" t="s">
        <v>16</v>
      </c>
      <c r="D1889" t="s">
        <v>95</v>
      </c>
      <c r="E1889" t="s">
        <v>18</v>
      </c>
      <c r="F1889">
        <v>44</v>
      </c>
      <c r="G1889" t="s">
        <v>105</v>
      </c>
      <c r="H1889" t="s">
        <v>83</v>
      </c>
      <c r="I1889" t="s">
        <v>71</v>
      </c>
      <c r="J1889" t="s">
        <v>50</v>
      </c>
      <c r="K1889">
        <v>3.5</v>
      </c>
      <c r="L1889" t="s">
        <v>143</v>
      </c>
      <c r="M1889" t="s">
        <v>143</v>
      </c>
      <c r="N1889">
        <v>3</v>
      </c>
      <c r="O1889" t="s">
        <v>40</v>
      </c>
      <c r="P1889" t="s">
        <v>79</v>
      </c>
    </row>
    <row r="1890" spans="1:16" ht="14.5" x14ac:dyDescent="0.35">
      <c r="A1890">
        <v>1889</v>
      </c>
      <c r="B1890">
        <v>62</v>
      </c>
      <c r="C1890" t="s">
        <v>16</v>
      </c>
      <c r="D1890" t="s">
        <v>95</v>
      </c>
      <c r="E1890" t="s">
        <v>18</v>
      </c>
      <c r="F1890">
        <v>89</v>
      </c>
      <c r="G1890" t="s">
        <v>138</v>
      </c>
      <c r="H1890" t="s">
        <v>83</v>
      </c>
      <c r="I1890" t="s">
        <v>42</v>
      </c>
      <c r="J1890" t="s">
        <v>22</v>
      </c>
      <c r="K1890">
        <v>3.4</v>
      </c>
      <c r="L1890" t="s">
        <v>143</v>
      </c>
      <c r="M1890" t="s">
        <v>143</v>
      </c>
      <c r="N1890">
        <v>48</v>
      </c>
      <c r="O1890" t="s">
        <v>34</v>
      </c>
      <c r="P1890" t="s">
        <v>35</v>
      </c>
    </row>
    <row r="1891" spans="1:16" ht="14.5" x14ac:dyDescent="0.35">
      <c r="A1891">
        <v>1890</v>
      </c>
      <c r="B1891">
        <v>59</v>
      </c>
      <c r="C1891" t="s">
        <v>16</v>
      </c>
      <c r="D1891" t="s">
        <v>78</v>
      </c>
      <c r="E1891" t="s">
        <v>18</v>
      </c>
      <c r="F1891">
        <v>57</v>
      </c>
      <c r="G1891" t="s">
        <v>89</v>
      </c>
      <c r="H1891" t="s">
        <v>20</v>
      </c>
      <c r="I1891" t="s">
        <v>91</v>
      </c>
      <c r="J1891" t="s">
        <v>33</v>
      </c>
      <c r="K1891">
        <v>2.5</v>
      </c>
      <c r="L1891" t="s">
        <v>143</v>
      </c>
      <c r="M1891" t="s">
        <v>143</v>
      </c>
      <c r="N1891">
        <v>27</v>
      </c>
      <c r="O1891" t="s">
        <v>66</v>
      </c>
      <c r="P1891" t="s">
        <v>35</v>
      </c>
    </row>
    <row r="1892" spans="1:16" ht="14.5" x14ac:dyDescent="0.35">
      <c r="A1892">
        <v>1891</v>
      </c>
      <c r="B1892">
        <v>36</v>
      </c>
      <c r="C1892" t="s">
        <v>16</v>
      </c>
      <c r="D1892" t="s">
        <v>80</v>
      </c>
      <c r="E1892" t="s">
        <v>60</v>
      </c>
      <c r="F1892">
        <v>57</v>
      </c>
      <c r="G1892" t="s">
        <v>68</v>
      </c>
      <c r="H1892" t="s">
        <v>39</v>
      </c>
      <c r="I1892" t="s">
        <v>84</v>
      </c>
      <c r="J1892" t="s">
        <v>33</v>
      </c>
      <c r="K1892">
        <v>3.4</v>
      </c>
      <c r="L1892" t="s">
        <v>143</v>
      </c>
      <c r="M1892" t="s">
        <v>143</v>
      </c>
      <c r="N1892">
        <v>5</v>
      </c>
      <c r="O1892" t="s">
        <v>34</v>
      </c>
      <c r="P1892" t="s">
        <v>35</v>
      </c>
    </row>
    <row r="1893" spans="1:16" ht="14.5" x14ac:dyDescent="0.35">
      <c r="A1893">
        <v>1892</v>
      </c>
      <c r="B1893">
        <v>69</v>
      </c>
      <c r="C1893" t="s">
        <v>16</v>
      </c>
      <c r="D1893" t="s">
        <v>97</v>
      </c>
      <c r="E1893" t="s">
        <v>60</v>
      </c>
      <c r="F1893">
        <v>74</v>
      </c>
      <c r="G1893" t="s">
        <v>73</v>
      </c>
      <c r="H1893" t="s">
        <v>39</v>
      </c>
      <c r="I1893" t="s">
        <v>21</v>
      </c>
      <c r="J1893" t="s">
        <v>47</v>
      </c>
      <c r="K1893">
        <v>2.6</v>
      </c>
      <c r="L1893" t="s">
        <v>143</v>
      </c>
      <c r="M1893" t="s">
        <v>143</v>
      </c>
      <c r="N1893">
        <v>48</v>
      </c>
      <c r="O1893" t="s">
        <v>77</v>
      </c>
      <c r="P1893" t="s">
        <v>51</v>
      </c>
    </row>
    <row r="1894" spans="1:16" ht="14.5" x14ac:dyDescent="0.35">
      <c r="A1894">
        <v>1893</v>
      </c>
      <c r="B1894">
        <v>39</v>
      </c>
      <c r="C1894" t="s">
        <v>16</v>
      </c>
      <c r="D1894" t="s">
        <v>93</v>
      </c>
      <c r="E1894" t="s">
        <v>56</v>
      </c>
      <c r="F1894">
        <v>30</v>
      </c>
      <c r="G1894" t="s">
        <v>90</v>
      </c>
      <c r="H1894" t="s">
        <v>39</v>
      </c>
      <c r="I1894" t="s">
        <v>135</v>
      </c>
      <c r="J1894" t="s">
        <v>50</v>
      </c>
      <c r="K1894">
        <v>4.5999999999999996</v>
      </c>
      <c r="L1894" t="s">
        <v>143</v>
      </c>
      <c r="M1894" t="s">
        <v>143</v>
      </c>
      <c r="N1894">
        <v>12</v>
      </c>
      <c r="O1894" t="s">
        <v>24</v>
      </c>
      <c r="P1894" t="s">
        <v>35</v>
      </c>
    </row>
    <row r="1895" spans="1:16" ht="14.5" x14ac:dyDescent="0.35">
      <c r="A1895">
        <v>1894</v>
      </c>
      <c r="B1895">
        <v>28</v>
      </c>
      <c r="C1895" t="s">
        <v>16</v>
      </c>
      <c r="D1895" t="s">
        <v>72</v>
      </c>
      <c r="E1895" t="s">
        <v>18</v>
      </c>
      <c r="F1895">
        <v>20</v>
      </c>
      <c r="G1895" t="s">
        <v>70</v>
      </c>
      <c r="H1895" t="s">
        <v>20</v>
      </c>
      <c r="I1895" t="s">
        <v>99</v>
      </c>
      <c r="J1895" t="s">
        <v>47</v>
      </c>
      <c r="K1895">
        <v>3.7</v>
      </c>
      <c r="L1895" t="s">
        <v>143</v>
      </c>
      <c r="M1895" t="s">
        <v>143</v>
      </c>
      <c r="N1895">
        <v>10</v>
      </c>
      <c r="O1895" t="s">
        <v>40</v>
      </c>
      <c r="P1895" t="s">
        <v>25</v>
      </c>
    </row>
    <row r="1896" spans="1:16" ht="14.5" x14ac:dyDescent="0.35">
      <c r="A1896">
        <v>1895</v>
      </c>
      <c r="B1896">
        <v>42</v>
      </c>
      <c r="C1896" t="s">
        <v>16</v>
      </c>
      <c r="D1896" t="s">
        <v>95</v>
      </c>
      <c r="E1896" t="s">
        <v>18</v>
      </c>
      <c r="F1896">
        <v>90</v>
      </c>
      <c r="G1896" t="s">
        <v>108</v>
      </c>
      <c r="H1896" t="s">
        <v>39</v>
      </c>
      <c r="I1896" t="s">
        <v>65</v>
      </c>
      <c r="J1896" t="s">
        <v>50</v>
      </c>
      <c r="K1896">
        <v>2.5</v>
      </c>
      <c r="L1896" t="s">
        <v>143</v>
      </c>
      <c r="M1896" t="s">
        <v>143</v>
      </c>
      <c r="N1896">
        <v>48</v>
      </c>
      <c r="O1896" t="s">
        <v>77</v>
      </c>
      <c r="P1896" t="s">
        <v>67</v>
      </c>
    </row>
    <row r="1897" spans="1:16" ht="14.5" x14ac:dyDescent="0.35">
      <c r="A1897">
        <v>1896</v>
      </c>
      <c r="B1897">
        <v>31</v>
      </c>
      <c r="C1897" t="s">
        <v>16</v>
      </c>
      <c r="D1897" t="s">
        <v>30</v>
      </c>
      <c r="E1897" t="s">
        <v>18</v>
      </c>
      <c r="F1897">
        <v>61</v>
      </c>
      <c r="G1897" t="s">
        <v>140</v>
      </c>
      <c r="H1897" t="s">
        <v>20</v>
      </c>
      <c r="I1897" t="s">
        <v>117</v>
      </c>
      <c r="J1897" t="s">
        <v>50</v>
      </c>
      <c r="K1897">
        <v>4.5</v>
      </c>
      <c r="L1897" t="s">
        <v>143</v>
      </c>
      <c r="M1897" t="s">
        <v>143</v>
      </c>
      <c r="N1897">
        <v>3</v>
      </c>
      <c r="O1897" t="s">
        <v>77</v>
      </c>
      <c r="P1897" t="s">
        <v>79</v>
      </c>
    </row>
    <row r="1898" spans="1:16" ht="14.5" x14ac:dyDescent="0.35">
      <c r="A1898">
        <v>1897</v>
      </c>
      <c r="B1898">
        <v>57</v>
      </c>
      <c r="C1898" t="s">
        <v>16</v>
      </c>
      <c r="D1898" t="s">
        <v>36</v>
      </c>
      <c r="E1898" t="s">
        <v>37</v>
      </c>
      <c r="F1898">
        <v>51</v>
      </c>
      <c r="G1898" t="s">
        <v>98</v>
      </c>
      <c r="H1898" t="s">
        <v>39</v>
      </c>
      <c r="I1898" t="s">
        <v>71</v>
      </c>
      <c r="J1898" t="s">
        <v>50</v>
      </c>
      <c r="K1898">
        <v>2.9</v>
      </c>
      <c r="L1898" t="s">
        <v>143</v>
      </c>
      <c r="M1898" t="s">
        <v>143</v>
      </c>
      <c r="N1898">
        <v>19</v>
      </c>
      <c r="O1898" t="s">
        <v>24</v>
      </c>
      <c r="P1898" t="s">
        <v>79</v>
      </c>
    </row>
    <row r="1899" spans="1:16" ht="14.5" x14ac:dyDescent="0.35">
      <c r="A1899">
        <v>1898</v>
      </c>
      <c r="B1899">
        <v>53</v>
      </c>
      <c r="C1899" t="s">
        <v>16</v>
      </c>
      <c r="D1899" t="s">
        <v>80</v>
      </c>
      <c r="E1899" t="s">
        <v>60</v>
      </c>
      <c r="F1899">
        <v>97</v>
      </c>
      <c r="G1899" t="s">
        <v>111</v>
      </c>
      <c r="H1899" t="s">
        <v>20</v>
      </c>
      <c r="I1899" t="s">
        <v>76</v>
      </c>
      <c r="J1899" t="s">
        <v>22</v>
      </c>
      <c r="K1899">
        <v>2.9</v>
      </c>
      <c r="L1899" t="s">
        <v>143</v>
      </c>
      <c r="M1899" t="s">
        <v>143</v>
      </c>
      <c r="N1899">
        <v>11</v>
      </c>
      <c r="O1899" t="s">
        <v>77</v>
      </c>
      <c r="P1899" t="s">
        <v>25</v>
      </c>
    </row>
    <row r="1900" spans="1:16" ht="14.5" x14ac:dyDescent="0.35">
      <c r="A1900">
        <v>1899</v>
      </c>
      <c r="B1900">
        <v>59</v>
      </c>
      <c r="C1900" t="s">
        <v>16</v>
      </c>
      <c r="D1900" t="s">
        <v>86</v>
      </c>
      <c r="E1900" t="s">
        <v>18</v>
      </c>
      <c r="F1900">
        <v>97</v>
      </c>
      <c r="G1900" t="s">
        <v>96</v>
      </c>
      <c r="H1900" t="s">
        <v>20</v>
      </c>
      <c r="I1900" t="s">
        <v>127</v>
      </c>
      <c r="J1900" t="s">
        <v>50</v>
      </c>
      <c r="K1900">
        <v>3.5</v>
      </c>
      <c r="L1900" t="s">
        <v>143</v>
      </c>
      <c r="M1900" t="s">
        <v>143</v>
      </c>
      <c r="N1900">
        <v>25</v>
      </c>
      <c r="O1900" t="s">
        <v>24</v>
      </c>
      <c r="P1900" t="s">
        <v>79</v>
      </c>
    </row>
    <row r="1901" spans="1:16" ht="14.5" x14ac:dyDescent="0.35">
      <c r="A1901">
        <v>1900</v>
      </c>
      <c r="B1901">
        <v>32</v>
      </c>
      <c r="C1901" t="s">
        <v>16</v>
      </c>
      <c r="D1901" t="s">
        <v>52</v>
      </c>
      <c r="E1901" t="s">
        <v>18</v>
      </c>
      <c r="F1901">
        <v>40</v>
      </c>
      <c r="G1901" t="s">
        <v>75</v>
      </c>
      <c r="H1901" t="s">
        <v>20</v>
      </c>
      <c r="I1901" t="s">
        <v>28</v>
      </c>
      <c r="J1901" t="s">
        <v>22</v>
      </c>
      <c r="K1901">
        <v>4.2</v>
      </c>
      <c r="L1901" t="s">
        <v>143</v>
      </c>
      <c r="M1901" t="s">
        <v>143</v>
      </c>
      <c r="N1901">
        <v>42</v>
      </c>
      <c r="O1901" t="s">
        <v>40</v>
      </c>
      <c r="P1901" t="s">
        <v>35</v>
      </c>
    </row>
    <row r="1902" spans="1:16" ht="14.5" x14ac:dyDescent="0.35">
      <c r="A1902">
        <v>1901</v>
      </c>
      <c r="B1902">
        <v>65</v>
      </c>
      <c r="C1902" t="s">
        <v>16</v>
      </c>
      <c r="D1902" t="s">
        <v>97</v>
      </c>
      <c r="E1902" t="s">
        <v>60</v>
      </c>
      <c r="F1902">
        <v>85</v>
      </c>
      <c r="G1902" t="s">
        <v>137</v>
      </c>
      <c r="H1902" t="s">
        <v>32</v>
      </c>
      <c r="I1902" t="s">
        <v>135</v>
      </c>
      <c r="J1902" t="s">
        <v>47</v>
      </c>
      <c r="K1902">
        <v>3.3</v>
      </c>
      <c r="L1902" t="s">
        <v>143</v>
      </c>
      <c r="M1902" t="s">
        <v>143</v>
      </c>
      <c r="N1902">
        <v>34</v>
      </c>
      <c r="O1902" t="s">
        <v>29</v>
      </c>
      <c r="P1902" t="s">
        <v>51</v>
      </c>
    </row>
    <row r="1903" spans="1:16" ht="14.5" x14ac:dyDescent="0.35">
      <c r="A1903">
        <v>1902</v>
      </c>
      <c r="B1903">
        <v>56</v>
      </c>
      <c r="C1903" t="s">
        <v>16</v>
      </c>
      <c r="D1903" t="s">
        <v>116</v>
      </c>
      <c r="E1903" t="s">
        <v>18</v>
      </c>
      <c r="F1903">
        <v>76</v>
      </c>
      <c r="G1903" t="s">
        <v>108</v>
      </c>
      <c r="H1903" t="s">
        <v>32</v>
      </c>
      <c r="I1903" t="s">
        <v>109</v>
      </c>
      <c r="J1903" t="s">
        <v>22</v>
      </c>
      <c r="K1903">
        <v>3.9</v>
      </c>
      <c r="L1903" t="s">
        <v>143</v>
      </c>
      <c r="M1903" t="s">
        <v>143</v>
      </c>
      <c r="N1903">
        <v>50</v>
      </c>
      <c r="O1903" t="s">
        <v>29</v>
      </c>
      <c r="P1903" t="s">
        <v>51</v>
      </c>
    </row>
    <row r="1904" spans="1:16" ht="14.5" x14ac:dyDescent="0.35">
      <c r="A1904">
        <v>1903</v>
      </c>
      <c r="B1904">
        <v>31</v>
      </c>
      <c r="C1904" t="s">
        <v>16</v>
      </c>
      <c r="D1904" t="s">
        <v>36</v>
      </c>
      <c r="E1904" t="s">
        <v>37</v>
      </c>
      <c r="F1904">
        <v>22</v>
      </c>
      <c r="G1904" t="s">
        <v>121</v>
      </c>
      <c r="H1904" t="s">
        <v>32</v>
      </c>
      <c r="I1904" t="s">
        <v>69</v>
      </c>
      <c r="J1904" t="s">
        <v>33</v>
      </c>
      <c r="K1904">
        <v>5</v>
      </c>
      <c r="L1904" t="s">
        <v>143</v>
      </c>
      <c r="M1904" t="s">
        <v>143</v>
      </c>
      <c r="N1904">
        <v>21</v>
      </c>
      <c r="O1904" t="s">
        <v>24</v>
      </c>
      <c r="P1904" t="s">
        <v>79</v>
      </c>
    </row>
    <row r="1905" spans="1:16" ht="14.5" x14ac:dyDescent="0.35">
      <c r="A1905">
        <v>1904</v>
      </c>
      <c r="B1905">
        <v>59</v>
      </c>
      <c r="C1905" t="s">
        <v>16</v>
      </c>
      <c r="D1905" t="s">
        <v>86</v>
      </c>
      <c r="E1905" t="s">
        <v>18</v>
      </c>
      <c r="F1905">
        <v>63</v>
      </c>
      <c r="G1905" t="s">
        <v>89</v>
      </c>
      <c r="H1905" t="s">
        <v>39</v>
      </c>
      <c r="I1905" t="s">
        <v>71</v>
      </c>
      <c r="J1905" t="s">
        <v>47</v>
      </c>
      <c r="K1905">
        <v>3.3</v>
      </c>
      <c r="L1905" t="s">
        <v>143</v>
      </c>
      <c r="M1905" t="s">
        <v>143</v>
      </c>
      <c r="N1905">
        <v>37</v>
      </c>
      <c r="O1905" t="s">
        <v>66</v>
      </c>
      <c r="P1905" t="s">
        <v>35</v>
      </c>
    </row>
    <row r="1906" spans="1:16" ht="14.5" x14ac:dyDescent="0.35">
      <c r="A1906">
        <v>1905</v>
      </c>
      <c r="B1906">
        <v>22</v>
      </c>
      <c r="C1906" t="s">
        <v>16</v>
      </c>
      <c r="D1906" t="s">
        <v>104</v>
      </c>
      <c r="E1906" t="s">
        <v>18</v>
      </c>
      <c r="F1906">
        <v>71</v>
      </c>
      <c r="G1906" t="s">
        <v>98</v>
      </c>
      <c r="H1906" t="s">
        <v>32</v>
      </c>
      <c r="I1906" t="s">
        <v>58</v>
      </c>
      <c r="J1906" t="s">
        <v>33</v>
      </c>
      <c r="K1906">
        <v>4.2</v>
      </c>
      <c r="L1906" t="s">
        <v>143</v>
      </c>
      <c r="M1906" t="s">
        <v>143</v>
      </c>
      <c r="N1906">
        <v>46</v>
      </c>
      <c r="O1906" t="s">
        <v>29</v>
      </c>
      <c r="P1906" t="s">
        <v>79</v>
      </c>
    </row>
    <row r="1907" spans="1:16" ht="14.5" x14ac:dyDescent="0.35">
      <c r="A1907">
        <v>1906</v>
      </c>
      <c r="B1907">
        <v>47</v>
      </c>
      <c r="C1907" t="s">
        <v>16</v>
      </c>
      <c r="D1907" t="s">
        <v>128</v>
      </c>
      <c r="E1907" t="s">
        <v>37</v>
      </c>
      <c r="F1907">
        <v>35</v>
      </c>
      <c r="G1907" t="s">
        <v>126</v>
      </c>
      <c r="H1907" t="s">
        <v>39</v>
      </c>
      <c r="I1907" t="s">
        <v>76</v>
      </c>
      <c r="J1907" t="s">
        <v>47</v>
      </c>
      <c r="K1907">
        <v>4.9000000000000004</v>
      </c>
      <c r="L1907" t="s">
        <v>143</v>
      </c>
      <c r="M1907" t="s">
        <v>143</v>
      </c>
      <c r="N1907">
        <v>14</v>
      </c>
      <c r="O1907" t="s">
        <v>66</v>
      </c>
      <c r="P1907" t="s">
        <v>25</v>
      </c>
    </row>
    <row r="1908" spans="1:16" ht="14.5" x14ac:dyDescent="0.35">
      <c r="A1908">
        <v>1907</v>
      </c>
      <c r="B1908">
        <v>23</v>
      </c>
      <c r="C1908" t="s">
        <v>16</v>
      </c>
      <c r="D1908" t="s">
        <v>123</v>
      </c>
      <c r="E1908" t="s">
        <v>60</v>
      </c>
      <c r="F1908">
        <v>30</v>
      </c>
      <c r="G1908" t="s">
        <v>120</v>
      </c>
      <c r="H1908" t="s">
        <v>39</v>
      </c>
      <c r="I1908" t="s">
        <v>87</v>
      </c>
      <c r="J1908" t="s">
        <v>33</v>
      </c>
      <c r="K1908">
        <v>4.5999999999999996</v>
      </c>
      <c r="L1908" t="s">
        <v>143</v>
      </c>
      <c r="M1908" t="s">
        <v>143</v>
      </c>
      <c r="N1908">
        <v>24</v>
      </c>
      <c r="O1908" t="s">
        <v>40</v>
      </c>
      <c r="P1908" t="s">
        <v>25</v>
      </c>
    </row>
    <row r="1909" spans="1:16" ht="14.5" x14ac:dyDescent="0.35">
      <c r="A1909">
        <v>1908</v>
      </c>
      <c r="B1909">
        <v>69</v>
      </c>
      <c r="C1909" t="s">
        <v>16</v>
      </c>
      <c r="D1909" t="s">
        <v>78</v>
      </c>
      <c r="E1909" t="s">
        <v>18</v>
      </c>
      <c r="F1909">
        <v>74</v>
      </c>
      <c r="G1909" t="s">
        <v>121</v>
      </c>
      <c r="H1909" t="s">
        <v>20</v>
      </c>
      <c r="I1909" t="s">
        <v>112</v>
      </c>
      <c r="J1909" t="s">
        <v>50</v>
      </c>
      <c r="K1909">
        <v>4.8</v>
      </c>
      <c r="L1909" t="s">
        <v>143</v>
      </c>
      <c r="M1909" t="s">
        <v>143</v>
      </c>
      <c r="N1909">
        <v>36</v>
      </c>
      <c r="O1909" t="s">
        <v>34</v>
      </c>
      <c r="P1909" t="s">
        <v>88</v>
      </c>
    </row>
    <row r="1910" spans="1:16" ht="14.5" x14ac:dyDescent="0.35">
      <c r="A1910">
        <v>1909</v>
      </c>
      <c r="B1910">
        <v>18</v>
      </c>
      <c r="C1910" t="s">
        <v>16</v>
      </c>
      <c r="D1910" t="s">
        <v>110</v>
      </c>
      <c r="E1910" t="s">
        <v>60</v>
      </c>
      <c r="F1910">
        <v>71</v>
      </c>
      <c r="G1910" t="s">
        <v>133</v>
      </c>
      <c r="H1910" t="s">
        <v>83</v>
      </c>
      <c r="I1910" t="s">
        <v>54</v>
      </c>
      <c r="J1910" t="s">
        <v>22</v>
      </c>
      <c r="K1910">
        <v>2.7</v>
      </c>
      <c r="L1910" t="s">
        <v>143</v>
      </c>
      <c r="M1910" t="s">
        <v>143</v>
      </c>
      <c r="N1910">
        <v>19</v>
      </c>
      <c r="O1910" t="s">
        <v>77</v>
      </c>
      <c r="P1910" t="s">
        <v>67</v>
      </c>
    </row>
    <row r="1911" spans="1:16" ht="14.5" x14ac:dyDescent="0.35">
      <c r="A1911">
        <v>1910</v>
      </c>
      <c r="B1911">
        <v>50</v>
      </c>
      <c r="C1911" t="s">
        <v>16</v>
      </c>
      <c r="D1911" t="s">
        <v>26</v>
      </c>
      <c r="E1911" t="s">
        <v>18</v>
      </c>
      <c r="F1911">
        <v>84</v>
      </c>
      <c r="G1911" t="s">
        <v>19</v>
      </c>
      <c r="H1911" t="s">
        <v>32</v>
      </c>
      <c r="I1911" t="s">
        <v>85</v>
      </c>
      <c r="J1911" t="s">
        <v>33</v>
      </c>
      <c r="K1911">
        <v>4.3</v>
      </c>
      <c r="L1911" t="s">
        <v>143</v>
      </c>
      <c r="M1911" t="s">
        <v>143</v>
      </c>
      <c r="N1911">
        <v>12</v>
      </c>
      <c r="O1911" t="s">
        <v>34</v>
      </c>
      <c r="P1911" t="s">
        <v>79</v>
      </c>
    </row>
    <row r="1912" spans="1:16" ht="14.5" x14ac:dyDescent="0.35">
      <c r="A1912">
        <v>1911</v>
      </c>
      <c r="B1912">
        <v>29</v>
      </c>
      <c r="C1912" t="s">
        <v>16</v>
      </c>
      <c r="D1912" t="s">
        <v>36</v>
      </c>
      <c r="E1912" t="s">
        <v>37</v>
      </c>
      <c r="F1912">
        <v>38</v>
      </c>
      <c r="G1912" t="s">
        <v>75</v>
      </c>
      <c r="H1912" t="s">
        <v>32</v>
      </c>
      <c r="I1912" t="s">
        <v>125</v>
      </c>
      <c r="J1912" t="s">
        <v>50</v>
      </c>
      <c r="K1912">
        <v>3.8</v>
      </c>
      <c r="L1912" t="s">
        <v>143</v>
      </c>
      <c r="M1912" t="s">
        <v>143</v>
      </c>
      <c r="N1912">
        <v>13</v>
      </c>
      <c r="O1912" t="s">
        <v>77</v>
      </c>
      <c r="P1912" t="s">
        <v>51</v>
      </c>
    </row>
    <row r="1913" spans="1:16" ht="14.5" x14ac:dyDescent="0.35">
      <c r="A1913">
        <v>1912</v>
      </c>
      <c r="B1913">
        <v>65</v>
      </c>
      <c r="C1913" t="s">
        <v>16</v>
      </c>
      <c r="D1913" t="s">
        <v>97</v>
      </c>
      <c r="E1913" t="s">
        <v>60</v>
      </c>
      <c r="F1913">
        <v>81</v>
      </c>
      <c r="G1913" t="s">
        <v>108</v>
      </c>
      <c r="H1913" t="s">
        <v>39</v>
      </c>
      <c r="I1913" t="s">
        <v>21</v>
      </c>
      <c r="J1913" t="s">
        <v>33</v>
      </c>
      <c r="K1913">
        <v>4.9000000000000004</v>
      </c>
      <c r="L1913" t="s">
        <v>143</v>
      </c>
      <c r="M1913" t="s">
        <v>143</v>
      </c>
      <c r="N1913">
        <v>32</v>
      </c>
      <c r="O1913" t="s">
        <v>77</v>
      </c>
      <c r="P1913" t="s">
        <v>67</v>
      </c>
    </row>
    <row r="1914" spans="1:16" ht="14.5" x14ac:dyDescent="0.35">
      <c r="A1914">
        <v>1913</v>
      </c>
      <c r="B1914">
        <v>29</v>
      </c>
      <c r="C1914" t="s">
        <v>16</v>
      </c>
      <c r="D1914" t="s">
        <v>26</v>
      </c>
      <c r="E1914" t="s">
        <v>18</v>
      </c>
      <c r="F1914">
        <v>56</v>
      </c>
      <c r="G1914" t="s">
        <v>103</v>
      </c>
      <c r="H1914" t="s">
        <v>32</v>
      </c>
      <c r="I1914" t="s">
        <v>54</v>
      </c>
      <c r="J1914" t="s">
        <v>22</v>
      </c>
      <c r="K1914">
        <v>3.4</v>
      </c>
      <c r="L1914" t="s">
        <v>143</v>
      </c>
      <c r="M1914" t="s">
        <v>143</v>
      </c>
      <c r="N1914">
        <v>5</v>
      </c>
      <c r="O1914" t="s">
        <v>34</v>
      </c>
      <c r="P1914" t="s">
        <v>67</v>
      </c>
    </row>
    <row r="1915" spans="1:16" ht="14.5" x14ac:dyDescent="0.35">
      <c r="A1915">
        <v>1914</v>
      </c>
      <c r="B1915">
        <v>49</v>
      </c>
      <c r="C1915" t="s">
        <v>16</v>
      </c>
      <c r="D1915" t="s">
        <v>78</v>
      </c>
      <c r="E1915" t="s">
        <v>18</v>
      </c>
      <c r="F1915">
        <v>48</v>
      </c>
      <c r="G1915" t="s">
        <v>19</v>
      </c>
      <c r="H1915" t="s">
        <v>39</v>
      </c>
      <c r="I1915" t="s">
        <v>91</v>
      </c>
      <c r="J1915" t="s">
        <v>22</v>
      </c>
      <c r="K1915">
        <v>3.6</v>
      </c>
      <c r="L1915" t="s">
        <v>143</v>
      </c>
      <c r="M1915" t="s">
        <v>143</v>
      </c>
      <c r="N1915">
        <v>29</v>
      </c>
      <c r="O1915" t="s">
        <v>29</v>
      </c>
      <c r="P1915" t="s">
        <v>43</v>
      </c>
    </row>
    <row r="1916" spans="1:16" ht="14.5" x14ac:dyDescent="0.35">
      <c r="A1916">
        <v>1915</v>
      </c>
      <c r="B1916">
        <v>28</v>
      </c>
      <c r="C1916" t="s">
        <v>16</v>
      </c>
      <c r="D1916" t="s">
        <v>52</v>
      </c>
      <c r="E1916" t="s">
        <v>18</v>
      </c>
      <c r="F1916">
        <v>97</v>
      </c>
      <c r="G1916" t="s">
        <v>111</v>
      </c>
      <c r="H1916" t="s">
        <v>20</v>
      </c>
      <c r="I1916" t="s">
        <v>87</v>
      </c>
      <c r="J1916" t="s">
        <v>50</v>
      </c>
      <c r="K1916">
        <v>3.4</v>
      </c>
      <c r="L1916" t="s">
        <v>143</v>
      </c>
      <c r="M1916" t="s">
        <v>143</v>
      </c>
      <c r="N1916">
        <v>40</v>
      </c>
      <c r="O1916" t="s">
        <v>34</v>
      </c>
      <c r="P1916" t="s">
        <v>25</v>
      </c>
    </row>
    <row r="1917" spans="1:16" ht="14.5" x14ac:dyDescent="0.35">
      <c r="A1917">
        <v>1916</v>
      </c>
      <c r="B1917">
        <v>51</v>
      </c>
      <c r="C1917" t="s">
        <v>16</v>
      </c>
      <c r="D1917" t="s">
        <v>123</v>
      </c>
      <c r="E1917" t="s">
        <v>60</v>
      </c>
      <c r="F1917">
        <v>74</v>
      </c>
      <c r="G1917" t="s">
        <v>81</v>
      </c>
      <c r="H1917" t="s">
        <v>39</v>
      </c>
      <c r="I1917" t="s">
        <v>127</v>
      </c>
      <c r="J1917" t="s">
        <v>50</v>
      </c>
      <c r="K1917">
        <v>4.7</v>
      </c>
      <c r="L1917" t="s">
        <v>143</v>
      </c>
      <c r="M1917" t="s">
        <v>143</v>
      </c>
      <c r="N1917">
        <v>44</v>
      </c>
      <c r="O1917" t="s">
        <v>29</v>
      </c>
      <c r="P1917" t="s">
        <v>35</v>
      </c>
    </row>
    <row r="1918" spans="1:16" ht="14.5" x14ac:dyDescent="0.35">
      <c r="A1918">
        <v>1917</v>
      </c>
      <c r="B1918">
        <v>26</v>
      </c>
      <c r="C1918" t="s">
        <v>16</v>
      </c>
      <c r="D1918" t="s">
        <v>95</v>
      </c>
      <c r="E1918" t="s">
        <v>18</v>
      </c>
      <c r="F1918">
        <v>50</v>
      </c>
      <c r="G1918" t="s">
        <v>130</v>
      </c>
      <c r="H1918" t="s">
        <v>32</v>
      </c>
      <c r="I1918" t="s">
        <v>109</v>
      </c>
      <c r="J1918" t="s">
        <v>22</v>
      </c>
      <c r="K1918">
        <v>3</v>
      </c>
      <c r="L1918" t="s">
        <v>143</v>
      </c>
      <c r="M1918" t="s">
        <v>143</v>
      </c>
      <c r="N1918">
        <v>3</v>
      </c>
      <c r="O1918" t="s">
        <v>77</v>
      </c>
      <c r="P1918" t="s">
        <v>67</v>
      </c>
    </row>
    <row r="1919" spans="1:16" ht="14.5" x14ac:dyDescent="0.35">
      <c r="A1919">
        <v>1918</v>
      </c>
      <c r="B1919">
        <v>38</v>
      </c>
      <c r="C1919" t="s">
        <v>16</v>
      </c>
      <c r="D1919" t="s">
        <v>78</v>
      </c>
      <c r="E1919" t="s">
        <v>18</v>
      </c>
      <c r="F1919">
        <v>71</v>
      </c>
      <c r="G1919" t="s">
        <v>68</v>
      </c>
      <c r="H1919" t="s">
        <v>20</v>
      </c>
      <c r="I1919" t="s">
        <v>85</v>
      </c>
      <c r="J1919" t="s">
        <v>22</v>
      </c>
      <c r="K1919">
        <v>3.4</v>
      </c>
      <c r="L1919" t="s">
        <v>143</v>
      </c>
      <c r="M1919" t="s">
        <v>143</v>
      </c>
      <c r="N1919">
        <v>35</v>
      </c>
      <c r="O1919" t="s">
        <v>40</v>
      </c>
      <c r="P1919" t="s">
        <v>67</v>
      </c>
    </row>
    <row r="1920" spans="1:16" ht="14.5" x14ac:dyDescent="0.35">
      <c r="A1920">
        <v>1919</v>
      </c>
      <c r="B1920">
        <v>35</v>
      </c>
      <c r="C1920" t="s">
        <v>16</v>
      </c>
      <c r="D1920" t="s">
        <v>78</v>
      </c>
      <c r="E1920" t="s">
        <v>18</v>
      </c>
      <c r="F1920">
        <v>33</v>
      </c>
      <c r="G1920" t="s">
        <v>126</v>
      </c>
      <c r="H1920" t="s">
        <v>32</v>
      </c>
      <c r="I1920" t="s">
        <v>65</v>
      </c>
      <c r="J1920" t="s">
        <v>47</v>
      </c>
      <c r="K1920">
        <v>4.5999999999999996</v>
      </c>
      <c r="L1920" t="s">
        <v>143</v>
      </c>
      <c r="M1920" t="s">
        <v>143</v>
      </c>
      <c r="N1920">
        <v>33</v>
      </c>
      <c r="O1920" t="s">
        <v>77</v>
      </c>
      <c r="P1920" t="s">
        <v>79</v>
      </c>
    </row>
    <row r="1921" spans="1:16" ht="14.5" x14ac:dyDescent="0.35">
      <c r="A1921">
        <v>1920</v>
      </c>
      <c r="B1921">
        <v>34</v>
      </c>
      <c r="C1921" t="s">
        <v>16</v>
      </c>
      <c r="D1921" t="s">
        <v>123</v>
      </c>
      <c r="E1921" t="s">
        <v>60</v>
      </c>
      <c r="F1921">
        <v>56</v>
      </c>
      <c r="G1921" t="s">
        <v>132</v>
      </c>
      <c r="H1921" t="s">
        <v>39</v>
      </c>
      <c r="I1921" t="s">
        <v>69</v>
      </c>
      <c r="J1921" t="s">
        <v>47</v>
      </c>
      <c r="K1921">
        <v>3.1</v>
      </c>
      <c r="L1921" t="s">
        <v>143</v>
      </c>
      <c r="M1921" t="s">
        <v>143</v>
      </c>
      <c r="N1921">
        <v>20</v>
      </c>
      <c r="O1921" t="s">
        <v>40</v>
      </c>
      <c r="P1921" t="s">
        <v>67</v>
      </c>
    </row>
    <row r="1922" spans="1:16" ht="14.5" x14ac:dyDescent="0.35">
      <c r="A1922">
        <v>1921</v>
      </c>
      <c r="B1922">
        <v>51</v>
      </c>
      <c r="C1922" t="s">
        <v>16</v>
      </c>
      <c r="D1922" t="s">
        <v>17</v>
      </c>
      <c r="E1922" t="s">
        <v>18</v>
      </c>
      <c r="F1922">
        <v>84</v>
      </c>
      <c r="G1922" t="s">
        <v>130</v>
      </c>
      <c r="H1922" t="s">
        <v>39</v>
      </c>
      <c r="I1922" t="s">
        <v>65</v>
      </c>
      <c r="J1922" t="s">
        <v>33</v>
      </c>
      <c r="K1922">
        <v>2.8</v>
      </c>
      <c r="L1922" t="s">
        <v>143</v>
      </c>
      <c r="M1922" t="s">
        <v>143</v>
      </c>
      <c r="N1922">
        <v>40</v>
      </c>
      <c r="O1922" t="s">
        <v>29</v>
      </c>
      <c r="P1922" t="s">
        <v>88</v>
      </c>
    </row>
    <row r="1923" spans="1:16" ht="14.5" x14ac:dyDescent="0.35">
      <c r="A1923">
        <v>1922</v>
      </c>
      <c r="B1923">
        <v>47</v>
      </c>
      <c r="C1923" t="s">
        <v>16</v>
      </c>
      <c r="D1923" t="s">
        <v>48</v>
      </c>
      <c r="E1923" t="s">
        <v>18</v>
      </c>
      <c r="F1923">
        <v>36</v>
      </c>
      <c r="G1923" t="s">
        <v>142</v>
      </c>
      <c r="H1923" t="s">
        <v>39</v>
      </c>
      <c r="I1923" t="s">
        <v>87</v>
      </c>
      <c r="J1923" t="s">
        <v>50</v>
      </c>
      <c r="K1923">
        <v>3.5</v>
      </c>
      <c r="L1923" t="s">
        <v>143</v>
      </c>
      <c r="M1923" t="s">
        <v>143</v>
      </c>
      <c r="N1923">
        <v>13</v>
      </c>
      <c r="O1923" t="s">
        <v>24</v>
      </c>
      <c r="P1923" t="s">
        <v>43</v>
      </c>
    </row>
    <row r="1924" spans="1:16" ht="14.5" x14ac:dyDescent="0.35">
      <c r="A1924">
        <v>1923</v>
      </c>
      <c r="B1924">
        <v>18</v>
      </c>
      <c r="C1924" t="s">
        <v>16</v>
      </c>
      <c r="D1924" t="s">
        <v>134</v>
      </c>
      <c r="E1924" t="s">
        <v>60</v>
      </c>
      <c r="F1924">
        <v>63</v>
      </c>
      <c r="G1924" t="s">
        <v>19</v>
      </c>
      <c r="H1924" t="s">
        <v>32</v>
      </c>
      <c r="I1924" t="s">
        <v>91</v>
      </c>
      <c r="J1924" t="s">
        <v>47</v>
      </c>
      <c r="K1924">
        <v>4.5999999999999996</v>
      </c>
      <c r="L1924" t="s">
        <v>143</v>
      </c>
      <c r="M1924" t="s">
        <v>143</v>
      </c>
      <c r="N1924">
        <v>9</v>
      </c>
      <c r="O1924" t="s">
        <v>40</v>
      </c>
      <c r="P1924" t="s">
        <v>79</v>
      </c>
    </row>
    <row r="1925" spans="1:16" ht="14.5" x14ac:dyDescent="0.35">
      <c r="A1925">
        <v>1924</v>
      </c>
      <c r="B1925">
        <v>64</v>
      </c>
      <c r="C1925" t="s">
        <v>16</v>
      </c>
      <c r="D1925" t="s">
        <v>36</v>
      </c>
      <c r="E1925" t="s">
        <v>37</v>
      </c>
      <c r="F1925">
        <v>36</v>
      </c>
      <c r="G1925" t="s">
        <v>136</v>
      </c>
      <c r="H1925" t="s">
        <v>83</v>
      </c>
      <c r="I1925" t="s">
        <v>135</v>
      </c>
      <c r="J1925" t="s">
        <v>47</v>
      </c>
      <c r="K1925">
        <v>4.3</v>
      </c>
      <c r="L1925" t="s">
        <v>143</v>
      </c>
      <c r="M1925" t="s">
        <v>143</v>
      </c>
      <c r="N1925">
        <v>7</v>
      </c>
      <c r="O1925" t="s">
        <v>29</v>
      </c>
      <c r="P1925" t="s">
        <v>43</v>
      </c>
    </row>
    <row r="1926" spans="1:16" ht="14.5" x14ac:dyDescent="0.35">
      <c r="A1926">
        <v>1925</v>
      </c>
      <c r="B1926">
        <v>30</v>
      </c>
      <c r="C1926" t="s">
        <v>16</v>
      </c>
      <c r="D1926" t="s">
        <v>93</v>
      </c>
      <c r="E1926" t="s">
        <v>56</v>
      </c>
      <c r="F1926">
        <v>63</v>
      </c>
      <c r="G1926" t="s">
        <v>142</v>
      </c>
      <c r="H1926" t="s">
        <v>39</v>
      </c>
      <c r="I1926" t="s">
        <v>21</v>
      </c>
      <c r="J1926" t="s">
        <v>50</v>
      </c>
      <c r="K1926">
        <v>4.8</v>
      </c>
      <c r="L1926" t="s">
        <v>143</v>
      </c>
      <c r="M1926" t="s">
        <v>143</v>
      </c>
      <c r="N1926">
        <v>42</v>
      </c>
      <c r="O1926" t="s">
        <v>40</v>
      </c>
      <c r="P1926" t="s">
        <v>51</v>
      </c>
    </row>
    <row r="1927" spans="1:16" ht="14.5" x14ac:dyDescent="0.35">
      <c r="A1927">
        <v>1926</v>
      </c>
      <c r="B1927">
        <v>59</v>
      </c>
      <c r="C1927" t="s">
        <v>16</v>
      </c>
      <c r="D1927" t="s">
        <v>44</v>
      </c>
      <c r="E1927" t="s">
        <v>37</v>
      </c>
      <c r="F1927">
        <v>32</v>
      </c>
      <c r="G1927" t="s">
        <v>131</v>
      </c>
      <c r="H1927" t="s">
        <v>20</v>
      </c>
      <c r="I1927" t="s">
        <v>85</v>
      </c>
      <c r="J1927" t="s">
        <v>22</v>
      </c>
      <c r="K1927">
        <v>2.9</v>
      </c>
      <c r="L1927" t="s">
        <v>143</v>
      </c>
      <c r="M1927" t="s">
        <v>143</v>
      </c>
      <c r="N1927">
        <v>44</v>
      </c>
      <c r="O1927" t="s">
        <v>34</v>
      </c>
      <c r="P1927" t="s">
        <v>25</v>
      </c>
    </row>
    <row r="1928" spans="1:16" ht="14.5" x14ac:dyDescent="0.35">
      <c r="A1928">
        <v>1927</v>
      </c>
      <c r="B1928">
        <v>66</v>
      </c>
      <c r="C1928" t="s">
        <v>16</v>
      </c>
      <c r="D1928" t="s">
        <v>123</v>
      </c>
      <c r="E1928" t="s">
        <v>60</v>
      </c>
      <c r="F1928">
        <v>93</v>
      </c>
      <c r="G1928" t="s">
        <v>121</v>
      </c>
      <c r="H1928" t="s">
        <v>39</v>
      </c>
      <c r="I1928" t="s">
        <v>58</v>
      </c>
      <c r="J1928" t="s">
        <v>33</v>
      </c>
      <c r="K1928">
        <v>3</v>
      </c>
      <c r="L1928" t="s">
        <v>143</v>
      </c>
      <c r="M1928" t="s">
        <v>143</v>
      </c>
      <c r="N1928">
        <v>6</v>
      </c>
      <c r="O1928" t="s">
        <v>40</v>
      </c>
      <c r="P1928" t="s">
        <v>43</v>
      </c>
    </row>
    <row r="1929" spans="1:16" ht="14.5" x14ac:dyDescent="0.35">
      <c r="A1929">
        <v>1928</v>
      </c>
      <c r="B1929">
        <v>40</v>
      </c>
      <c r="C1929" t="s">
        <v>16</v>
      </c>
      <c r="D1929" t="s">
        <v>86</v>
      </c>
      <c r="E1929" t="s">
        <v>18</v>
      </c>
      <c r="F1929">
        <v>29</v>
      </c>
      <c r="G1929" t="s">
        <v>94</v>
      </c>
      <c r="H1929" t="s">
        <v>39</v>
      </c>
      <c r="I1929" t="s">
        <v>62</v>
      </c>
      <c r="J1929" t="s">
        <v>47</v>
      </c>
      <c r="K1929">
        <v>2.9</v>
      </c>
      <c r="L1929" t="s">
        <v>143</v>
      </c>
      <c r="M1929" t="s">
        <v>143</v>
      </c>
      <c r="N1929">
        <v>8</v>
      </c>
      <c r="O1929" t="s">
        <v>29</v>
      </c>
      <c r="P1929" t="s">
        <v>88</v>
      </c>
    </row>
    <row r="1930" spans="1:16" ht="14.5" x14ac:dyDescent="0.35">
      <c r="A1930">
        <v>1929</v>
      </c>
      <c r="B1930">
        <v>25</v>
      </c>
      <c r="C1930" t="s">
        <v>16</v>
      </c>
      <c r="D1930" t="s">
        <v>80</v>
      </c>
      <c r="E1930" t="s">
        <v>60</v>
      </c>
      <c r="F1930">
        <v>92</v>
      </c>
      <c r="G1930" t="s">
        <v>82</v>
      </c>
      <c r="H1930" t="s">
        <v>32</v>
      </c>
      <c r="I1930" t="s">
        <v>84</v>
      </c>
      <c r="J1930" t="s">
        <v>47</v>
      </c>
      <c r="K1930">
        <v>3.7</v>
      </c>
      <c r="L1930" t="s">
        <v>143</v>
      </c>
      <c r="M1930" t="s">
        <v>143</v>
      </c>
      <c r="N1930">
        <v>10</v>
      </c>
      <c r="O1930" t="s">
        <v>40</v>
      </c>
      <c r="P1930" t="s">
        <v>35</v>
      </c>
    </row>
    <row r="1931" spans="1:16" ht="14.5" x14ac:dyDescent="0.35">
      <c r="A1931">
        <v>1930</v>
      </c>
      <c r="B1931">
        <v>59</v>
      </c>
      <c r="C1931" t="s">
        <v>16</v>
      </c>
      <c r="D1931" t="s">
        <v>30</v>
      </c>
      <c r="E1931" t="s">
        <v>18</v>
      </c>
      <c r="F1931">
        <v>33</v>
      </c>
      <c r="G1931" t="s">
        <v>68</v>
      </c>
      <c r="H1931" t="s">
        <v>20</v>
      </c>
      <c r="I1931" t="s">
        <v>101</v>
      </c>
      <c r="J1931" t="s">
        <v>50</v>
      </c>
      <c r="K1931">
        <v>4.7</v>
      </c>
      <c r="L1931" t="s">
        <v>143</v>
      </c>
      <c r="M1931" t="s">
        <v>143</v>
      </c>
      <c r="N1931">
        <v>46</v>
      </c>
      <c r="O1931" t="s">
        <v>24</v>
      </c>
      <c r="P1931" t="s">
        <v>51</v>
      </c>
    </row>
    <row r="1932" spans="1:16" ht="14.5" x14ac:dyDescent="0.35">
      <c r="A1932">
        <v>1931</v>
      </c>
      <c r="B1932">
        <v>66</v>
      </c>
      <c r="C1932" t="s">
        <v>16</v>
      </c>
      <c r="D1932" t="s">
        <v>86</v>
      </c>
      <c r="E1932" t="s">
        <v>18</v>
      </c>
      <c r="F1932">
        <v>52</v>
      </c>
      <c r="G1932" t="s">
        <v>89</v>
      </c>
      <c r="H1932" t="s">
        <v>20</v>
      </c>
      <c r="I1932" t="s">
        <v>42</v>
      </c>
      <c r="J1932" t="s">
        <v>33</v>
      </c>
      <c r="K1932">
        <v>3.5</v>
      </c>
      <c r="L1932" t="s">
        <v>143</v>
      </c>
      <c r="M1932" t="s">
        <v>143</v>
      </c>
      <c r="N1932">
        <v>26</v>
      </c>
      <c r="O1932" t="s">
        <v>29</v>
      </c>
      <c r="P1932" t="s">
        <v>35</v>
      </c>
    </row>
    <row r="1933" spans="1:16" ht="14.5" x14ac:dyDescent="0.35">
      <c r="A1933">
        <v>1932</v>
      </c>
      <c r="B1933">
        <v>54</v>
      </c>
      <c r="C1933" t="s">
        <v>16</v>
      </c>
      <c r="D1933" t="s">
        <v>97</v>
      </c>
      <c r="E1933" t="s">
        <v>60</v>
      </c>
      <c r="F1933">
        <v>42</v>
      </c>
      <c r="G1933" t="s">
        <v>106</v>
      </c>
      <c r="H1933" t="s">
        <v>32</v>
      </c>
      <c r="I1933" t="s">
        <v>69</v>
      </c>
      <c r="J1933" t="s">
        <v>33</v>
      </c>
      <c r="K1933">
        <v>2.7</v>
      </c>
      <c r="L1933" t="s">
        <v>143</v>
      </c>
      <c r="M1933" t="s">
        <v>143</v>
      </c>
      <c r="N1933">
        <v>6</v>
      </c>
      <c r="O1933" t="s">
        <v>77</v>
      </c>
      <c r="P1933" t="s">
        <v>88</v>
      </c>
    </row>
    <row r="1934" spans="1:16" ht="14.5" x14ac:dyDescent="0.35">
      <c r="A1934">
        <v>1933</v>
      </c>
      <c r="B1934">
        <v>42</v>
      </c>
      <c r="C1934" t="s">
        <v>16</v>
      </c>
      <c r="D1934" t="s">
        <v>95</v>
      </c>
      <c r="E1934" t="s">
        <v>18</v>
      </c>
      <c r="F1934">
        <v>36</v>
      </c>
      <c r="G1934" t="s">
        <v>119</v>
      </c>
      <c r="H1934" t="s">
        <v>39</v>
      </c>
      <c r="I1934" t="s">
        <v>46</v>
      </c>
      <c r="J1934" t="s">
        <v>33</v>
      </c>
      <c r="K1934">
        <v>5</v>
      </c>
      <c r="L1934" t="s">
        <v>143</v>
      </c>
      <c r="M1934" t="s">
        <v>143</v>
      </c>
      <c r="N1934">
        <v>47</v>
      </c>
      <c r="O1934" t="s">
        <v>34</v>
      </c>
      <c r="P1934" t="s">
        <v>88</v>
      </c>
    </row>
    <row r="1935" spans="1:16" ht="14.5" x14ac:dyDescent="0.35">
      <c r="A1935">
        <v>1934</v>
      </c>
      <c r="B1935">
        <v>48</v>
      </c>
      <c r="C1935" t="s">
        <v>16</v>
      </c>
      <c r="D1935" t="s">
        <v>36</v>
      </c>
      <c r="E1935" t="s">
        <v>37</v>
      </c>
      <c r="F1935">
        <v>67</v>
      </c>
      <c r="G1935" t="s">
        <v>49</v>
      </c>
      <c r="H1935" t="s">
        <v>20</v>
      </c>
      <c r="I1935" t="s">
        <v>74</v>
      </c>
      <c r="J1935" t="s">
        <v>47</v>
      </c>
      <c r="K1935">
        <v>4.0999999999999996</v>
      </c>
      <c r="L1935" t="s">
        <v>143</v>
      </c>
      <c r="M1935" t="s">
        <v>143</v>
      </c>
      <c r="N1935">
        <v>28</v>
      </c>
      <c r="O1935" t="s">
        <v>24</v>
      </c>
      <c r="P1935" t="s">
        <v>43</v>
      </c>
    </row>
    <row r="1936" spans="1:16" ht="14.5" x14ac:dyDescent="0.35">
      <c r="A1936">
        <v>1935</v>
      </c>
      <c r="B1936">
        <v>34</v>
      </c>
      <c r="C1936" t="s">
        <v>16</v>
      </c>
      <c r="D1936" t="s">
        <v>93</v>
      </c>
      <c r="E1936" t="s">
        <v>56</v>
      </c>
      <c r="F1936">
        <v>43</v>
      </c>
      <c r="G1936" t="s">
        <v>142</v>
      </c>
      <c r="H1936" t="s">
        <v>20</v>
      </c>
      <c r="I1936" t="s">
        <v>71</v>
      </c>
      <c r="J1936" t="s">
        <v>22</v>
      </c>
      <c r="K1936">
        <v>2.7</v>
      </c>
      <c r="L1936" t="s">
        <v>143</v>
      </c>
      <c r="M1936" t="s">
        <v>143</v>
      </c>
      <c r="N1936">
        <v>23</v>
      </c>
      <c r="O1936" t="s">
        <v>66</v>
      </c>
      <c r="P1936" t="s">
        <v>43</v>
      </c>
    </row>
    <row r="1937" spans="1:16" ht="14.5" x14ac:dyDescent="0.35">
      <c r="A1937">
        <v>1936</v>
      </c>
      <c r="B1937">
        <v>19</v>
      </c>
      <c r="C1937" t="s">
        <v>16</v>
      </c>
      <c r="D1937" t="s">
        <v>17</v>
      </c>
      <c r="E1937" t="s">
        <v>18</v>
      </c>
      <c r="F1937">
        <v>68</v>
      </c>
      <c r="G1937" t="s">
        <v>89</v>
      </c>
      <c r="H1937" t="s">
        <v>83</v>
      </c>
      <c r="I1937" t="s">
        <v>74</v>
      </c>
      <c r="J1937" t="s">
        <v>33</v>
      </c>
      <c r="K1937">
        <v>4.8</v>
      </c>
      <c r="L1937" t="s">
        <v>143</v>
      </c>
      <c r="M1937" t="s">
        <v>143</v>
      </c>
      <c r="N1937">
        <v>45</v>
      </c>
      <c r="O1937" t="s">
        <v>29</v>
      </c>
      <c r="P1937" t="s">
        <v>25</v>
      </c>
    </row>
    <row r="1938" spans="1:16" ht="14.5" x14ac:dyDescent="0.35">
      <c r="A1938">
        <v>1937</v>
      </c>
      <c r="B1938">
        <v>70</v>
      </c>
      <c r="C1938" t="s">
        <v>16</v>
      </c>
      <c r="D1938" t="s">
        <v>97</v>
      </c>
      <c r="E1938" t="s">
        <v>60</v>
      </c>
      <c r="F1938">
        <v>60</v>
      </c>
      <c r="G1938" t="s">
        <v>139</v>
      </c>
      <c r="H1938" t="s">
        <v>32</v>
      </c>
      <c r="I1938" t="s">
        <v>76</v>
      </c>
      <c r="J1938" t="s">
        <v>47</v>
      </c>
      <c r="K1938">
        <v>4.3</v>
      </c>
      <c r="L1938" t="s">
        <v>143</v>
      </c>
      <c r="M1938" t="s">
        <v>143</v>
      </c>
      <c r="N1938">
        <v>44</v>
      </c>
      <c r="O1938" t="s">
        <v>40</v>
      </c>
      <c r="P1938" t="s">
        <v>88</v>
      </c>
    </row>
    <row r="1939" spans="1:16" ht="14.5" x14ac:dyDescent="0.35">
      <c r="A1939">
        <v>1938</v>
      </c>
      <c r="B1939">
        <v>43</v>
      </c>
      <c r="C1939" t="s">
        <v>16</v>
      </c>
      <c r="D1939" t="s">
        <v>116</v>
      </c>
      <c r="E1939" t="s">
        <v>18</v>
      </c>
      <c r="F1939">
        <v>53</v>
      </c>
      <c r="G1939" t="s">
        <v>70</v>
      </c>
      <c r="H1939" t="s">
        <v>39</v>
      </c>
      <c r="I1939" t="s">
        <v>69</v>
      </c>
      <c r="J1939" t="s">
        <v>47</v>
      </c>
      <c r="K1939">
        <v>4.5</v>
      </c>
      <c r="L1939" t="s">
        <v>143</v>
      </c>
      <c r="M1939" t="s">
        <v>143</v>
      </c>
      <c r="N1939">
        <v>11</v>
      </c>
      <c r="O1939" t="s">
        <v>66</v>
      </c>
      <c r="P1939" t="s">
        <v>79</v>
      </c>
    </row>
    <row r="1940" spans="1:16" ht="14.5" x14ac:dyDescent="0.35">
      <c r="A1940">
        <v>1939</v>
      </c>
      <c r="B1940">
        <v>46</v>
      </c>
      <c r="C1940" t="s">
        <v>16</v>
      </c>
      <c r="D1940" t="s">
        <v>30</v>
      </c>
      <c r="E1940" t="s">
        <v>18</v>
      </c>
      <c r="F1940">
        <v>23</v>
      </c>
      <c r="G1940" t="s">
        <v>19</v>
      </c>
      <c r="H1940" t="s">
        <v>20</v>
      </c>
      <c r="I1940" t="s">
        <v>135</v>
      </c>
      <c r="J1940" t="s">
        <v>33</v>
      </c>
      <c r="K1940">
        <v>3.8</v>
      </c>
      <c r="L1940" t="s">
        <v>143</v>
      </c>
      <c r="M1940" t="s">
        <v>143</v>
      </c>
      <c r="N1940">
        <v>39</v>
      </c>
      <c r="O1940" t="s">
        <v>77</v>
      </c>
      <c r="P1940" t="s">
        <v>67</v>
      </c>
    </row>
    <row r="1941" spans="1:16" ht="14.5" x14ac:dyDescent="0.35">
      <c r="A1941">
        <v>1940</v>
      </c>
      <c r="B1941">
        <v>66</v>
      </c>
      <c r="C1941" t="s">
        <v>16</v>
      </c>
      <c r="D1941" t="s">
        <v>134</v>
      </c>
      <c r="E1941" t="s">
        <v>60</v>
      </c>
      <c r="F1941">
        <v>57</v>
      </c>
      <c r="G1941" t="s">
        <v>114</v>
      </c>
      <c r="H1941" t="s">
        <v>20</v>
      </c>
      <c r="I1941" t="s">
        <v>127</v>
      </c>
      <c r="J1941" t="s">
        <v>22</v>
      </c>
      <c r="K1941">
        <v>3.7</v>
      </c>
      <c r="L1941" t="s">
        <v>143</v>
      </c>
      <c r="M1941" t="s">
        <v>143</v>
      </c>
      <c r="N1941">
        <v>20</v>
      </c>
      <c r="O1941" t="s">
        <v>40</v>
      </c>
      <c r="P1941" t="s">
        <v>88</v>
      </c>
    </row>
    <row r="1942" spans="1:16" ht="14.5" x14ac:dyDescent="0.35">
      <c r="A1942">
        <v>1941</v>
      </c>
      <c r="B1942">
        <v>50</v>
      </c>
      <c r="C1942" t="s">
        <v>16</v>
      </c>
      <c r="D1942" t="s">
        <v>115</v>
      </c>
      <c r="E1942" t="s">
        <v>60</v>
      </c>
      <c r="F1942">
        <v>89</v>
      </c>
      <c r="G1942" t="s">
        <v>111</v>
      </c>
      <c r="H1942" t="s">
        <v>20</v>
      </c>
      <c r="I1942" t="s">
        <v>21</v>
      </c>
      <c r="J1942" t="s">
        <v>50</v>
      </c>
      <c r="K1942">
        <v>3.9</v>
      </c>
      <c r="L1942" t="s">
        <v>143</v>
      </c>
      <c r="M1942" t="s">
        <v>143</v>
      </c>
      <c r="N1942">
        <v>48</v>
      </c>
      <c r="O1942" t="s">
        <v>40</v>
      </c>
      <c r="P1942" t="s">
        <v>25</v>
      </c>
    </row>
    <row r="1943" spans="1:16" ht="14.5" x14ac:dyDescent="0.35">
      <c r="A1943">
        <v>1942</v>
      </c>
      <c r="B1943">
        <v>55</v>
      </c>
      <c r="C1943" t="s">
        <v>16</v>
      </c>
      <c r="D1943" t="s">
        <v>63</v>
      </c>
      <c r="E1943" t="s">
        <v>37</v>
      </c>
      <c r="F1943">
        <v>99</v>
      </c>
      <c r="G1943" t="s">
        <v>120</v>
      </c>
      <c r="H1943" t="s">
        <v>83</v>
      </c>
      <c r="I1943" t="s">
        <v>91</v>
      </c>
      <c r="J1943" t="s">
        <v>22</v>
      </c>
      <c r="K1943">
        <v>3.3</v>
      </c>
      <c r="L1943" t="s">
        <v>143</v>
      </c>
      <c r="M1943" t="s">
        <v>143</v>
      </c>
      <c r="N1943">
        <v>46</v>
      </c>
      <c r="O1943" t="s">
        <v>34</v>
      </c>
      <c r="P1943" t="s">
        <v>51</v>
      </c>
    </row>
    <row r="1944" spans="1:16" ht="14.5" x14ac:dyDescent="0.35">
      <c r="A1944">
        <v>1943</v>
      </c>
      <c r="B1944">
        <v>63</v>
      </c>
      <c r="C1944" t="s">
        <v>16</v>
      </c>
      <c r="D1944" t="s">
        <v>86</v>
      </c>
      <c r="E1944" t="s">
        <v>18</v>
      </c>
      <c r="F1944">
        <v>28</v>
      </c>
      <c r="G1944" t="s">
        <v>81</v>
      </c>
      <c r="H1944" t="s">
        <v>39</v>
      </c>
      <c r="I1944" t="s">
        <v>100</v>
      </c>
      <c r="J1944" t="s">
        <v>50</v>
      </c>
      <c r="K1944">
        <v>3.4</v>
      </c>
      <c r="L1944" t="s">
        <v>143</v>
      </c>
      <c r="M1944" t="s">
        <v>143</v>
      </c>
      <c r="N1944">
        <v>22</v>
      </c>
      <c r="O1944" t="s">
        <v>40</v>
      </c>
      <c r="P1944" t="s">
        <v>79</v>
      </c>
    </row>
    <row r="1945" spans="1:16" ht="14.5" x14ac:dyDescent="0.35">
      <c r="A1945">
        <v>1944</v>
      </c>
      <c r="B1945">
        <v>32</v>
      </c>
      <c r="C1945" t="s">
        <v>16</v>
      </c>
      <c r="D1945" t="s">
        <v>116</v>
      </c>
      <c r="E1945" t="s">
        <v>18</v>
      </c>
      <c r="F1945">
        <v>53</v>
      </c>
      <c r="G1945" t="s">
        <v>141</v>
      </c>
      <c r="H1945" t="s">
        <v>20</v>
      </c>
      <c r="I1945" t="s">
        <v>74</v>
      </c>
      <c r="J1945" t="s">
        <v>47</v>
      </c>
      <c r="K1945">
        <v>3.8</v>
      </c>
      <c r="L1945" t="s">
        <v>143</v>
      </c>
      <c r="M1945" t="s">
        <v>143</v>
      </c>
      <c r="N1945">
        <v>45</v>
      </c>
      <c r="O1945" t="s">
        <v>29</v>
      </c>
      <c r="P1945" t="s">
        <v>43</v>
      </c>
    </row>
    <row r="1946" spans="1:16" ht="14.5" x14ac:dyDescent="0.35">
      <c r="A1946">
        <v>1945</v>
      </c>
      <c r="B1946">
        <v>30</v>
      </c>
      <c r="C1946" t="s">
        <v>16</v>
      </c>
      <c r="D1946" t="s">
        <v>95</v>
      </c>
      <c r="E1946" t="s">
        <v>18</v>
      </c>
      <c r="F1946">
        <v>45</v>
      </c>
      <c r="G1946" t="s">
        <v>64</v>
      </c>
      <c r="H1946" t="s">
        <v>39</v>
      </c>
      <c r="I1946" t="s">
        <v>71</v>
      </c>
      <c r="J1946" t="s">
        <v>22</v>
      </c>
      <c r="K1946">
        <v>2.7</v>
      </c>
      <c r="L1946" t="s">
        <v>143</v>
      </c>
      <c r="M1946" t="s">
        <v>143</v>
      </c>
      <c r="N1946">
        <v>49</v>
      </c>
      <c r="O1946" t="s">
        <v>29</v>
      </c>
      <c r="P1946" t="s">
        <v>88</v>
      </c>
    </row>
    <row r="1947" spans="1:16" ht="14.5" x14ac:dyDescent="0.35">
      <c r="A1947">
        <v>1946</v>
      </c>
      <c r="B1947">
        <v>35</v>
      </c>
      <c r="C1947" t="s">
        <v>16</v>
      </c>
      <c r="D1947" t="s">
        <v>95</v>
      </c>
      <c r="E1947" t="s">
        <v>18</v>
      </c>
      <c r="F1947">
        <v>38</v>
      </c>
      <c r="G1947" t="s">
        <v>133</v>
      </c>
      <c r="H1947" t="s">
        <v>39</v>
      </c>
      <c r="I1947" t="s">
        <v>71</v>
      </c>
      <c r="J1947" t="s">
        <v>22</v>
      </c>
      <c r="K1947">
        <v>2.9</v>
      </c>
      <c r="L1947" t="s">
        <v>143</v>
      </c>
      <c r="M1947" t="s">
        <v>143</v>
      </c>
      <c r="N1947">
        <v>9</v>
      </c>
      <c r="O1947" t="s">
        <v>34</v>
      </c>
      <c r="P1947" t="s">
        <v>88</v>
      </c>
    </row>
    <row r="1948" spans="1:16" ht="14.5" x14ac:dyDescent="0.35">
      <c r="A1948">
        <v>1947</v>
      </c>
      <c r="B1948">
        <v>59</v>
      </c>
      <c r="C1948" t="s">
        <v>16</v>
      </c>
      <c r="D1948" t="s">
        <v>86</v>
      </c>
      <c r="E1948" t="s">
        <v>18</v>
      </c>
      <c r="F1948">
        <v>49</v>
      </c>
      <c r="G1948" t="s">
        <v>53</v>
      </c>
      <c r="H1948" t="s">
        <v>39</v>
      </c>
      <c r="I1948" t="s">
        <v>46</v>
      </c>
      <c r="J1948" t="s">
        <v>47</v>
      </c>
      <c r="K1948">
        <v>4.5</v>
      </c>
      <c r="L1948" t="s">
        <v>143</v>
      </c>
      <c r="M1948" t="s">
        <v>143</v>
      </c>
      <c r="N1948">
        <v>41</v>
      </c>
      <c r="O1948" t="s">
        <v>34</v>
      </c>
      <c r="P1948" t="s">
        <v>51</v>
      </c>
    </row>
    <row r="1949" spans="1:16" ht="14.5" x14ac:dyDescent="0.35">
      <c r="A1949">
        <v>1948</v>
      </c>
      <c r="B1949">
        <v>59</v>
      </c>
      <c r="C1949" t="s">
        <v>16</v>
      </c>
      <c r="D1949" t="s">
        <v>48</v>
      </c>
      <c r="E1949" t="s">
        <v>18</v>
      </c>
      <c r="F1949">
        <v>32</v>
      </c>
      <c r="G1949" t="s">
        <v>75</v>
      </c>
      <c r="H1949" t="s">
        <v>39</v>
      </c>
      <c r="I1949" t="s">
        <v>21</v>
      </c>
      <c r="J1949" t="s">
        <v>47</v>
      </c>
      <c r="K1949">
        <v>2.6</v>
      </c>
      <c r="L1949" t="s">
        <v>143</v>
      </c>
      <c r="M1949" t="s">
        <v>143</v>
      </c>
      <c r="N1949">
        <v>2</v>
      </c>
      <c r="O1949" t="s">
        <v>40</v>
      </c>
      <c r="P1949" t="s">
        <v>79</v>
      </c>
    </row>
    <row r="1950" spans="1:16" ht="14.5" x14ac:dyDescent="0.35">
      <c r="A1950">
        <v>1949</v>
      </c>
      <c r="B1950">
        <v>54</v>
      </c>
      <c r="C1950" t="s">
        <v>16</v>
      </c>
      <c r="D1950" t="s">
        <v>104</v>
      </c>
      <c r="E1950" t="s">
        <v>18</v>
      </c>
      <c r="F1950">
        <v>37</v>
      </c>
      <c r="G1950" t="s">
        <v>130</v>
      </c>
      <c r="H1950" t="s">
        <v>20</v>
      </c>
      <c r="I1950" t="s">
        <v>101</v>
      </c>
      <c r="J1950" t="s">
        <v>22</v>
      </c>
      <c r="K1950">
        <v>3.1</v>
      </c>
      <c r="L1950" t="s">
        <v>143</v>
      </c>
      <c r="M1950" t="s">
        <v>143</v>
      </c>
      <c r="N1950">
        <v>39</v>
      </c>
      <c r="O1950" t="s">
        <v>40</v>
      </c>
      <c r="P1950" t="s">
        <v>67</v>
      </c>
    </row>
    <row r="1951" spans="1:16" ht="14.5" x14ac:dyDescent="0.35">
      <c r="A1951">
        <v>1950</v>
      </c>
      <c r="B1951">
        <v>63</v>
      </c>
      <c r="C1951" t="s">
        <v>16</v>
      </c>
      <c r="D1951" t="s">
        <v>72</v>
      </c>
      <c r="E1951" t="s">
        <v>18</v>
      </c>
      <c r="F1951">
        <v>80</v>
      </c>
      <c r="G1951" t="s">
        <v>136</v>
      </c>
      <c r="H1951" t="s">
        <v>20</v>
      </c>
      <c r="I1951" t="s">
        <v>21</v>
      </c>
      <c r="J1951" t="s">
        <v>22</v>
      </c>
      <c r="K1951">
        <v>4.7</v>
      </c>
      <c r="L1951" t="s">
        <v>143</v>
      </c>
      <c r="M1951" t="s">
        <v>143</v>
      </c>
      <c r="N1951">
        <v>12</v>
      </c>
      <c r="O1951" t="s">
        <v>40</v>
      </c>
      <c r="P1951" t="s">
        <v>51</v>
      </c>
    </row>
    <row r="1952" spans="1:16" ht="14.5" x14ac:dyDescent="0.35">
      <c r="A1952">
        <v>1951</v>
      </c>
      <c r="B1952">
        <v>43</v>
      </c>
      <c r="C1952" t="s">
        <v>16</v>
      </c>
      <c r="D1952" t="s">
        <v>123</v>
      </c>
      <c r="E1952" t="s">
        <v>60</v>
      </c>
      <c r="F1952">
        <v>78</v>
      </c>
      <c r="G1952" t="s">
        <v>64</v>
      </c>
      <c r="H1952" t="s">
        <v>20</v>
      </c>
      <c r="I1952" t="s">
        <v>135</v>
      </c>
      <c r="J1952" t="s">
        <v>47</v>
      </c>
      <c r="K1952">
        <v>4.5999999999999996</v>
      </c>
      <c r="L1952" t="s">
        <v>143</v>
      </c>
      <c r="M1952" t="s">
        <v>143</v>
      </c>
      <c r="N1952">
        <v>26</v>
      </c>
      <c r="O1952" t="s">
        <v>40</v>
      </c>
      <c r="P1952" t="s">
        <v>88</v>
      </c>
    </row>
    <row r="1953" spans="1:16" ht="14.5" x14ac:dyDescent="0.35">
      <c r="A1953">
        <v>1952</v>
      </c>
      <c r="B1953">
        <v>33</v>
      </c>
      <c r="C1953" t="s">
        <v>16</v>
      </c>
      <c r="D1953" t="s">
        <v>134</v>
      </c>
      <c r="E1953" t="s">
        <v>60</v>
      </c>
      <c r="F1953">
        <v>53</v>
      </c>
      <c r="G1953" t="s">
        <v>130</v>
      </c>
      <c r="H1953" t="s">
        <v>20</v>
      </c>
      <c r="I1953" t="s">
        <v>71</v>
      </c>
      <c r="J1953" t="s">
        <v>47</v>
      </c>
      <c r="K1953">
        <v>2.7</v>
      </c>
      <c r="L1953" t="s">
        <v>143</v>
      </c>
      <c r="M1953" t="s">
        <v>143</v>
      </c>
      <c r="N1953">
        <v>32</v>
      </c>
      <c r="O1953" t="s">
        <v>66</v>
      </c>
      <c r="P1953" t="s">
        <v>67</v>
      </c>
    </row>
    <row r="1954" spans="1:16" ht="14.5" x14ac:dyDescent="0.35">
      <c r="A1954">
        <v>1953</v>
      </c>
      <c r="B1954">
        <v>57</v>
      </c>
      <c r="C1954" t="s">
        <v>16</v>
      </c>
      <c r="D1954" t="s">
        <v>63</v>
      </c>
      <c r="E1954" t="s">
        <v>37</v>
      </c>
      <c r="F1954">
        <v>82</v>
      </c>
      <c r="G1954" t="s">
        <v>119</v>
      </c>
      <c r="H1954" t="s">
        <v>20</v>
      </c>
      <c r="I1954" t="s">
        <v>125</v>
      </c>
      <c r="J1954" t="s">
        <v>47</v>
      </c>
      <c r="K1954">
        <v>4.5999999999999996</v>
      </c>
      <c r="L1954" t="s">
        <v>143</v>
      </c>
      <c r="M1954" t="s">
        <v>143</v>
      </c>
      <c r="N1954">
        <v>50</v>
      </c>
      <c r="O1954" t="s">
        <v>29</v>
      </c>
      <c r="P1954" t="s">
        <v>67</v>
      </c>
    </row>
    <row r="1955" spans="1:16" ht="14.5" x14ac:dyDescent="0.35">
      <c r="A1955">
        <v>1954</v>
      </c>
      <c r="B1955">
        <v>25</v>
      </c>
      <c r="C1955" t="s">
        <v>16</v>
      </c>
      <c r="D1955" t="s">
        <v>78</v>
      </c>
      <c r="E1955" t="s">
        <v>18</v>
      </c>
      <c r="F1955">
        <v>33</v>
      </c>
      <c r="G1955" t="s">
        <v>103</v>
      </c>
      <c r="H1955" t="s">
        <v>83</v>
      </c>
      <c r="I1955" t="s">
        <v>87</v>
      </c>
      <c r="J1955" t="s">
        <v>33</v>
      </c>
      <c r="K1955">
        <v>4.8</v>
      </c>
      <c r="L1955" t="s">
        <v>143</v>
      </c>
      <c r="M1955" t="s">
        <v>143</v>
      </c>
      <c r="N1955">
        <v>3</v>
      </c>
      <c r="O1955" t="s">
        <v>40</v>
      </c>
      <c r="P1955" t="s">
        <v>25</v>
      </c>
    </row>
    <row r="1956" spans="1:16" ht="14.5" x14ac:dyDescent="0.35">
      <c r="A1956">
        <v>1955</v>
      </c>
      <c r="B1956">
        <v>26</v>
      </c>
      <c r="C1956" t="s">
        <v>16</v>
      </c>
      <c r="D1956" t="s">
        <v>134</v>
      </c>
      <c r="E1956" t="s">
        <v>60</v>
      </c>
      <c r="F1956">
        <v>77</v>
      </c>
      <c r="G1956" t="s">
        <v>103</v>
      </c>
      <c r="H1956" t="s">
        <v>39</v>
      </c>
      <c r="I1956" t="s">
        <v>62</v>
      </c>
      <c r="J1956" t="s">
        <v>22</v>
      </c>
      <c r="K1956">
        <v>4.2</v>
      </c>
      <c r="L1956" t="s">
        <v>143</v>
      </c>
      <c r="M1956" t="s">
        <v>143</v>
      </c>
      <c r="N1956">
        <v>3</v>
      </c>
      <c r="O1956" t="s">
        <v>24</v>
      </c>
      <c r="P1956" t="s">
        <v>51</v>
      </c>
    </row>
    <row r="1957" spans="1:16" ht="14.5" x14ac:dyDescent="0.35">
      <c r="A1957">
        <v>1956</v>
      </c>
      <c r="B1957">
        <v>50</v>
      </c>
      <c r="C1957" t="s">
        <v>16</v>
      </c>
      <c r="D1957" t="s">
        <v>95</v>
      </c>
      <c r="E1957" t="s">
        <v>18</v>
      </c>
      <c r="F1957">
        <v>56</v>
      </c>
      <c r="G1957" t="s">
        <v>27</v>
      </c>
      <c r="H1957" t="s">
        <v>39</v>
      </c>
      <c r="I1957" t="s">
        <v>62</v>
      </c>
      <c r="J1957" t="s">
        <v>22</v>
      </c>
      <c r="K1957">
        <v>4.9000000000000004</v>
      </c>
      <c r="L1957" t="s">
        <v>143</v>
      </c>
      <c r="M1957" t="s">
        <v>143</v>
      </c>
      <c r="N1957">
        <v>37</v>
      </c>
      <c r="O1957" t="s">
        <v>29</v>
      </c>
      <c r="P1957" t="s">
        <v>79</v>
      </c>
    </row>
    <row r="1958" spans="1:16" ht="14.5" x14ac:dyDescent="0.35">
      <c r="A1958">
        <v>1957</v>
      </c>
      <c r="B1958">
        <v>70</v>
      </c>
      <c r="C1958" t="s">
        <v>16</v>
      </c>
      <c r="D1958" t="s">
        <v>116</v>
      </c>
      <c r="E1958" t="s">
        <v>18</v>
      </c>
      <c r="F1958">
        <v>37</v>
      </c>
      <c r="G1958" t="s">
        <v>92</v>
      </c>
      <c r="H1958" t="s">
        <v>39</v>
      </c>
      <c r="I1958" t="s">
        <v>62</v>
      </c>
      <c r="J1958" t="s">
        <v>22</v>
      </c>
      <c r="K1958">
        <v>4.9000000000000004</v>
      </c>
      <c r="L1958" t="s">
        <v>143</v>
      </c>
      <c r="M1958" t="s">
        <v>143</v>
      </c>
      <c r="N1958">
        <v>20</v>
      </c>
      <c r="O1958" t="s">
        <v>34</v>
      </c>
      <c r="P1958" t="s">
        <v>25</v>
      </c>
    </row>
    <row r="1959" spans="1:16" ht="14.5" x14ac:dyDescent="0.35">
      <c r="A1959">
        <v>1958</v>
      </c>
      <c r="B1959">
        <v>68</v>
      </c>
      <c r="C1959" t="s">
        <v>16</v>
      </c>
      <c r="D1959" t="s">
        <v>134</v>
      </c>
      <c r="E1959" t="s">
        <v>60</v>
      </c>
      <c r="F1959">
        <v>54</v>
      </c>
      <c r="G1959" t="s">
        <v>122</v>
      </c>
      <c r="H1959" t="s">
        <v>39</v>
      </c>
      <c r="I1959" t="s">
        <v>100</v>
      </c>
      <c r="J1959" t="s">
        <v>33</v>
      </c>
      <c r="K1959">
        <v>4.5</v>
      </c>
      <c r="L1959" t="s">
        <v>143</v>
      </c>
      <c r="M1959" t="s">
        <v>143</v>
      </c>
      <c r="N1959">
        <v>26</v>
      </c>
      <c r="O1959" t="s">
        <v>29</v>
      </c>
      <c r="P1959" t="s">
        <v>67</v>
      </c>
    </row>
    <row r="1960" spans="1:16" ht="14.5" x14ac:dyDescent="0.35">
      <c r="A1960">
        <v>1959</v>
      </c>
      <c r="B1960">
        <v>39</v>
      </c>
      <c r="C1960" t="s">
        <v>16</v>
      </c>
      <c r="D1960" t="s">
        <v>52</v>
      </c>
      <c r="E1960" t="s">
        <v>18</v>
      </c>
      <c r="F1960">
        <v>67</v>
      </c>
      <c r="G1960" t="s">
        <v>98</v>
      </c>
      <c r="H1960" t="s">
        <v>39</v>
      </c>
      <c r="I1960" t="s">
        <v>21</v>
      </c>
      <c r="J1960" t="s">
        <v>22</v>
      </c>
      <c r="K1960">
        <v>2.7</v>
      </c>
      <c r="L1960" t="s">
        <v>143</v>
      </c>
      <c r="M1960" t="s">
        <v>143</v>
      </c>
      <c r="N1960">
        <v>47</v>
      </c>
      <c r="O1960" t="s">
        <v>29</v>
      </c>
      <c r="P1960" t="s">
        <v>51</v>
      </c>
    </row>
    <row r="1961" spans="1:16" ht="14.5" x14ac:dyDescent="0.35">
      <c r="A1961">
        <v>1960</v>
      </c>
      <c r="B1961">
        <v>46</v>
      </c>
      <c r="C1961" t="s">
        <v>16</v>
      </c>
      <c r="D1961" t="s">
        <v>63</v>
      </c>
      <c r="E1961" t="s">
        <v>37</v>
      </c>
      <c r="F1961">
        <v>90</v>
      </c>
      <c r="G1961" t="s">
        <v>103</v>
      </c>
      <c r="H1961" t="s">
        <v>39</v>
      </c>
      <c r="I1961" t="s">
        <v>46</v>
      </c>
      <c r="J1961" t="s">
        <v>50</v>
      </c>
      <c r="K1961">
        <v>3.1</v>
      </c>
      <c r="L1961" t="s">
        <v>143</v>
      </c>
      <c r="M1961" t="s">
        <v>143</v>
      </c>
      <c r="N1961">
        <v>7</v>
      </c>
      <c r="O1961" t="s">
        <v>34</v>
      </c>
      <c r="P1961" t="s">
        <v>88</v>
      </c>
    </row>
    <row r="1962" spans="1:16" ht="14.5" x14ac:dyDescent="0.35">
      <c r="A1962">
        <v>1961</v>
      </c>
      <c r="B1962">
        <v>57</v>
      </c>
      <c r="C1962" t="s">
        <v>16</v>
      </c>
      <c r="D1962" t="s">
        <v>30</v>
      </c>
      <c r="E1962" t="s">
        <v>18</v>
      </c>
      <c r="F1962">
        <v>72</v>
      </c>
      <c r="G1962" t="s">
        <v>31</v>
      </c>
      <c r="H1962" t="s">
        <v>20</v>
      </c>
      <c r="I1962" t="s">
        <v>99</v>
      </c>
      <c r="J1962" t="s">
        <v>47</v>
      </c>
      <c r="K1962">
        <v>3.3</v>
      </c>
      <c r="L1962" t="s">
        <v>143</v>
      </c>
      <c r="M1962" t="s">
        <v>143</v>
      </c>
      <c r="N1962">
        <v>40</v>
      </c>
      <c r="O1962" t="s">
        <v>34</v>
      </c>
      <c r="P1962" t="s">
        <v>43</v>
      </c>
    </row>
    <row r="1963" spans="1:16" ht="14.5" x14ac:dyDescent="0.35">
      <c r="A1963">
        <v>1962</v>
      </c>
      <c r="B1963">
        <v>47</v>
      </c>
      <c r="C1963" t="s">
        <v>16</v>
      </c>
      <c r="D1963" t="s">
        <v>128</v>
      </c>
      <c r="E1963" t="s">
        <v>37</v>
      </c>
      <c r="F1963">
        <v>59</v>
      </c>
      <c r="G1963" t="s">
        <v>98</v>
      </c>
      <c r="H1963" t="s">
        <v>20</v>
      </c>
      <c r="I1963" t="s">
        <v>85</v>
      </c>
      <c r="J1963" t="s">
        <v>47</v>
      </c>
      <c r="K1963">
        <v>2.6</v>
      </c>
      <c r="L1963" t="s">
        <v>143</v>
      </c>
      <c r="M1963" t="s">
        <v>143</v>
      </c>
      <c r="N1963">
        <v>45</v>
      </c>
      <c r="O1963" t="s">
        <v>77</v>
      </c>
      <c r="P1963" t="s">
        <v>51</v>
      </c>
    </row>
    <row r="1964" spans="1:16" ht="14.5" x14ac:dyDescent="0.35">
      <c r="A1964">
        <v>1963</v>
      </c>
      <c r="B1964">
        <v>40</v>
      </c>
      <c r="C1964" t="s">
        <v>16</v>
      </c>
      <c r="D1964" t="s">
        <v>115</v>
      </c>
      <c r="E1964" t="s">
        <v>60</v>
      </c>
      <c r="F1964">
        <v>45</v>
      </c>
      <c r="G1964" t="s">
        <v>137</v>
      </c>
      <c r="H1964" t="s">
        <v>39</v>
      </c>
      <c r="I1964" t="s">
        <v>58</v>
      </c>
      <c r="J1964" t="s">
        <v>50</v>
      </c>
      <c r="K1964">
        <v>4.4000000000000004</v>
      </c>
      <c r="L1964" t="s">
        <v>143</v>
      </c>
      <c r="M1964" t="s">
        <v>143</v>
      </c>
      <c r="N1964">
        <v>20</v>
      </c>
      <c r="O1964" t="s">
        <v>40</v>
      </c>
      <c r="P1964" t="s">
        <v>25</v>
      </c>
    </row>
    <row r="1965" spans="1:16" ht="14.5" x14ac:dyDescent="0.35">
      <c r="A1965">
        <v>1964</v>
      </c>
      <c r="B1965">
        <v>52</v>
      </c>
      <c r="C1965" t="s">
        <v>16</v>
      </c>
      <c r="D1965" t="s">
        <v>52</v>
      </c>
      <c r="E1965" t="s">
        <v>18</v>
      </c>
      <c r="F1965">
        <v>30</v>
      </c>
      <c r="G1965" t="s">
        <v>142</v>
      </c>
      <c r="H1965" t="s">
        <v>20</v>
      </c>
      <c r="I1965" t="s">
        <v>62</v>
      </c>
      <c r="J1965" t="s">
        <v>33</v>
      </c>
      <c r="K1965">
        <v>3.9</v>
      </c>
      <c r="L1965" t="s">
        <v>143</v>
      </c>
      <c r="M1965" t="s">
        <v>143</v>
      </c>
      <c r="N1965">
        <v>11</v>
      </c>
      <c r="O1965" t="s">
        <v>34</v>
      </c>
      <c r="P1965" t="s">
        <v>35</v>
      </c>
    </row>
    <row r="1966" spans="1:16" ht="14.5" x14ac:dyDescent="0.35">
      <c r="A1966">
        <v>1965</v>
      </c>
      <c r="B1966">
        <v>40</v>
      </c>
      <c r="C1966" t="s">
        <v>16</v>
      </c>
      <c r="D1966" t="s">
        <v>86</v>
      </c>
      <c r="E1966" t="s">
        <v>18</v>
      </c>
      <c r="F1966">
        <v>51</v>
      </c>
      <c r="G1966" t="s">
        <v>57</v>
      </c>
      <c r="H1966" t="s">
        <v>32</v>
      </c>
      <c r="I1966" t="s">
        <v>100</v>
      </c>
      <c r="J1966" t="s">
        <v>47</v>
      </c>
      <c r="K1966">
        <v>4.5999999999999996</v>
      </c>
      <c r="L1966" t="s">
        <v>143</v>
      </c>
      <c r="M1966" t="s">
        <v>143</v>
      </c>
      <c r="N1966">
        <v>50</v>
      </c>
      <c r="O1966" t="s">
        <v>77</v>
      </c>
      <c r="P1966" t="s">
        <v>79</v>
      </c>
    </row>
    <row r="1967" spans="1:16" ht="14.5" x14ac:dyDescent="0.35">
      <c r="A1967">
        <v>1966</v>
      </c>
      <c r="B1967">
        <v>67</v>
      </c>
      <c r="C1967" t="s">
        <v>16</v>
      </c>
      <c r="D1967" t="s">
        <v>26</v>
      </c>
      <c r="E1967" t="s">
        <v>18</v>
      </c>
      <c r="F1967">
        <v>90</v>
      </c>
      <c r="G1967" t="s">
        <v>107</v>
      </c>
      <c r="H1967" t="s">
        <v>39</v>
      </c>
      <c r="I1967" t="s">
        <v>46</v>
      </c>
      <c r="J1967" t="s">
        <v>50</v>
      </c>
      <c r="K1967">
        <v>4.9000000000000004</v>
      </c>
      <c r="L1967" t="s">
        <v>143</v>
      </c>
      <c r="M1967" t="s">
        <v>143</v>
      </c>
      <c r="N1967">
        <v>25</v>
      </c>
      <c r="O1967" t="s">
        <v>77</v>
      </c>
      <c r="P1967" t="s">
        <v>51</v>
      </c>
    </row>
    <row r="1968" spans="1:16" ht="14.5" x14ac:dyDescent="0.35">
      <c r="A1968">
        <v>1967</v>
      </c>
      <c r="B1968">
        <v>67</v>
      </c>
      <c r="C1968" t="s">
        <v>16</v>
      </c>
      <c r="D1968" t="s">
        <v>93</v>
      </c>
      <c r="E1968" t="s">
        <v>56</v>
      </c>
      <c r="F1968">
        <v>95</v>
      </c>
      <c r="G1968" t="s">
        <v>107</v>
      </c>
      <c r="H1968" t="s">
        <v>83</v>
      </c>
      <c r="I1968" t="s">
        <v>65</v>
      </c>
      <c r="J1968" t="s">
        <v>22</v>
      </c>
      <c r="K1968">
        <v>3.7</v>
      </c>
      <c r="L1968" t="s">
        <v>143</v>
      </c>
      <c r="M1968" t="s">
        <v>143</v>
      </c>
      <c r="N1968">
        <v>5</v>
      </c>
      <c r="O1968" t="s">
        <v>34</v>
      </c>
      <c r="P1968" t="s">
        <v>25</v>
      </c>
    </row>
    <row r="1969" spans="1:16" ht="14.5" x14ac:dyDescent="0.35">
      <c r="A1969">
        <v>1968</v>
      </c>
      <c r="B1969">
        <v>37</v>
      </c>
      <c r="C1969" t="s">
        <v>16</v>
      </c>
      <c r="D1969" t="s">
        <v>72</v>
      </c>
      <c r="E1969" t="s">
        <v>18</v>
      </c>
      <c r="F1969">
        <v>81</v>
      </c>
      <c r="G1969" t="s">
        <v>133</v>
      </c>
      <c r="H1969" t="s">
        <v>20</v>
      </c>
      <c r="I1969" t="s">
        <v>125</v>
      </c>
      <c r="J1969" t="s">
        <v>50</v>
      </c>
      <c r="K1969">
        <v>3.7</v>
      </c>
      <c r="L1969" t="s">
        <v>143</v>
      </c>
      <c r="M1969" t="s">
        <v>143</v>
      </c>
      <c r="N1969">
        <v>4</v>
      </c>
      <c r="O1969" t="s">
        <v>24</v>
      </c>
      <c r="P1969" t="s">
        <v>43</v>
      </c>
    </row>
    <row r="1970" spans="1:16" ht="14.5" x14ac:dyDescent="0.35">
      <c r="A1970">
        <v>1969</v>
      </c>
      <c r="B1970">
        <v>67</v>
      </c>
      <c r="C1970" t="s">
        <v>16</v>
      </c>
      <c r="D1970" t="s">
        <v>48</v>
      </c>
      <c r="E1970" t="s">
        <v>18</v>
      </c>
      <c r="F1970">
        <v>70</v>
      </c>
      <c r="G1970" t="s">
        <v>139</v>
      </c>
      <c r="H1970" t="s">
        <v>32</v>
      </c>
      <c r="I1970" t="s">
        <v>135</v>
      </c>
      <c r="J1970" t="s">
        <v>33</v>
      </c>
      <c r="K1970">
        <v>4.2</v>
      </c>
      <c r="L1970" t="s">
        <v>143</v>
      </c>
      <c r="M1970" t="s">
        <v>143</v>
      </c>
      <c r="N1970">
        <v>25</v>
      </c>
      <c r="O1970" t="s">
        <v>34</v>
      </c>
      <c r="P1970" t="s">
        <v>35</v>
      </c>
    </row>
    <row r="1971" spans="1:16" ht="14.5" x14ac:dyDescent="0.35">
      <c r="A1971">
        <v>1970</v>
      </c>
      <c r="B1971">
        <v>64</v>
      </c>
      <c r="C1971" t="s">
        <v>16</v>
      </c>
      <c r="D1971" t="s">
        <v>72</v>
      </c>
      <c r="E1971" t="s">
        <v>18</v>
      </c>
      <c r="F1971">
        <v>32</v>
      </c>
      <c r="G1971" t="s">
        <v>53</v>
      </c>
      <c r="H1971" t="s">
        <v>32</v>
      </c>
      <c r="I1971" t="s">
        <v>100</v>
      </c>
      <c r="J1971" t="s">
        <v>22</v>
      </c>
      <c r="K1971">
        <v>3.5</v>
      </c>
      <c r="L1971" t="s">
        <v>143</v>
      </c>
      <c r="M1971" t="s">
        <v>143</v>
      </c>
      <c r="N1971">
        <v>11</v>
      </c>
      <c r="O1971" t="s">
        <v>66</v>
      </c>
      <c r="P1971" t="s">
        <v>25</v>
      </c>
    </row>
    <row r="1972" spans="1:16" ht="14.5" x14ac:dyDescent="0.35">
      <c r="A1972">
        <v>1971</v>
      </c>
      <c r="B1972">
        <v>28</v>
      </c>
      <c r="C1972" t="s">
        <v>16</v>
      </c>
      <c r="D1972" t="s">
        <v>124</v>
      </c>
      <c r="E1972" t="s">
        <v>60</v>
      </c>
      <c r="F1972">
        <v>94</v>
      </c>
      <c r="G1972" t="s">
        <v>119</v>
      </c>
      <c r="H1972" t="s">
        <v>39</v>
      </c>
      <c r="I1972" t="s">
        <v>117</v>
      </c>
      <c r="J1972" t="s">
        <v>33</v>
      </c>
      <c r="K1972">
        <v>2.9</v>
      </c>
      <c r="L1972" t="s">
        <v>143</v>
      </c>
      <c r="M1972" t="s">
        <v>143</v>
      </c>
      <c r="N1972">
        <v>4</v>
      </c>
      <c r="O1972" t="s">
        <v>34</v>
      </c>
      <c r="P1972" t="s">
        <v>67</v>
      </c>
    </row>
    <row r="1973" spans="1:16" ht="14.5" x14ac:dyDescent="0.35">
      <c r="A1973">
        <v>1972</v>
      </c>
      <c r="B1973">
        <v>54</v>
      </c>
      <c r="C1973" t="s">
        <v>16</v>
      </c>
      <c r="D1973" t="s">
        <v>115</v>
      </c>
      <c r="E1973" t="s">
        <v>60</v>
      </c>
      <c r="F1973">
        <v>29</v>
      </c>
      <c r="G1973" t="s">
        <v>129</v>
      </c>
      <c r="H1973" t="s">
        <v>83</v>
      </c>
      <c r="I1973" t="s">
        <v>117</v>
      </c>
      <c r="J1973" t="s">
        <v>33</v>
      </c>
      <c r="K1973">
        <v>3.4</v>
      </c>
      <c r="L1973" t="s">
        <v>143</v>
      </c>
      <c r="M1973" t="s">
        <v>143</v>
      </c>
      <c r="N1973">
        <v>1</v>
      </c>
      <c r="O1973" t="s">
        <v>24</v>
      </c>
      <c r="P1973" t="s">
        <v>79</v>
      </c>
    </row>
    <row r="1974" spans="1:16" ht="14.5" x14ac:dyDescent="0.35">
      <c r="A1974">
        <v>1973</v>
      </c>
      <c r="B1974">
        <v>54</v>
      </c>
      <c r="C1974" t="s">
        <v>16</v>
      </c>
      <c r="D1974" t="s">
        <v>123</v>
      </c>
      <c r="E1974" t="s">
        <v>60</v>
      </c>
      <c r="F1974">
        <v>31</v>
      </c>
      <c r="G1974" t="s">
        <v>53</v>
      </c>
      <c r="H1974" t="s">
        <v>39</v>
      </c>
      <c r="I1974" t="s">
        <v>58</v>
      </c>
      <c r="J1974" t="s">
        <v>47</v>
      </c>
      <c r="K1974">
        <v>3.3</v>
      </c>
      <c r="L1974" t="s">
        <v>143</v>
      </c>
      <c r="M1974" t="s">
        <v>143</v>
      </c>
      <c r="N1974">
        <v>48</v>
      </c>
      <c r="O1974" t="s">
        <v>40</v>
      </c>
      <c r="P1974" t="s">
        <v>88</v>
      </c>
    </row>
    <row r="1975" spans="1:16" ht="14.5" x14ac:dyDescent="0.35">
      <c r="A1975">
        <v>1974</v>
      </c>
      <c r="B1975">
        <v>24</v>
      </c>
      <c r="C1975" t="s">
        <v>16</v>
      </c>
      <c r="D1975" t="s">
        <v>78</v>
      </c>
      <c r="E1975" t="s">
        <v>18</v>
      </c>
      <c r="F1975">
        <v>20</v>
      </c>
      <c r="G1975" t="s">
        <v>119</v>
      </c>
      <c r="H1975" t="s">
        <v>83</v>
      </c>
      <c r="I1975" t="s">
        <v>99</v>
      </c>
      <c r="J1975" t="s">
        <v>50</v>
      </c>
      <c r="K1975">
        <v>4.5</v>
      </c>
      <c r="L1975" t="s">
        <v>143</v>
      </c>
      <c r="M1975" t="s">
        <v>143</v>
      </c>
      <c r="N1975">
        <v>9</v>
      </c>
      <c r="O1975" t="s">
        <v>24</v>
      </c>
      <c r="P1975" t="s">
        <v>88</v>
      </c>
    </row>
    <row r="1976" spans="1:16" ht="14.5" x14ac:dyDescent="0.35">
      <c r="A1976">
        <v>1975</v>
      </c>
      <c r="B1976">
        <v>27</v>
      </c>
      <c r="C1976" t="s">
        <v>16</v>
      </c>
      <c r="D1976" t="s">
        <v>134</v>
      </c>
      <c r="E1976" t="s">
        <v>60</v>
      </c>
      <c r="F1976">
        <v>44</v>
      </c>
      <c r="G1976" t="s">
        <v>113</v>
      </c>
      <c r="H1976" t="s">
        <v>39</v>
      </c>
      <c r="I1976" t="s">
        <v>91</v>
      </c>
      <c r="J1976" t="s">
        <v>22</v>
      </c>
      <c r="K1976">
        <v>4.5999999999999996</v>
      </c>
      <c r="L1976" t="s">
        <v>143</v>
      </c>
      <c r="M1976" t="s">
        <v>143</v>
      </c>
      <c r="N1976">
        <v>2</v>
      </c>
      <c r="O1976" t="s">
        <v>40</v>
      </c>
      <c r="P1976" t="s">
        <v>25</v>
      </c>
    </row>
    <row r="1977" spans="1:16" ht="14.5" x14ac:dyDescent="0.35">
      <c r="A1977">
        <v>1976</v>
      </c>
      <c r="B1977">
        <v>53</v>
      </c>
      <c r="C1977" t="s">
        <v>16</v>
      </c>
      <c r="D1977" t="s">
        <v>93</v>
      </c>
      <c r="E1977" t="s">
        <v>56</v>
      </c>
      <c r="F1977">
        <v>77</v>
      </c>
      <c r="G1977" t="s">
        <v>106</v>
      </c>
      <c r="H1977" t="s">
        <v>20</v>
      </c>
      <c r="I1977" t="s">
        <v>42</v>
      </c>
      <c r="J1977" t="s">
        <v>50</v>
      </c>
      <c r="K1977">
        <v>2.9</v>
      </c>
      <c r="L1977" t="s">
        <v>143</v>
      </c>
      <c r="M1977" t="s">
        <v>143</v>
      </c>
      <c r="N1977">
        <v>4</v>
      </c>
      <c r="O1977" t="s">
        <v>29</v>
      </c>
      <c r="P1977" t="s">
        <v>51</v>
      </c>
    </row>
    <row r="1978" spans="1:16" ht="14.5" x14ac:dyDescent="0.35">
      <c r="A1978">
        <v>1977</v>
      </c>
      <c r="B1978">
        <v>32</v>
      </c>
      <c r="C1978" t="s">
        <v>16</v>
      </c>
      <c r="D1978" t="s">
        <v>59</v>
      </c>
      <c r="E1978" t="s">
        <v>60</v>
      </c>
      <c r="F1978">
        <v>51</v>
      </c>
      <c r="G1978" t="s">
        <v>45</v>
      </c>
      <c r="H1978" t="s">
        <v>39</v>
      </c>
      <c r="I1978" t="s">
        <v>62</v>
      </c>
      <c r="J1978" t="s">
        <v>33</v>
      </c>
      <c r="K1978">
        <v>3.2</v>
      </c>
      <c r="L1978" t="s">
        <v>143</v>
      </c>
      <c r="M1978" t="s">
        <v>143</v>
      </c>
      <c r="N1978">
        <v>43</v>
      </c>
      <c r="O1978" t="s">
        <v>40</v>
      </c>
      <c r="P1978" t="s">
        <v>25</v>
      </c>
    </row>
    <row r="1979" spans="1:16" ht="14.5" x14ac:dyDescent="0.35">
      <c r="A1979">
        <v>1978</v>
      </c>
      <c r="B1979">
        <v>24</v>
      </c>
      <c r="C1979" t="s">
        <v>16</v>
      </c>
      <c r="D1979" t="s">
        <v>36</v>
      </c>
      <c r="E1979" t="s">
        <v>37</v>
      </c>
      <c r="F1979">
        <v>49</v>
      </c>
      <c r="G1979" t="s">
        <v>94</v>
      </c>
      <c r="H1979" t="s">
        <v>39</v>
      </c>
      <c r="I1979" t="s">
        <v>76</v>
      </c>
      <c r="J1979" t="s">
        <v>47</v>
      </c>
      <c r="K1979">
        <v>2.6</v>
      </c>
      <c r="L1979" t="s">
        <v>143</v>
      </c>
      <c r="M1979" t="s">
        <v>143</v>
      </c>
      <c r="N1979">
        <v>32</v>
      </c>
      <c r="O1979" t="s">
        <v>66</v>
      </c>
      <c r="P1979" t="s">
        <v>43</v>
      </c>
    </row>
    <row r="1980" spans="1:16" ht="14.5" x14ac:dyDescent="0.35">
      <c r="A1980">
        <v>1979</v>
      </c>
      <c r="B1980">
        <v>45</v>
      </c>
      <c r="C1980" t="s">
        <v>16</v>
      </c>
      <c r="D1980" t="s">
        <v>80</v>
      </c>
      <c r="E1980" t="s">
        <v>60</v>
      </c>
      <c r="F1980">
        <v>78</v>
      </c>
      <c r="G1980" t="s">
        <v>31</v>
      </c>
      <c r="H1980" t="s">
        <v>20</v>
      </c>
      <c r="I1980" t="s">
        <v>127</v>
      </c>
      <c r="J1980" t="s">
        <v>33</v>
      </c>
      <c r="K1980">
        <v>3.8</v>
      </c>
      <c r="L1980" t="s">
        <v>143</v>
      </c>
      <c r="M1980" t="s">
        <v>143</v>
      </c>
      <c r="N1980">
        <v>1</v>
      </c>
      <c r="O1980" t="s">
        <v>29</v>
      </c>
      <c r="P1980" t="s">
        <v>51</v>
      </c>
    </row>
    <row r="1981" spans="1:16" ht="14.5" x14ac:dyDescent="0.35">
      <c r="A1981">
        <v>1980</v>
      </c>
      <c r="B1981">
        <v>49</v>
      </c>
      <c r="C1981" t="s">
        <v>16</v>
      </c>
      <c r="D1981" t="s">
        <v>30</v>
      </c>
      <c r="E1981" t="s">
        <v>18</v>
      </c>
      <c r="F1981">
        <v>98</v>
      </c>
      <c r="G1981" t="s">
        <v>113</v>
      </c>
      <c r="H1981" t="s">
        <v>20</v>
      </c>
      <c r="I1981" t="s">
        <v>135</v>
      </c>
      <c r="J1981" t="s">
        <v>33</v>
      </c>
      <c r="K1981">
        <v>2.8</v>
      </c>
      <c r="L1981" t="s">
        <v>143</v>
      </c>
      <c r="M1981" t="s">
        <v>143</v>
      </c>
      <c r="N1981">
        <v>38</v>
      </c>
      <c r="O1981" t="s">
        <v>77</v>
      </c>
      <c r="P1981" t="s">
        <v>25</v>
      </c>
    </row>
    <row r="1982" spans="1:16" ht="14.5" x14ac:dyDescent="0.35">
      <c r="A1982">
        <v>1981</v>
      </c>
      <c r="B1982">
        <v>51</v>
      </c>
      <c r="C1982" t="s">
        <v>16</v>
      </c>
      <c r="D1982" t="s">
        <v>36</v>
      </c>
      <c r="E1982" t="s">
        <v>37</v>
      </c>
      <c r="F1982">
        <v>94</v>
      </c>
      <c r="G1982" t="s">
        <v>137</v>
      </c>
      <c r="H1982" t="s">
        <v>39</v>
      </c>
      <c r="I1982" t="s">
        <v>87</v>
      </c>
      <c r="J1982" t="s">
        <v>22</v>
      </c>
      <c r="K1982">
        <v>4.4000000000000004</v>
      </c>
      <c r="L1982" t="s">
        <v>143</v>
      </c>
      <c r="M1982" t="s">
        <v>143</v>
      </c>
      <c r="N1982">
        <v>25</v>
      </c>
      <c r="O1982" t="s">
        <v>40</v>
      </c>
      <c r="P1982" t="s">
        <v>25</v>
      </c>
    </row>
    <row r="1983" spans="1:16" ht="14.5" x14ac:dyDescent="0.35">
      <c r="A1983">
        <v>1982</v>
      </c>
      <c r="B1983">
        <v>69</v>
      </c>
      <c r="C1983" t="s">
        <v>16</v>
      </c>
      <c r="D1983" t="s">
        <v>63</v>
      </c>
      <c r="E1983" t="s">
        <v>37</v>
      </c>
      <c r="F1983">
        <v>91</v>
      </c>
      <c r="G1983" t="s">
        <v>142</v>
      </c>
      <c r="H1983" t="s">
        <v>20</v>
      </c>
      <c r="I1983" t="s">
        <v>74</v>
      </c>
      <c r="J1983" t="s">
        <v>47</v>
      </c>
      <c r="K1983">
        <v>4.7</v>
      </c>
      <c r="L1983" t="s">
        <v>143</v>
      </c>
      <c r="M1983" t="s">
        <v>143</v>
      </c>
      <c r="N1983">
        <v>42</v>
      </c>
      <c r="O1983" t="s">
        <v>40</v>
      </c>
      <c r="P1983" t="s">
        <v>51</v>
      </c>
    </row>
    <row r="1984" spans="1:16" ht="14.5" x14ac:dyDescent="0.35">
      <c r="A1984">
        <v>1983</v>
      </c>
      <c r="B1984">
        <v>41</v>
      </c>
      <c r="C1984" t="s">
        <v>16</v>
      </c>
      <c r="D1984" t="s">
        <v>80</v>
      </c>
      <c r="E1984" t="s">
        <v>60</v>
      </c>
      <c r="F1984">
        <v>77</v>
      </c>
      <c r="G1984" t="s">
        <v>102</v>
      </c>
      <c r="H1984" t="s">
        <v>39</v>
      </c>
      <c r="I1984" t="s">
        <v>42</v>
      </c>
      <c r="J1984" t="s">
        <v>47</v>
      </c>
      <c r="K1984">
        <v>2.7</v>
      </c>
      <c r="L1984" t="s">
        <v>143</v>
      </c>
      <c r="M1984" t="s">
        <v>143</v>
      </c>
      <c r="N1984">
        <v>32</v>
      </c>
      <c r="O1984" t="s">
        <v>40</v>
      </c>
      <c r="P1984" t="s">
        <v>79</v>
      </c>
    </row>
    <row r="1985" spans="1:16" ht="14.5" x14ac:dyDescent="0.35">
      <c r="A1985">
        <v>1984</v>
      </c>
      <c r="B1985">
        <v>59</v>
      </c>
      <c r="C1985" t="s">
        <v>16</v>
      </c>
      <c r="D1985" t="s">
        <v>110</v>
      </c>
      <c r="E1985" t="s">
        <v>60</v>
      </c>
      <c r="F1985">
        <v>97</v>
      </c>
      <c r="G1985" t="s">
        <v>133</v>
      </c>
      <c r="H1985" t="s">
        <v>39</v>
      </c>
      <c r="I1985" t="s">
        <v>62</v>
      </c>
      <c r="J1985" t="s">
        <v>47</v>
      </c>
      <c r="K1985">
        <v>2.6</v>
      </c>
      <c r="L1985" t="s">
        <v>143</v>
      </c>
      <c r="M1985" t="s">
        <v>143</v>
      </c>
      <c r="N1985">
        <v>21</v>
      </c>
      <c r="O1985" t="s">
        <v>77</v>
      </c>
      <c r="P1985" t="s">
        <v>51</v>
      </c>
    </row>
    <row r="1986" spans="1:16" ht="14.5" x14ac:dyDescent="0.35">
      <c r="A1986">
        <v>1985</v>
      </c>
      <c r="B1986">
        <v>26</v>
      </c>
      <c r="C1986" t="s">
        <v>16</v>
      </c>
      <c r="D1986" t="s">
        <v>78</v>
      </c>
      <c r="E1986" t="s">
        <v>18</v>
      </c>
      <c r="F1986">
        <v>58</v>
      </c>
      <c r="G1986" t="s">
        <v>57</v>
      </c>
      <c r="H1986" t="s">
        <v>39</v>
      </c>
      <c r="I1986" t="s">
        <v>85</v>
      </c>
      <c r="J1986" t="s">
        <v>47</v>
      </c>
      <c r="K1986">
        <v>3.4</v>
      </c>
      <c r="L1986" t="s">
        <v>143</v>
      </c>
      <c r="M1986" t="s">
        <v>143</v>
      </c>
      <c r="N1986">
        <v>26</v>
      </c>
      <c r="O1986" t="s">
        <v>40</v>
      </c>
      <c r="P1986" t="s">
        <v>25</v>
      </c>
    </row>
    <row r="1987" spans="1:16" ht="14.5" x14ac:dyDescent="0.35">
      <c r="A1987">
        <v>1986</v>
      </c>
      <c r="B1987">
        <v>23</v>
      </c>
      <c r="C1987" t="s">
        <v>16</v>
      </c>
      <c r="D1987" t="s">
        <v>134</v>
      </c>
      <c r="E1987" t="s">
        <v>60</v>
      </c>
      <c r="F1987">
        <v>97</v>
      </c>
      <c r="G1987" t="s">
        <v>113</v>
      </c>
      <c r="H1987" t="s">
        <v>39</v>
      </c>
      <c r="I1987" t="s">
        <v>71</v>
      </c>
      <c r="J1987" t="s">
        <v>33</v>
      </c>
      <c r="K1987">
        <v>3.9</v>
      </c>
      <c r="L1987" t="s">
        <v>143</v>
      </c>
      <c r="M1987" t="s">
        <v>143</v>
      </c>
      <c r="N1987">
        <v>6</v>
      </c>
      <c r="O1987" t="s">
        <v>34</v>
      </c>
      <c r="P1987" t="s">
        <v>25</v>
      </c>
    </row>
    <row r="1988" spans="1:16" ht="14.5" x14ac:dyDescent="0.35">
      <c r="A1988">
        <v>1987</v>
      </c>
      <c r="B1988">
        <v>62</v>
      </c>
      <c r="C1988" t="s">
        <v>16</v>
      </c>
      <c r="D1988" t="s">
        <v>55</v>
      </c>
      <c r="E1988" t="s">
        <v>56</v>
      </c>
      <c r="F1988">
        <v>48</v>
      </c>
      <c r="G1988" t="s">
        <v>64</v>
      </c>
      <c r="H1988" t="s">
        <v>20</v>
      </c>
      <c r="I1988" t="s">
        <v>87</v>
      </c>
      <c r="J1988" t="s">
        <v>47</v>
      </c>
      <c r="K1988">
        <v>3.4</v>
      </c>
      <c r="L1988" t="s">
        <v>143</v>
      </c>
      <c r="M1988" t="s">
        <v>143</v>
      </c>
      <c r="N1988">
        <v>14</v>
      </c>
      <c r="O1988" t="s">
        <v>24</v>
      </c>
      <c r="P1988" t="s">
        <v>51</v>
      </c>
    </row>
    <row r="1989" spans="1:16" ht="14.5" x14ac:dyDescent="0.35">
      <c r="A1989">
        <v>1988</v>
      </c>
      <c r="B1989">
        <v>69</v>
      </c>
      <c r="C1989" t="s">
        <v>16</v>
      </c>
      <c r="D1989" t="s">
        <v>124</v>
      </c>
      <c r="E1989" t="s">
        <v>60</v>
      </c>
      <c r="F1989">
        <v>23</v>
      </c>
      <c r="G1989" t="s">
        <v>120</v>
      </c>
      <c r="H1989" t="s">
        <v>83</v>
      </c>
      <c r="I1989" t="s">
        <v>46</v>
      </c>
      <c r="J1989" t="s">
        <v>47</v>
      </c>
      <c r="K1989">
        <v>3.4</v>
      </c>
      <c r="L1989" t="s">
        <v>143</v>
      </c>
      <c r="M1989" t="s">
        <v>143</v>
      </c>
      <c r="N1989">
        <v>4</v>
      </c>
      <c r="O1989" t="s">
        <v>29</v>
      </c>
      <c r="P1989" t="s">
        <v>51</v>
      </c>
    </row>
    <row r="1990" spans="1:16" ht="14.5" x14ac:dyDescent="0.35">
      <c r="A1990">
        <v>1989</v>
      </c>
      <c r="B1990">
        <v>46</v>
      </c>
      <c r="C1990" t="s">
        <v>16</v>
      </c>
      <c r="D1990" t="s">
        <v>86</v>
      </c>
      <c r="E1990" t="s">
        <v>18</v>
      </c>
      <c r="F1990">
        <v>79</v>
      </c>
      <c r="G1990" t="s">
        <v>132</v>
      </c>
      <c r="H1990" t="s">
        <v>39</v>
      </c>
      <c r="I1990" t="s">
        <v>71</v>
      </c>
      <c r="J1990" t="s">
        <v>22</v>
      </c>
      <c r="K1990">
        <v>3.9</v>
      </c>
      <c r="L1990" t="s">
        <v>143</v>
      </c>
      <c r="M1990" t="s">
        <v>143</v>
      </c>
      <c r="N1990">
        <v>26</v>
      </c>
      <c r="O1990" t="s">
        <v>66</v>
      </c>
      <c r="P1990" t="s">
        <v>35</v>
      </c>
    </row>
    <row r="1991" spans="1:16" ht="14.5" x14ac:dyDescent="0.35">
      <c r="A1991">
        <v>1990</v>
      </c>
      <c r="B1991">
        <v>35</v>
      </c>
      <c r="C1991" t="s">
        <v>16</v>
      </c>
      <c r="D1991" t="s">
        <v>97</v>
      </c>
      <c r="E1991" t="s">
        <v>60</v>
      </c>
      <c r="F1991">
        <v>42</v>
      </c>
      <c r="G1991" t="s">
        <v>119</v>
      </c>
      <c r="H1991" t="s">
        <v>32</v>
      </c>
      <c r="I1991" t="s">
        <v>54</v>
      </c>
      <c r="J1991" t="s">
        <v>33</v>
      </c>
      <c r="K1991">
        <v>4</v>
      </c>
      <c r="L1991" t="s">
        <v>143</v>
      </c>
      <c r="M1991" t="s">
        <v>143</v>
      </c>
      <c r="N1991">
        <v>39</v>
      </c>
      <c r="O1991" t="s">
        <v>40</v>
      </c>
      <c r="P1991" t="s">
        <v>67</v>
      </c>
    </row>
    <row r="1992" spans="1:16" ht="14.5" x14ac:dyDescent="0.35">
      <c r="A1992">
        <v>1991</v>
      </c>
      <c r="B1992">
        <v>32</v>
      </c>
      <c r="C1992" t="s">
        <v>16</v>
      </c>
      <c r="D1992" t="s">
        <v>123</v>
      </c>
      <c r="E1992" t="s">
        <v>60</v>
      </c>
      <c r="F1992">
        <v>95</v>
      </c>
      <c r="G1992" t="s">
        <v>130</v>
      </c>
      <c r="H1992" t="s">
        <v>20</v>
      </c>
      <c r="I1992" t="s">
        <v>46</v>
      </c>
      <c r="J1992" t="s">
        <v>33</v>
      </c>
      <c r="K1992">
        <v>3.4</v>
      </c>
      <c r="L1992" t="s">
        <v>143</v>
      </c>
      <c r="M1992" t="s">
        <v>143</v>
      </c>
      <c r="N1992">
        <v>15</v>
      </c>
      <c r="O1992" t="s">
        <v>40</v>
      </c>
      <c r="P1992" t="s">
        <v>43</v>
      </c>
    </row>
    <row r="1993" spans="1:16" ht="14.5" x14ac:dyDescent="0.35">
      <c r="A1993">
        <v>1992</v>
      </c>
      <c r="B1993">
        <v>46</v>
      </c>
      <c r="C1993" t="s">
        <v>16</v>
      </c>
      <c r="D1993" t="s">
        <v>44</v>
      </c>
      <c r="E1993" t="s">
        <v>37</v>
      </c>
      <c r="F1993">
        <v>29</v>
      </c>
      <c r="G1993" t="s">
        <v>61</v>
      </c>
      <c r="H1993" t="s">
        <v>39</v>
      </c>
      <c r="I1993" t="s">
        <v>101</v>
      </c>
      <c r="J1993" t="s">
        <v>47</v>
      </c>
      <c r="K1993">
        <v>3.7</v>
      </c>
      <c r="L1993" t="s">
        <v>143</v>
      </c>
      <c r="M1993" t="s">
        <v>143</v>
      </c>
      <c r="N1993">
        <v>1</v>
      </c>
      <c r="O1993" t="s">
        <v>24</v>
      </c>
      <c r="P1993" t="s">
        <v>88</v>
      </c>
    </row>
    <row r="1994" spans="1:16" ht="14.5" x14ac:dyDescent="0.35">
      <c r="A1994">
        <v>1993</v>
      </c>
      <c r="B1994">
        <v>33</v>
      </c>
      <c r="C1994" t="s">
        <v>16</v>
      </c>
      <c r="D1994" t="s">
        <v>95</v>
      </c>
      <c r="E1994" t="s">
        <v>18</v>
      </c>
      <c r="F1994">
        <v>98</v>
      </c>
      <c r="G1994" t="s">
        <v>118</v>
      </c>
      <c r="H1994" t="s">
        <v>20</v>
      </c>
      <c r="I1994" t="s">
        <v>71</v>
      </c>
      <c r="J1994" t="s">
        <v>22</v>
      </c>
      <c r="K1994">
        <v>4.9000000000000004</v>
      </c>
      <c r="L1994" t="s">
        <v>143</v>
      </c>
      <c r="M1994" t="s">
        <v>143</v>
      </c>
      <c r="N1994">
        <v>28</v>
      </c>
      <c r="O1994" t="s">
        <v>24</v>
      </c>
      <c r="P1994" t="s">
        <v>79</v>
      </c>
    </row>
    <row r="1995" spans="1:16" ht="14.5" x14ac:dyDescent="0.35">
      <c r="A1995">
        <v>1994</v>
      </c>
      <c r="B1995">
        <v>32</v>
      </c>
      <c r="C1995" t="s">
        <v>16</v>
      </c>
      <c r="D1995" t="s">
        <v>17</v>
      </c>
      <c r="E1995" t="s">
        <v>18</v>
      </c>
      <c r="F1995">
        <v>96</v>
      </c>
      <c r="G1995" t="s">
        <v>64</v>
      </c>
      <c r="H1995" t="s">
        <v>32</v>
      </c>
      <c r="I1995" t="s">
        <v>65</v>
      </c>
      <c r="J1995" t="s">
        <v>33</v>
      </c>
      <c r="K1995">
        <v>5</v>
      </c>
      <c r="L1995" t="s">
        <v>143</v>
      </c>
      <c r="M1995" t="s">
        <v>143</v>
      </c>
      <c r="N1995">
        <v>17</v>
      </c>
      <c r="O1995" t="s">
        <v>29</v>
      </c>
      <c r="P1995" t="s">
        <v>35</v>
      </c>
    </row>
    <row r="1996" spans="1:16" ht="14.5" x14ac:dyDescent="0.35">
      <c r="A1996">
        <v>1995</v>
      </c>
      <c r="B1996">
        <v>33</v>
      </c>
      <c r="C1996" t="s">
        <v>16</v>
      </c>
      <c r="D1996" t="s">
        <v>80</v>
      </c>
      <c r="E1996" t="s">
        <v>60</v>
      </c>
      <c r="F1996">
        <v>66</v>
      </c>
      <c r="G1996" t="s">
        <v>98</v>
      </c>
      <c r="H1996" t="s">
        <v>39</v>
      </c>
      <c r="I1996" t="s">
        <v>101</v>
      </c>
      <c r="J1996" t="s">
        <v>50</v>
      </c>
      <c r="K1996">
        <v>2.9</v>
      </c>
      <c r="L1996" t="s">
        <v>143</v>
      </c>
      <c r="M1996" t="s">
        <v>143</v>
      </c>
      <c r="N1996">
        <v>24</v>
      </c>
      <c r="O1996" t="s">
        <v>34</v>
      </c>
      <c r="P1996" t="s">
        <v>35</v>
      </c>
    </row>
    <row r="1997" spans="1:16" ht="14.5" x14ac:dyDescent="0.35">
      <c r="A1997">
        <v>1996</v>
      </c>
      <c r="B1997">
        <v>67</v>
      </c>
      <c r="C1997" t="s">
        <v>16</v>
      </c>
      <c r="D1997" t="s">
        <v>128</v>
      </c>
      <c r="E1997" t="s">
        <v>37</v>
      </c>
      <c r="F1997">
        <v>80</v>
      </c>
      <c r="G1997" t="s">
        <v>61</v>
      </c>
      <c r="H1997" t="s">
        <v>32</v>
      </c>
      <c r="I1997" t="s">
        <v>76</v>
      </c>
      <c r="J1997" t="s">
        <v>33</v>
      </c>
      <c r="K1997">
        <v>3</v>
      </c>
      <c r="L1997" t="s">
        <v>143</v>
      </c>
      <c r="M1997" t="s">
        <v>143</v>
      </c>
      <c r="N1997">
        <v>29</v>
      </c>
      <c r="O1997" t="s">
        <v>77</v>
      </c>
      <c r="P1997" t="s">
        <v>51</v>
      </c>
    </row>
    <row r="1998" spans="1:16" ht="14.5" x14ac:dyDescent="0.35">
      <c r="A1998">
        <v>1997</v>
      </c>
      <c r="B1998">
        <v>67</v>
      </c>
      <c r="C1998" t="s">
        <v>16</v>
      </c>
      <c r="D1998" t="s">
        <v>44</v>
      </c>
      <c r="E1998" t="s">
        <v>37</v>
      </c>
      <c r="F1998">
        <v>27</v>
      </c>
      <c r="G1998" t="s">
        <v>138</v>
      </c>
      <c r="H1998" t="s">
        <v>20</v>
      </c>
      <c r="I1998" t="s">
        <v>117</v>
      </c>
      <c r="J1998" t="s">
        <v>47</v>
      </c>
      <c r="K1998">
        <v>3.3</v>
      </c>
      <c r="L1998" t="s">
        <v>143</v>
      </c>
      <c r="M1998" t="s">
        <v>143</v>
      </c>
      <c r="N1998">
        <v>18</v>
      </c>
      <c r="O1998" t="s">
        <v>29</v>
      </c>
      <c r="P1998" t="s">
        <v>88</v>
      </c>
    </row>
    <row r="1999" spans="1:16" ht="14.5" x14ac:dyDescent="0.35">
      <c r="A1999">
        <v>1998</v>
      </c>
      <c r="B1999">
        <v>42</v>
      </c>
      <c r="C1999" t="s">
        <v>16</v>
      </c>
      <c r="D1999" t="s">
        <v>123</v>
      </c>
      <c r="E1999" t="s">
        <v>60</v>
      </c>
      <c r="F1999">
        <v>25</v>
      </c>
      <c r="G1999" t="s">
        <v>130</v>
      </c>
      <c r="H1999" t="s">
        <v>39</v>
      </c>
      <c r="I1999" t="s">
        <v>65</v>
      </c>
      <c r="J1999" t="s">
        <v>50</v>
      </c>
      <c r="K1999">
        <v>4.7</v>
      </c>
      <c r="L1999" t="s">
        <v>143</v>
      </c>
      <c r="M1999" t="s">
        <v>143</v>
      </c>
      <c r="N1999">
        <v>10</v>
      </c>
      <c r="O1999" t="s">
        <v>77</v>
      </c>
      <c r="P1999" t="s">
        <v>67</v>
      </c>
    </row>
    <row r="2000" spans="1:16" ht="14.5" x14ac:dyDescent="0.35">
      <c r="A2000">
        <v>1999</v>
      </c>
      <c r="B2000">
        <v>20</v>
      </c>
      <c r="C2000" t="s">
        <v>16</v>
      </c>
      <c r="D2000" t="s">
        <v>86</v>
      </c>
      <c r="E2000" t="s">
        <v>18</v>
      </c>
      <c r="F2000">
        <v>45</v>
      </c>
      <c r="G2000" t="s">
        <v>120</v>
      </c>
      <c r="H2000" t="s">
        <v>39</v>
      </c>
      <c r="I2000" t="s">
        <v>112</v>
      </c>
      <c r="J2000" t="s">
        <v>50</v>
      </c>
      <c r="K2000">
        <v>3.4</v>
      </c>
      <c r="L2000" t="s">
        <v>143</v>
      </c>
      <c r="M2000" t="s">
        <v>143</v>
      </c>
      <c r="N2000">
        <v>19</v>
      </c>
      <c r="O2000" t="s">
        <v>29</v>
      </c>
      <c r="P2000" t="s">
        <v>51</v>
      </c>
    </row>
    <row r="2001" spans="1:16" ht="14.5" x14ac:dyDescent="0.35">
      <c r="A2001">
        <v>2000</v>
      </c>
      <c r="B2001">
        <v>39</v>
      </c>
      <c r="C2001" t="s">
        <v>16</v>
      </c>
      <c r="D2001" t="s">
        <v>116</v>
      </c>
      <c r="E2001" t="s">
        <v>18</v>
      </c>
      <c r="F2001">
        <v>89</v>
      </c>
      <c r="G2001" t="s">
        <v>113</v>
      </c>
      <c r="H2001" t="s">
        <v>20</v>
      </c>
      <c r="I2001" t="s">
        <v>117</v>
      </c>
      <c r="J2001" t="s">
        <v>22</v>
      </c>
      <c r="K2001">
        <v>4.5999999999999996</v>
      </c>
      <c r="L2001" t="s">
        <v>143</v>
      </c>
      <c r="M2001" t="s">
        <v>143</v>
      </c>
      <c r="N2001">
        <v>26</v>
      </c>
      <c r="O2001" t="s">
        <v>77</v>
      </c>
      <c r="P2001" t="s">
        <v>79</v>
      </c>
    </row>
    <row r="2002" spans="1:16" ht="14.5" x14ac:dyDescent="0.35">
      <c r="A2002">
        <v>2001</v>
      </c>
      <c r="B2002">
        <v>26</v>
      </c>
      <c r="C2002" t="s">
        <v>16</v>
      </c>
      <c r="D2002" t="s">
        <v>124</v>
      </c>
      <c r="E2002" t="s">
        <v>60</v>
      </c>
      <c r="F2002">
        <v>27</v>
      </c>
      <c r="G2002" t="s">
        <v>90</v>
      </c>
      <c r="H2002" t="s">
        <v>39</v>
      </c>
      <c r="I2002" t="s">
        <v>84</v>
      </c>
      <c r="J2002" t="s">
        <v>22</v>
      </c>
      <c r="K2002">
        <v>3.6</v>
      </c>
      <c r="L2002" t="s">
        <v>143</v>
      </c>
      <c r="M2002" t="s">
        <v>143</v>
      </c>
      <c r="N2002">
        <v>25</v>
      </c>
      <c r="O2002" t="s">
        <v>29</v>
      </c>
      <c r="P2002" t="s">
        <v>67</v>
      </c>
    </row>
    <row r="2003" spans="1:16" ht="14.5" x14ac:dyDescent="0.35">
      <c r="A2003">
        <v>2002</v>
      </c>
      <c r="B2003">
        <v>51</v>
      </c>
      <c r="C2003" t="s">
        <v>16</v>
      </c>
      <c r="D2003" t="s">
        <v>80</v>
      </c>
      <c r="E2003" t="s">
        <v>60</v>
      </c>
      <c r="F2003">
        <v>90</v>
      </c>
      <c r="G2003" t="s">
        <v>45</v>
      </c>
      <c r="H2003" t="s">
        <v>32</v>
      </c>
      <c r="I2003" t="s">
        <v>65</v>
      </c>
      <c r="J2003" t="s">
        <v>22</v>
      </c>
      <c r="K2003">
        <v>2.6</v>
      </c>
      <c r="L2003" t="s">
        <v>143</v>
      </c>
      <c r="M2003" t="s">
        <v>143</v>
      </c>
      <c r="N2003">
        <v>2</v>
      </c>
      <c r="O2003" t="s">
        <v>77</v>
      </c>
      <c r="P2003" t="s">
        <v>25</v>
      </c>
    </row>
    <row r="2004" spans="1:16" ht="14.5" x14ac:dyDescent="0.35">
      <c r="A2004">
        <v>2003</v>
      </c>
      <c r="B2004">
        <v>31</v>
      </c>
      <c r="C2004" t="s">
        <v>16</v>
      </c>
      <c r="D2004" t="s">
        <v>48</v>
      </c>
      <c r="E2004" t="s">
        <v>18</v>
      </c>
      <c r="F2004">
        <v>65</v>
      </c>
      <c r="G2004" t="s">
        <v>75</v>
      </c>
      <c r="H2004" t="s">
        <v>39</v>
      </c>
      <c r="I2004" t="s">
        <v>99</v>
      </c>
      <c r="J2004" t="s">
        <v>47</v>
      </c>
      <c r="K2004">
        <v>2.7</v>
      </c>
      <c r="L2004" t="s">
        <v>143</v>
      </c>
      <c r="M2004" t="s">
        <v>143</v>
      </c>
      <c r="N2004">
        <v>19</v>
      </c>
      <c r="O2004" t="s">
        <v>40</v>
      </c>
      <c r="P2004" t="s">
        <v>88</v>
      </c>
    </row>
    <row r="2005" spans="1:16" ht="14.5" x14ac:dyDescent="0.35">
      <c r="A2005">
        <v>2004</v>
      </c>
      <c r="B2005">
        <v>68</v>
      </c>
      <c r="C2005" t="s">
        <v>16</v>
      </c>
      <c r="D2005" t="s">
        <v>44</v>
      </c>
      <c r="E2005" t="s">
        <v>37</v>
      </c>
      <c r="F2005">
        <v>72</v>
      </c>
      <c r="G2005" t="s">
        <v>27</v>
      </c>
      <c r="H2005" t="s">
        <v>32</v>
      </c>
      <c r="I2005" t="s">
        <v>135</v>
      </c>
      <c r="J2005" t="s">
        <v>33</v>
      </c>
      <c r="K2005">
        <v>3.1</v>
      </c>
      <c r="L2005" t="s">
        <v>143</v>
      </c>
      <c r="M2005" t="s">
        <v>143</v>
      </c>
      <c r="N2005">
        <v>32</v>
      </c>
      <c r="O2005" t="s">
        <v>29</v>
      </c>
      <c r="P2005" t="s">
        <v>51</v>
      </c>
    </row>
    <row r="2006" spans="1:16" ht="14.5" x14ac:dyDescent="0.35">
      <c r="A2006">
        <v>2005</v>
      </c>
      <c r="B2006">
        <v>44</v>
      </c>
      <c r="C2006" t="s">
        <v>16</v>
      </c>
      <c r="D2006" t="s">
        <v>63</v>
      </c>
      <c r="E2006" t="s">
        <v>37</v>
      </c>
      <c r="F2006">
        <v>70</v>
      </c>
      <c r="G2006" t="s">
        <v>133</v>
      </c>
      <c r="H2006" t="s">
        <v>20</v>
      </c>
      <c r="I2006" t="s">
        <v>135</v>
      </c>
      <c r="J2006" t="s">
        <v>50</v>
      </c>
      <c r="K2006">
        <v>3.2</v>
      </c>
      <c r="L2006" t="s">
        <v>143</v>
      </c>
      <c r="M2006" t="s">
        <v>143</v>
      </c>
      <c r="N2006">
        <v>13</v>
      </c>
      <c r="O2006" t="s">
        <v>29</v>
      </c>
      <c r="P2006" t="s">
        <v>67</v>
      </c>
    </row>
    <row r="2007" spans="1:16" ht="14.5" x14ac:dyDescent="0.35">
      <c r="A2007">
        <v>2006</v>
      </c>
      <c r="B2007">
        <v>18</v>
      </c>
      <c r="C2007" t="s">
        <v>16</v>
      </c>
      <c r="D2007" t="s">
        <v>36</v>
      </c>
      <c r="E2007" t="s">
        <v>37</v>
      </c>
      <c r="F2007">
        <v>82</v>
      </c>
      <c r="G2007" t="s">
        <v>113</v>
      </c>
      <c r="H2007" t="s">
        <v>39</v>
      </c>
      <c r="I2007" t="s">
        <v>100</v>
      </c>
      <c r="J2007" t="s">
        <v>22</v>
      </c>
      <c r="K2007">
        <v>3.4</v>
      </c>
      <c r="L2007" t="s">
        <v>143</v>
      </c>
      <c r="M2007" t="s">
        <v>143</v>
      </c>
      <c r="N2007">
        <v>30</v>
      </c>
      <c r="O2007" t="s">
        <v>40</v>
      </c>
      <c r="P2007" t="s">
        <v>25</v>
      </c>
    </row>
    <row r="2008" spans="1:16" ht="14.5" x14ac:dyDescent="0.35">
      <c r="A2008">
        <v>2007</v>
      </c>
      <c r="B2008">
        <v>58</v>
      </c>
      <c r="C2008" t="s">
        <v>16</v>
      </c>
      <c r="D2008" t="s">
        <v>110</v>
      </c>
      <c r="E2008" t="s">
        <v>60</v>
      </c>
      <c r="F2008">
        <v>97</v>
      </c>
      <c r="G2008" t="s">
        <v>121</v>
      </c>
      <c r="H2008" t="s">
        <v>32</v>
      </c>
      <c r="I2008" t="s">
        <v>62</v>
      </c>
      <c r="J2008" t="s">
        <v>50</v>
      </c>
      <c r="K2008">
        <v>4.4000000000000004</v>
      </c>
      <c r="L2008" t="s">
        <v>143</v>
      </c>
      <c r="M2008" t="s">
        <v>143</v>
      </c>
      <c r="N2008">
        <v>2</v>
      </c>
      <c r="O2008" t="s">
        <v>34</v>
      </c>
      <c r="P2008" t="s">
        <v>43</v>
      </c>
    </row>
    <row r="2009" spans="1:16" ht="14.5" x14ac:dyDescent="0.35">
      <c r="A2009">
        <v>2008</v>
      </c>
      <c r="B2009">
        <v>26</v>
      </c>
      <c r="C2009" t="s">
        <v>16</v>
      </c>
      <c r="D2009" t="s">
        <v>48</v>
      </c>
      <c r="E2009" t="s">
        <v>18</v>
      </c>
      <c r="F2009">
        <v>25</v>
      </c>
      <c r="G2009" t="s">
        <v>132</v>
      </c>
      <c r="H2009" t="s">
        <v>39</v>
      </c>
      <c r="I2009" t="s">
        <v>58</v>
      </c>
      <c r="J2009" t="s">
        <v>47</v>
      </c>
      <c r="K2009">
        <v>3.2</v>
      </c>
      <c r="L2009" t="s">
        <v>143</v>
      </c>
      <c r="M2009" t="s">
        <v>143</v>
      </c>
      <c r="N2009">
        <v>8</v>
      </c>
      <c r="O2009" t="s">
        <v>40</v>
      </c>
      <c r="P2009" t="s">
        <v>51</v>
      </c>
    </row>
    <row r="2010" spans="1:16" ht="14.5" x14ac:dyDescent="0.35">
      <c r="A2010">
        <v>2009</v>
      </c>
      <c r="B2010">
        <v>57</v>
      </c>
      <c r="C2010" t="s">
        <v>16</v>
      </c>
      <c r="D2010" t="s">
        <v>78</v>
      </c>
      <c r="E2010" t="s">
        <v>18</v>
      </c>
      <c r="F2010">
        <v>48</v>
      </c>
      <c r="G2010" t="s">
        <v>94</v>
      </c>
      <c r="H2010" t="s">
        <v>39</v>
      </c>
      <c r="I2010" t="s">
        <v>21</v>
      </c>
      <c r="J2010" t="s">
        <v>33</v>
      </c>
      <c r="K2010">
        <v>2.5</v>
      </c>
      <c r="L2010" t="s">
        <v>143</v>
      </c>
      <c r="M2010" t="s">
        <v>143</v>
      </c>
      <c r="N2010">
        <v>27</v>
      </c>
      <c r="O2010" t="s">
        <v>40</v>
      </c>
      <c r="P2010" t="s">
        <v>88</v>
      </c>
    </row>
    <row r="2011" spans="1:16" ht="14.5" x14ac:dyDescent="0.35">
      <c r="A2011">
        <v>2010</v>
      </c>
      <c r="B2011">
        <v>37</v>
      </c>
      <c r="C2011" t="s">
        <v>16</v>
      </c>
      <c r="D2011" t="s">
        <v>128</v>
      </c>
      <c r="E2011" t="s">
        <v>37</v>
      </c>
      <c r="F2011">
        <v>99</v>
      </c>
      <c r="G2011" t="s">
        <v>81</v>
      </c>
      <c r="H2011" t="s">
        <v>39</v>
      </c>
      <c r="I2011" t="s">
        <v>117</v>
      </c>
      <c r="J2011" t="s">
        <v>47</v>
      </c>
      <c r="K2011">
        <v>3.8</v>
      </c>
      <c r="L2011" t="s">
        <v>143</v>
      </c>
      <c r="M2011" t="s">
        <v>143</v>
      </c>
      <c r="N2011">
        <v>26</v>
      </c>
      <c r="O2011" t="s">
        <v>24</v>
      </c>
      <c r="P2011" t="s">
        <v>67</v>
      </c>
    </row>
    <row r="2012" spans="1:16" ht="14.5" x14ac:dyDescent="0.35">
      <c r="A2012">
        <v>2011</v>
      </c>
      <c r="B2012">
        <v>24</v>
      </c>
      <c r="C2012" t="s">
        <v>16</v>
      </c>
      <c r="D2012" t="s">
        <v>26</v>
      </c>
      <c r="E2012" t="s">
        <v>18</v>
      </c>
      <c r="F2012">
        <v>21</v>
      </c>
      <c r="G2012" t="s">
        <v>96</v>
      </c>
      <c r="H2012" t="s">
        <v>39</v>
      </c>
      <c r="I2012" t="s">
        <v>28</v>
      </c>
      <c r="J2012" t="s">
        <v>47</v>
      </c>
      <c r="K2012">
        <v>4.4000000000000004</v>
      </c>
      <c r="L2012" t="s">
        <v>143</v>
      </c>
      <c r="M2012" t="s">
        <v>143</v>
      </c>
      <c r="N2012">
        <v>3</v>
      </c>
      <c r="O2012" t="s">
        <v>77</v>
      </c>
      <c r="P2012" t="s">
        <v>67</v>
      </c>
    </row>
    <row r="2013" spans="1:16" ht="14.5" x14ac:dyDescent="0.35">
      <c r="A2013">
        <v>2012</v>
      </c>
      <c r="B2013">
        <v>57</v>
      </c>
      <c r="C2013" t="s">
        <v>16</v>
      </c>
      <c r="D2013" t="s">
        <v>36</v>
      </c>
      <c r="E2013" t="s">
        <v>37</v>
      </c>
      <c r="F2013">
        <v>94</v>
      </c>
      <c r="G2013" t="s">
        <v>57</v>
      </c>
      <c r="H2013" t="s">
        <v>39</v>
      </c>
      <c r="I2013" t="s">
        <v>109</v>
      </c>
      <c r="J2013" t="s">
        <v>33</v>
      </c>
      <c r="K2013">
        <v>3.7</v>
      </c>
      <c r="L2013" t="s">
        <v>143</v>
      </c>
      <c r="M2013" t="s">
        <v>143</v>
      </c>
      <c r="N2013">
        <v>4</v>
      </c>
      <c r="O2013" t="s">
        <v>66</v>
      </c>
      <c r="P2013" t="s">
        <v>79</v>
      </c>
    </row>
    <row r="2014" spans="1:16" ht="14.5" x14ac:dyDescent="0.35">
      <c r="A2014">
        <v>2013</v>
      </c>
      <c r="B2014">
        <v>48</v>
      </c>
      <c r="C2014" t="s">
        <v>16</v>
      </c>
      <c r="D2014" t="s">
        <v>30</v>
      </c>
      <c r="E2014" t="s">
        <v>18</v>
      </c>
      <c r="F2014">
        <v>53</v>
      </c>
      <c r="G2014" t="s">
        <v>98</v>
      </c>
      <c r="H2014" t="s">
        <v>20</v>
      </c>
      <c r="I2014" t="s">
        <v>87</v>
      </c>
      <c r="J2014" t="s">
        <v>50</v>
      </c>
      <c r="K2014">
        <v>3.2</v>
      </c>
      <c r="L2014" t="s">
        <v>143</v>
      </c>
      <c r="M2014" t="s">
        <v>143</v>
      </c>
      <c r="N2014">
        <v>5</v>
      </c>
      <c r="O2014" t="s">
        <v>29</v>
      </c>
      <c r="P2014" t="s">
        <v>25</v>
      </c>
    </row>
    <row r="2015" spans="1:16" ht="14.5" x14ac:dyDescent="0.35">
      <c r="A2015">
        <v>2014</v>
      </c>
      <c r="B2015">
        <v>39</v>
      </c>
      <c r="C2015" t="s">
        <v>16</v>
      </c>
      <c r="D2015" t="s">
        <v>123</v>
      </c>
      <c r="E2015" t="s">
        <v>60</v>
      </c>
      <c r="F2015">
        <v>70</v>
      </c>
      <c r="G2015" t="s">
        <v>132</v>
      </c>
      <c r="H2015" t="s">
        <v>39</v>
      </c>
      <c r="I2015" t="s">
        <v>91</v>
      </c>
      <c r="J2015" t="s">
        <v>22</v>
      </c>
      <c r="K2015">
        <v>4.9000000000000004</v>
      </c>
      <c r="L2015" t="s">
        <v>143</v>
      </c>
      <c r="M2015" t="s">
        <v>143</v>
      </c>
      <c r="N2015">
        <v>25</v>
      </c>
      <c r="O2015" t="s">
        <v>77</v>
      </c>
      <c r="P2015" t="s">
        <v>51</v>
      </c>
    </row>
    <row r="2016" spans="1:16" ht="14.5" x14ac:dyDescent="0.35">
      <c r="A2016">
        <v>2015</v>
      </c>
      <c r="B2016">
        <v>51</v>
      </c>
      <c r="C2016" t="s">
        <v>16</v>
      </c>
      <c r="D2016" t="s">
        <v>78</v>
      </c>
      <c r="E2016" t="s">
        <v>18</v>
      </c>
      <c r="F2016">
        <v>26</v>
      </c>
      <c r="G2016" t="s">
        <v>141</v>
      </c>
      <c r="H2016" t="s">
        <v>20</v>
      </c>
      <c r="I2016" t="s">
        <v>85</v>
      </c>
      <c r="J2016" t="s">
        <v>47</v>
      </c>
      <c r="K2016">
        <v>3.9</v>
      </c>
      <c r="L2016" t="s">
        <v>143</v>
      </c>
      <c r="M2016" t="s">
        <v>143</v>
      </c>
      <c r="N2016">
        <v>47</v>
      </c>
      <c r="O2016" t="s">
        <v>40</v>
      </c>
      <c r="P2016" t="s">
        <v>67</v>
      </c>
    </row>
    <row r="2017" spans="1:16" ht="14.5" x14ac:dyDescent="0.35">
      <c r="A2017">
        <v>2016</v>
      </c>
      <c r="B2017">
        <v>57</v>
      </c>
      <c r="C2017" t="s">
        <v>16</v>
      </c>
      <c r="D2017" t="s">
        <v>124</v>
      </c>
      <c r="E2017" t="s">
        <v>60</v>
      </c>
      <c r="F2017">
        <v>82</v>
      </c>
      <c r="G2017" t="s">
        <v>132</v>
      </c>
      <c r="H2017" t="s">
        <v>32</v>
      </c>
      <c r="I2017" t="s">
        <v>62</v>
      </c>
      <c r="J2017" t="s">
        <v>47</v>
      </c>
      <c r="K2017">
        <v>4.5</v>
      </c>
      <c r="L2017" t="s">
        <v>143</v>
      </c>
      <c r="M2017" t="s">
        <v>143</v>
      </c>
      <c r="N2017">
        <v>8</v>
      </c>
      <c r="O2017" t="s">
        <v>34</v>
      </c>
      <c r="P2017" t="s">
        <v>25</v>
      </c>
    </row>
    <row r="2018" spans="1:16" ht="14.5" x14ac:dyDescent="0.35">
      <c r="A2018">
        <v>2017</v>
      </c>
      <c r="B2018">
        <v>53</v>
      </c>
      <c r="C2018" t="s">
        <v>16</v>
      </c>
      <c r="D2018" t="s">
        <v>63</v>
      </c>
      <c r="E2018" t="s">
        <v>37</v>
      </c>
      <c r="F2018">
        <v>47</v>
      </c>
      <c r="G2018" t="s">
        <v>27</v>
      </c>
      <c r="H2018" t="s">
        <v>32</v>
      </c>
      <c r="I2018" t="s">
        <v>74</v>
      </c>
      <c r="J2018" t="s">
        <v>22</v>
      </c>
      <c r="K2018">
        <v>3.4</v>
      </c>
      <c r="L2018" t="s">
        <v>143</v>
      </c>
      <c r="M2018" t="s">
        <v>143</v>
      </c>
      <c r="N2018">
        <v>20</v>
      </c>
      <c r="O2018" t="s">
        <v>77</v>
      </c>
      <c r="P2018" t="s">
        <v>25</v>
      </c>
    </row>
    <row r="2019" spans="1:16" ht="14.5" x14ac:dyDescent="0.35">
      <c r="A2019">
        <v>2018</v>
      </c>
      <c r="B2019">
        <v>70</v>
      </c>
      <c r="C2019" t="s">
        <v>16</v>
      </c>
      <c r="D2019" t="s">
        <v>116</v>
      </c>
      <c r="E2019" t="s">
        <v>18</v>
      </c>
      <c r="F2019">
        <v>32</v>
      </c>
      <c r="G2019" t="s">
        <v>31</v>
      </c>
      <c r="H2019" t="s">
        <v>32</v>
      </c>
      <c r="I2019" t="s">
        <v>87</v>
      </c>
      <c r="J2019" t="s">
        <v>22</v>
      </c>
      <c r="K2019">
        <v>4.0999999999999996</v>
      </c>
      <c r="L2019" t="s">
        <v>143</v>
      </c>
      <c r="M2019" t="s">
        <v>143</v>
      </c>
      <c r="N2019">
        <v>42</v>
      </c>
      <c r="O2019" t="s">
        <v>66</v>
      </c>
      <c r="P2019" t="s">
        <v>88</v>
      </c>
    </row>
    <row r="2020" spans="1:16" ht="14.5" x14ac:dyDescent="0.35">
      <c r="A2020">
        <v>2019</v>
      </c>
      <c r="B2020">
        <v>60</v>
      </c>
      <c r="C2020" t="s">
        <v>16</v>
      </c>
      <c r="D2020" t="s">
        <v>123</v>
      </c>
      <c r="E2020" t="s">
        <v>60</v>
      </c>
      <c r="F2020">
        <v>97</v>
      </c>
      <c r="G2020" t="s">
        <v>64</v>
      </c>
      <c r="H2020" t="s">
        <v>32</v>
      </c>
      <c r="I2020" t="s">
        <v>71</v>
      </c>
      <c r="J2020" t="s">
        <v>50</v>
      </c>
      <c r="K2020">
        <v>4.5</v>
      </c>
      <c r="L2020" t="s">
        <v>143</v>
      </c>
      <c r="M2020" t="s">
        <v>143</v>
      </c>
      <c r="N2020">
        <v>20</v>
      </c>
      <c r="O2020" t="s">
        <v>66</v>
      </c>
      <c r="P2020" t="s">
        <v>35</v>
      </c>
    </row>
    <row r="2021" spans="1:16" ht="14.5" x14ac:dyDescent="0.35">
      <c r="A2021">
        <v>2020</v>
      </c>
      <c r="B2021">
        <v>31</v>
      </c>
      <c r="C2021" t="s">
        <v>16</v>
      </c>
      <c r="D2021" t="s">
        <v>48</v>
      </c>
      <c r="E2021" t="s">
        <v>18</v>
      </c>
      <c r="F2021">
        <v>68</v>
      </c>
      <c r="G2021" t="s">
        <v>126</v>
      </c>
      <c r="H2021" t="s">
        <v>32</v>
      </c>
      <c r="I2021" t="s">
        <v>99</v>
      </c>
      <c r="J2021" t="s">
        <v>22</v>
      </c>
      <c r="K2021">
        <v>4.7</v>
      </c>
      <c r="L2021" t="s">
        <v>143</v>
      </c>
      <c r="M2021" t="s">
        <v>143</v>
      </c>
      <c r="N2021">
        <v>23</v>
      </c>
      <c r="O2021" t="s">
        <v>29</v>
      </c>
      <c r="P2021" t="s">
        <v>25</v>
      </c>
    </row>
    <row r="2022" spans="1:16" ht="14.5" x14ac:dyDescent="0.35">
      <c r="A2022">
        <v>2021</v>
      </c>
      <c r="B2022">
        <v>41</v>
      </c>
      <c r="C2022" t="s">
        <v>16</v>
      </c>
      <c r="D2022" t="s">
        <v>26</v>
      </c>
      <c r="E2022" t="s">
        <v>18</v>
      </c>
      <c r="F2022">
        <v>23</v>
      </c>
      <c r="G2022" t="s">
        <v>129</v>
      </c>
      <c r="H2022" t="s">
        <v>39</v>
      </c>
      <c r="I2022" t="s">
        <v>109</v>
      </c>
      <c r="J2022" t="s">
        <v>22</v>
      </c>
      <c r="K2022">
        <v>4.8</v>
      </c>
      <c r="L2022" t="s">
        <v>143</v>
      </c>
      <c r="M2022" t="s">
        <v>143</v>
      </c>
      <c r="N2022">
        <v>26</v>
      </c>
      <c r="O2022" t="s">
        <v>29</v>
      </c>
      <c r="P2022" t="s">
        <v>51</v>
      </c>
    </row>
    <row r="2023" spans="1:16" ht="14.5" x14ac:dyDescent="0.35">
      <c r="A2023">
        <v>2022</v>
      </c>
      <c r="B2023">
        <v>62</v>
      </c>
      <c r="C2023" t="s">
        <v>16</v>
      </c>
      <c r="D2023" t="s">
        <v>59</v>
      </c>
      <c r="E2023" t="s">
        <v>60</v>
      </c>
      <c r="F2023">
        <v>33</v>
      </c>
      <c r="G2023" t="s">
        <v>27</v>
      </c>
      <c r="H2023" t="s">
        <v>39</v>
      </c>
      <c r="I2023" t="s">
        <v>87</v>
      </c>
      <c r="J2023" t="s">
        <v>22</v>
      </c>
      <c r="K2023">
        <v>4.4000000000000004</v>
      </c>
      <c r="L2023" t="s">
        <v>143</v>
      </c>
      <c r="M2023" t="s">
        <v>143</v>
      </c>
      <c r="N2023">
        <v>48</v>
      </c>
      <c r="O2023" t="s">
        <v>24</v>
      </c>
      <c r="P2023" t="s">
        <v>51</v>
      </c>
    </row>
    <row r="2024" spans="1:16" ht="14.5" x14ac:dyDescent="0.35">
      <c r="A2024">
        <v>2023</v>
      </c>
      <c r="B2024">
        <v>59</v>
      </c>
      <c r="C2024" t="s">
        <v>16</v>
      </c>
      <c r="D2024" t="s">
        <v>97</v>
      </c>
      <c r="E2024" t="s">
        <v>60</v>
      </c>
      <c r="F2024">
        <v>38</v>
      </c>
      <c r="G2024" t="s">
        <v>81</v>
      </c>
      <c r="H2024" t="s">
        <v>32</v>
      </c>
      <c r="I2024" t="s">
        <v>85</v>
      </c>
      <c r="J2024" t="s">
        <v>22</v>
      </c>
      <c r="K2024">
        <v>4</v>
      </c>
      <c r="L2024" t="s">
        <v>143</v>
      </c>
      <c r="M2024" t="s">
        <v>143</v>
      </c>
      <c r="N2024">
        <v>16</v>
      </c>
      <c r="O2024" t="s">
        <v>29</v>
      </c>
      <c r="P2024" t="s">
        <v>67</v>
      </c>
    </row>
    <row r="2025" spans="1:16" ht="14.5" x14ac:dyDescent="0.35">
      <c r="A2025">
        <v>2024</v>
      </c>
      <c r="B2025">
        <v>46</v>
      </c>
      <c r="C2025" t="s">
        <v>16</v>
      </c>
      <c r="D2025" t="s">
        <v>116</v>
      </c>
      <c r="E2025" t="s">
        <v>18</v>
      </c>
      <c r="F2025">
        <v>68</v>
      </c>
      <c r="G2025" t="s">
        <v>126</v>
      </c>
      <c r="H2025" t="s">
        <v>32</v>
      </c>
      <c r="I2025" t="s">
        <v>76</v>
      </c>
      <c r="J2025" t="s">
        <v>22</v>
      </c>
      <c r="K2025">
        <v>4.0999999999999996</v>
      </c>
      <c r="L2025" t="s">
        <v>143</v>
      </c>
      <c r="M2025" t="s">
        <v>143</v>
      </c>
      <c r="N2025">
        <v>28</v>
      </c>
      <c r="O2025" t="s">
        <v>29</v>
      </c>
      <c r="P2025" t="s">
        <v>67</v>
      </c>
    </row>
    <row r="2026" spans="1:16" ht="14.5" x14ac:dyDescent="0.35">
      <c r="A2026">
        <v>2025</v>
      </c>
      <c r="B2026">
        <v>62</v>
      </c>
      <c r="C2026" t="s">
        <v>16</v>
      </c>
      <c r="D2026" t="s">
        <v>116</v>
      </c>
      <c r="E2026" t="s">
        <v>18</v>
      </c>
      <c r="F2026">
        <v>23</v>
      </c>
      <c r="G2026" t="s">
        <v>64</v>
      </c>
      <c r="H2026" t="s">
        <v>20</v>
      </c>
      <c r="I2026" t="s">
        <v>58</v>
      </c>
      <c r="J2026" t="s">
        <v>50</v>
      </c>
      <c r="K2026">
        <v>3.7</v>
      </c>
      <c r="L2026" t="s">
        <v>143</v>
      </c>
      <c r="M2026" t="s">
        <v>143</v>
      </c>
      <c r="N2026">
        <v>39</v>
      </c>
      <c r="O2026" t="s">
        <v>40</v>
      </c>
      <c r="P2026" t="s">
        <v>35</v>
      </c>
    </row>
    <row r="2027" spans="1:16" ht="14.5" x14ac:dyDescent="0.35">
      <c r="A2027">
        <v>2026</v>
      </c>
      <c r="B2027">
        <v>42</v>
      </c>
      <c r="C2027" t="s">
        <v>16</v>
      </c>
      <c r="D2027" t="s">
        <v>48</v>
      </c>
      <c r="E2027" t="s">
        <v>18</v>
      </c>
      <c r="F2027">
        <v>29</v>
      </c>
      <c r="G2027" t="s">
        <v>70</v>
      </c>
      <c r="H2027" t="s">
        <v>39</v>
      </c>
      <c r="I2027" t="s">
        <v>42</v>
      </c>
      <c r="J2027" t="s">
        <v>47</v>
      </c>
      <c r="K2027">
        <v>3</v>
      </c>
      <c r="L2027" t="s">
        <v>143</v>
      </c>
      <c r="M2027" t="s">
        <v>143</v>
      </c>
      <c r="N2027">
        <v>43</v>
      </c>
      <c r="O2027" t="s">
        <v>77</v>
      </c>
      <c r="P2027" t="s">
        <v>25</v>
      </c>
    </row>
    <row r="2028" spans="1:16" ht="14.5" x14ac:dyDescent="0.35">
      <c r="A2028">
        <v>2027</v>
      </c>
      <c r="B2028">
        <v>37</v>
      </c>
      <c r="C2028" t="s">
        <v>16</v>
      </c>
      <c r="D2028" t="s">
        <v>110</v>
      </c>
      <c r="E2028" t="s">
        <v>60</v>
      </c>
      <c r="F2028">
        <v>35</v>
      </c>
      <c r="G2028" t="s">
        <v>27</v>
      </c>
      <c r="H2028" t="s">
        <v>39</v>
      </c>
      <c r="I2028" t="s">
        <v>112</v>
      </c>
      <c r="J2028" t="s">
        <v>22</v>
      </c>
      <c r="K2028">
        <v>3.6</v>
      </c>
      <c r="L2028" t="s">
        <v>143</v>
      </c>
      <c r="M2028" t="s">
        <v>143</v>
      </c>
      <c r="N2028">
        <v>45</v>
      </c>
      <c r="O2028" t="s">
        <v>66</v>
      </c>
      <c r="P2028" t="s">
        <v>88</v>
      </c>
    </row>
    <row r="2029" spans="1:16" ht="14.5" x14ac:dyDescent="0.35">
      <c r="A2029">
        <v>2028</v>
      </c>
      <c r="B2029">
        <v>50</v>
      </c>
      <c r="C2029" t="s">
        <v>16</v>
      </c>
      <c r="D2029" t="s">
        <v>63</v>
      </c>
      <c r="E2029" t="s">
        <v>37</v>
      </c>
      <c r="F2029">
        <v>73</v>
      </c>
      <c r="G2029" t="s">
        <v>136</v>
      </c>
      <c r="H2029" t="s">
        <v>32</v>
      </c>
      <c r="I2029" t="s">
        <v>71</v>
      </c>
      <c r="J2029" t="s">
        <v>50</v>
      </c>
      <c r="K2029">
        <v>4.8</v>
      </c>
      <c r="L2029" t="s">
        <v>143</v>
      </c>
      <c r="M2029" t="s">
        <v>143</v>
      </c>
      <c r="N2029">
        <v>50</v>
      </c>
      <c r="O2029" t="s">
        <v>34</v>
      </c>
      <c r="P2029" t="s">
        <v>88</v>
      </c>
    </row>
    <row r="2030" spans="1:16" ht="14.5" x14ac:dyDescent="0.35">
      <c r="A2030">
        <v>2029</v>
      </c>
      <c r="B2030">
        <v>29</v>
      </c>
      <c r="C2030" t="s">
        <v>16</v>
      </c>
      <c r="D2030" t="s">
        <v>63</v>
      </c>
      <c r="E2030" t="s">
        <v>37</v>
      </c>
      <c r="F2030">
        <v>84</v>
      </c>
      <c r="G2030" t="s">
        <v>114</v>
      </c>
      <c r="H2030" t="s">
        <v>83</v>
      </c>
      <c r="I2030" t="s">
        <v>65</v>
      </c>
      <c r="J2030" t="s">
        <v>50</v>
      </c>
      <c r="K2030">
        <v>3.7</v>
      </c>
      <c r="L2030" t="s">
        <v>143</v>
      </c>
      <c r="M2030" t="s">
        <v>143</v>
      </c>
      <c r="N2030">
        <v>10</v>
      </c>
      <c r="O2030" t="s">
        <v>24</v>
      </c>
      <c r="P2030" t="s">
        <v>67</v>
      </c>
    </row>
    <row r="2031" spans="1:16" ht="14.5" x14ac:dyDescent="0.35">
      <c r="A2031">
        <v>2030</v>
      </c>
      <c r="B2031">
        <v>25</v>
      </c>
      <c r="C2031" t="s">
        <v>16</v>
      </c>
      <c r="D2031" t="s">
        <v>110</v>
      </c>
      <c r="E2031" t="s">
        <v>60</v>
      </c>
      <c r="F2031">
        <v>23</v>
      </c>
      <c r="G2031" t="s">
        <v>49</v>
      </c>
      <c r="H2031" t="s">
        <v>39</v>
      </c>
      <c r="I2031" t="s">
        <v>62</v>
      </c>
      <c r="J2031" t="s">
        <v>33</v>
      </c>
      <c r="K2031">
        <v>4.5999999999999996</v>
      </c>
      <c r="L2031" t="s">
        <v>143</v>
      </c>
      <c r="M2031" t="s">
        <v>143</v>
      </c>
      <c r="N2031">
        <v>40</v>
      </c>
      <c r="O2031" t="s">
        <v>40</v>
      </c>
      <c r="P2031" t="s">
        <v>51</v>
      </c>
    </row>
    <row r="2032" spans="1:16" ht="14.5" x14ac:dyDescent="0.35">
      <c r="A2032">
        <v>2031</v>
      </c>
      <c r="B2032">
        <v>66</v>
      </c>
      <c r="C2032" t="s">
        <v>16</v>
      </c>
      <c r="D2032" t="s">
        <v>80</v>
      </c>
      <c r="E2032" t="s">
        <v>60</v>
      </c>
      <c r="F2032">
        <v>67</v>
      </c>
      <c r="G2032" t="s">
        <v>121</v>
      </c>
      <c r="H2032" t="s">
        <v>32</v>
      </c>
      <c r="I2032" t="s">
        <v>87</v>
      </c>
      <c r="J2032" t="s">
        <v>47</v>
      </c>
      <c r="K2032">
        <v>2.8</v>
      </c>
      <c r="L2032" t="s">
        <v>143</v>
      </c>
      <c r="M2032" t="s">
        <v>143</v>
      </c>
      <c r="N2032">
        <v>38</v>
      </c>
      <c r="O2032" t="s">
        <v>34</v>
      </c>
      <c r="P2032" t="s">
        <v>79</v>
      </c>
    </row>
    <row r="2033" spans="1:16" ht="14.5" x14ac:dyDescent="0.35">
      <c r="A2033">
        <v>2032</v>
      </c>
      <c r="B2033">
        <v>21</v>
      </c>
      <c r="C2033" t="s">
        <v>16</v>
      </c>
      <c r="D2033" t="s">
        <v>116</v>
      </c>
      <c r="E2033" t="s">
        <v>18</v>
      </c>
      <c r="F2033">
        <v>51</v>
      </c>
      <c r="G2033" t="s">
        <v>89</v>
      </c>
      <c r="H2033" t="s">
        <v>20</v>
      </c>
      <c r="I2033" t="s">
        <v>54</v>
      </c>
      <c r="J2033" t="s">
        <v>33</v>
      </c>
      <c r="K2033">
        <v>4</v>
      </c>
      <c r="L2033" t="s">
        <v>143</v>
      </c>
      <c r="M2033" t="s">
        <v>143</v>
      </c>
      <c r="N2033">
        <v>2</v>
      </c>
      <c r="O2033" t="s">
        <v>34</v>
      </c>
      <c r="P2033" t="s">
        <v>79</v>
      </c>
    </row>
    <row r="2034" spans="1:16" ht="14.5" x14ac:dyDescent="0.35">
      <c r="A2034">
        <v>2033</v>
      </c>
      <c r="B2034">
        <v>46</v>
      </c>
      <c r="C2034" t="s">
        <v>16</v>
      </c>
      <c r="D2034" t="s">
        <v>17</v>
      </c>
      <c r="E2034" t="s">
        <v>18</v>
      </c>
      <c r="F2034">
        <v>36</v>
      </c>
      <c r="G2034" t="s">
        <v>122</v>
      </c>
      <c r="H2034" t="s">
        <v>39</v>
      </c>
      <c r="I2034" t="s">
        <v>28</v>
      </c>
      <c r="J2034" t="s">
        <v>22</v>
      </c>
      <c r="K2034">
        <v>4.2</v>
      </c>
      <c r="L2034" t="s">
        <v>143</v>
      </c>
      <c r="M2034" t="s">
        <v>143</v>
      </c>
      <c r="N2034">
        <v>13</v>
      </c>
      <c r="O2034" t="s">
        <v>29</v>
      </c>
      <c r="P2034" t="s">
        <v>43</v>
      </c>
    </row>
    <row r="2035" spans="1:16" ht="14.5" x14ac:dyDescent="0.35">
      <c r="A2035">
        <v>2034</v>
      </c>
      <c r="B2035">
        <v>57</v>
      </c>
      <c r="C2035" t="s">
        <v>16</v>
      </c>
      <c r="D2035" t="s">
        <v>30</v>
      </c>
      <c r="E2035" t="s">
        <v>18</v>
      </c>
      <c r="F2035">
        <v>55</v>
      </c>
      <c r="G2035" t="s">
        <v>106</v>
      </c>
      <c r="H2035" t="s">
        <v>20</v>
      </c>
      <c r="I2035" t="s">
        <v>69</v>
      </c>
      <c r="J2035" t="s">
        <v>47</v>
      </c>
      <c r="K2035">
        <v>3.6</v>
      </c>
      <c r="L2035" t="s">
        <v>143</v>
      </c>
      <c r="M2035" t="s">
        <v>143</v>
      </c>
      <c r="N2035">
        <v>33</v>
      </c>
      <c r="O2035" t="s">
        <v>24</v>
      </c>
      <c r="P2035" t="s">
        <v>43</v>
      </c>
    </row>
    <row r="2036" spans="1:16" ht="14.5" x14ac:dyDescent="0.35">
      <c r="A2036">
        <v>2035</v>
      </c>
      <c r="B2036">
        <v>61</v>
      </c>
      <c r="C2036" t="s">
        <v>16</v>
      </c>
      <c r="D2036" t="s">
        <v>52</v>
      </c>
      <c r="E2036" t="s">
        <v>18</v>
      </c>
      <c r="F2036">
        <v>30</v>
      </c>
      <c r="G2036" t="s">
        <v>81</v>
      </c>
      <c r="H2036" t="s">
        <v>39</v>
      </c>
      <c r="I2036" t="s">
        <v>91</v>
      </c>
      <c r="J2036" t="s">
        <v>33</v>
      </c>
      <c r="K2036">
        <v>2.9</v>
      </c>
      <c r="L2036" t="s">
        <v>143</v>
      </c>
      <c r="M2036" t="s">
        <v>143</v>
      </c>
      <c r="N2036">
        <v>27</v>
      </c>
      <c r="O2036" t="s">
        <v>40</v>
      </c>
      <c r="P2036" t="s">
        <v>79</v>
      </c>
    </row>
    <row r="2037" spans="1:16" ht="14.5" x14ac:dyDescent="0.35">
      <c r="A2037">
        <v>2036</v>
      </c>
      <c r="B2037">
        <v>53</v>
      </c>
      <c r="C2037" t="s">
        <v>16</v>
      </c>
      <c r="D2037" t="s">
        <v>104</v>
      </c>
      <c r="E2037" t="s">
        <v>18</v>
      </c>
      <c r="F2037">
        <v>70</v>
      </c>
      <c r="G2037" t="s">
        <v>92</v>
      </c>
      <c r="H2037" t="s">
        <v>32</v>
      </c>
      <c r="I2037" t="s">
        <v>125</v>
      </c>
      <c r="J2037" t="s">
        <v>47</v>
      </c>
      <c r="K2037">
        <v>4.0999999999999996</v>
      </c>
      <c r="L2037" t="s">
        <v>143</v>
      </c>
      <c r="M2037" t="s">
        <v>143</v>
      </c>
      <c r="N2037">
        <v>43</v>
      </c>
      <c r="O2037" t="s">
        <v>66</v>
      </c>
      <c r="P2037" t="s">
        <v>35</v>
      </c>
    </row>
    <row r="2038" spans="1:16" ht="14.5" x14ac:dyDescent="0.35">
      <c r="A2038">
        <v>2037</v>
      </c>
      <c r="B2038">
        <v>37</v>
      </c>
      <c r="C2038" t="s">
        <v>16</v>
      </c>
      <c r="D2038" t="s">
        <v>17</v>
      </c>
      <c r="E2038" t="s">
        <v>18</v>
      </c>
      <c r="F2038">
        <v>63</v>
      </c>
      <c r="G2038" t="s">
        <v>139</v>
      </c>
      <c r="H2038" t="s">
        <v>32</v>
      </c>
      <c r="I2038" t="s">
        <v>84</v>
      </c>
      <c r="J2038" t="s">
        <v>22</v>
      </c>
      <c r="K2038">
        <v>3.1</v>
      </c>
      <c r="L2038" t="s">
        <v>143</v>
      </c>
      <c r="M2038" t="s">
        <v>143</v>
      </c>
      <c r="N2038">
        <v>46</v>
      </c>
      <c r="O2038" t="s">
        <v>29</v>
      </c>
      <c r="P2038" t="s">
        <v>35</v>
      </c>
    </row>
    <row r="2039" spans="1:16" ht="14.5" x14ac:dyDescent="0.35">
      <c r="A2039">
        <v>2038</v>
      </c>
      <c r="B2039">
        <v>39</v>
      </c>
      <c r="C2039" t="s">
        <v>16</v>
      </c>
      <c r="D2039" t="s">
        <v>124</v>
      </c>
      <c r="E2039" t="s">
        <v>60</v>
      </c>
      <c r="F2039">
        <v>87</v>
      </c>
      <c r="G2039" t="s">
        <v>106</v>
      </c>
      <c r="H2039" t="s">
        <v>32</v>
      </c>
      <c r="I2039" t="s">
        <v>87</v>
      </c>
      <c r="J2039" t="s">
        <v>47</v>
      </c>
      <c r="K2039">
        <v>4.3</v>
      </c>
      <c r="L2039" t="s">
        <v>143</v>
      </c>
      <c r="M2039" t="s">
        <v>143</v>
      </c>
      <c r="N2039">
        <v>7</v>
      </c>
      <c r="O2039" t="s">
        <v>24</v>
      </c>
      <c r="P2039" t="s">
        <v>67</v>
      </c>
    </row>
    <row r="2040" spans="1:16" ht="14.5" x14ac:dyDescent="0.35">
      <c r="A2040">
        <v>2039</v>
      </c>
      <c r="B2040">
        <v>53</v>
      </c>
      <c r="C2040" t="s">
        <v>16</v>
      </c>
      <c r="D2040" t="s">
        <v>17</v>
      </c>
      <c r="E2040" t="s">
        <v>18</v>
      </c>
      <c r="F2040">
        <v>70</v>
      </c>
      <c r="G2040" t="s">
        <v>64</v>
      </c>
      <c r="H2040" t="s">
        <v>20</v>
      </c>
      <c r="I2040" t="s">
        <v>112</v>
      </c>
      <c r="J2040" t="s">
        <v>33</v>
      </c>
      <c r="K2040">
        <v>4.4000000000000004</v>
      </c>
      <c r="L2040" t="s">
        <v>143</v>
      </c>
      <c r="M2040" t="s">
        <v>143</v>
      </c>
      <c r="N2040">
        <v>35</v>
      </c>
      <c r="O2040" t="s">
        <v>34</v>
      </c>
      <c r="P2040" t="s">
        <v>25</v>
      </c>
    </row>
    <row r="2041" spans="1:16" ht="14.5" x14ac:dyDescent="0.35">
      <c r="A2041">
        <v>2040</v>
      </c>
      <c r="B2041">
        <v>35</v>
      </c>
      <c r="C2041" t="s">
        <v>16</v>
      </c>
      <c r="D2041" t="s">
        <v>104</v>
      </c>
      <c r="E2041" t="s">
        <v>18</v>
      </c>
      <c r="F2041">
        <v>51</v>
      </c>
      <c r="G2041" t="s">
        <v>139</v>
      </c>
      <c r="H2041" t="s">
        <v>39</v>
      </c>
      <c r="I2041" t="s">
        <v>69</v>
      </c>
      <c r="J2041" t="s">
        <v>33</v>
      </c>
      <c r="K2041">
        <v>3.1</v>
      </c>
      <c r="L2041" t="s">
        <v>143</v>
      </c>
      <c r="M2041" t="s">
        <v>143</v>
      </c>
      <c r="N2041">
        <v>31</v>
      </c>
      <c r="O2041" t="s">
        <v>77</v>
      </c>
      <c r="P2041" t="s">
        <v>67</v>
      </c>
    </row>
    <row r="2042" spans="1:16" ht="14.5" x14ac:dyDescent="0.35">
      <c r="A2042">
        <v>2041</v>
      </c>
      <c r="B2042">
        <v>69</v>
      </c>
      <c r="C2042" t="s">
        <v>16</v>
      </c>
      <c r="D2042" t="s">
        <v>97</v>
      </c>
      <c r="E2042" t="s">
        <v>60</v>
      </c>
      <c r="F2042">
        <v>25</v>
      </c>
      <c r="G2042" t="s">
        <v>122</v>
      </c>
      <c r="H2042" t="s">
        <v>83</v>
      </c>
      <c r="I2042" t="s">
        <v>21</v>
      </c>
      <c r="J2042" t="s">
        <v>33</v>
      </c>
      <c r="K2042">
        <v>2.9</v>
      </c>
      <c r="L2042" t="s">
        <v>143</v>
      </c>
      <c r="M2042" t="s">
        <v>143</v>
      </c>
      <c r="N2042">
        <v>42</v>
      </c>
      <c r="O2042" t="s">
        <v>24</v>
      </c>
      <c r="P2042" t="s">
        <v>51</v>
      </c>
    </row>
    <row r="2043" spans="1:16" ht="14.5" x14ac:dyDescent="0.35">
      <c r="A2043">
        <v>2042</v>
      </c>
      <c r="B2043">
        <v>66</v>
      </c>
      <c r="C2043" t="s">
        <v>16</v>
      </c>
      <c r="D2043" t="s">
        <v>93</v>
      </c>
      <c r="E2043" t="s">
        <v>56</v>
      </c>
      <c r="F2043">
        <v>32</v>
      </c>
      <c r="G2043" t="s">
        <v>75</v>
      </c>
      <c r="H2043" t="s">
        <v>32</v>
      </c>
      <c r="I2043" t="s">
        <v>84</v>
      </c>
      <c r="J2043" t="s">
        <v>22</v>
      </c>
      <c r="K2043">
        <v>3.2</v>
      </c>
      <c r="L2043" t="s">
        <v>143</v>
      </c>
      <c r="M2043" t="s">
        <v>143</v>
      </c>
      <c r="N2043">
        <v>14</v>
      </c>
      <c r="O2043" t="s">
        <v>40</v>
      </c>
      <c r="P2043" t="s">
        <v>67</v>
      </c>
    </row>
    <row r="2044" spans="1:16" ht="14.5" x14ac:dyDescent="0.35">
      <c r="A2044">
        <v>2043</v>
      </c>
      <c r="B2044">
        <v>19</v>
      </c>
      <c r="C2044" t="s">
        <v>16</v>
      </c>
      <c r="D2044" t="s">
        <v>63</v>
      </c>
      <c r="E2044" t="s">
        <v>37</v>
      </c>
      <c r="F2044">
        <v>52</v>
      </c>
      <c r="G2044" t="s">
        <v>81</v>
      </c>
      <c r="H2044" t="s">
        <v>39</v>
      </c>
      <c r="I2044" t="s">
        <v>99</v>
      </c>
      <c r="J2044" t="s">
        <v>33</v>
      </c>
      <c r="K2044">
        <v>4</v>
      </c>
      <c r="L2044" t="s">
        <v>143</v>
      </c>
      <c r="M2044" t="s">
        <v>143</v>
      </c>
      <c r="N2044">
        <v>35</v>
      </c>
      <c r="O2044" t="s">
        <v>24</v>
      </c>
      <c r="P2044" t="s">
        <v>79</v>
      </c>
    </row>
    <row r="2045" spans="1:16" ht="14.5" x14ac:dyDescent="0.35">
      <c r="A2045">
        <v>2044</v>
      </c>
      <c r="B2045">
        <v>47</v>
      </c>
      <c r="C2045" t="s">
        <v>16</v>
      </c>
      <c r="D2045" t="s">
        <v>134</v>
      </c>
      <c r="E2045" t="s">
        <v>60</v>
      </c>
      <c r="F2045">
        <v>33</v>
      </c>
      <c r="G2045" t="s">
        <v>75</v>
      </c>
      <c r="H2045" t="s">
        <v>39</v>
      </c>
      <c r="I2045" t="s">
        <v>54</v>
      </c>
      <c r="J2045" t="s">
        <v>47</v>
      </c>
      <c r="K2045">
        <v>2.7</v>
      </c>
      <c r="L2045" t="s">
        <v>143</v>
      </c>
      <c r="M2045" t="s">
        <v>143</v>
      </c>
      <c r="N2045">
        <v>49</v>
      </c>
      <c r="O2045" t="s">
        <v>40</v>
      </c>
      <c r="P2045" t="s">
        <v>35</v>
      </c>
    </row>
    <row r="2046" spans="1:16" ht="14.5" x14ac:dyDescent="0.35">
      <c r="A2046">
        <v>2045</v>
      </c>
      <c r="B2046">
        <v>49</v>
      </c>
      <c r="C2046" t="s">
        <v>16</v>
      </c>
      <c r="D2046" t="s">
        <v>30</v>
      </c>
      <c r="E2046" t="s">
        <v>18</v>
      </c>
      <c r="F2046">
        <v>68</v>
      </c>
      <c r="G2046" t="s">
        <v>61</v>
      </c>
      <c r="H2046" t="s">
        <v>20</v>
      </c>
      <c r="I2046" t="s">
        <v>112</v>
      </c>
      <c r="J2046" t="s">
        <v>33</v>
      </c>
      <c r="K2046">
        <v>3</v>
      </c>
      <c r="L2046" t="s">
        <v>143</v>
      </c>
      <c r="M2046" t="s">
        <v>143</v>
      </c>
      <c r="N2046">
        <v>17</v>
      </c>
      <c r="O2046" t="s">
        <v>40</v>
      </c>
      <c r="P2046" t="s">
        <v>25</v>
      </c>
    </row>
    <row r="2047" spans="1:16" ht="14.5" x14ac:dyDescent="0.35">
      <c r="A2047">
        <v>2046</v>
      </c>
      <c r="B2047">
        <v>31</v>
      </c>
      <c r="C2047" t="s">
        <v>16</v>
      </c>
      <c r="D2047" t="s">
        <v>97</v>
      </c>
      <c r="E2047" t="s">
        <v>60</v>
      </c>
      <c r="F2047">
        <v>20</v>
      </c>
      <c r="G2047" t="s">
        <v>133</v>
      </c>
      <c r="H2047" t="s">
        <v>39</v>
      </c>
      <c r="I2047" t="s">
        <v>99</v>
      </c>
      <c r="J2047" t="s">
        <v>50</v>
      </c>
      <c r="K2047">
        <v>4.4000000000000004</v>
      </c>
      <c r="L2047" t="s">
        <v>143</v>
      </c>
      <c r="M2047" t="s">
        <v>143</v>
      </c>
      <c r="N2047">
        <v>26</v>
      </c>
      <c r="O2047" t="s">
        <v>40</v>
      </c>
      <c r="P2047" t="s">
        <v>51</v>
      </c>
    </row>
    <row r="2048" spans="1:16" ht="14.5" x14ac:dyDescent="0.35">
      <c r="A2048">
        <v>2047</v>
      </c>
      <c r="B2048">
        <v>39</v>
      </c>
      <c r="C2048" t="s">
        <v>16</v>
      </c>
      <c r="D2048" t="s">
        <v>86</v>
      </c>
      <c r="E2048" t="s">
        <v>18</v>
      </c>
      <c r="F2048">
        <v>32</v>
      </c>
      <c r="G2048" t="s">
        <v>92</v>
      </c>
      <c r="H2048" t="s">
        <v>39</v>
      </c>
      <c r="I2048" t="s">
        <v>28</v>
      </c>
      <c r="J2048" t="s">
        <v>22</v>
      </c>
      <c r="K2048">
        <v>2.8</v>
      </c>
      <c r="L2048" t="s">
        <v>143</v>
      </c>
      <c r="M2048" t="s">
        <v>143</v>
      </c>
      <c r="N2048">
        <v>30</v>
      </c>
      <c r="O2048" t="s">
        <v>29</v>
      </c>
      <c r="P2048" t="s">
        <v>88</v>
      </c>
    </row>
    <row r="2049" spans="1:16" ht="14.5" x14ac:dyDescent="0.35">
      <c r="A2049">
        <v>2048</v>
      </c>
      <c r="B2049">
        <v>58</v>
      </c>
      <c r="C2049" t="s">
        <v>16</v>
      </c>
      <c r="D2049" t="s">
        <v>97</v>
      </c>
      <c r="E2049" t="s">
        <v>60</v>
      </c>
      <c r="F2049">
        <v>82</v>
      </c>
      <c r="G2049" t="s">
        <v>130</v>
      </c>
      <c r="H2049" t="s">
        <v>39</v>
      </c>
      <c r="I2049" t="s">
        <v>58</v>
      </c>
      <c r="J2049" t="s">
        <v>47</v>
      </c>
      <c r="K2049">
        <v>3.1</v>
      </c>
      <c r="L2049" t="s">
        <v>143</v>
      </c>
      <c r="M2049" t="s">
        <v>143</v>
      </c>
      <c r="N2049">
        <v>32</v>
      </c>
      <c r="O2049" t="s">
        <v>29</v>
      </c>
      <c r="P2049" t="s">
        <v>43</v>
      </c>
    </row>
    <row r="2050" spans="1:16" ht="14.5" x14ac:dyDescent="0.35">
      <c r="A2050">
        <v>2049</v>
      </c>
      <c r="B2050">
        <v>45</v>
      </c>
      <c r="C2050" t="s">
        <v>16</v>
      </c>
      <c r="D2050" t="s">
        <v>44</v>
      </c>
      <c r="E2050" t="s">
        <v>37</v>
      </c>
      <c r="F2050">
        <v>64</v>
      </c>
      <c r="G2050" t="s">
        <v>142</v>
      </c>
      <c r="H2050" t="s">
        <v>83</v>
      </c>
      <c r="I2050" t="s">
        <v>62</v>
      </c>
      <c r="J2050" t="s">
        <v>22</v>
      </c>
      <c r="K2050">
        <v>3.9</v>
      </c>
      <c r="L2050" t="s">
        <v>143</v>
      </c>
      <c r="M2050" t="s">
        <v>143</v>
      </c>
      <c r="N2050">
        <v>35</v>
      </c>
      <c r="O2050" t="s">
        <v>66</v>
      </c>
      <c r="P2050" t="s">
        <v>51</v>
      </c>
    </row>
    <row r="2051" spans="1:16" ht="14.5" x14ac:dyDescent="0.35">
      <c r="A2051">
        <v>2050</v>
      </c>
      <c r="B2051">
        <v>68</v>
      </c>
      <c r="C2051" t="s">
        <v>16</v>
      </c>
      <c r="D2051" t="s">
        <v>128</v>
      </c>
      <c r="E2051" t="s">
        <v>37</v>
      </c>
      <c r="F2051">
        <v>24</v>
      </c>
      <c r="G2051" t="s">
        <v>38</v>
      </c>
      <c r="H2051" t="s">
        <v>20</v>
      </c>
      <c r="I2051" t="s">
        <v>135</v>
      </c>
      <c r="J2051" t="s">
        <v>50</v>
      </c>
      <c r="K2051">
        <v>2.7</v>
      </c>
      <c r="L2051" t="s">
        <v>143</v>
      </c>
      <c r="M2051" t="s">
        <v>143</v>
      </c>
      <c r="N2051">
        <v>15</v>
      </c>
      <c r="O2051" t="s">
        <v>24</v>
      </c>
      <c r="P2051" t="s">
        <v>43</v>
      </c>
    </row>
    <row r="2052" spans="1:16" ht="14.5" x14ac:dyDescent="0.35">
      <c r="A2052">
        <v>2051</v>
      </c>
      <c r="B2052">
        <v>35</v>
      </c>
      <c r="C2052" t="s">
        <v>16</v>
      </c>
      <c r="D2052" t="s">
        <v>115</v>
      </c>
      <c r="E2052" t="s">
        <v>60</v>
      </c>
      <c r="F2052">
        <v>96</v>
      </c>
      <c r="G2052" t="s">
        <v>82</v>
      </c>
      <c r="H2052" t="s">
        <v>39</v>
      </c>
      <c r="I2052" t="s">
        <v>76</v>
      </c>
      <c r="J2052" t="s">
        <v>47</v>
      </c>
      <c r="K2052">
        <v>3.4</v>
      </c>
      <c r="L2052" t="s">
        <v>143</v>
      </c>
      <c r="M2052" t="s">
        <v>143</v>
      </c>
      <c r="N2052">
        <v>10</v>
      </c>
      <c r="O2052" t="s">
        <v>77</v>
      </c>
      <c r="P2052" t="s">
        <v>43</v>
      </c>
    </row>
    <row r="2053" spans="1:16" ht="14.5" x14ac:dyDescent="0.35">
      <c r="A2053">
        <v>2052</v>
      </c>
      <c r="B2053">
        <v>65</v>
      </c>
      <c r="C2053" t="s">
        <v>16</v>
      </c>
      <c r="D2053" t="s">
        <v>104</v>
      </c>
      <c r="E2053" t="s">
        <v>18</v>
      </c>
      <c r="F2053">
        <v>94</v>
      </c>
      <c r="G2053" t="s">
        <v>31</v>
      </c>
      <c r="H2053" t="s">
        <v>20</v>
      </c>
      <c r="I2053" t="s">
        <v>85</v>
      </c>
      <c r="J2053" t="s">
        <v>33</v>
      </c>
      <c r="K2053">
        <v>3.8</v>
      </c>
      <c r="L2053" t="s">
        <v>143</v>
      </c>
      <c r="M2053" t="s">
        <v>143</v>
      </c>
      <c r="N2053">
        <v>14</v>
      </c>
      <c r="O2053" t="s">
        <v>34</v>
      </c>
      <c r="P2053" t="s">
        <v>79</v>
      </c>
    </row>
    <row r="2054" spans="1:16" ht="14.5" x14ac:dyDescent="0.35">
      <c r="A2054">
        <v>2053</v>
      </c>
      <c r="B2054">
        <v>45</v>
      </c>
      <c r="C2054" t="s">
        <v>16</v>
      </c>
      <c r="D2054" t="s">
        <v>123</v>
      </c>
      <c r="E2054" t="s">
        <v>60</v>
      </c>
      <c r="F2054">
        <v>48</v>
      </c>
      <c r="G2054" t="s">
        <v>73</v>
      </c>
      <c r="H2054" t="s">
        <v>39</v>
      </c>
      <c r="I2054" t="s">
        <v>21</v>
      </c>
      <c r="J2054" t="s">
        <v>22</v>
      </c>
      <c r="K2054">
        <v>3.7</v>
      </c>
      <c r="L2054" t="s">
        <v>143</v>
      </c>
      <c r="M2054" t="s">
        <v>143</v>
      </c>
      <c r="N2054">
        <v>30</v>
      </c>
      <c r="O2054" t="s">
        <v>66</v>
      </c>
      <c r="P2054" t="s">
        <v>43</v>
      </c>
    </row>
    <row r="2055" spans="1:16" ht="14.5" x14ac:dyDescent="0.35">
      <c r="A2055">
        <v>2054</v>
      </c>
      <c r="B2055">
        <v>19</v>
      </c>
      <c r="C2055" t="s">
        <v>16</v>
      </c>
      <c r="D2055" t="s">
        <v>80</v>
      </c>
      <c r="E2055" t="s">
        <v>60</v>
      </c>
      <c r="F2055">
        <v>60</v>
      </c>
      <c r="G2055" t="s">
        <v>45</v>
      </c>
      <c r="H2055" t="s">
        <v>32</v>
      </c>
      <c r="I2055" t="s">
        <v>65</v>
      </c>
      <c r="J2055" t="s">
        <v>33</v>
      </c>
      <c r="K2055">
        <v>4.5</v>
      </c>
      <c r="L2055" t="s">
        <v>143</v>
      </c>
      <c r="M2055" t="s">
        <v>143</v>
      </c>
      <c r="N2055">
        <v>16</v>
      </c>
      <c r="O2055" t="s">
        <v>34</v>
      </c>
      <c r="P2055" t="s">
        <v>25</v>
      </c>
    </row>
    <row r="2056" spans="1:16" ht="14.5" x14ac:dyDescent="0.35">
      <c r="A2056">
        <v>2055</v>
      </c>
      <c r="B2056">
        <v>65</v>
      </c>
      <c r="C2056" t="s">
        <v>16</v>
      </c>
      <c r="D2056" t="s">
        <v>26</v>
      </c>
      <c r="E2056" t="s">
        <v>18</v>
      </c>
      <c r="F2056">
        <v>56</v>
      </c>
      <c r="G2056" t="s">
        <v>118</v>
      </c>
      <c r="H2056" t="s">
        <v>83</v>
      </c>
      <c r="I2056" t="s">
        <v>71</v>
      </c>
      <c r="J2056" t="s">
        <v>33</v>
      </c>
      <c r="K2056">
        <v>2.9</v>
      </c>
      <c r="L2056" t="s">
        <v>143</v>
      </c>
      <c r="M2056" t="s">
        <v>143</v>
      </c>
      <c r="N2056">
        <v>14</v>
      </c>
      <c r="O2056" t="s">
        <v>40</v>
      </c>
      <c r="P2056" t="s">
        <v>43</v>
      </c>
    </row>
    <row r="2057" spans="1:16" ht="14.5" x14ac:dyDescent="0.35">
      <c r="A2057">
        <v>2056</v>
      </c>
      <c r="B2057">
        <v>28</v>
      </c>
      <c r="C2057" t="s">
        <v>16</v>
      </c>
      <c r="D2057" t="s">
        <v>59</v>
      </c>
      <c r="E2057" t="s">
        <v>60</v>
      </c>
      <c r="F2057">
        <v>33</v>
      </c>
      <c r="G2057" t="s">
        <v>96</v>
      </c>
      <c r="H2057" t="s">
        <v>39</v>
      </c>
      <c r="I2057" t="s">
        <v>58</v>
      </c>
      <c r="J2057" t="s">
        <v>50</v>
      </c>
      <c r="K2057">
        <v>3.4</v>
      </c>
      <c r="L2057" t="s">
        <v>143</v>
      </c>
      <c r="M2057" t="s">
        <v>143</v>
      </c>
      <c r="N2057">
        <v>28</v>
      </c>
      <c r="O2057" t="s">
        <v>66</v>
      </c>
      <c r="P2057" t="s">
        <v>35</v>
      </c>
    </row>
    <row r="2058" spans="1:16" ht="14.5" x14ac:dyDescent="0.35">
      <c r="A2058">
        <v>2057</v>
      </c>
      <c r="B2058">
        <v>55</v>
      </c>
      <c r="C2058" t="s">
        <v>16</v>
      </c>
      <c r="D2058" t="s">
        <v>123</v>
      </c>
      <c r="E2058" t="s">
        <v>60</v>
      </c>
      <c r="F2058">
        <v>46</v>
      </c>
      <c r="G2058" t="s">
        <v>139</v>
      </c>
      <c r="H2058" t="s">
        <v>20</v>
      </c>
      <c r="I2058" t="s">
        <v>135</v>
      </c>
      <c r="J2058" t="s">
        <v>33</v>
      </c>
      <c r="K2058">
        <v>4.4000000000000004</v>
      </c>
      <c r="L2058" t="s">
        <v>143</v>
      </c>
      <c r="M2058" t="s">
        <v>143</v>
      </c>
      <c r="N2058">
        <v>29</v>
      </c>
      <c r="O2058" t="s">
        <v>40</v>
      </c>
      <c r="P2058" t="s">
        <v>79</v>
      </c>
    </row>
    <row r="2059" spans="1:16" ht="14.5" x14ac:dyDescent="0.35">
      <c r="A2059">
        <v>2058</v>
      </c>
      <c r="B2059">
        <v>66</v>
      </c>
      <c r="C2059" t="s">
        <v>16</v>
      </c>
      <c r="D2059" t="s">
        <v>116</v>
      </c>
      <c r="E2059" t="s">
        <v>18</v>
      </c>
      <c r="F2059">
        <v>37</v>
      </c>
      <c r="G2059" t="s">
        <v>138</v>
      </c>
      <c r="H2059" t="s">
        <v>20</v>
      </c>
      <c r="I2059" t="s">
        <v>125</v>
      </c>
      <c r="J2059" t="s">
        <v>33</v>
      </c>
      <c r="K2059">
        <v>4.2</v>
      </c>
      <c r="L2059" t="s">
        <v>143</v>
      </c>
      <c r="M2059" t="s">
        <v>143</v>
      </c>
      <c r="N2059">
        <v>5</v>
      </c>
      <c r="O2059" t="s">
        <v>40</v>
      </c>
      <c r="P2059" t="s">
        <v>88</v>
      </c>
    </row>
    <row r="2060" spans="1:16" ht="14.5" x14ac:dyDescent="0.35">
      <c r="A2060">
        <v>2059</v>
      </c>
      <c r="B2060">
        <v>29</v>
      </c>
      <c r="C2060" t="s">
        <v>16</v>
      </c>
      <c r="D2060" t="s">
        <v>48</v>
      </c>
      <c r="E2060" t="s">
        <v>18</v>
      </c>
      <c r="F2060">
        <v>98</v>
      </c>
      <c r="G2060" t="s">
        <v>140</v>
      </c>
      <c r="H2060" t="s">
        <v>39</v>
      </c>
      <c r="I2060" t="s">
        <v>101</v>
      </c>
      <c r="J2060" t="s">
        <v>22</v>
      </c>
      <c r="K2060">
        <v>3.3</v>
      </c>
      <c r="L2060" t="s">
        <v>143</v>
      </c>
      <c r="M2060" t="s">
        <v>143</v>
      </c>
      <c r="N2060">
        <v>17</v>
      </c>
      <c r="O2060" t="s">
        <v>66</v>
      </c>
      <c r="P2060" t="s">
        <v>51</v>
      </c>
    </row>
    <row r="2061" spans="1:16" ht="14.5" x14ac:dyDescent="0.35">
      <c r="A2061">
        <v>2060</v>
      </c>
      <c r="B2061">
        <v>56</v>
      </c>
      <c r="C2061" t="s">
        <v>16</v>
      </c>
      <c r="D2061" t="s">
        <v>52</v>
      </c>
      <c r="E2061" t="s">
        <v>18</v>
      </c>
      <c r="F2061">
        <v>50</v>
      </c>
      <c r="G2061" t="s">
        <v>90</v>
      </c>
      <c r="H2061" t="s">
        <v>83</v>
      </c>
      <c r="I2061" t="s">
        <v>109</v>
      </c>
      <c r="J2061" t="s">
        <v>33</v>
      </c>
      <c r="K2061">
        <v>3.7</v>
      </c>
      <c r="L2061" t="s">
        <v>143</v>
      </c>
      <c r="M2061" t="s">
        <v>143</v>
      </c>
      <c r="N2061">
        <v>50</v>
      </c>
      <c r="O2061" t="s">
        <v>40</v>
      </c>
      <c r="P2061" t="s">
        <v>35</v>
      </c>
    </row>
    <row r="2062" spans="1:16" ht="14.5" x14ac:dyDescent="0.35">
      <c r="A2062">
        <v>2061</v>
      </c>
      <c r="B2062">
        <v>21</v>
      </c>
      <c r="C2062" t="s">
        <v>16</v>
      </c>
      <c r="D2062" t="s">
        <v>124</v>
      </c>
      <c r="E2062" t="s">
        <v>60</v>
      </c>
      <c r="F2062">
        <v>63</v>
      </c>
      <c r="G2062" t="s">
        <v>141</v>
      </c>
      <c r="H2062" t="s">
        <v>39</v>
      </c>
      <c r="I2062" t="s">
        <v>135</v>
      </c>
      <c r="J2062" t="s">
        <v>50</v>
      </c>
      <c r="K2062">
        <v>3.2</v>
      </c>
      <c r="L2062" t="s">
        <v>143</v>
      </c>
      <c r="M2062" t="s">
        <v>143</v>
      </c>
      <c r="N2062">
        <v>23</v>
      </c>
      <c r="O2062" t="s">
        <v>66</v>
      </c>
      <c r="P2062" t="s">
        <v>51</v>
      </c>
    </row>
    <row r="2063" spans="1:16" ht="14.5" x14ac:dyDescent="0.35">
      <c r="A2063">
        <v>2062</v>
      </c>
      <c r="B2063">
        <v>32</v>
      </c>
      <c r="C2063" t="s">
        <v>16</v>
      </c>
      <c r="D2063" t="s">
        <v>26</v>
      </c>
      <c r="E2063" t="s">
        <v>18</v>
      </c>
      <c r="F2063">
        <v>70</v>
      </c>
      <c r="G2063" t="s">
        <v>142</v>
      </c>
      <c r="H2063" t="s">
        <v>32</v>
      </c>
      <c r="I2063" t="s">
        <v>127</v>
      </c>
      <c r="J2063" t="s">
        <v>47</v>
      </c>
      <c r="K2063">
        <v>2.6</v>
      </c>
      <c r="L2063" t="s">
        <v>143</v>
      </c>
      <c r="M2063" t="s">
        <v>143</v>
      </c>
      <c r="N2063">
        <v>22</v>
      </c>
      <c r="O2063" t="s">
        <v>77</v>
      </c>
      <c r="P2063" t="s">
        <v>43</v>
      </c>
    </row>
    <row r="2064" spans="1:16" ht="14.5" x14ac:dyDescent="0.35">
      <c r="A2064">
        <v>2063</v>
      </c>
      <c r="B2064">
        <v>54</v>
      </c>
      <c r="C2064" t="s">
        <v>16</v>
      </c>
      <c r="D2064" t="s">
        <v>55</v>
      </c>
      <c r="E2064" t="s">
        <v>56</v>
      </c>
      <c r="F2064">
        <v>63</v>
      </c>
      <c r="G2064" t="s">
        <v>122</v>
      </c>
      <c r="H2064" t="s">
        <v>20</v>
      </c>
      <c r="I2064" t="s">
        <v>58</v>
      </c>
      <c r="J2064" t="s">
        <v>50</v>
      </c>
      <c r="K2064">
        <v>2.8</v>
      </c>
      <c r="L2064" t="s">
        <v>143</v>
      </c>
      <c r="M2064" t="s">
        <v>143</v>
      </c>
      <c r="N2064">
        <v>15</v>
      </c>
      <c r="O2064" t="s">
        <v>29</v>
      </c>
      <c r="P2064" t="s">
        <v>51</v>
      </c>
    </row>
    <row r="2065" spans="1:16" ht="14.5" x14ac:dyDescent="0.35">
      <c r="A2065">
        <v>2064</v>
      </c>
      <c r="B2065">
        <v>61</v>
      </c>
      <c r="C2065" t="s">
        <v>16</v>
      </c>
      <c r="D2065" t="s">
        <v>52</v>
      </c>
      <c r="E2065" t="s">
        <v>18</v>
      </c>
      <c r="F2065">
        <v>86</v>
      </c>
      <c r="G2065" t="s">
        <v>107</v>
      </c>
      <c r="H2065" t="s">
        <v>39</v>
      </c>
      <c r="I2065" t="s">
        <v>100</v>
      </c>
      <c r="J2065" t="s">
        <v>50</v>
      </c>
      <c r="K2065">
        <v>2.9</v>
      </c>
      <c r="L2065" t="s">
        <v>143</v>
      </c>
      <c r="M2065" t="s">
        <v>143</v>
      </c>
      <c r="N2065">
        <v>32</v>
      </c>
      <c r="O2065" t="s">
        <v>29</v>
      </c>
      <c r="P2065" t="s">
        <v>79</v>
      </c>
    </row>
    <row r="2066" spans="1:16" ht="14.5" x14ac:dyDescent="0.35">
      <c r="A2066">
        <v>2065</v>
      </c>
      <c r="B2066">
        <v>31</v>
      </c>
      <c r="C2066" t="s">
        <v>16</v>
      </c>
      <c r="D2066" t="s">
        <v>63</v>
      </c>
      <c r="E2066" t="s">
        <v>37</v>
      </c>
      <c r="F2066">
        <v>99</v>
      </c>
      <c r="G2066" t="s">
        <v>64</v>
      </c>
      <c r="H2066" t="s">
        <v>39</v>
      </c>
      <c r="I2066" t="s">
        <v>87</v>
      </c>
      <c r="J2066" t="s">
        <v>47</v>
      </c>
      <c r="K2066">
        <v>4</v>
      </c>
      <c r="L2066" t="s">
        <v>143</v>
      </c>
      <c r="M2066" t="s">
        <v>143</v>
      </c>
      <c r="N2066">
        <v>5</v>
      </c>
      <c r="O2066" t="s">
        <v>66</v>
      </c>
      <c r="P2066" t="s">
        <v>79</v>
      </c>
    </row>
    <row r="2067" spans="1:16" ht="14.5" x14ac:dyDescent="0.35">
      <c r="A2067">
        <v>2066</v>
      </c>
      <c r="B2067">
        <v>27</v>
      </c>
      <c r="C2067" t="s">
        <v>16</v>
      </c>
      <c r="D2067" t="s">
        <v>44</v>
      </c>
      <c r="E2067" t="s">
        <v>37</v>
      </c>
      <c r="F2067">
        <v>40</v>
      </c>
      <c r="G2067" t="s">
        <v>41</v>
      </c>
      <c r="H2067" t="s">
        <v>39</v>
      </c>
      <c r="I2067" t="s">
        <v>135</v>
      </c>
      <c r="J2067" t="s">
        <v>33</v>
      </c>
      <c r="K2067">
        <v>2.9</v>
      </c>
      <c r="L2067" t="s">
        <v>143</v>
      </c>
      <c r="M2067" t="s">
        <v>143</v>
      </c>
      <c r="N2067">
        <v>6</v>
      </c>
      <c r="O2067" t="s">
        <v>66</v>
      </c>
      <c r="P2067" t="s">
        <v>67</v>
      </c>
    </row>
    <row r="2068" spans="1:16" ht="14.5" x14ac:dyDescent="0.35">
      <c r="A2068">
        <v>2067</v>
      </c>
      <c r="B2068">
        <v>64</v>
      </c>
      <c r="C2068" t="s">
        <v>16</v>
      </c>
      <c r="D2068" t="s">
        <v>44</v>
      </c>
      <c r="E2068" t="s">
        <v>37</v>
      </c>
      <c r="F2068">
        <v>92</v>
      </c>
      <c r="G2068" t="s">
        <v>106</v>
      </c>
      <c r="H2068" t="s">
        <v>39</v>
      </c>
      <c r="I2068" t="s">
        <v>69</v>
      </c>
      <c r="J2068" t="s">
        <v>50</v>
      </c>
      <c r="K2068">
        <v>4.7</v>
      </c>
      <c r="L2068" t="s">
        <v>143</v>
      </c>
      <c r="M2068" t="s">
        <v>143</v>
      </c>
      <c r="N2068">
        <v>44</v>
      </c>
      <c r="O2068" t="s">
        <v>77</v>
      </c>
      <c r="P2068" t="s">
        <v>25</v>
      </c>
    </row>
    <row r="2069" spans="1:16" ht="14.5" x14ac:dyDescent="0.35">
      <c r="A2069">
        <v>2068</v>
      </c>
      <c r="B2069">
        <v>60</v>
      </c>
      <c r="C2069" t="s">
        <v>16</v>
      </c>
      <c r="D2069" t="s">
        <v>86</v>
      </c>
      <c r="E2069" t="s">
        <v>18</v>
      </c>
      <c r="F2069">
        <v>21</v>
      </c>
      <c r="G2069" t="s">
        <v>119</v>
      </c>
      <c r="H2069" t="s">
        <v>83</v>
      </c>
      <c r="I2069" t="s">
        <v>109</v>
      </c>
      <c r="J2069" t="s">
        <v>50</v>
      </c>
      <c r="K2069">
        <v>3.1</v>
      </c>
      <c r="L2069" t="s">
        <v>143</v>
      </c>
      <c r="M2069" t="s">
        <v>143</v>
      </c>
      <c r="N2069">
        <v>23</v>
      </c>
      <c r="O2069" t="s">
        <v>29</v>
      </c>
      <c r="P2069" t="s">
        <v>25</v>
      </c>
    </row>
    <row r="2070" spans="1:16" ht="14.5" x14ac:dyDescent="0.35">
      <c r="A2070">
        <v>2069</v>
      </c>
      <c r="B2070">
        <v>70</v>
      </c>
      <c r="C2070" t="s">
        <v>16</v>
      </c>
      <c r="D2070" t="s">
        <v>97</v>
      </c>
      <c r="E2070" t="s">
        <v>60</v>
      </c>
      <c r="F2070">
        <v>81</v>
      </c>
      <c r="G2070" t="s">
        <v>120</v>
      </c>
      <c r="H2070" t="s">
        <v>83</v>
      </c>
      <c r="I2070" t="s">
        <v>85</v>
      </c>
      <c r="J2070" t="s">
        <v>47</v>
      </c>
      <c r="K2070">
        <v>3.9</v>
      </c>
      <c r="L2070" t="s">
        <v>143</v>
      </c>
      <c r="M2070" t="s">
        <v>143</v>
      </c>
      <c r="N2070">
        <v>44</v>
      </c>
      <c r="O2070" t="s">
        <v>24</v>
      </c>
      <c r="P2070" t="s">
        <v>79</v>
      </c>
    </row>
    <row r="2071" spans="1:16" ht="14.5" x14ac:dyDescent="0.35">
      <c r="A2071">
        <v>2070</v>
      </c>
      <c r="B2071">
        <v>36</v>
      </c>
      <c r="C2071" t="s">
        <v>16</v>
      </c>
      <c r="D2071" t="s">
        <v>104</v>
      </c>
      <c r="E2071" t="s">
        <v>18</v>
      </c>
      <c r="F2071">
        <v>82</v>
      </c>
      <c r="G2071" t="s">
        <v>96</v>
      </c>
      <c r="H2071" t="s">
        <v>39</v>
      </c>
      <c r="I2071" t="s">
        <v>117</v>
      </c>
      <c r="J2071" t="s">
        <v>50</v>
      </c>
      <c r="K2071">
        <v>3.4</v>
      </c>
      <c r="L2071" t="s">
        <v>143</v>
      </c>
      <c r="M2071" t="s">
        <v>143</v>
      </c>
      <c r="N2071">
        <v>3</v>
      </c>
      <c r="O2071" t="s">
        <v>77</v>
      </c>
      <c r="P2071" t="s">
        <v>51</v>
      </c>
    </row>
    <row r="2072" spans="1:16" ht="14.5" x14ac:dyDescent="0.35">
      <c r="A2072">
        <v>2071</v>
      </c>
      <c r="B2072">
        <v>56</v>
      </c>
      <c r="C2072" t="s">
        <v>16</v>
      </c>
      <c r="D2072" t="s">
        <v>97</v>
      </c>
      <c r="E2072" t="s">
        <v>60</v>
      </c>
      <c r="F2072">
        <v>88</v>
      </c>
      <c r="G2072" t="s">
        <v>136</v>
      </c>
      <c r="H2072" t="s">
        <v>83</v>
      </c>
      <c r="I2072" t="s">
        <v>99</v>
      </c>
      <c r="J2072" t="s">
        <v>33</v>
      </c>
      <c r="K2072">
        <v>3.1</v>
      </c>
      <c r="L2072" t="s">
        <v>143</v>
      </c>
      <c r="M2072" t="s">
        <v>143</v>
      </c>
      <c r="N2072">
        <v>14</v>
      </c>
      <c r="O2072" t="s">
        <v>29</v>
      </c>
      <c r="P2072" t="s">
        <v>79</v>
      </c>
    </row>
    <row r="2073" spans="1:16" ht="14.5" x14ac:dyDescent="0.35">
      <c r="A2073">
        <v>2072</v>
      </c>
      <c r="B2073">
        <v>69</v>
      </c>
      <c r="C2073" t="s">
        <v>16</v>
      </c>
      <c r="D2073" t="s">
        <v>93</v>
      </c>
      <c r="E2073" t="s">
        <v>56</v>
      </c>
      <c r="F2073">
        <v>100</v>
      </c>
      <c r="G2073" t="s">
        <v>122</v>
      </c>
      <c r="H2073" t="s">
        <v>32</v>
      </c>
      <c r="I2073" t="s">
        <v>125</v>
      </c>
      <c r="J2073" t="s">
        <v>50</v>
      </c>
      <c r="K2073">
        <v>4.8</v>
      </c>
      <c r="L2073" t="s">
        <v>143</v>
      </c>
      <c r="M2073" t="s">
        <v>143</v>
      </c>
      <c r="N2073">
        <v>37</v>
      </c>
      <c r="O2073" t="s">
        <v>40</v>
      </c>
      <c r="P2073" t="s">
        <v>51</v>
      </c>
    </row>
    <row r="2074" spans="1:16" ht="14.5" x14ac:dyDescent="0.35">
      <c r="A2074">
        <v>2073</v>
      </c>
      <c r="B2074">
        <v>39</v>
      </c>
      <c r="C2074" t="s">
        <v>16</v>
      </c>
      <c r="D2074" t="s">
        <v>123</v>
      </c>
      <c r="E2074" t="s">
        <v>60</v>
      </c>
      <c r="F2074">
        <v>66</v>
      </c>
      <c r="G2074" t="s">
        <v>31</v>
      </c>
      <c r="H2074" t="s">
        <v>39</v>
      </c>
      <c r="I2074" t="s">
        <v>109</v>
      </c>
      <c r="J2074" t="s">
        <v>22</v>
      </c>
      <c r="K2074">
        <v>3.9</v>
      </c>
      <c r="L2074" t="s">
        <v>143</v>
      </c>
      <c r="M2074" t="s">
        <v>143</v>
      </c>
      <c r="N2074">
        <v>22</v>
      </c>
      <c r="O2074" t="s">
        <v>66</v>
      </c>
      <c r="P2074" t="s">
        <v>35</v>
      </c>
    </row>
    <row r="2075" spans="1:16" ht="14.5" x14ac:dyDescent="0.35">
      <c r="A2075">
        <v>2074</v>
      </c>
      <c r="B2075">
        <v>38</v>
      </c>
      <c r="C2075" t="s">
        <v>16</v>
      </c>
      <c r="D2075" t="s">
        <v>124</v>
      </c>
      <c r="E2075" t="s">
        <v>60</v>
      </c>
      <c r="F2075">
        <v>25</v>
      </c>
      <c r="G2075" t="s">
        <v>96</v>
      </c>
      <c r="H2075" t="s">
        <v>32</v>
      </c>
      <c r="I2075" t="s">
        <v>87</v>
      </c>
      <c r="J2075" t="s">
        <v>22</v>
      </c>
      <c r="K2075">
        <v>3.5</v>
      </c>
      <c r="L2075" t="s">
        <v>143</v>
      </c>
      <c r="M2075" t="s">
        <v>143</v>
      </c>
      <c r="N2075">
        <v>2</v>
      </c>
      <c r="O2075" t="s">
        <v>40</v>
      </c>
      <c r="P2075" t="s">
        <v>88</v>
      </c>
    </row>
    <row r="2076" spans="1:16" ht="14.5" x14ac:dyDescent="0.35">
      <c r="A2076">
        <v>2075</v>
      </c>
      <c r="B2076">
        <v>36</v>
      </c>
      <c r="C2076" t="s">
        <v>16</v>
      </c>
      <c r="D2076" t="s">
        <v>110</v>
      </c>
      <c r="E2076" t="s">
        <v>60</v>
      </c>
      <c r="F2076">
        <v>53</v>
      </c>
      <c r="G2076" t="s">
        <v>94</v>
      </c>
      <c r="H2076" t="s">
        <v>39</v>
      </c>
      <c r="I2076" t="s">
        <v>46</v>
      </c>
      <c r="J2076" t="s">
        <v>47</v>
      </c>
      <c r="K2076">
        <v>3.1</v>
      </c>
      <c r="L2076" t="s">
        <v>143</v>
      </c>
      <c r="M2076" t="s">
        <v>143</v>
      </c>
      <c r="N2076">
        <v>44</v>
      </c>
      <c r="O2076" t="s">
        <v>77</v>
      </c>
      <c r="P2076" t="s">
        <v>25</v>
      </c>
    </row>
    <row r="2077" spans="1:16" ht="14.5" x14ac:dyDescent="0.35">
      <c r="A2077">
        <v>2076</v>
      </c>
      <c r="B2077">
        <v>46</v>
      </c>
      <c r="C2077" t="s">
        <v>16</v>
      </c>
      <c r="D2077" t="s">
        <v>26</v>
      </c>
      <c r="E2077" t="s">
        <v>18</v>
      </c>
      <c r="F2077">
        <v>28</v>
      </c>
      <c r="G2077" t="s">
        <v>122</v>
      </c>
      <c r="H2077" t="s">
        <v>32</v>
      </c>
      <c r="I2077" t="s">
        <v>42</v>
      </c>
      <c r="J2077" t="s">
        <v>50</v>
      </c>
      <c r="K2077">
        <v>4.7</v>
      </c>
      <c r="L2077" t="s">
        <v>143</v>
      </c>
      <c r="M2077" t="s">
        <v>143</v>
      </c>
      <c r="N2077">
        <v>49</v>
      </c>
      <c r="O2077" t="s">
        <v>77</v>
      </c>
      <c r="P2077" t="s">
        <v>79</v>
      </c>
    </row>
    <row r="2078" spans="1:16" ht="14.5" x14ac:dyDescent="0.35">
      <c r="A2078">
        <v>2077</v>
      </c>
      <c r="B2078">
        <v>59</v>
      </c>
      <c r="C2078" t="s">
        <v>16</v>
      </c>
      <c r="D2078" t="s">
        <v>134</v>
      </c>
      <c r="E2078" t="s">
        <v>60</v>
      </c>
      <c r="F2078">
        <v>23</v>
      </c>
      <c r="G2078" t="s">
        <v>94</v>
      </c>
      <c r="H2078" t="s">
        <v>32</v>
      </c>
      <c r="I2078" t="s">
        <v>117</v>
      </c>
      <c r="J2078" t="s">
        <v>50</v>
      </c>
      <c r="K2078">
        <v>4.5999999999999996</v>
      </c>
      <c r="L2078" t="s">
        <v>143</v>
      </c>
      <c r="M2078" t="s">
        <v>143</v>
      </c>
      <c r="N2078">
        <v>22</v>
      </c>
      <c r="O2078" t="s">
        <v>77</v>
      </c>
      <c r="P2078" t="s">
        <v>67</v>
      </c>
    </row>
    <row r="2079" spans="1:16" ht="14.5" x14ac:dyDescent="0.35">
      <c r="A2079">
        <v>2078</v>
      </c>
      <c r="B2079">
        <v>64</v>
      </c>
      <c r="C2079" t="s">
        <v>16</v>
      </c>
      <c r="D2079" t="s">
        <v>110</v>
      </c>
      <c r="E2079" t="s">
        <v>60</v>
      </c>
      <c r="F2079">
        <v>34</v>
      </c>
      <c r="G2079" t="s">
        <v>136</v>
      </c>
      <c r="H2079" t="s">
        <v>20</v>
      </c>
      <c r="I2079" t="s">
        <v>112</v>
      </c>
      <c r="J2079" t="s">
        <v>50</v>
      </c>
      <c r="K2079">
        <v>3.3</v>
      </c>
      <c r="L2079" t="s">
        <v>143</v>
      </c>
      <c r="M2079" t="s">
        <v>143</v>
      </c>
      <c r="N2079">
        <v>26</v>
      </c>
      <c r="O2079" t="s">
        <v>66</v>
      </c>
      <c r="P2079" t="s">
        <v>43</v>
      </c>
    </row>
    <row r="2080" spans="1:16" ht="14.5" x14ac:dyDescent="0.35">
      <c r="A2080">
        <v>2079</v>
      </c>
      <c r="B2080">
        <v>49</v>
      </c>
      <c r="C2080" t="s">
        <v>16</v>
      </c>
      <c r="D2080" t="s">
        <v>72</v>
      </c>
      <c r="E2080" t="s">
        <v>18</v>
      </c>
      <c r="F2080">
        <v>42</v>
      </c>
      <c r="G2080" t="s">
        <v>68</v>
      </c>
      <c r="H2080" t="s">
        <v>39</v>
      </c>
      <c r="I2080" t="s">
        <v>135</v>
      </c>
      <c r="J2080" t="s">
        <v>33</v>
      </c>
      <c r="K2080">
        <v>3.2</v>
      </c>
      <c r="L2080" t="s">
        <v>143</v>
      </c>
      <c r="M2080" t="s">
        <v>143</v>
      </c>
      <c r="N2080">
        <v>40</v>
      </c>
      <c r="O2080" t="s">
        <v>77</v>
      </c>
      <c r="P2080" t="s">
        <v>35</v>
      </c>
    </row>
    <row r="2081" spans="1:16" ht="14.5" x14ac:dyDescent="0.35">
      <c r="A2081">
        <v>2080</v>
      </c>
      <c r="B2081">
        <v>32</v>
      </c>
      <c r="C2081" t="s">
        <v>16</v>
      </c>
      <c r="D2081" t="s">
        <v>30</v>
      </c>
      <c r="E2081" t="s">
        <v>18</v>
      </c>
      <c r="F2081">
        <v>24</v>
      </c>
      <c r="G2081" t="s">
        <v>49</v>
      </c>
      <c r="H2081" t="s">
        <v>20</v>
      </c>
      <c r="I2081" t="s">
        <v>74</v>
      </c>
      <c r="J2081" t="s">
        <v>47</v>
      </c>
      <c r="K2081">
        <v>3.1</v>
      </c>
      <c r="L2081" t="s">
        <v>143</v>
      </c>
      <c r="M2081" t="s">
        <v>143</v>
      </c>
      <c r="N2081">
        <v>16</v>
      </c>
      <c r="O2081" t="s">
        <v>40</v>
      </c>
      <c r="P2081" t="s">
        <v>51</v>
      </c>
    </row>
    <row r="2082" spans="1:16" ht="14.5" x14ac:dyDescent="0.35">
      <c r="A2082">
        <v>2081</v>
      </c>
      <c r="B2082">
        <v>29</v>
      </c>
      <c r="C2082" t="s">
        <v>16</v>
      </c>
      <c r="D2082" t="s">
        <v>80</v>
      </c>
      <c r="E2082" t="s">
        <v>60</v>
      </c>
      <c r="F2082">
        <v>47</v>
      </c>
      <c r="G2082" t="s">
        <v>138</v>
      </c>
      <c r="H2082" t="s">
        <v>32</v>
      </c>
      <c r="I2082" t="s">
        <v>21</v>
      </c>
      <c r="J2082" t="s">
        <v>50</v>
      </c>
      <c r="K2082">
        <v>3.5</v>
      </c>
      <c r="L2082" t="s">
        <v>143</v>
      </c>
      <c r="M2082" t="s">
        <v>143</v>
      </c>
      <c r="N2082">
        <v>17</v>
      </c>
      <c r="O2082" t="s">
        <v>77</v>
      </c>
      <c r="P2082" t="s">
        <v>67</v>
      </c>
    </row>
    <row r="2083" spans="1:16" ht="14.5" x14ac:dyDescent="0.35">
      <c r="A2083">
        <v>2082</v>
      </c>
      <c r="B2083">
        <v>24</v>
      </c>
      <c r="C2083" t="s">
        <v>16</v>
      </c>
      <c r="D2083" t="s">
        <v>55</v>
      </c>
      <c r="E2083" t="s">
        <v>56</v>
      </c>
      <c r="F2083">
        <v>78</v>
      </c>
      <c r="G2083" t="s">
        <v>81</v>
      </c>
      <c r="H2083" t="s">
        <v>32</v>
      </c>
      <c r="I2083" t="s">
        <v>100</v>
      </c>
      <c r="J2083" t="s">
        <v>33</v>
      </c>
      <c r="K2083">
        <v>4.3</v>
      </c>
      <c r="L2083" t="s">
        <v>143</v>
      </c>
      <c r="M2083" t="s">
        <v>143</v>
      </c>
      <c r="N2083">
        <v>48</v>
      </c>
      <c r="O2083" t="s">
        <v>66</v>
      </c>
      <c r="P2083" t="s">
        <v>67</v>
      </c>
    </row>
    <row r="2084" spans="1:16" ht="14.5" x14ac:dyDescent="0.35">
      <c r="A2084">
        <v>2083</v>
      </c>
      <c r="B2084">
        <v>41</v>
      </c>
      <c r="C2084" t="s">
        <v>16</v>
      </c>
      <c r="D2084" t="s">
        <v>30</v>
      </c>
      <c r="E2084" t="s">
        <v>18</v>
      </c>
      <c r="F2084">
        <v>89</v>
      </c>
      <c r="G2084" t="s">
        <v>64</v>
      </c>
      <c r="H2084" t="s">
        <v>39</v>
      </c>
      <c r="I2084" t="s">
        <v>125</v>
      </c>
      <c r="J2084" t="s">
        <v>47</v>
      </c>
      <c r="K2084">
        <v>2.9</v>
      </c>
      <c r="L2084" t="s">
        <v>143</v>
      </c>
      <c r="M2084" t="s">
        <v>143</v>
      </c>
      <c r="N2084">
        <v>28</v>
      </c>
      <c r="O2084" t="s">
        <v>24</v>
      </c>
      <c r="P2084" t="s">
        <v>88</v>
      </c>
    </row>
    <row r="2085" spans="1:16" ht="14.5" x14ac:dyDescent="0.35">
      <c r="A2085">
        <v>2084</v>
      </c>
      <c r="B2085">
        <v>41</v>
      </c>
      <c r="C2085" t="s">
        <v>16</v>
      </c>
      <c r="D2085" t="s">
        <v>110</v>
      </c>
      <c r="E2085" t="s">
        <v>60</v>
      </c>
      <c r="F2085">
        <v>59</v>
      </c>
      <c r="G2085" t="s">
        <v>82</v>
      </c>
      <c r="H2085" t="s">
        <v>20</v>
      </c>
      <c r="I2085" t="s">
        <v>112</v>
      </c>
      <c r="J2085" t="s">
        <v>50</v>
      </c>
      <c r="K2085">
        <v>2.7</v>
      </c>
      <c r="L2085" t="s">
        <v>143</v>
      </c>
      <c r="M2085" t="s">
        <v>143</v>
      </c>
      <c r="N2085">
        <v>26</v>
      </c>
      <c r="O2085" t="s">
        <v>34</v>
      </c>
      <c r="P2085" t="s">
        <v>25</v>
      </c>
    </row>
    <row r="2086" spans="1:16" ht="14.5" x14ac:dyDescent="0.35">
      <c r="A2086">
        <v>2085</v>
      </c>
      <c r="B2086">
        <v>32</v>
      </c>
      <c r="C2086" t="s">
        <v>16</v>
      </c>
      <c r="D2086" t="s">
        <v>17</v>
      </c>
      <c r="E2086" t="s">
        <v>18</v>
      </c>
      <c r="F2086">
        <v>94</v>
      </c>
      <c r="G2086" t="s">
        <v>120</v>
      </c>
      <c r="H2086" t="s">
        <v>32</v>
      </c>
      <c r="I2086" t="s">
        <v>101</v>
      </c>
      <c r="J2086" t="s">
        <v>47</v>
      </c>
      <c r="K2086">
        <v>4</v>
      </c>
      <c r="L2086" t="s">
        <v>143</v>
      </c>
      <c r="M2086" t="s">
        <v>143</v>
      </c>
      <c r="N2086">
        <v>43</v>
      </c>
      <c r="O2086" t="s">
        <v>66</v>
      </c>
      <c r="P2086" t="s">
        <v>51</v>
      </c>
    </row>
    <row r="2087" spans="1:16" ht="14.5" x14ac:dyDescent="0.35">
      <c r="A2087">
        <v>2086</v>
      </c>
      <c r="B2087">
        <v>69</v>
      </c>
      <c r="C2087" t="s">
        <v>16</v>
      </c>
      <c r="D2087" t="s">
        <v>30</v>
      </c>
      <c r="E2087" t="s">
        <v>18</v>
      </c>
      <c r="F2087">
        <v>49</v>
      </c>
      <c r="G2087" t="s">
        <v>75</v>
      </c>
      <c r="H2087" t="s">
        <v>39</v>
      </c>
      <c r="I2087" t="s">
        <v>76</v>
      </c>
      <c r="J2087" t="s">
        <v>50</v>
      </c>
      <c r="K2087">
        <v>4.5999999999999996</v>
      </c>
      <c r="L2087" t="s">
        <v>143</v>
      </c>
      <c r="M2087" t="s">
        <v>143</v>
      </c>
      <c r="N2087">
        <v>38</v>
      </c>
      <c r="O2087" t="s">
        <v>77</v>
      </c>
      <c r="P2087" t="s">
        <v>35</v>
      </c>
    </row>
    <row r="2088" spans="1:16" ht="14.5" x14ac:dyDescent="0.35">
      <c r="A2088">
        <v>2087</v>
      </c>
      <c r="B2088">
        <v>65</v>
      </c>
      <c r="C2088" t="s">
        <v>16</v>
      </c>
      <c r="D2088" t="s">
        <v>72</v>
      </c>
      <c r="E2088" t="s">
        <v>18</v>
      </c>
      <c r="F2088">
        <v>89</v>
      </c>
      <c r="G2088" t="s">
        <v>105</v>
      </c>
      <c r="H2088" t="s">
        <v>20</v>
      </c>
      <c r="I2088" t="s">
        <v>109</v>
      </c>
      <c r="J2088" t="s">
        <v>47</v>
      </c>
      <c r="K2088">
        <v>4.7</v>
      </c>
      <c r="L2088" t="s">
        <v>143</v>
      </c>
      <c r="M2088" t="s">
        <v>143</v>
      </c>
      <c r="N2088">
        <v>36</v>
      </c>
      <c r="O2088" t="s">
        <v>29</v>
      </c>
      <c r="P2088" t="s">
        <v>88</v>
      </c>
    </row>
    <row r="2089" spans="1:16" ht="14.5" x14ac:dyDescent="0.35">
      <c r="A2089">
        <v>2088</v>
      </c>
      <c r="B2089">
        <v>54</v>
      </c>
      <c r="C2089" t="s">
        <v>16</v>
      </c>
      <c r="D2089" t="s">
        <v>115</v>
      </c>
      <c r="E2089" t="s">
        <v>60</v>
      </c>
      <c r="F2089">
        <v>91</v>
      </c>
      <c r="G2089" t="s">
        <v>141</v>
      </c>
      <c r="H2089" t="s">
        <v>39</v>
      </c>
      <c r="I2089" t="s">
        <v>135</v>
      </c>
      <c r="J2089" t="s">
        <v>47</v>
      </c>
      <c r="K2089">
        <v>4.7</v>
      </c>
      <c r="L2089" t="s">
        <v>143</v>
      </c>
      <c r="M2089" t="s">
        <v>143</v>
      </c>
      <c r="N2089">
        <v>1</v>
      </c>
      <c r="O2089" t="s">
        <v>34</v>
      </c>
      <c r="P2089" t="s">
        <v>35</v>
      </c>
    </row>
    <row r="2090" spans="1:16" ht="14.5" x14ac:dyDescent="0.35">
      <c r="A2090">
        <v>2089</v>
      </c>
      <c r="B2090">
        <v>39</v>
      </c>
      <c r="C2090" t="s">
        <v>16</v>
      </c>
      <c r="D2090" t="s">
        <v>36</v>
      </c>
      <c r="E2090" t="s">
        <v>37</v>
      </c>
      <c r="F2090">
        <v>89</v>
      </c>
      <c r="G2090" t="s">
        <v>90</v>
      </c>
      <c r="H2090" t="s">
        <v>20</v>
      </c>
      <c r="I2090" t="s">
        <v>112</v>
      </c>
      <c r="J2090" t="s">
        <v>33</v>
      </c>
      <c r="K2090">
        <v>4</v>
      </c>
      <c r="L2090" t="s">
        <v>143</v>
      </c>
      <c r="M2090" t="s">
        <v>143</v>
      </c>
      <c r="N2090">
        <v>49</v>
      </c>
      <c r="O2090" t="s">
        <v>77</v>
      </c>
      <c r="P2090" t="s">
        <v>43</v>
      </c>
    </row>
    <row r="2091" spans="1:16" ht="14.5" x14ac:dyDescent="0.35">
      <c r="A2091">
        <v>2090</v>
      </c>
      <c r="B2091">
        <v>37</v>
      </c>
      <c r="C2091" t="s">
        <v>16</v>
      </c>
      <c r="D2091" t="s">
        <v>93</v>
      </c>
      <c r="E2091" t="s">
        <v>56</v>
      </c>
      <c r="F2091">
        <v>57</v>
      </c>
      <c r="G2091" t="s">
        <v>119</v>
      </c>
      <c r="H2091" t="s">
        <v>20</v>
      </c>
      <c r="I2091" t="s">
        <v>71</v>
      </c>
      <c r="J2091" t="s">
        <v>33</v>
      </c>
      <c r="K2091">
        <v>3.6</v>
      </c>
      <c r="L2091" t="s">
        <v>143</v>
      </c>
      <c r="M2091" t="s">
        <v>143</v>
      </c>
      <c r="N2091">
        <v>41</v>
      </c>
      <c r="O2091" t="s">
        <v>34</v>
      </c>
      <c r="P2091" t="s">
        <v>88</v>
      </c>
    </row>
    <row r="2092" spans="1:16" ht="14.5" x14ac:dyDescent="0.35">
      <c r="A2092">
        <v>2091</v>
      </c>
      <c r="B2092">
        <v>51</v>
      </c>
      <c r="C2092" t="s">
        <v>16</v>
      </c>
      <c r="D2092" t="s">
        <v>116</v>
      </c>
      <c r="E2092" t="s">
        <v>18</v>
      </c>
      <c r="F2092">
        <v>71</v>
      </c>
      <c r="G2092" t="s">
        <v>31</v>
      </c>
      <c r="H2092" t="s">
        <v>32</v>
      </c>
      <c r="I2092" t="s">
        <v>76</v>
      </c>
      <c r="J2092" t="s">
        <v>22</v>
      </c>
      <c r="K2092">
        <v>3.4</v>
      </c>
      <c r="L2092" t="s">
        <v>143</v>
      </c>
      <c r="M2092" t="s">
        <v>143</v>
      </c>
      <c r="N2092">
        <v>21</v>
      </c>
      <c r="O2092" t="s">
        <v>77</v>
      </c>
      <c r="P2092" t="s">
        <v>79</v>
      </c>
    </row>
    <row r="2093" spans="1:16" ht="14.5" x14ac:dyDescent="0.35">
      <c r="A2093">
        <v>2092</v>
      </c>
      <c r="B2093">
        <v>26</v>
      </c>
      <c r="C2093" t="s">
        <v>16</v>
      </c>
      <c r="D2093" t="s">
        <v>30</v>
      </c>
      <c r="E2093" t="s">
        <v>18</v>
      </c>
      <c r="F2093">
        <v>97</v>
      </c>
      <c r="G2093" t="s">
        <v>140</v>
      </c>
      <c r="H2093" t="s">
        <v>83</v>
      </c>
      <c r="I2093" t="s">
        <v>109</v>
      </c>
      <c r="J2093" t="s">
        <v>50</v>
      </c>
      <c r="K2093">
        <v>3</v>
      </c>
      <c r="L2093" t="s">
        <v>143</v>
      </c>
      <c r="M2093" t="s">
        <v>143</v>
      </c>
      <c r="N2093">
        <v>24</v>
      </c>
      <c r="O2093" t="s">
        <v>66</v>
      </c>
      <c r="P2093" t="s">
        <v>51</v>
      </c>
    </row>
    <row r="2094" spans="1:16" ht="14.5" x14ac:dyDescent="0.35">
      <c r="A2094">
        <v>2093</v>
      </c>
      <c r="B2094">
        <v>42</v>
      </c>
      <c r="C2094" t="s">
        <v>16</v>
      </c>
      <c r="D2094" t="s">
        <v>36</v>
      </c>
      <c r="E2094" t="s">
        <v>37</v>
      </c>
      <c r="F2094">
        <v>45</v>
      </c>
      <c r="G2094" t="s">
        <v>139</v>
      </c>
      <c r="H2094" t="s">
        <v>39</v>
      </c>
      <c r="I2094" t="s">
        <v>58</v>
      </c>
      <c r="J2094" t="s">
        <v>50</v>
      </c>
      <c r="K2094">
        <v>2.6</v>
      </c>
      <c r="L2094" t="s">
        <v>143</v>
      </c>
      <c r="M2094" t="s">
        <v>143</v>
      </c>
      <c r="N2094">
        <v>27</v>
      </c>
      <c r="O2094" t="s">
        <v>66</v>
      </c>
      <c r="P2094" t="s">
        <v>35</v>
      </c>
    </row>
    <row r="2095" spans="1:16" ht="14.5" x14ac:dyDescent="0.35">
      <c r="A2095">
        <v>2094</v>
      </c>
      <c r="B2095">
        <v>21</v>
      </c>
      <c r="C2095" t="s">
        <v>16</v>
      </c>
      <c r="D2095" t="s">
        <v>72</v>
      </c>
      <c r="E2095" t="s">
        <v>18</v>
      </c>
      <c r="F2095">
        <v>91</v>
      </c>
      <c r="G2095" t="s">
        <v>140</v>
      </c>
      <c r="H2095" t="s">
        <v>39</v>
      </c>
      <c r="I2095" t="s">
        <v>28</v>
      </c>
      <c r="J2095" t="s">
        <v>33</v>
      </c>
      <c r="K2095">
        <v>4.2</v>
      </c>
      <c r="L2095" t="s">
        <v>143</v>
      </c>
      <c r="M2095" t="s">
        <v>143</v>
      </c>
      <c r="N2095">
        <v>4</v>
      </c>
      <c r="O2095" t="s">
        <v>77</v>
      </c>
      <c r="P2095" t="s">
        <v>43</v>
      </c>
    </row>
    <row r="2096" spans="1:16" ht="14.5" x14ac:dyDescent="0.35">
      <c r="A2096">
        <v>2095</v>
      </c>
      <c r="B2096">
        <v>53</v>
      </c>
      <c r="C2096" t="s">
        <v>16</v>
      </c>
      <c r="D2096" t="s">
        <v>116</v>
      </c>
      <c r="E2096" t="s">
        <v>18</v>
      </c>
      <c r="F2096">
        <v>25</v>
      </c>
      <c r="G2096" t="s">
        <v>122</v>
      </c>
      <c r="H2096" t="s">
        <v>39</v>
      </c>
      <c r="I2096" t="s">
        <v>117</v>
      </c>
      <c r="J2096" t="s">
        <v>33</v>
      </c>
      <c r="K2096">
        <v>3.4</v>
      </c>
      <c r="L2096" t="s">
        <v>143</v>
      </c>
      <c r="M2096" t="s">
        <v>143</v>
      </c>
      <c r="N2096">
        <v>19</v>
      </c>
      <c r="O2096" t="s">
        <v>24</v>
      </c>
      <c r="P2096" t="s">
        <v>43</v>
      </c>
    </row>
    <row r="2097" spans="1:16" ht="14.5" x14ac:dyDescent="0.35">
      <c r="A2097">
        <v>2096</v>
      </c>
      <c r="B2097">
        <v>36</v>
      </c>
      <c r="C2097" t="s">
        <v>16</v>
      </c>
      <c r="D2097" t="s">
        <v>95</v>
      </c>
      <c r="E2097" t="s">
        <v>18</v>
      </c>
      <c r="F2097">
        <v>63</v>
      </c>
      <c r="G2097" t="s">
        <v>121</v>
      </c>
      <c r="H2097" t="s">
        <v>39</v>
      </c>
      <c r="I2097" t="s">
        <v>21</v>
      </c>
      <c r="J2097" t="s">
        <v>50</v>
      </c>
      <c r="K2097">
        <v>4</v>
      </c>
      <c r="L2097" t="s">
        <v>143</v>
      </c>
      <c r="M2097" t="s">
        <v>143</v>
      </c>
      <c r="N2097">
        <v>1</v>
      </c>
      <c r="O2097" t="s">
        <v>66</v>
      </c>
      <c r="P2097" t="s">
        <v>25</v>
      </c>
    </row>
    <row r="2098" spans="1:16" ht="14.5" x14ac:dyDescent="0.35">
      <c r="A2098">
        <v>2097</v>
      </c>
      <c r="B2098">
        <v>21</v>
      </c>
      <c r="C2098" t="s">
        <v>16</v>
      </c>
      <c r="D2098" t="s">
        <v>72</v>
      </c>
      <c r="E2098" t="s">
        <v>18</v>
      </c>
      <c r="F2098">
        <v>52</v>
      </c>
      <c r="G2098" t="s">
        <v>89</v>
      </c>
      <c r="H2098" t="s">
        <v>20</v>
      </c>
      <c r="I2098" t="s">
        <v>135</v>
      </c>
      <c r="J2098" t="s">
        <v>47</v>
      </c>
      <c r="K2098">
        <v>4.7</v>
      </c>
      <c r="L2098" t="s">
        <v>143</v>
      </c>
      <c r="M2098" t="s">
        <v>143</v>
      </c>
      <c r="N2098">
        <v>27</v>
      </c>
      <c r="O2098" t="s">
        <v>77</v>
      </c>
      <c r="P2098" t="s">
        <v>43</v>
      </c>
    </row>
    <row r="2099" spans="1:16" ht="14.5" x14ac:dyDescent="0.35">
      <c r="A2099">
        <v>2098</v>
      </c>
      <c r="B2099">
        <v>33</v>
      </c>
      <c r="C2099" t="s">
        <v>16</v>
      </c>
      <c r="D2099" t="s">
        <v>44</v>
      </c>
      <c r="E2099" t="s">
        <v>37</v>
      </c>
      <c r="F2099">
        <v>43</v>
      </c>
      <c r="G2099" t="s">
        <v>137</v>
      </c>
      <c r="H2099" t="s">
        <v>32</v>
      </c>
      <c r="I2099" t="s">
        <v>100</v>
      </c>
      <c r="J2099" t="s">
        <v>22</v>
      </c>
      <c r="K2099">
        <v>3.9</v>
      </c>
      <c r="L2099" t="s">
        <v>143</v>
      </c>
      <c r="M2099" t="s">
        <v>143</v>
      </c>
      <c r="N2099">
        <v>5</v>
      </c>
      <c r="O2099" t="s">
        <v>34</v>
      </c>
      <c r="P2099" t="s">
        <v>35</v>
      </c>
    </row>
    <row r="2100" spans="1:16" ht="14.5" x14ac:dyDescent="0.35">
      <c r="A2100">
        <v>2099</v>
      </c>
      <c r="B2100">
        <v>49</v>
      </c>
      <c r="C2100" t="s">
        <v>16</v>
      </c>
      <c r="D2100" t="s">
        <v>104</v>
      </c>
      <c r="E2100" t="s">
        <v>18</v>
      </c>
      <c r="F2100">
        <v>28</v>
      </c>
      <c r="G2100" t="s">
        <v>53</v>
      </c>
      <c r="H2100" t="s">
        <v>39</v>
      </c>
      <c r="I2100" t="s">
        <v>46</v>
      </c>
      <c r="J2100" t="s">
        <v>47</v>
      </c>
      <c r="K2100">
        <v>3.3</v>
      </c>
      <c r="L2100" t="s">
        <v>143</v>
      </c>
      <c r="M2100" t="s">
        <v>143</v>
      </c>
      <c r="N2100">
        <v>20</v>
      </c>
      <c r="O2100" t="s">
        <v>24</v>
      </c>
      <c r="P2100" t="s">
        <v>51</v>
      </c>
    </row>
    <row r="2101" spans="1:16" ht="14.5" x14ac:dyDescent="0.35">
      <c r="A2101">
        <v>2100</v>
      </c>
      <c r="B2101">
        <v>31</v>
      </c>
      <c r="C2101" t="s">
        <v>16</v>
      </c>
      <c r="D2101" t="s">
        <v>104</v>
      </c>
      <c r="E2101" t="s">
        <v>18</v>
      </c>
      <c r="F2101">
        <v>78</v>
      </c>
      <c r="G2101" t="s">
        <v>92</v>
      </c>
      <c r="H2101" t="s">
        <v>20</v>
      </c>
      <c r="I2101" t="s">
        <v>87</v>
      </c>
      <c r="J2101" t="s">
        <v>47</v>
      </c>
      <c r="K2101">
        <v>2.9</v>
      </c>
      <c r="L2101" t="s">
        <v>143</v>
      </c>
      <c r="M2101" t="s">
        <v>143</v>
      </c>
      <c r="N2101">
        <v>50</v>
      </c>
      <c r="O2101" t="s">
        <v>40</v>
      </c>
      <c r="P2101" t="s">
        <v>43</v>
      </c>
    </row>
    <row r="2102" spans="1:16" ht="14.5" x14ac:dyDescent="0.35">
      <c r="A2102">
        <v>2101</v>
      </c>
      <c r="B2102">
        <v>68</v>
      </c>
      <c r="C2102" t="s">
        <v>16</v>
      </c>
      <c r="D2102" t="s">
        <v>26</v>
      </c>
      <c r="E2102" t="s">
        <v>18</v>
      </c>
      <c r="F2102">
        <v>31</v>
      </c>
      <c r="G2102" t="s">
        <v>142</v>
      </c>
      <c r="H2102" t="s">
        <v>39</v>
      </c>
      <c r="I2102" t="s">
        <v>58</v>
      </c>
      <c r="J2102" t="s">
        <v>33</v>
      </c>
      <c r="K2102">
        <v>4.4000000000000004</v>
      </c>
      <c r="L2102" t="s">
        <v>143</v>
      </c>
      <c r="M2102" t="s">
        <v>143</v>
      </c>
      <c r="N2102">
        <v>36</v>
      </c>
      <c r="O2102" t="s">
        <v>29</v>
      </c>
      <c r="P2102" t="s">
        <v>25</v>
      </c>
    </row>
    <row r="2103" spans="1:16" ht="14.5" x14ac:dyDescent="0.35">
      <c r="A2103">
        <v>2102</v>
      </c>
      <c r="B2103">
        <v>49</v>
      </c>
      <c r="C2103" t="s">
        <v>16</v>
      </c>
      <c r="D2103" t="s">
        <v>48</v>
      </c>
      <c r="E2103" t="s">
        <v>18</v>
      </c>
      <c r="F2103">
        <v>23</v>
      </c>
      <c r="G2103" t="s">
        <v>41</v>
      </c>
      <c r="H2103" t="s">
        <v>39</v>
      </c>
      <c r="I2103" t="s">
        <v>135</v>
      </c>
      <c r="J2103" t="s">
        <v>22</v>
      </c>
      <c r="K2103">
        <v>3.6</v>
      </c>
      <c r="L2103" t="s">
        <v>143</v>
      </c>
      <c r="M2103" t="s">
        <v>143</v>
      </c>
      <c r="N2103">
        <v>12</v>
      </c>
      <c r="O2103" t="s">
        <v>66</v>
      </c>
      <c r="P2103" t="s">
        <v>67</v>
      </c>
    </row>
    <row r="2104" spans="1:16" ht="14.5" x14ac:dyDescent="0.35">
      <c r="A2104">
        <v>2103</v>
      </c>
      <c r="B2104">
        <v>23</v>
      </c>
      <c r="C2104" t="s">
        <v>16</v>
      </c>
      <c r="D2104" t="s">
        <v>115</v>
      </c>
      <c r="E2104" t="s">
        <v>60</v>
      </c>
      <c r="F2104">
        <v>25</v>
      </c>
      <c r="G2104" t="s">
        <v>126</v>
      </c>
      <c r="H2104" t="s">
        <v>39</v>
      </c>
      <c r="I2104" t="s">
        <v>101</v>
      </c>
      <c r="J2104" t="s">
        <v>33</v>
      </c>
      <c r="K2104">
        <v>4.5</v>
      </c>
      <c r="L2104" t="s">
        <v>143</v>
      </c>
      <c r="M2104" t="s">
        <v>143</v>
      </c>
      <c r="N2104">
        <v>23</v>
      </c>
      <c r="O2104" t="s">
        <v>29</v>
      </c>
      <c r="P2104" t="s">
        <v>79</v>
      </c>
    </row>
    <row r="2105" spans="1:16" ht="14.5" x14ac:dyDescent="0.35">
      <c r="A2105">
        <v>2104</v>
      </c>
      <c r="B2105">
        <v>30</v>
      </c>
      <c r="C2105" t="s">
        <v>16</v>
      </c>
      <c r="D2105" t="s">
        <v>86</v>
      </c>
      <c r="E2105" t="s">
        <v>18</v>
      </c>
      <c r="F2105">
        <v>86</v>
      </c>
      <c r="G2105" t="s">
        <v>107</v>
      </c>
      <c r="H2105" t="s">
        <v>32</v>
      </c>
      <c r="I2105" t="s">
        <v>99</v>
      </c>
      <c r="J2105" t="s">
        <v>47</v>
      </c>
      <c r="K2105">
        <v>3.7</v>
      </c>
      <c r="L2105" t="s">
        <v>143</v>
      </c>
      <c r="M2105" t="s">
        <v>143</v>
      </c>
      <c r="N2105">
        <v>21</v>
      </c>
      <c r="O2105" t="s">
        <v>24</v>
      </c>
      <c r="P2105" t="s">
        <v>35</v>
      </c>
    </row>
    <row r="2106" spans="1:16" ht="14.5" x14ac:dyDescent="0.35">
      <c r="A2106">
        <v>2105</v>
      </c>
      <c r="B2106">
        <v>53</v>
      </c>
      <c r="C2106" t="s">
        <v>16</v>
      </c>
      <c r="D2106" t="s">
        <v>63</v>
      </c>
      <c r="E2106" t="s">
        <v>37</v>
      </c>
      <c r="F2106">
        <v>88</v>
      </c>
      <c r="G2106" t="s">
        <v>121</v>
      </c>
      <c r="H2106" t="s">
        <v>39</v>
      </c>
      <c r="I2106" t="s">
        <v>71</v>
      </c>
      <c r="J2106" t="s">
        <v>33</v>
      </c>
      <c r="K2106">
        <v>2.8</v>
      </c>
      <c r="L2106" t="s">
        <v>143</v>
      </c>
      <c r="M2106" t="s">
        <v>143</v>
      </c>
      <c r="N2106">
        <v>47</v>
      </c>
      <c r="O2106" t="s">
        <v>24</v>
      </c>
      <c r="P2106" t="s">
        <v>35</v>
      </c>
    </row>
    <row r="2107" spans="1:16" ht="14.5" x14ac:dyDescent="0.35">
      <c r="A2107">
        <v>2106</v>
      </c>
      <c r="B2107">
        <v>65</v>
      </c>
      <c r="C2107" t="s">
        <v>16</v>
      </c>
      <c r="D2107" t="s">
        <v>134</v>
      </c>
      <c r="E2107" t="s">
        <v>60</v>
      </c>
      <c r="F2107">
        <v>35</v>
      </c>
      <c r="G2107" t="s">
        <v>122</v>
      </c>
      <c r="H2107" t="s">
        <v>39</v>
      </c>
      <c r="I2107" t="s">
        <v>58</v>
      </c>
      <c r="J2107" t="s">
        <v>33</v>
      </c>
      <c r="K2107">
        <v>4.5</v>
      </c>
      <c r="L2107" t="s">
        <v>143</v>
      </c>
      <c r="M2107" t="s">
        <v>143</v>
      </c>
      <c r="N2107">
        <v>38</v>
      </c>
      <c r="O2107" t="s">
        <v>24</v>
      </c>
      <c r="P2107" t="s">
        <v>67</v>
      </c>
    </row>
    <row r="2108" spans="1:16" ht="14.5" x14ac:dyDescent="0.35">
      <c r="A2108">
        <v>2107</v>
      </c>
      <c r="B2108">
        <v>60</v>
      </c>
      <c r="C2108" t="s">
        <v>16</v>
      </c>
      <c r="D2108" t="s">
        <v>97</v>
      </c>
      <c r="E2108" t="s">
        <v>60</v>
      </c>
      <c r="F2108">
        <v>34</v>
      </c>
      <c r="G2108" t="s">
        <v>120</v>
      </c>
      <c r="H2108" t="s">
        <v>39</v>
      </c>
      <c r="I2108" t="s">
        <v>21</v>
      </c>
      <c r="J2108" t="s">
        <v>50</v>
      </c>
      <c r="K2108">
        <v>4.4000000000000004</v>
      </c>
      <c r="L2108" t="s">
        <v>143</v>
      </c>
      <c r="M2108" t="s">
        <v>143</v>
      </c>
      <c r="N2108">
        <v>40</v>
      </c>
      <c r="O2108" t="s">
        <v>34</v>
      </c>
      <c r="P2108" t="s">
        <v>88</v>
      </c>
    </row>
    <row r="2109" spans="1:16" ht="14.5" x14ac:dyDescent="0.35">
      <c r="A2109">
        <v>2108</v>
      </c>
      <c r="B2109">
        <v>46</v>
      </c>
      <c r="C2109" t="s">
        <v>16</v>
      </c>
      <c r="D2109" t="s">
        <v>86</v>
      </c>
      <c r="E2109" t="s">
        <v>18</v>
      </c>
      <c r="F2109">
        <v>75</v>
      </c>
      <c r="G2109" t="s">
        <v>70</v>
      </c>
      <c r="H2109" t="s">
        <v>39</v>
      </c>
      <c r="I2109" t="s">
        <v>85</v>
      </c>
      <c r="J2109" t="s">
        <v>22</v>
      </c>
      <c r="K2109">
        <v>3.3</v>
      </c>
      <c r="L2109" t="s">
        <v>143</v>
      </c>
      <c r="M2109" t="s">
        <v>143</v>
      </c>
      <c r="N2109">
        <v>35</v>
      </c>
      <c r="O2109" t="s">
        <v>40</v>
      </c>
      <c r="P2109" t="s">
        <v>51</v>
      </c>
    </row>
    <row r="2110" spans="1:16" ht="14.5" x14ac:dyDescent="0.35">
      <c r="A2110">
        <v>2109</v>
      </c>
      <c r="B2110">
        <v>54</v>
      </c>
      <c r="C2110" t="s">
        <v>16</v>
      </c>
      <c r="D2110" t="s">
        <v>95</v>
      </c>
      <c r="E2110" t="s">
        <v>18</v>
      </c>
      <c r="F2110">
        <v>46</v>
      </c>
      <c r="G2110" t="s">
        <v>105</v>
      </c>
      <c r="H2110" t="s">
        <v>83</v>
      </c>
      <c r="I2110" t="s">
        <v>109</v>
      </c>
      <c r="J2110" t="s">
        <v>22</v>
      </c>
      <c r="K2110">
        <v>4.2</v>
      </c>
      <c r="L2110" t="s">
        <v>143</v>
      </c>
      <c r="M2110" t="s">
        <v>143</v>
      </c>
      <c r="N2110">
        <v>4</v>
      </c>
      <c r="O2110" t="s">
        <v>34</v>
      </c>
      <c r="P2110" t="s">
        <v>51</v>
      </c>
    </row>
    <row r="2111" spans="1:16" ht="14.5" x14ac:dyDescent="0.35">
      <c r="A2111">
        <v>2110</v>
      </c>
      <c r="B2111">
        <v>59</v>
      </c>
      <c r="C2111" t="s">
        <v>16</v>
      </c>
      <c r="D2111" t="s">
        <v>97</v>
      </c>
      <c r="E2111" t="s">
        <v>60</v>
      </c>
      <c r="F2111">
        <v>31</v>
      </c>
      <c r="G2111" t="s">
        <v>90</v>
      </c>
      <c r="H2111" t="s">
        <v>20</v>
      </c>
      <c r="I2111" t="s">
        <v>91</v>
      </c>
      <c r="J2111" t="s">
        <v>50</v>
      </c>
      <c r="K2111">
        <v>2.7</v>
      </c>
      <c r="L2111" t="s">
        <v>143</v>
      </c>
      <c r="M2111" t="s">
        <v>143</v>
      </c>
      <c r="N2111">
        <v>28</v>
      </c>
      <c r="O2111" t="s">
        <v>24</v>
      </c>
      <c r="P2111" t="s">
        <v>88</v>
      </c>
    </row>
    <row r="2112" spans="1:16" ht="14.5" x14ac:dyDescent="0.35">
      <c r="A2112">
        <v>2111</v>
      </c>
      <c r="B2112">
        <v>52</v>
      </c>
      <c r="C2112" t="s">
        <v>16</v>
      </c>
      <c r="D2112" t="s">
        <v>116</v>
      </c>
      <c r="E2112" t="s">
        <v>18</v>
      </c>
      <c r="F2112">
        <v>93</v>
      </c>
      <c r="G2112" t="s">
        <v>49</v>
      </c>
      <c r="H2112" t="s">
        <v>20</v>
      </c>
      <c r="I2112" t="s">
        <v>100</v>
      </c>
      <c r="J2112" t="s">
        <v>33</v>
      </c>
      <c r="K2112">
        <v>3.9</v>
      </c>
      <c r="L2112" t="s">
        <v>143</v>
      </c>
      <c r="M2112" t="s">
        <v>143</v>
      </c>
      <c r="N2112">
        <v>36</v>
      </c>
      <c r="O2112" t="s">
        <v>77</v>
      </c>
      <c r="P2112" t="s">
        <v>88</v>
      </c>
    </row>
    <row r="2113" spans="1:16" ht="14.5" x14ac:dyDescent="0.35">
      <c r="A2113">
        <v>2112</v>
      </c>
      <c r="B2113">
        <v>41</v>
      </c>
      <c r="C2113" t="s">
        <v>16</v>
      </c>
      <c r="D2113" t="s">
        <v>80</v>
      </c>
      <c r="E2113" t="s">
        <v>60</v>
      </c>
      <c r="F2113">
        <v>85</v>
      </c>
      <c r="G2113" t="s">
        <v>61</v>
      </c>
      <c r="H2113" t="s">
        <v>83</v>
      </c>
      <c r="I2113" t="s">
        <v>62</v>
      </c>
      <c r="J2113" t="s">
        <v>33</v>
      </c>
      <c r="K2113">
        <v>2.6</v>
      </c>
      <c r="L2113" t="s">
        <v>143</v>
      </c>
      <c r="M2113" t="s">
        <v>143</v>
      </c>
      <c r="N2113">
        <v>15</v>
      </c>
      <c r="O2113" t="s">
        <v>66</v>
      </c>
      <c r="P2113" t="s">
        <v>43</v>
      </c>
    </row>
    <row r="2114" spans="1:16" ht="14.5" x14ac:dyDescent="0.35">
      <c r="A2114">
        <v>2113</v>
      </c>
      <c r="B2114">
        <v>43</v>
      </c>
      <c r="C2114" t="s">
        <v>16</v>
      </c>
      <c r="D2114" t="s">
        <v>124</v>
      </c>
      <c r="E2114" t="s">
        <v>60</v>
      </c>
      <c r="F2114">
        <v>68</v>
      </c>
      <c r="G2114" t="s">
        <v>113</v>
      </c>
      <c r="H2114" t="s">
        <v>39</v>
      </c>
      <c r="I2114" t="s">
        <v>84</v>
      </c>
      <c r="J2114" t="s">
        <v>50</v>
      </c>
      <c r="K2114">
        <v>4.5</v>
      </c>
      <c r="L2114" t="s">
        <v>143</v>
      </c>
      <c r="M2114" t="s">
        <v>143</v>
      </c>
      <c r="N2114">
        <v>7</v>
      </c>
      <c r="O2114" t="s">
        <v>29</v>
      </c>
      <c r="P2114" t="s">
        <v>25</v>
      </c>
    </row>
    <row r="2115" spans="1:16" ht="14.5" x14ac:dyDescent="0.35">
      <c r="A2115">
        <v>2114</v>
      </c>
      <c r="B2115">
        <v>63</v>
      </c>
      <c r="C2115" t="s">
        <v>16</v>
      </c>
      <c r="D2115" t="s">
        <v>72</v>
      </c>
      <c r="E2115" t="s">
        <v>18</v>
      </c>
      <c r="F2115">
        <v>40</v>
      </c>
      <c r="G2115" t="s">
        <v>132</v>
      </c>
      <c r="H2115" t="s">
        <v>39</v>
      </c>
      <c r="I2115" t="s">
        <v>101</v>
      </c>
      <c r="J2115" t="s">
        <v>33</v>
      </c>
      <c r="K2115">
        <v>2.7</v>
      </c>
      <c r="L2115" t="s">
        <v>143</v>
      </c>
      <c r="M2115" t="s">
        <v>143</v>
      </c>
      <c r="N2115">
        <v>29</v>
      </c>
      <c r="O2115" t="s">
        <v>40</v>
      </c>
      <c r="P2115" t="s">
        <v>88</v>
      </c>
    </row>
    <row r="2116" spans="1:16" ht="14.5" x14ac:dyDescent="0.35">
      <c r="A2116">
        <v>2115</v>
      </c>
      <c r="B2116">
        <v>37</v>
      </c>
      <c r="C2116" t="s">
        <v>16</v>
      </c>
      <c r="D2116" t="s">
        <v>48</v>
      </c>
      <c r="E2116" t="s">
        <v>18</v>
      </c>
      <c r="F2116">
        <v>51</v>
      </c>
      <c r="G2116" t="s">
        <v>120</v>
      </c>
      <c r="H2116" t="s">
        <v>39</v>
      </c>
      <c r="I2116" t="s">
        <v>127</v>
      </c>
      <c r="J2116" t="s">
        <v>22</v>
      </c>
      <c r="K2116">
        <v>2.9</v>
      </c>
      <c r="L2116" t="s">
        <v>143</v>
      </c>
      <c r="M2116" t="s">
        <v>143</v>
      </c>
      <c r="N2116">
        <v>12</v>
      </c>
      <c r="O2116" t="s">
        <v>77</v>
      </c>
      <c r="P2116" t="s">
        <v>43</v>
      </c>
    </row>
    <row r="2117" spans="1:16" ht="14.5" x14ac:dyDescent="0.35">
      <c r="A2117">
        <v>2116</v>
      </c>
      <c r="B2117">
        <v>44</v>
      </c>
      <c r="C2117" t="s">
        <v>16</v>
      </c>
      <c r="D2117" t="s">
        <v>110</v>
      </c>
      <c r="E2117" t="s">
        <v>60</v>
      </c>
      <c r="F2117">
        <v>85</v>
      </c>
      <c r="G2117" t="s">
        <v>38</v>
      </c>
      <c r="H2117" t="s">
        <v>39</v>
      </c>
      <c r="I2117" t="s">
        <v>74</v>
      </c>
      <c r="J2117" t="s">
        <v>22</v>
      </c>
      <c r="K2117">
        <v>3.4</v>
      </c>
      <c r="L2117" t="s">
        <v>143</v>
      </c>
      <c r="M2117" t="s">
        <v>143</v>
      </c>
      <c r="N2117">
        <v>16</v>
      </c>
      <c r="O2117" t="s">
        <v>66</v>
      </c>
      <c r="P2117" t="s">
        <v>67</v>
      </c>
    </row>
    <row r="2118" spans="1:16" ht="14.5" x14ac:dyDescent="0.35">
      <c r="A2118">
        <v>2117</v>
      </c>
      <c r="B2118">
        <v>67</v>
      </c>
      <c r="C2118" t="s">
        <v>16</v>
      </c>
      <c r="D2118" t="s">
        <v>93</v>
      </c>
      <c r="E2118" t="s">
        <v>56</v>
      </c>
      <c r="F2118">
        <v>23</v>
      </c>
      <c r="G2118" t="s">
        <v>102</v>
      </c>
      <c r="H2118" t="s">
        <v>39</v>
      </c>
      <c r="I2118" t="s">
        <v>76</v>
      </c>
      <c r="J2118" t="s">
        <v>47</v>
      </c>
      <c r="K2118">
        <v>2.9</v>
      </c>
      <c r="L2118" t="s">
        <v>143</v>
      </c>
      <c r="M2118" t="s">
        <v>143</v>
      </c>
      <c r="N2118">
        <v>50</v>
      </c>
      <c r="O2118" t="s">
        <v>77</v>
      </c>
      <c r="P2118" t="s">
        <v>67</v>
      </c>
    </row>
    <row r="2119" spans="1:16" ht="14.5" x14ac:dyDescent="0.35">
      <c r="A2119">
        <v>2118</v>
      </c>
      <c r="B2119">
        <v>27</v>
      </c>
      <c r="C2119" t="s">
        <v>16</v>
      </c>
      <c r="D2119" t="s">
        <v>72</v>
      </c>
      <c r="E2119" t="s">
        <v>18</v>
      </c>
      <c r="F2119">
        <v>28</v>
      </c>
      <c r="G2119" t="s">
        <v>103</v>
      </c>
      <c r="H2119" t="s">
        <v>20</v>
      </c>
      <c r="I2119" t="s">
        <v>101</v>
      </c>
      <c r="J2119" t="s">
        <v>47</v>
      </c>
      <c r="K2119">
        <v>3.8</v>
      </c>
      <c r="L2119" t="s">
        <v>143</v>
      </c>
      <c r="M2119" t="s">
        <v>143</v>
      </c>
      <c r="N2119">
        <v>11</v>
      </c>
      <c r="O2119" t="s">
        <v>77</v>
      </c>
      <c r="P2119" t="s">
        <v>43</v>
      </c>
    </row>
    <row r="2120" spans="1:16" ht="14.5" x14ac:dyDescent="0.35">
      <c r="A2120">
        <v>2119</v>
      </c>
      <c r="B2120">
        <v>60</v>
      </c>
      <c r="C2120" t="s">
        <v>16</v>
      </c>
      <c r="D2120" t="s">
        <v>116</v>
      </c>
      <c r="E2120" t="s">
        <v>18</v>
      </c>
      <c r="F2120">
        <v>44</v>
      </c>
      <c r="G2120" t="s">
        <v>133</v>
      </c>
      <c r="H2120" t="s">
        <v>39</v>
      </c>
      <c r="I2120" t="s">
        <v>69</v>
      </c>
      <c r="J2120" t="s">
        <v>50</v>
      </c>
      <c r="K2120">
        <v>4.2</v>
      </c>
      <c r="L2120" t="s">
        <v>143</v>
      </c>
      <c r="M2120" t="s">
        <v>143</v>
      </c>
      <c r="N2120">
        <v>28</v>
      </c>
      <c r="O2120" t="s">
        <v>77</v>
      </c>
      <c r="P2120" t="s">
        <v>51</v>
      </c>
    </row>
    <row r="2121" spans="1:16" ht="14.5" x14ac:dyDescent="0.35">
      <c r="A2121">
        <v>2120</v>
      </c>
      <c r="B2121">
        <v>58</v>
      </c>
      <c r="C2121" t="s">
        <v>16</v>
      </c>
      <c r="D2121" t="s">
        <v>97</v>
      </c>
      <c r="E2121" t="s">
        <v>60</v>
      </c>
      <c r="F2121">
        <v>57</v>
      </c>
      <c r="G2121" t="s">
        <v>136</v>
      </c>
      <c r="H2121" t="s">
        <v>39</v>
      </c>
      <c r="I2121" t="s">
        <v>117</v>
      </c>
      <c r="J2121" t="s">
        <v>33</v>
      </c>
      <c r="K2121">
        <v>3.5</v>
      </c>
      <c r="L2121" t="s">
        <v>143</v>
      </c>
      <c r="M2121" t="s">
        <v>143</v>
      </c>
      <c r="N2121">
        <v>36</v>
      </c>
      <c r="O2121" t="s">
        <v>24</v>
      </c>
      <c r="P2121" t="s">
        <v>67</v>
      </c>
    </row>
    <row r="2122" spans="1:16" ht="14.5" x14ac:dyDescent="0.35">
      <c r="A2122">
        <v>2121</v>
      </c>
      <c r="B2122">
        <v>53</v>
      </c>
      <c r="C2122" t="s">
        <v>16</v>
      </c>
      <c r="D2122" t="s">
        <v>110</v>
      </c>
      <c r="E2122" t="s">
        <v>60</v>
      </c>
      <c r="F2122">
        <v>98</v>
      </c>
      <c r="G2122" t="s">
        <v>61</v>
      </c>
      <c r="H2122" t="s">
        <v>32</v>
      </c>
      <c r="I2122" t="s">
        <v>99</v>
      </c>
      <c r="J2122" t="s">
        <v>50</v>
      </c>
      <c r="K2122">
        <v>3.1</v>
      </c>
      <c r="L2122" t="s">
        <v>143</v>
      </c>
      <c r="M2122" t="s">
        <v>143</v>
      </c>
      <c r="N2122">
        <v>38</v>
      </c>
      <c r="O2122" t="s">
        <v>40</v>
      </c>
      <c r="P2122" t="s">
        <v>51</v>
      </c>
    </row>
    <row r="2123" spans="1:16" ht="14.5" x14ac:dyDescent="0.35">
      <c r="A2123">
        <v>2122</v>
      </c>
      <c r="B2123">
        <v>43</v>
      </c>
      <c r="C2123" t="s">
        <v>16</v>
      </c>
      <c r="D2123" t="s">
        <v>123</v>
      </c>
      <c r="E2123" t="s">
        <v>60</v>
      </c>
      <c r="F2123">
        <v>68</v>
      </c>
      <c r="G2123" t="s">
        <v>111</v>
      </c>
      <c r="H2123" t="s">
        <v>39</v>
      </c>
      <c r="I2123" t="s">
        <v>69</v>
      </c>
      <c r="J2123" t="s">
        <v>22</v>
      </c>
      <c r="K2123">
        <v>3.5</v>
      </c>
      <c r="L2123" t="s">
        <v>143</v>
      </c>
      <c r="M2123" t="s">
        <v>143</v>
      </c>
      <c r="N2123">
        <v>32</v>
      </c>
      <c r="O2123" t="s">
        <v>66</v>
      </c>
      <c r="P2123" t="s">
        <v>79</v>
      </c>
    </row>
    <row r="2124" spans="1:16" ht="14.5" x14ac:dyDescent="0.35">
      <c r="A2124">
        <v>2123</v>
      </c>
      <c r="B2124">
        <v>32</v>
      </c>
      <c r="C2124" t="s">
        <v>16</v>
      </c>
      <c r="D2124" t="s">
        <v>93</v>
      </c>
      <c r="E2124" t="s">
        <v>56</v>
      </c>
      <c r="F2124">
        <v>36</v>
      </c>
      <c r="G2124" t="s">
        <v>132</v>
      </c>
      <c r="H2124" t="s">
        <v>20</v>
      </c>
      <c r="I2124" t="s">
        <v>76</v>
      </c>
      <c r="J2124" t="s">
        <v>50</v>
      </c>
      <c r="K2124">
        <v>4</v>
      </c>
      <c r="L2124" t="s">
        <v>143</v>
      </c>
      <c r="M2124" t="s">
        <v>143</v>
      </c>
      <c r="N2124">
        <v>42</v>
      </c>
      <c r="O2124" t="s">
        <v>77</v>
      </c>
      <c r="P2124" t="s">
        <v>35</v>
      </c>
    </row>
    <row r="2125" spans="1:16" ht="14.5" x14ac:dyDescent="0.35">
      <c r="A2125">
        <v>2124</v>
      </c>
      <c r="B2125">
        <v>54</v>
      </c>
      <c r="C2125" t="s">
        <v>16</v>
      </c>
      <c r="D2125" t="s">
        <v>55</v>
      </c>
      <c r="E2125" t="s">
        <v>56</v>
      </c>
      <c r="F2125">
        <v>71</v>
      </c>
      <c r="G2125" t="s">
        <v>136</v>
      </c>
      <c r="H2125" t="s">
        <v>20</v>
      </c>
      <c r="I2125" t="s">
        <v>100</v>
      </c>
      <c r="J2125" t="s">
        <v>33</v>
      </c>
      <c r="K2125">
        <v>3.7</v>
      </c>
      <c r="L2125" t="s">
        <v>143</v>
      </c>
      <c r="M2125" t="s">
        <v>143</v>
      </c>
      <c r="N2125">
        <v>22</v>
      </c>
      <c r="O2125" t="s">
        <v>77</v>
      </c>
      <c r="P2125" t="s">
        <v>67</v>
      </c>
    </row>
    <row r="2126" spans="1:16" ht="14.5" x14ac:dyDescent="0.35">
      <c r="A2126">
        <v>2125</v>
      </c>
      <c r="B2126">
        <v>47</v>
      </c>
      <c r="C2126" t="s">
        <v>16</v>
      </c>
      <c r="D2126" t="s">
        <v>78</v>
      </c>
      <c r="E2126" t="s">
        <v>18</v>
      </c>
      <c r="F2126">
        <v>60</v>
      </c>
      <c r="G2126" t="s">
        <v>38</v>
      </c>
      <c r="H2126" t="s">
        <v>39</v>
      </c>
      <c r="I2126" t="s">
        <v>76</v>
      </c>
      <c r="J2126" t="s">
        <v>50</v>
      </c>
      <c r="K2126">
        <v>4.2</v>
      </c>
      <c r="L2126" t="s">
        <v>143</v>
      </c>
      <c r="M2126" t="s">
        <v>143</v>
      </c>
      <c r="N2126">
        <v>22</v>
      </c>
      <c r="O2126" t="s">
        <v>24</v>
      </c>
      <c r="P2126" t="s">
        <v>51</v>
      </c>
    </row>
    <row r="2127" spans="1:16" ht="14.5" x14ac:dyDescent="0.35">
      <c r="A2127">
        <v>2126</v>
      </c>
      <c r="B2127">
        <v>57</v>
      </c>
      <c r="C2127" t="s">
        <v>16</v>
      </c>
      <c r="D2127" t="s">
        <v>55</v>
      </c>
      <c r="E2127" t="s">
        <v>56</v>
      </c>
      <c r="F2127">
        <v>87</v>
      </c>
      <c r="G2127" t="s">
        <v>73</v>
      </c>
      <c r="H2127" t="s">
        <v>39</v>
      </c>
      <c r="I2127" t="s">
        <v>109</v>
      </c>
      <c r="J2127" t="s">
        <v>50</v>
      </c>
      <c r="K2127">
        <v>4.8</v>
      </c>
      <c r="L2127" t="s">
        <v>143</v>
      </c>
      <c r="M2127" t="s">
        <v>143</v>
      </c>
      <c r="N2127">
        <v>31</v>
      </c>
      <c r="O2127" t="s">
        <v>40</v>
      </c>
      <c r="P2127" t="s">
        <v>51</v>
      </c>
    </row>
    <row r="2128" spans="1:16" ht="14.5" x14ac:dyDescent="0.35">
      <c r="A2128">
        <v>2127</v>
      </c>
      <c r="B2128">
        <v>63</v>
      </c>
      <c r="C2128" t="s">
        <v>16</v>
      </c>
      <c r="D2128" t="s">
        <v>63</v>
      </c>
      <c r="E2128" t="s">
        <v>37</v>
      </c>
      <c r="F2128">
        <v>38</v>
      </c>
      <c r="G2128" t="s">
        <v>81</v>
      </c>
      <c r="H2128" t="s">
        <v>83</v>
      </c>
      <c r="I2128" t="s">
        <v>127</v>
      </c>
      <c r="J2128" t="s">
        <v>22</v>
      </c>
      <c r="K2128">
        <v>4.0999999999999996</v>
      </c>
      <c r="L2128" t="s">
        <v>143</v>
      </c>
      <c r="M2128" t="s">
        <v>143</v>
      </c>
      <c r="N2128">
        <v>28</v>
      </c>
      <c r="O2128" t="s">
        <v>34</v>
      </c>
      <c r="P2128" t="s">
        <v>79</v>
      </c>
    </row>
    <row r="2129" spans="1:16" ht="14.5" x14ac:dyDescent="0.35">
      <c r="A2129">
        <v>2128</v>
      </c>
      <c r="B2129">
        <v>70</v>
      </c>
      <c r="C2129" t="s">
        <v>16</v>
      </c>
      <c r="D2129" t="s">
        <v>128</v>
      </c>
      <c r="E2129" t="s">
        <v>37</v>
      </c>
      <c r="F2129">
        <v>45</v>
      </c>
      <c r="G2129" t="s">
        <v>89</v>
      </c>
      <c r="H2129" t="s">
        <v>39</v>
      </c>
      <c r="I2129" t="s">
        <v>117</v>
      </c>
      <c r="J2129" t="s">
        <v>33</v>
      </c>
      <c r="K2129">
        <v>4.5</v>
      </c>
      <c r="L2129" t="s">
        <v>143</v>
      </c>
      <c r="M2129" t="s">
        <v>143</v>
      </c>
      <c r="N2129">
        <v>40</v>
      </c>
      <c r="O2129" t="s">
        <v>77</v>
      </c>
      <c r="P2129" t="s">
        <v>35</v>
      </c>
    </row>
    <row r="2130" spans="1:16" ht="14.5" x14ac:dyDescent="0.35">
      <c r="A2130">
        <v>2129</v>
      </c>
      <c r="B2130">
        <v>62</v>
      </c>
      <c r="C2130" t="s">
        <v>16</v>
      </c>
      <c r="D2130" t="s">
        <v>55</v>
      </c>
      <c r="E2130" t="s">
        <v>56</v>
      </c>
      <c r="F2130">
        <v>47</v>
      </c>
      <c r="G2130" t="s">
        <v>121</v>
      </c>
      <c r="H2130" t="s">
        <v>20</v>
      </c>
      <c r="I2130" t="s">
        <v>100</v>
      </c>
      <c r="J2130" t="s">
        <v>50</v>
      </c>
      <c r="K2130">
        <v>2.7</v>
      </c>
      <c r="L2130" t="s">
        <v>143</v>
      </c>
      <c r="M2130" t="s">
        <v>143</v>
      </c>
      <c r="N2130">
        <v>21</v>
      </c>
      <c r="O2130" t="s">
        <v>40</v>
      </c>
      <c r="P2130" t="s">
        <v>35</v>
      </c>
    </row>
    <row r="2131" spans="1:16" ht="14.5" x14ac:dyDescent="0.35">
      <c r="A2131">
        <v>2130</v>
      </c>
      <c r="B2131">
        <v>40</v>
      </c>
      <c r="C2131" t="s">
        <v>16</v>
      </c>
      <c r="D2131" t="s">
        <v>78</v>
      </c>
      <c r="E2131" t="s">
        <v>18</v>
      </c>
      <c r="F2131">
        <v>57</v>
      </c>
      <c r="G2131" t="s">
        <v>139</v>
      </c>
      <c r="H2131" t="s">
        <v>20</v>
      </c>
      <c r="I2131" t="s">
        <v>112</v>
      </c>
      <c r="J2131" t="s">
        <v>50</v>
      </c>
      <c r="K2131">
        <v>2.8</v>
      </c>
      <c r="L2131" t="s">
        <v>143</v>
      </c>
      <c r="M2131" t="s">
        <v>143</v>
      </c>
      <c r="N2131">
        <v>12</v>
      </c>
      <c r="O2131" t="s">
        <v>40</v>
      </c>
      <c r="P2131" t="s">
        <v>88</v>
      </c>
    </row>
    <row r="2132" spans="1:16" ht="14.5" x14ac:dyDescent="0.35">
      <c r="A2132">
        <v>2131</v>
      </c>
      <c r="B2132">
        <v>25</v>
      </c>
      <c r="C2132" t="s">
        <v>16</v>
      </c>
      <c r="D2132" t="s">
        <v>123</v>
      </c>
      <c r="E2132" t="s">
        <v>60</v>
      </c>
      <c r="F2132">
        <v>68</v>
      </c>
      <c r="G2132" t="s">
        <v>108</v>
      </c>
      <c r="H2132" t="s">
        <v>20</v>
      </c>
      <c r="I2132" t="s">
        <v>74</v>
      </c>
      <c r="J2132" t="s">
        <v>47</v>
      </c>
      <c r="K2132">
        <v>3.7</v>
      </c>
      <c r="L2132" t="s">
        <v>143</v>
      </c>
      <c r="M2132" t="s">
        <v>143</v>
      </c>
      <c r="N2132">
        <v>33</v>
      </c>
      <c r="O2132" t="s">
        <v>34</v>
      </c>
      <c r="P2132" t="s">
        <v>43</v>
      </c>
    </row>
    <row r="2133" spans="1:16" ht="14.5" x14ac:dyDescent="0.35">
      <c r="A2133">
        <v>2132</v>
      </c>
      <c r="B2133">
        <v>19</v>
      </c>
      <c r="C2133" t="s">
        <v>16</v>
      </c>
      <c r="D2133" t="s">
        <v>52</v>
      </c>
      <c r="E2133" t="s">
        <v>18</v>
      </c>
      <c r="F2133">
        <v>52</v>
      </c>
      <c r="G2133" t="s">
        <v>49</v>
      </c>
      <c r="H2133" t="s">
        <v>39</v>
      </c>
      <c r="I2133" t="s">
        <v>99</v>
      </c>
      <c r="J2133" t="s">
        <v>50</v>
      </c>
      <c r="K2133">
        <v>3.6</v>
      </c>
      <c r="L2133" t="s">
        <v>143</v>
      </c>
      <c r="M2133" t="s">
        <v>143</v>
      </c>
      <c r="N2133">
        <v>9</v>
      </c>
      <c r="O2133" t="s">
        <v>66</v>
      </c>
      <c r="P2133" t="s">
        <v>25</v>
      </c>
    </row>
    <row r="2134" spans="1:16" ht="14.5" x14ac:dyDescent="0.35">
      <c r="A2134">
        <v>2133</v>
      </c>
      <c r="B2134">
        <v>25</v>
      </c>
      <c r="C2134" t="s">
        <v>16</v>
      </c>
      <c r="D2134" t="s">
        <v>78</v>
      </c>
      <c r="E2134" t="s">
        <v>18</v>
      </c>
      <c r="F2134">
        <v>87</v>
      </c>
      <c r="G2134" t="s">
        <v>120</v>
      </c>
      <c r="H2134" t="s">
        <v>39</v>
      </c>
      <c r="I2134" t="s">
        <v>127</v>
      </c>
      <c r="J2134" t="s">
        <v>50</v>
      </c>
      <c r="K2134">
        <v>4.7</v>
      </c>
      <c r="L2134" t="s">
        <v>143</v>
      </c>
      <c r="M2134" t="s">
        <v>143</v>
      </c>
      <c r="N2134">
        <v>15</v>
      </c>
      <c r="O2134" t="s">
        <v>77</v>
      </c>
      <c r="P2134" t="s">
        <v>35</v>
      </c>
    </row>
    <row r="2135" spans="1:16" ht="14.5" x14ac:dyDescent="0.35">
      <c r="A2135">
        <v>2134</v>
      </c>
      <c r="B2135">
        <v>21</v>
      </c>
      <c r="C2135" t="s">
        <v>16</v>
      </c>
      <c r="D2135" t="s">
        <v>115</v>
      </c>
      <c r="E2135" t="s">
        <v>60</v>
      </c>
      <c r="F2135">
        <v>34</v>
      </c>
      <c r="G2135" t="s">
        <v>27</v>
      </c>
      <c r="H2135" t="s">
        <v>39</v>
      </c>
      <c r="I2135" t="s">
        <v>69</v>
      </c>
      <c r="J2135" t="s">
        <v>47</v>
      </c>
      <c r="K2135">
        <v>3.8</v>
      </c>
      <c r="L2135" t="s">
        <v>143</v>
      </c>
      <c r="M2135" t="s">
        <v>143</v>
      </c>
      <c r="N2135">
        <v>13</v>
      </c>
      <c r="O2135" t="s">
        <v>66</v>
      </c>
      <c r="P2135" t="s">
        <v>43</v>
      </c>
    </row>
    <row r="2136" spans="1:16" ht="14.5" x14ac:dyDescent="0.35">
      <c r="A2136">
        <v>2135</v>
      </c>
      <c r="B2136">
        <v>55</v>
      </c>
      <c r="C2136" t="s">
        <v>16</v>
      </c>
      <c r="D2136" t="s">
        <v>36</v>
      </c>
      <c r="E2136" t="s">
        <v>37</v>
      </c>
      <c r="F2136">
        <v>41</v>
      </c>
      <c r="G2136" t="s">
        <v>132</v>
      </c>
      <c r="H2136" t="s">
        <v>83</v>
      </c>
      <c r="I2136" t="s">
        <v>28</v>
      </c>
      <c r="J2136" t="s">
        <v>22</v>
      </c>
      <c r="K2136">
        <v>2.9</v>
      </c>
      <c r="L2136" t="s">
        <v>143</v>
      </c>
      <c r="M2136" t="s">
        <v>143</v>
      </c>
      <c r="N2136">
        <v>35</v>
      </c>
      <c r="O2136" t="s">
        <v>34</v>
      </c>
      <c r="P2136" t="s">
        <v>25</v>
      </c>
    </row>
    <row r="2137" spans="1:16" ht="14.5" x14ac:dyDescent="0.35">
      <c r="A2137">
        <v>2136</v>
      </c>
      <c r="B2137">
        <v>34</v>
      </c>
      <c r="C2137" t="s">
        <v>16</v>
      </c>
      <c r="D2137" t="s">
        <v>80</v>
      </c>
      <c r="E2137" t="s">
        <v>60</v>
      </c>
      <c r="F2137">
        <v>94</v>
      </c>
      <c r="G2137" t="s">
        <v>90</v>
      </c>
      <c r="H2137" t="s">
        <v>32</v>
      </c>
      <c r="I2137" t="s">
        <v>125</v>
      </c>
      <c r="J2137" t="s">
        <v>22</v>
      </c>
      <c r="K2137">
        <v>4.5999999999999996</v>
      </c>
      <c r="L2137" t="s">
        <v>143</v>
      </c>
      <c r="M2137" t="s">
        <v>143</v>
      </c>
      <c r="N2137">
        <v>1</v>
      </c>
      <c r="O2137" t="s">
        <v>77</v>
      </c>
      <c r="P2137" t="s">
        <v>88</v>
      </c>
    </row>
    <row r="2138" spans="1:16" ht="14.5" x14ac:dyDescent="0.35">
      <c r="A2138">
        <v>2137</v>
      </c>
      <c r="B2138">
        <v>47</v>
      </c>
      <c r="C2138" t="s">
        <v>16</v>
      </c>
      <c r="D2138" t="s">
        <v>80</v>
      </c>
      <c r="E2138" t="s">
        <v>60</v>
      </c>
      <c r="F2138">
        <v>93</v>
      </c>
      <c r="G2138" t="s">
        <v>75</v>
      </c>
      <c r="H2138" t="s">
        <v>39</v>
      </c>
      <c r="I2138" t="s">
        <v>99</v>
      </c>
      <c r="J2138" t="s">
        <v>47</v>
      </c>
      <c r="K2138">
        <v>2.8</v>
      </c>
      <c r="L2138" t="s">
        <v>143</v>
      </c>
      <c r="M2138" t="s">
        <v>143</v>
      </c>
      <c r="N2138">
        <v>25</v>
      </c>
      <c r="O2138" t="s">
        <v>66</v>
      </c>
      <c r="P2138" t="s">
        <v>25</v>
      </c>
    </row>
    <row r="2139" spans="1:16" ht="14.5" x14ac:dyDescent="0.35">
      <c r="A2139">
        <v>2138</v>
      </c>
      <c r="B2139">
        <v>27</v>
      </c>
      <c r="C2139" t="s">
        <v>16</v>
      </c>
      <c r="D2139" t="s">
        <v>116</v>
      </c>
      <c r="E2139" t="s">
        <v>18</v>
      </c>
      <c r="F2139">
        <v>51</v>
      </c>
      <c r="G2139" t="s">
        <v>107</v>
      </c>
      <c r="H2139" t="s">
        <v>83</v>
      </c>
      <c r="I2139" t="s">
        <v>65</v>
      </c>
      <c r="J2139" t="s">
        <v>22</v>
      </c>
      <c r="K2139">
        <v>4.5999999999999996</v>
      </c>
      <c r="L2139" t="s">
        <v>143</v>
      </c>
      <c r="M2139" t="s">
        <v>143</v>
      </c>
      <c r="N2139">
        <v>20</v>
      </c>
      <c r="O2139" t="s">
        <v>34</v>
      </c>
      <c r="P2139" t="s">
        <v>88</v>
      </c>
    </row>
    <row r="2140" spans="1:16" ht="14.5" x14ac:dyDescent="0.35">
      <c r="A2140">
        <v>2139</v>
      </c>
      <c r="B2140">
        <v>67</v>
      </c>
      <c r="C2140" t="s">
        <v>16</v>
      </c>
      <c r="D2140" t="s">
        <v>26</v>
      </c>
      <c r="E2140" t="s">
        <v>18</v>
      </c>
      <c r="F2140">
        <v>42</v>
      </c>
      <c r="G2140" t="s">
        <v>82</v>
      </c>
      <c r="H2140" t="s">
        <v>39</v>
      </c>
      <c r="I2140" t="s">
        <v>76</v>
      </c>
      <c r="J2140" t="s">
        <v>50</v>
      </c>
      <c r="K2140">
        <v>2.8</v>
      </c>
      <c r="L2140" t="s">
        <v>143</v>
      </c>
      <c r="M2140" t="s">
        <v>143</v>
      </c>
      <c r="N2140">
        <v>36</v>
      </c>
      <c r="O2140" t="s">
        <v>24</v>
      </c>
      <c r="P2140" t="s">
        <v>51</v>
      </c>
    </row>
    <row r="2141" spans="1:16" ht="14.5" x14ac:dyDescent="0.35">
      <c r="A2141">
        <v>2140</v>
      </c>
      <c r="B2141">
        <v>40</v>
      </c>
      <c r="C2141" t="s">
        <v>16</v>
      </c>
      <c r="D2141" t="s">
        <v>128</v>
      </c>
      <c r="E2141" t="s">
        <v>37</v>
      </c>
      <c r="F2141">
        <v>95</v>
      </c>
      <c r="G2141" t="s">
        <v>75</v>
      </c>
      <c r="H2141" t="s">
        <v>39</v>
      </c>
      <c r="I2141" t="s">
        <v>99</v>
      </c>
      <c r="J2141" t="s">
        <v>22</v>
      </c>
      <c r="K2141">
        <v>3</v>
      </c>
      <c r="L2141" t="s">
        <v>143</v>
      </c>
      <c r="M2141" t="s">
        <v>143</v>
      </c>
      <c r="N2141">
        <v>33</v>
      </c>
      <c r="O2141" t="s">
        <v>29</v>
      </c>
      <c r="P2141" t="s">
        <v>35</v>
      </c>
    </row>
    <row r="2142" spans="1:16" ht="14.5" x14ac:dyDescent="0.35">
      <c r="A2142">
        <v>2141</v>
      </c>
      <c r="B2142">
        <v>53</v>
      </c>
      <c r="C2142" t="s">
        <v>16</v>
      </c>
      <c r="D2142" t="s">
        <v>59</v>
      </c>
      <c r="E2142" t="s">
        <v>60</v>
      </c>
      <c r="F2142">
        <v>90</v>
      </c>
      <c r="G2142" t="s">
        <v>121</v>
      </c>
      <c r="H2142" t="s">
        <v>39</v>
      </c>
      <c r="I2142" t="s">
        <v>101</v>
      </c>
      <c r="J2142" t="s">
        <v>50</v>
      </c>
      <c r="K2142">
        <v>3.7</v>
      </c>
      <c r="L2142" t="s">
        <v>143</v>
      </c>
      <c r="M2142" t="s">
        <v>143</v>
      </c>
      <c r="N2142">
        <v>36</v>
      </c>
      <c r="O2142" t="s">
        <v>29</v>
      </c>
      <c r="P2142" t="s">
        <v>25</v>
      </c>
    </row>
    <row r="2143" spans="1:16" ht="14.5" x14ac:dyDescent="0.35">
      <c r="A2143">
        <v>2142</v>
      </c>
      <c r="B2143">
        <v>24</v>
      </c>
      <c r="C2143" t="s">
        <v>16</v>
      </c>
      <c r="D2143" t="s">
        <v>72</v>
      </c>
      <c r="E2143" t="s">
        <v>18</v>
      </c>
      <c r="F2143">
        <v>98</v>
      </c>
      <c r="G2143" t="s">
        <v>19</v>
      </c>
      <c r="H2143" t="s">
        <v>39</v>
      </c>
      <c r="I2143" t="s">
        <v>91</v>
      </c>
      <c r="J2143" t="s">
        <v>22</v>
      </c>
      <c r="K2143">
        <v>4.0999999999999996</v>
      </c>
      <c r="L2143" t="s">
        <v>143</v>
      </c>
      <c r="M2143" t="s">
        <v>143</v>
      </c>
      <c r="N2143">
        <v>32</v>
      </c>
      <c r="O2143" t="s">
        <v>40</v>
      </c>
      <c r="P2143" t="s">
        <v>43</v>
      </c>
    </row>
    <row r="2144" spans="1:16" ht="14.5" x14ac:dyDescent="0.35">
      <c r="A2144">
        <v>2143</v>
      </c>
      <c r="B2144">
        <v>47</v>
      </c>
      <c r="C2144" t="s">
        <v>16</v>
      </c>
      <c r="D2144" t="s">
        <v>115</v>
      </c>
      <c r="E2144" t="s">
        <v>60</v>
      </c>
      <c r="F2144">
        <v>39</v>
      </c>
      <c r="G2144" t="s">
        <v>105</v>
      </c>
      <c r="H2144" t="s">
        <v>39</v>
      </c>
      <c r="I2144" t="s">
        <v>28</v>
      </c>
      <c r="J2144" t="s">
        <v>22</v>
      </c>
      <c r="K2144">
        <v>4.3</v>
      </c>
      <c r="L2144" t="s">
        <v>143</v>
      </c>
      <c r="M2144" t="s">
        <v>143</v>
      </c>
      <c r="N2144">
        <v>21</v>
      </c>
      <c r="O2144" t="s">
        <v>24</v>
      </c>
      <c r="P2144" t="s">
        <v>51</v>
      </c>
    </row>
    <row r="2145" spans="1:16" ht="14.5" x14ac:dyDescent="0.35">
      <c r="A2145">
        <v>2144</v>
      </c>
      <c r="B2145">
        <v>53</v>
      </c>
      <c r="C2145" t="s">
        <v>16</v>
      </c>
      <c r="D2145" t="s">
        <v>36</v>
      </c>
      <c r="E2145" t="s">
        <v>37</v>
      </c>
      <c r="F2145">
        <v>66</v>
      </c>
      <c r="G2145" t="s">
        <v>64</v>
      </c>
      <c r="H2145" t="s">
        <v>20</v>
      </c>
      <c r="I2145" t="s">
        <v>99</v>
      </c>
      <c r="J2145" t="s">
        <v>50</v>
      </c>
      <c r="K2145">
        <v>3.8</v>
      </c>
      <c r="L2145" t="s">
        <v>143</v>
      </c>
      <c r="M2145" t="s">
        <v>143</v>
      </c>
      <c r="N2145">
        <v>48</v>
      </c>
      <c r="O2145" t="s">
        <v>24</v>
      </c>
      <c r="P2145" t="s">
        <v>67</v>
      </c>
    </row>
    <row r="2146" spans="1:16" ht="14.5" x14ac:dyDescent="0.35">
      <c r="A2146">
        <v>2145</v>
      </c>
      <c r="B2146">
        <v>47</v>
      </c>
      <c r="C2146" t="s">
        <v>16</v>
      </c>
      <c r="D2146" t="s">
        <v>63</v>
      </c>
      <c r="E2146" t="s">
        <v>37</v>
      </c>
      <c r="F2146">
        <v>23</v>
      </c>
      <c r="G2146" t="s">
        <v>119</v>
      </c>
      <c r="H2146" t="s">
        <v>20</v>
      </c>
      <c r="I2146" t="s">
        <v>112</v>
      </c>
      <c r="J2146" t="s">
        <v>22</v>
      </c>
      <c r="K2146">
        <v>3.7</v>
      </c>
      <c r="L2146" t="s">
        <v>143</v>
      </c>
      <c r="M2146" t="s">
        <v>143</v>
      </c>
      <c r="N2146">
        <v>25</v>
      </c>
      <c r="O2146" t="s">
        <v>40</v>
      </c>
      <c r="P2146" t="s">
        <v>51</v>
      </c>
    </row>
    <row r="2147" spans="1:16" ht="14.5" x14ac:dyDescent="0.35">
      <c r="A2147">
        <v>2146</v>
      </c>
      <c r="B2147">
        <v>38</v>
      </c>
      <c r="C2147" t="s">
        <v>16</v>
      </c>
      <c r="D2147" t="s">
        <v>78</v>
      </c>
      <c r="E2147" t="s">
        <v>18</v>
      </c>
      <c r="F2147">
        <v>73</v>
      </c>
      <c r="G2147" t="s">
        <v>130</v>
      </c>
      <c r="H2147" t="s">
        <v>32</v>
      </c>
      <c r="I2147" t="s">
        <v>46</v>
      </c>
      <c r="J2147" t="s">
        <v>22</v>
      </c>
      <c r="K2147">
        <v>4.8</v>
      </c>
      <c r="L2147" t="s">
        <v>143</v>
      </c>
      <c r="M2147" t="s">
        <v>143</v>
      </c>
      <c r="N2147">
        <v>32</v>
      </c>
      <c r="O2147" t="s">
        <v>40</v>
      </c>
      <c r="P2147" t="s">
        <v>43</v>
      </c>
    </row>
    <row r="2148" spans="1:16" ht="14.5" x14ac:dyDescent="0.35">
      <c r="A2148">
        <v>2147</v>
      </c>
      <c r="B2148">
        <v>48</v>
      </c>
      <c r="C2148" t="s">
        <v>16</v>
      </c>
      <c r="D2148" t="s">
        <v>80</v>
      </c>
      <c r="E2148" t="s">
        <v>60</v>
      </c>
      <c r="F2148">
        <v>23</v>
      </c>
      <c r="G2148" t="s">
        <v>131</v>
      </c>
      <c r="H2148" t="s">
        <v>83</v>
      </c>
      <c r="I2148" t="s">
        <v>46</v>
      </c>
      <c r="J2148" t="s">
        <v>47</v>
      </c>
      <c r="K2148">
        <v>4.5999999999999996</v>
      </c>
      <c r="L2148" t="s">
        <v>143</v>
      </c>
      <c r="M2148" t="s">
        <v>143</v>
      </c>
      <c r="N2148">
        <v>45</v>
      </c>
      <c r="O2148" t="s">
        <v>40</v>
      </c>
      <c r="P2148" t="s">
        <v>88</v>
      </c>
    </row>
    <row r="2149" spans="1:16" ht="14.5" x14ac:dyDescent="0.35">
      <c r="A2149">
        <v>2148</v>
      </c>
      <c r="B2149">
        <v>47</v>
      </c>
      <c r="C2149" t="s">
        <v>16</v>
      </c>
      <c r="D2149" t="s">
        <v>78</v>
      </c>
      <c r="E2149" t="s">
        <v>18</v>
      </c>
      <c r="F2149">
        <v>43</v>
      </c>
      <c r="G2149" t="s">
        <v>61</v>
      </c>
      <c r="H2149" t="s">
        <v>32</v>
      </c>
      <c r="I2149" t="s">
        <v>54</v>
      </c>
      <c r="J2149" t="s">
        <v>50</v>
      </c>
      <c r="K2149">
        <v>4.8</v>
      </c>
      <c r="L2149" t="s">
        <v>143</v>
      </c>
      <c r="M2149" t="s">
        <v>143</v>
      </c>
      <c r="N2149">
        <v>4</v>
      </c>
      <c r="O2149" t="s">
        <v>29</v>
      </c>
      <c r="P2149" t="s">
        <v>25</v>
      </c>
    </row>
    <row r="2150" spans="1:16" ht="14.5" x14ac:dyDescent="0.35">
      <c r="A2150">
        <v>2149</v>
      </c>
      <c r="B2150">
        <v>19</v>
      </c>
      <c r="C2150" t="s">
        <v>16</v>
      </c>
      <c r="D2150" t="s">
        <v>104</v>
      </c>
      <c r="E2150" t="s">
        <v>18</v>
      </c>
      <c r="F2150">
        <v>45</v>
      </c>
      <c r="G2150" t="s">
        <v>136</v>
      </c>
      <c r="H2150" t="s">
        <v>83</v>
      </c>
      <c r="I2150" t="s">
        <v>42</v>
      </c>
      <c r="J2150" t="s">
        <v>22</v>
      </c>
      <c r="K2150">
        <v>4.5999999999999996</v>
      </c>
      <c r="L2150" t="s">
        <v>143</v>
      </c>
      <c r="M2150" t="s">
        <v>143</v>
      </c>
      <c r="N2150">
        <v>19</v>
      </c>
      <c r="O2150" t="s">
        <v>40</v>
      </c>
      <c r="P2150" t="s">
        <v>67</v>
      </c>
    </row>
    <row r="2151" spans="1:16" ht="14.5" x14ac:dyDescent="0.35">
      <c r="A2151">
        <v>2150</v>
      </c>
      <c r="B2151">
        <v>38</v>
      </c>
      <c r="C2151" t="s">
        <v>16</v>
      </c>
      <c r="D2151" t="s">
        <v>36</v>
      </c>
      <c r="E2151" t="s">
        <v>37</v>
      </c>
      <c r="F2151">
        <v>21</v>
      </c>
      <c r="G2151" t="s">
        <v>68</v>
      </c>
      <c r="H2151" t="s">
        <v>20</v>
      </c>
      <c r="I2151" t="s">
        <v>112</v>
      </c>
      <c r="J2151" t="s">
        <v>22</v>
      </c>
      <c r="K2151">
        <v>4</v>
      </c>
      <c r="L2151" t="s">
        <v>143</v>
      </c>
      <c r="M2151" t="s">
        <v>143</v>
      </c>
      <c r="N2151">
        <v>1</v>
      </c>
      <c r="O2151" t="s">
        <v>66</v>
      </c>
      <c r="P2151" t="s">
        <v>35</v>
      </c>
    </row>
    <row r="2152" spans="1:16" ht="14.5" x14ac:dyDescent="0.35">
      <c r="A2152">
        <v>2151</v>
      </c>
      <c r="B2152">
        <v>57</v>
      </c>
      <c r="C2152" t="s">
        <v>16</v>
      </c>
      <c r="D2152" t="s">
        <v>48</v>
      </c>
      <c r="E2152" t="s">
        <v>18</v>
      </c>
      <c r="F2152">
        <v>40</v>
      </c>
      <c r="G2152" t="s">
        <v>106</v>
      </c>
      <c r="H2152" t="s">
        <v>39</v>
      </c>
      <c r="I2152" t="s">
        <v>112</v>
      </c>
      <c r="J2152" t="s">
        <v>33</v>
      </c>
      <c r="K2152">
        <v>2.6</v>
      </c>
      <c r="L2152" t="s">
        <v>143</v>
      </c>
      <c r="M2152" t="s">
        <v>143</v>
      </c>
      <c r="N2152">
        <v>12</v>
      </c>
      <c r="O2152" t="s">
        <v>29</v>
      </c>
      <c r="P2152" t="s">
        <v>35</v>
      </c>
    </row>
    <row r="2153" spans="1:16" ht="14.5" x14ac:dyDescent="0.35">
      <c r="A2153">
        <v>2152</v>
      </c>
      <c r="B2153">
        <v>70</v>
      </c>
      <c r="C2153" t="s">
        <v>16</v>
      </c>
      <c r="D2153" t="s">
        <v>30</v>
      </c>
      <c r="E2153" t="s">
        <v>18</v>
      </c>
      <c r="F2153">
        <v>58</v>
      </c>
      <c r="G2153" t="s">
        <v>120</v>
      </c>
      <c r="H2153" t="s">
        <v>20</v>
      </c>
      <c r="I2153" t="s">
        <v>101</v>
      </c>
      <c r="J2153" t="s">
        <v>50</v>
      </c>
      <c r="K2153">
        <v>2.6</v>
      </c>
      <c r="L2153" t="s">
        <v>143</v>
      </c>
      <c r="M2153" t="s">
        <v>143</v>
      </c>
      <c r="N2153">
        <v>18</v>
      </c>
      <c r="O2153" t="s">
        <v>24</v>
      </c>
      <c r="P2153" t="s">
        <v>79</v>
      </c>
    </row>
    <row r="2154" spans="1:16" ht="14.5" x14ac:dyDescent="0.35">
      <c r="A2154">
        <v>2153</v>
      </c>
      <c r="B2154">
        <v>38</v>
      </c>
      <c r="C2154" t="s">
        <v>16</v>
      </c>
      <c r="D2154" t="s">
        <v>52</v>
      </c>
      <c r="E2154" t="s">
        <v>18</v>
      </c>
      <c r="F2154">
        <v>48</v>
      </c>
      <c r="G2154" t="s">
        <v>118</v>
      </c>
      <c r="H2154" t="s">
        <v>20</v>
      </c>
      <c r="I2154" t="s">
        <v>127</v>
      </c>
      <c r="J2154" t="s">
        <v>47</v>
      </c>
      <c r="K2154">
        <v>4.5</v>
      </c>
      <c r="L2154" t="s">
        <v>143</v>
      </c>
      <c r="M2154" t="s">
        <v>143</v>
      </c>
      <c r="N2154">
        <v>43</v>
      </c>
      <c r="O2154" t="s">
        <v>66</v>
      </c>
      <c r="P2154" t="s">
        <v>67</v>
      </c>
    </row>
    <row r="2155" spans="1:16" ht="14.5" x14ac:dyDescent="0.35">
      <c r="A2155">
        <v>2154</v>
      </c>
      <c r="B2155">
        <v>35</v>
      </c>
      <c r="C2155" t="s">
        <v>16</v>
      </c>
      <c r="D2155" t="s">
        <v>48</v>
      </c>
      <c r="E2155" t="s">
        <v>18</v>
      </c>
      <c r="F2155">
        <v>94</v>
      </c>
      <c r="G2155" t="s">
        <v>19</v>
      </c>
      <c r="H2155" t="s">
        <v>39</v>
      </c>
      <c r="I2155" t="s">
        <v>74</v>
      </c>
      <c r="J2155" t="s">
        <v>50</v>
      </c>
      <c r="K2155">
        <v>4.2</v>
      </c>
      <c r="L2155" t="s">
        <v>143</v>
      </c>
      <c r="M2155" t="s">
        <v>143</v>
      </c>
      <c r="N2155">
        <v>31</v>
      </c>
      <c r="O2155" t="s">
        <v>40</v>
      </c>
      <c r="P2155" t="s">
        <v>43</v>
      </c>
    </row>
    <row r="2156" spans="1:16" ht="14.5" x14ac:dyDescent="0.35">
      <c r="A2156">
        <v>2155</v>
      </c>
      <c r="B2156">
        <v>46</v>
      </c>
      <c r="C2156" t="s">
        <v>16</v>
      </c>
      <c r="D2156" t="s">
        <v>110</v>
      </c>
      <c r="E2156" t="s">
        <v>60</v>
      </c>
      <c r="F2156">
        <v>74</v>
      </c>
      <c r="G2156" t="s">
        <v>45</v>
      </c>
      <c r="H2156" t="s">
        <v>39</v>
      </c>
      <c r="I2156" t="s">
        <v>74</v>
      </c>
      <c r="J2156" t="s">
        <v>33</v>
      </c>
      <c r="K2156">
        <v>3.4</v>
      </c>
      <c r="L2156" t="s">
        <v>143</v>
      </c>
      <c r="M2156" t="s">
        <v>143</v>
      </c>
      <c r="N2156">
        <v>33</v>
      </c>
      <c r="O2156" t="s">
        <v>29</v>
      </c>
      <c r="P2156" t="s">
        <v>88</v>
      </c>
    </row>
    <row r="2157" spans="1:16" ht="14.5" x14ac:dyDescent="0.35">
      <c r="A2157">
        <v>2156</v>
      </c>
      <c r="B2157">
        <v>32</v>
      </c>
      <c r="C2157" t="s">
        <v>16</v>
      </c>
      <c r="D2157" t="s">
        <v>59</v>
      </c>
      <c r="E2157" t="s">
        <v>60</v>
      </c>
      <c r="F2157">
        <v>51</v>
      </c>
      <c r="G2157" t="s">
        <v>68</v>
      </c>
      <c r="H2157" t="s">
        <v>20</v>
      </c>
      <c r="I2157" t="s">
        <v>125</v>
      </c>
      <c r="J2157" t="s">
        <v>50</v>
      </c>
      <c r="K2157">
        <v>3.7</v>
      </c>
      <c r="L2157" t="s">
        <v>143</v>
      </c>
      <c r="M2157" t="s">
        <v>143</v>
      </c>
      <c r="N2157">
        <v>46</v>
      </c>
      <c r="O2157" t="s">
        <v>40</v>
      </c>
      <c r="P2157" t="s">
        <v>79</v>
      </c>
    </row>
    <row r="2158" spans="1:16" ht="14.5" x14ac:dyDescent="0.35">
      <c r="A2158">
        <v>2157</v>
      </c>
      <c r="B2158">
        <v>38</v>
      </c>
      <c r="C2158" t="s">
        <v>16</v>
      </c>
      <c r="D2158" t="s">
        <v>78</v>
      </c>
      <c r="E2158" t="s">
        <v>18</v>
      </c>
      <c r="F2158">
        <v>83</v>
      </c>
      <c r="G2158" t="s">
        <v>61</v>
      </c>
      <c r="H2158" t="s">
        <v>39</v>
      </c>
      <c r="I2158" t="s">
        <v>28</v>
      </c>
      <c r="J2158" t="s">
        <v>22</v>
      </c>
      <c r="K2158">
        <v>3.6</v>
      </c>
      <c r="L2158" t="s">
        <v>143</v>
      </c>
      <c r="M2158" t="s">
        <v>143</v>
      </c>
      <c r="N2158">
        <v>41</v>
      </c>
      <c r="O2158" t="s">
        <v>77</v>
      </c>
      <c r="P2158" t="s">
        <v>67</v>
      </c>
    </row>
    <row r="2159" spans="1:16" ht="14.5" x14ac:dyDescent="0.35">
      <c r="A2159">
        <v>2158</v>
      </c>
      <c r="B2159">
        <v>41</v>
      </c>
      <c r="C2159" t="s">
        <v>16</v>
      </c>
      <c r="D2159" t="s">
        <v>59</v>
      </c>
      <c r="E2159" t="s">
        <v>60</v>
      </c>
      <c r="F2159">
        <v>68</v>
      </c>
      <c r="G2159" t="s">
        <v>82</v>
      </c>
      <c r="H2159" t="s">
        <v>20</v>
      </c>
      <c r="I2159" t="s">
        <v>42</v>
      </c>
      <c r="J2159" t="s">
        <v>22</v>
      </c>
      <c r="K2159">
        <v>4</v>
      </c>
      <c r="L2159" t="s">
        <v>143</v>
      </c>
      <c r="M2159" t="s">
        <v>143</v>
      </c>
      <c r="N2159">
        <v>41</v>
      </c>
      <c r="O2159" t="s">
        <v>24</v>
      </c>
      <c r="P2159" t="s">
        <v>25</v>
      </c>
    </row>
    <row r="2160" spans="1:16" ht="14.5" x14ac:dyDescent="0.35">
      <c r="A2160">
        <v>2159</v>
      </c>
      <c r="B2160">
        <v>19</v>
      </c>
      <c r="C2160" t="s">
        <v>16</v>
      </c>
      <c r="D2160" t="s">
        <v>134</v>
      </c>
      <c r="E2160" t="s">
        <v>60</v>
      </c>
      <c r="F2160">
        <v>84</v>
      </c>
      <c r="G2160" t="s">
        <v>31</v>
      </c>
      <c r="H2160" t="s">
        <v>83</v>
      </c>
      <c r="I2160" t="s">
        <v>69</v>
      </c>
      <c r="J2160" t="s">
        <v>33</v>
      </c>
      <c r="K2160">
        <v>4.5999999999999996</v>
      </c>
      <c r="L2160" t="s">
        <v>143</v>
      </c>
      <c r="M2160" t="s">
        <v>143</v>
      </c>
      <c r="N2160">
        <v>9</v>
      </c>
      <c r="O2160" t="s">
        <v>66</v>
      </c>
      <c r="P2160" t="s">
        <v>25</v>
      </c>
    </row>
    <row r="2161" spans="1:16" ht="14.5" x14ac:dyDescent="0.35">
      <c r="A2161">
        <v>2160</v>
      </c>
      <c r="B2161">
        <v>18</v>
      </c>
      <c r="C2161" t="s">
        <v>16</v>
      </c>
      <c r="D2161" t="s">
        <v>48</v>
      </c>
      <c r="E2161" t="s">
        <v>18</v>
      </c>
      <c r="F2161">
        <v>58</v>
      </c>
      <c r="G2161" t="s">
        <v>53</v>
      </c>
      <c r="H2161" t="s">
        <v>39</v>
      </c>
      <c r="I2161" t="s">
        <v>91</v>
      </c>
      <c r="J2161" t="s">
        <v>50</v>
      </c>
      <c r="K2161">
        <v>3</v>
      </c>
      <c r="L2161" t="s">
        <v>143</v>
      </c>
      <c r="M2161" t="s">
        <v>143</v>
      </c>
      <c r="N2161">
        <v>34</v>
      </c>
      <c r="O2161" t="s">
        <v>29</v>
      </c>
      <c r="P2161" t="s">
        <v>43</v>
      </c>
    </row>
    <row r="2162" spans="1:16" ht="14.5" x14ac:dyDescent="0.35">
      <c r="A2162">
        <v>2161</v>
      </c>
      <c r="B2162">
        <v>45</v>
      </c>
      <c r="C2162" t="s">
        <v>16</v>
      </c>
      <c r="D2162" t="s">
        <v>17</v>
      </c>
      <c r="E2162" t="s">
        <v>18</v>
      </c>
      <c r="F2162">
        <v>92</v>
      </c>
      <c r="G2162" t="s">
        <v>57</v>
      </c>
      <c r="H2162" t="s">
        <v>20</v>
      </c>
      <c r="I2162" t="s">
        <v>54</v>
      </c>
      <c r="J2162" t="s">
        <v>22</v>
      </c>
      <c r="K2162">
        <v>3.3</v>
      </c>
      <c r="L2162" t="s">
        <v>143</v>
      </c>
      <c r="M2162" t="s">
        <v>143</v>
      </c>
      <c r="N2162">
        <v>21</v>
      </c>
      <c r="O2162" t="s">
        <v>40</v>
      </c>
      <c r="P2162" t="s">
        <v>43</v>
      </c>
    </row>
    <row r="2163" spans="1:16" ht="14.5" x14ac:dyDescent="0.35">
      <c r="A2163">
        <v>2162</v>
      </c>
      <c r="B2163">
        <v>23</v>
      </c>
      <c r="C2163" t="s">
        <v>16</v>
      </c>
      <c r="D2163" t="s">
        <v>72</v>
      </c>
      <c r="E2163" t="s">
        <v>18</v>
      </c>
      <c r="F2163">
        <v>69</v>
      </c>
      <c r="G2163" t="s">
        <v>140</v>
      </c>
      <c r="H2163" t="s">
        <v>32</v>
      </c>
      <c r="I2163" t="s">
        <v>91</v>
      </c>
      <c r="J2163" t="s">
        <v>47</v>
      </c>
      <c r="K2163">
        <v>3.8</v>
      </c>
      <c r="L2163" t="s">
        <v>143</v>
      </c>
      <c r="M2163" t="s">
        <v>143</v>
      </c>
      <c r="N2163">
        <v>5</v>
      </c>
      <c r="O2163" t="s">
        <v>77</v>
      </c>
      <c r="P2163" t="s">
        <v>25</v>
      </c>
    </row>
    <row r="2164" spans="1:16" ht="14.5" x14ac:dyDescent="0.35">
      <c r="A2164">
        <v>2163</v>
      </c>
      <c r="B2164">
        <v>60</v>
      </c>
      <c r="C2164" t="s">
        <v>16</v>
      </c>
      <c r="D2164" t="s">
        <v>52</v>
      </c>
      <c r="E2164" t="s">
        <v>18</v>
      </c>
      <c r="F2164">
        <v>48</v>
      </c>
      <c r="G2164" t="s">
        <v>41</v>
      </c>
      <c r="H2164" t="s">
        <v>32</v>
      </c>
      <c r="I2164" t="s">
        <v>85</v>
      </c>
      <c r="J2164" t="s">
        <v>47</v>
      </c>
      <c r="K2164">
        <v>2.7</v>
      </c>
      <c r="L2164" t="s">
        <v>143</v>
      </c>
      <c r="M2164" t="s">
        <v>143</v>
      </c>
      <c r="N2164">
        <v>32</v>
      </c>
      <c r="O2164" t="s">
        <v>40</v>
      </c>
      <c r="P2164" t="s">
        <v>35</v>
      </c>
    </row>
    <row r="2165" spans="1:16" ht="14.5" x14ac:dyDescent="0.35">
      <c r="A2165">
        <v>2164</v>
      </c>
      <c r="B2165">
        <v>52</v>
      </c>
      <c r="C2165" t="s">
        <v>16</v>
      </c>
      <c r="D2165" t="s">
        <v>63</v>
      </c>
      <c r="E2165" t="s">
        <v>37</v>
      </c>
      <c r="F2165">
        <v>60</v>
      </c>
      <c r="G2165" t="s">
        <v>75</v>
      </c>
      <c r="H2165" t="s">
        <v>20</v>
      </c>
      <c r="I2165" t="s">
        <v>21</v>
      </c>
      <c r="J2165" t="s">
        <v>33</v>
      </c>
      <c r="K2165">
        <v>4.5</v>
      </c>
      <c r="L2165" t="s">
        <v>143</v>
      </c>
      <c r="M2165" t="s">
        <v>143</v>
      </c>
      <c r="N2165">
        <v>44</v>
      </c>
      <c r="O2165" t="s">
        <v>66</v>
      </c>
      <c r="P2165" t="s">
        <v>79</v>
      </c>
    </row>
    <row r="2166" spans="1:16" ht="14.5" x14ac:dyDescent="0.35">
      <c r="A2166">
        <v>2165</v>
      </c>
      <c r="B2166">
        <v>42</v>
      </c>
      <c r="C2166" t="s">
        <v>16</v>
      </c>
      <c r="D2166" t="s">
        <v>36</v>
      </c>
      <c r="E2166" t="s">
        <v>37</v>
      </c>
      <c r="F2166">
        <v>20</v>
      </c>
      <c r="G2166" t="s">
        <v>137</v>
      </c>
      <c r="H2166" t="s">
        <v>32</v>
      </c>
      <c r="I2166" t="s">
        <v>69</v>
      </c>
      <c r="J2166" t="s">
        <v>22</v>
      </c>
      <c r="K2166">
        <v>4.8</v>
      </c>
      <c r="L2166" t="s">
        <v>143</v>
      </c>
      <c r="M2166" t="s">
        <v>143</v>
      </c>
      <c r="N2166">
        <v>46</v>
      </c>
      <c r="O2166" t="s">
        <v>40</v>
      </c>
      <c r="P2166" t="s">
        <v>67</v>
      </c>
    </row>
    <row r="2167" spans="1:16" ht="14.5" x14ac:dyDescent="0.35">
      <c r="A2167">
        <v>2166</v>
      </c>
      <c r="B2167">
        <v>29</v>
      </c>
      <c r="C2167" t="s">
        <v>16</v>
      </c>
      <c r="D2167" t="s">
        <v>86</v>
      </c>
      <c r="E2167" t="s">
        <v>18</v>
      </c>
      <c r="F2167">
        <v>55</v>
      </c>
      <c r="G2167" t="s">
        <v>126</v>
      </c>
      <c r="H2167" t="s">
        <v>39</v>
      </c>
      <c r="I2167" t="s">
        <v>42</v>
      </c>
      <c r="J2167" t="s">
        <v>47</v>
      </c>
      <c r="K2167">
        <v>4.2</v>
      </c>
      <c r="L2167" t="s">
        <v>143</v>
      </c>
      <c r="M2167" t="s">
        <v>143</v>
      </c>
      <c r="N2167">
        <v>42</v>
      </c>
      <c r="O2167" t="s">
        <v>34</v>
      </c>
      <c r="P2167" t="s">
        <v>88</v>
      </c>
    </row>
    <row r="2168" spans="1:16" ht="14.5" x14ac:dyDescent="0.35">
      <c r="A2168">
        <v>2167</v>
      </c>
      <c r="B2168">
        <v>31</v>
      </c>
      <c r="C2168" t="s">
        <v>16</v>
      </c>
      <c r="D2168" t="s">
        <v>93</v>
      </c>
      <c r="E2168" t="s">
        <v>56</v>
      </c>
      <c r="F2168">
        <v>88</v>
      </c>
      <c r="G2168" t="s">
        <v>118</v>
      </c>
      <c r="H2168" t="s">
        <v>32</v>
      </c>
      <c r="I2168" t="s">
        <v>65</v>
      </c>
      <c r="J2168" t="s">
        <v>33</v>
      </c>
      <c r="K2168">
        <v>3.5</v>
      </c>
      <c r="L2168" t="s">
        <v>143</v>
      </c>
      <c r="M2168" t="s">
        <v>143</v>
      </c>
      <c r="N2168">
        <v>50</v>
      </c>
      <c r="O2168" t="s">
        <v>34</v>
      </c>
      <c r="P2168" t="s">
        <v>67</v>
      </c>
    </row>
    <row r="2169" spans="1:16" ht="14.5" x14ac:dyDescent="0.35">
      <c r="A2169">
        <v>2168</v>
      </c>
      <c r="B2169">
        <v>30</v>
      </c>
      <c r="C2169" t="s">
        <v>16</v>
      </c>
      <c r="D2169" t="s">
        <v>78</v>
      </c>
      <c r="E2169" t="s">
        <v>18</v>
      </c>
      <c r="F2169">
        <v>48</v>
      </c>
      <c r="G2169" t="s">
        <v>114</v>
      </c>
      <c r="H2169" t="s">
        <v>20</v>
      </c>
      <c r="I2169" t="s">
        <v>87</v>
      </c>
      <c r="J2169" t="s">
        <v>22</v>
      </c>
      <c r="K2169">
        <v>4.9000000000000004</v>
      </c>
      <c r="L2169" t="s">
        <v>143</v>
      </c>
      <c r="M2169" t="s">
        <v>143</v>
      </c>
      <c r="N2169">
        <v>33</v>
      </c>
      <c r="O2169" t="s">
        <v>24</v>
      </c>
      <c r="P2169" t="s">
        <v>25</v>
      </c>
    </row>
    <row r="2170" spans="1:16" ht="14.5" x14ac:dyDescent="0.35">
      <c r="A2170">
        <v>2169</v>
      </c>
      <c r="B2170">
        <v>23</v>
      </c>
      <c r="C2170" t="s">
        <v>16</v>
      </c>
      <c r="D2170" t="s">
        <v>59</v>
      </c>
      <c r="E2170" t="s">
        <v>60</v>
      </c>
      <c r="F2170">
        <v>74</v>
      </c>
      <c r="G2170" t="s">
        <v>130</v>
      </c>
      <c r="H2170" t="s">
        <v>39</v>
      </c>
      <c r="I2170" t="s">
        <v>109</v>
      </c>
      <c r="J2170" t="s">
        <v>33</v>
      </c>
      <c r="K2170">
        <v>4.0999999999999996</v>
      </c>
      <c r="L2170" t="s">
        <v>143</v>
      </c>
      <c r="M2170" t="s">
        <v>143</v>
      </c>
      <c r="N2170">
        <v>32</v>
      </c>
      <c r="O2170" t="s">
        <v>29</v>
      </c>
      <c r="P2170" t="s">
        <v>51</v>
      </c>
    </row>
    <row r="2171" spans="1:16" ht="14.5" x14ac:dyDescent="0.35">
      <c r="A2171">
        <v>2170</v>
      </c>
      <c r="B2171">
        <v>31</v>
      </c>
      <c r="C2171" t="s">
        <v>16</v>
      </c>
      <c r="D2171" t="s">
        <v>55</v>
      </c>
      <c r="E2171" t="s">
        <v>56</v>
      </c>
      <c r="F2171">
        <v>42</v>
      </c>
      <c r="G2171" t="s">
        <v>94</v>
      </c>
      <c r="H2171" t="s">
        <v>39</v>
      </c>
      <c r="I2171" t="s">
        <v>101</v>
      </c>
      <c r="J2171" t="s">
        <v>50</v>
      </c>
      <c r="K2171">
        <v>2.9</v>
      </c>
      <c r="L2171" t="s">
        <v>143</v>
      </c>
      <c r="M2171" t="s">
        <v>143</v>
      </c>
      <c r="N2171">
        <v>32</v>
      </c>
      <c r="O2171" t="s">
        <v>66</v>
      </c>
      <c r="P2171" t="s">
        <v>67</v>
      </c>
    </row>
    <row r="2172" spans="1:16" ht="14.5" x14ac:dyDescent="0.35">
      <c r="A2172">
        <v>2171</v>
      </c>
      <c r="B2172">
        <v>40</v>
      </c>
      <c r="C2172" t="s">
        <v>16</v>
      </c>
      <c r="D2172" t="s">
        <v>26</v>
      </c>
      <c r="E2172" t="s">
        <v>18</v>
      </c>
      <c r="F2172">
        <v>32</v>
      </c>
      <c r="G2172" t="s">
        <v>122</v>
      </c>
      <c r="H2172" t="s">
        <v>39</v>
      </c>
      <c r="I2172" t="s">
        <v>42</v>
      </c>
      <c r="J2172" t="s">
        <v>50</v>
      </c>
      <c r="K2172">
        <v>4</v>
      </c>
      <c r="L2172" t="s">
        <v>143</v>
      </c>
      <c r="M2172" t="s">
        <v>143</v>
      </c>
      <c r="N2172">
        <v>37</v>
      </c>
      <c r="O2172" t="s">
        <v>24</v>
      </c>
      <c r="P2172" t="s">
        <v>88</v>
      </c>
    </row>
    <row r="2173" spans="1:16" ht="14.5" x14ac:dyDescent="0.35">
      <c r="A2173">
        <v>2172</v>
      </c>
      <c r="B2173">
        <v>39</v>
      </c>
      <c r="C2173" t="s">
        <v>16</v>
      </c>
      <c r="D2173" t="s">
        <v>52</v>
      </c>
      <c r="E2173" t="s">
        <v>18</v>
      </c>
      <c r="F2173">
        <v>98</v>
      </c>
      <c r="G2173" t="s">
        <v>61</v>
      </c>
      <c r="H2173" t="s">
        <v>39</v>
      </c>
      <c r="I2173" t="s">
        <v>125</v>
      </c>
      <c r="J2173" t="s">
        <v>47</v>
      </c>
      <c r="K2173">
        <v>4.5999999999999996</v>
      </c>
      <c r="L2173" t="s">
        <v>143</v>
      </c>
      <c r="M2173" t="s">
        <v>143</v>
      </c>
      <c r="N2173">
        <v>9</v>
      </c>
      <c r="O2173" t="s">
        <v>29</v>
      </c>
      <c r="P2173" t="s">
        <v>25</v>
      </c>
    </row>
    <row r="2174" spans="1:16" ht="14.5" x14ac:dyDescent="0.35">
      <c r="A2174">
        <v>2173</v>
      </c>
      <c r="B2174">
        <v>28</v>
      </c>
      <c r="C2174" t="s">
        <v>16</v>
      </c>
      <c r="D2174" t="s">
        <v>78</v>
      </c>
      <c r="E2174" t="s">
        <v>18</v>
      </c>
      <c r="F2174">
        <v>89</v>
      </c>
      <c r="G2174" t="s">
        <v>38</v>
      </c>
      <c r="H2174" t="s">
        <v>32</v>
      </c>
      <c r="I2174" t="s">
        <v>84</v>
      </c>
      <c r="J2174" t="s">
        <v>50</v>
      </c>
      <c r="K2174">
        <v>2.8</v>
      </c>
      <c r="L2174" t="s">
        <v>143</v>
      </c>
      <c r="M2174" t="s">
        <v>143</v>
      </c>
      <c r="N2174">
        <v>6</v>
      </c>
      <c r="O2174" t="s">
        <v>40</v>
      </c>
      <c r="P2174" t="s">
        <v>25</v>
      </c>
    </row>
    <row r="2175" spans="1:16" ht="14.5" x14ac:dyDescent="0.35">
      <c r="A2175">
        <v>2174</v>
      </c>
      <c r="B2175">
        <v>23</v>
      </c>
      <c r="C2175" t="s">
        <v>16</v>
      </c>
      <c r="D2175" t="s">
        <v>134</v>
      </c>
      <c r="E2175" t="s">
        <v>60</v>
      </c>
      <c r="F2175">
        <v>97</v>
      </c>
      <c r="G2175" t="s">
        <v>70</v>
      </c>
      <c r="H2175" t="s">
        <v>32</v>
      </c>
      <c r="I2175" t="s">
        <v>100</v>
      </c>
      <c r="J2175" t="s">
        <v>47</v>
      </c>
      <c r="K2175">
        <v>5</v>
      </c>
      <c r="L2175" t="s">
        <v>143</v>
      </c>
      <c r="M2175" t="s">
        <v>143</v>
      </c>
      <c r="N2175">
        <v>36</v>
      </c>
      <c r="O2175" t="s">
        <v>24</v>
      </c>
      <c r="P2175" t="s">
        <v>51</v>
      </c>
    </row>
    <row r="2176" spans="1:16" ht="14.5" x14ac:dyDescent="0.35">
      <c r="A2176">
        <v>2175</v>
      </c>
      <c r="B2176">
        <v>42</v>
      </c>
      <c r="C2176" t="s">
        <v>16</v>
      </c>
      <c r="D2176" t="s">
        <v>123</v>
      </c>
      <c r="E2176" t="s">
        <v>60</v>
      </c>
      <c r="F2176">
        <v>49</v>
      </c>
      <c r="G2176" t="s">
        <v>103</v>
      </c>
      <c r="H2176" t="s">
        <v>32</v>
      </c>
      <c r="I2176" t="s">
        <v>69</v>
      </c>
      <c r="J2176" t="s">
        <v>33</v>
      </c>
      <c r="K2176">
        <v>2.9</v>
      </c>
      <c r="L2176" t="s">
        <v>143</v>
      </c>
      <c r="M2176" t="s">
        <v>143</v>
      </c>
      <c r="N2176">
        <v>1</v>
      </c>
      <c r="O2176" t="s">
        <v>29</v>
      </c>
      <c r="P2176" t="s">
        <v>43</v>
      </c>
    </row>
    <row r="2177" spans="1:16" ht="14.5" x14ac:dyDescent="0.35">
      <c r="A2177">
        <v>2176</v>
      </c>
      <c r="B2177">
        <v>68</v>
      </c>
      <c r="C2177" t="s">
        <v>16</v>
      </c>
      <c r="D2177" t="s">
        <v>72</v>
      </c>
      <c r="E2177" t="s">
        <v>18</v>
      </c>
      <c r="F2177">
        <v>50</v>
      </c>
      <c r="G2177" t="s">
        <v>136</v>
      </c>
      <c r="H2177" t="s">
        <v>39</v>
      </c>
      <c r="I2177" t="s">
        <v>58</v>
      </c>
      <c r="J2177" t="s">
        <v>33</v>
      </c>
      <c r="K2177">
        <v>3.3</v>
      </c>
      <c r="L2177" t="s">
        <v>143</v>
      </c>
      <c r="M2177" t="s">
        <v>143</v>
      </c>
      <c r="N2177">
        <v>48</v>
      </c>
      <c r="O2177" t="s">
        <v>34</v>
      </c>
      <c r="P2177" t="s">
        <v>25</v>
      </c>
    </row>
    <row r="2178" spans="1:16" ht="14.5" x14ac:dyDescent="0.35">
      <c r="A2178">
        <v>2177</v>
      </c>
      <c r="B2178">
        <v>24</v>
      </c>
      <c r="C2178" t="s">
        <v>16</v>
      </c>
      <c r="D2178" t="s">
        <v>124</v>
      </c>
      <c r="E2178" t="s">
        <v>60</v>
      </c>
      <c r="F2178">
        <v>91</v>
      </c>
      <c r="G2178" t="s">
        <v>120</v>
      </c>
      <c r="H2178" t="s">
        <v>32</v>
      </c>
      <c r="I2178" t="s">
        <v>99</v>
      </c>
      <c r="J2178" t="s">
        <v>22</v>
      </c>
      <c r="K2178">
        <v>3.4</v>
      </c>
      <c r="L2178" t="s">
        <v>143</v>
      </c>
      <c r="M2178" t="s">
        <v>143</v>
      </c>
      <c r="N2178">
        <v>44</v>
      </c>
      <c r="O2178" t="s">
        <v>77</v>
      </c>
      <c r="P2178" t="s">
        <v>51</v>
      </c>
    </row>
    <row r="2179" spans="1:16" ht="14.5" x14ac:dyDescent="0.35">
      <c r="A2179">
        <v>2178</v>
      </c>
      <c r="B2179">
        <v>24</v>
      </c>
      <c r="C2179" t="s">
        <v>16</v>
      </c>
      <c r="D2179" t="s">
        <v>134</v>
      </c>
      <c r="E2179" t="s">
        <v>60</v>
      </c>
      <c r="F2179">
        <v>93</v>
      </c>
      <c r="G2179" t="s">
        <v>49</v>
      </c>
      <c r="H2179" t="s">
        <v>83</v>
      </c>
      <c r="I2179" t="s">
        <v>87</v>
      </c>
      <c r="J2179" t="s">
        <v>22</v>
      </c>
      <c r="K2179">
        <v>3</v>
      </c>
      <c r="L2179" t="s">
        <v>143</v>
      </c>
      <c r="M2179" t="s">
        <v>143</v>
      </c>
      <c r="N2179">
        <v>9</v>
      </c>
      <c r="O2179" t="s">
        <v>40</v>
      </c>
      <c r="P2179" t="s">
        <v>67</v>
      </c>
    </row>
    <row r="2180" spans="1:16" ht="14.5" x14ac:dyDescent="0.35">
      <c r="A2180">
        <v>2179</v>
      </c>
      <c r="B2180">
        <v>21</v>
      </c>
      <c r="C2180" t="s">
        <v>16</v>
      </c>
      <c r="D2180" t="s">
        <v>97</v>
      </c>
      <c r="E2180" t="s">
        <v>60</v>
      </c>
      <c r="F2180">
        <v>98</v>
      </c>
      <c r="G2180" t="s">
        <v>94</v>
      </c>
      <c r="H2180" t="s">
        <v>39</v>
      </c>
      <c r="I2180" t="s">
        <v>71</v>
      </c>
      <c r="J2180" t="s">
        <v>47</v>
      </c>
      <c r="K2180">
        <v>4.7</v>
      </c>
      <c r="L2180" t="s">
        <v>143</v>
      </c>
      <c r="M2180" t="s">
        <v>143</v>
      </c>
      <c r="N2180">
        <v>32</v>
      </c>
      <c r="O2180" t="s">
        <v>24</v>
      </c>
      <c r="P2180" t="s">
        <v>43</v>
      </c>
    </row>
    <row r="2181" spans="1:16" ht="14.5" x14ac:dyDescent="0.35">
      <c r="A2181">
        <v>2180</v>
      </c>
      <c r="B2181">
        <v>49</v>
      </c>
      <c r="C2181" t="s">
        <v>16</v>
      </c>
      <c r="D2181" t="s">
        <v>116</v>
      </c>
      <c r="E2181" t="s">
        <v>18</v>
      </c>
      <c r="F2181">
        <v>82</v>
      </c>
      <c r="G2181" t="s">
        <v>70</v>
      </c>
      <c r="H2181" t="s">
        <v>20</v>
      </c>
      <c r="I2181" t="s">
        <v>84</v>
      </c>
      <c r="J2181" t="s">
        <v>50</v>
      </c>
      <c r="K2181">
        <v>2.9</v>
      </c>
      <c r="L2181" t="s">
        <v>143</v>
      </c>
      <c r="M2181" t="s">
        <v>143</v>
      </c>
      <c r="N2181">
        <v>14</v>
      </c>
      <c r="O2181" t="s">
        <v>40</v>
      </c>
      <c r="P2181" t="s">
        <v>79</v>
      </c>
    </row>
    <row r="2182" spans="1:16" ht="14.5" x14ac:dyDescent="0.35">
      <c r="A2182">
        <v>2181</v>
      </c>
      <c r="B2182">
        <v>41</v>
      </c>
      <c r="C2182" t="s">
        <v>16</v>
      </c>
      <c r="D2182" t="s">
        <v>55</v>
      </c>
      <c r="E2182" t="s">
        <v>56</v>
      </c>
      <c r="F2182">
        <v>37</v>
      </c>
      <c r="G2182" t="s">
        <v>130</v>
      </c>
      <c r="H2182" t="s">
        <v>39</v>
      </c>
      <c r="I2182" t="s">
        <v>125</v>
      </c>
      <c r="J2182" t="s">
        <v>47</v>
      </c>
      <c r="K2182">
        <v>4.0999999999999996</v>
      </c>
      <c r="L2182" t="s">
        <v>143</v>
      </c>
      <c r="M2182" t="s">
        <v>143</v>
      </c>
      <c r="N2182">
        <v>43</v>
      </c>
      <c r="O2182" t="s">
        <v>29</v>
      </c>
      <c r="P2182" t="s">
        <v>51</v>
      </c>
    </row>
    <row r="2183" spans="1:16" ht="14.5" x14ac:dyDescent="0.35">
      <c r="A2183">
        <v>2182</v>
      </c>
      <c r="B2183">
        <v>22</v>
      </c>
      <c r="C2183" t="s">
        <v>16</v>
      </c>
      <c r="D2183" t="s">
        <v>59</v>
      </c>
      <c r="E2183" t="s">
        <v>60</v>
      </c>
      <c r="F2183">
        <v>63</v>
      </c>
      <c r="G2183" t="s">
        <v>68</v>
      </c>
      <c r="H2183" t="s">
        <v>39</v>
      </c>
      <c r="I2183" t="s">
        <v>85</v>
      </c>
      <c r="J2183" t="s">
        <v>50</v>
      </c>
      <c r="K2183">
        <v>3.2</v>
      </c>
      <c r="L2183" t="s">
        <v>143</v>
      </c>
      <c r="M2183" t="s">
        <v>143</v>
      </c>
      <c r="N2183">
        <v>32</v>
      </c>
      <c r="O2183" t="s">
        <v>66</v>
      </c>
      <c r="P2183" t="s">
        <v>67</v>
      </c>
    </row>
    <row r="2184" spans="1:16" ht="14.5" x14ac:dyDescent="0.35">
      <c r="A2184">
        <v>2183</v>
      </c>
      <c r="B2184">
        <v>42</v>
      </c>
      <c r="C2184" t="s">
        <v>16</v>
      </c>
      <c r="D2184" t="s">
        <v>17</v>
      </c>
      <c r="E2184" t="s">
        <v>18</v>
      </c>
      <c r="F2184">
        <v>99</v>
      </c>
      <c r="G2184" t="s">
        <v>121</v>
      </c>
      <c r="H2184" t="s">
        <v>39</v>
      </c>
      <c r="I2184" t="s">
        <v>28</v>
      </c>
      <c r="J2184" t="s">
        <v>22</v>
      </c>
      <c r="K2184">
        <v>2.7</v>
      </c>
      <c r="L2184" t="s">
        <v>143</v>
      </c>
      <c r="M2184" t="s">
        <v>143</v>
      </c>
      <c r="N2184">
        <v>26</v>
      </c>
      <c r="O2184" t="s">
        <v>24</v>
      </c>
      <c r="P2184" t="s">
        <v>67</v>
      </c>
    </row>
    <row r="2185" spans="1:16" ht="14.5" x14ac:dyDescent="0.35">
      <c r="A2185">
        <v>2184</v>
      </c>
      <c r="B2185">
        <v>30</v>
      </c>
      <c r="C2185" t="s">
        <v>16</v>
      </c>
      <c r="D2185" t="s">
        <v>52</v>
      </c>
      <c r="E2185" t="s">
        <v>18</v>
      </c>
      <c r="F2185">
        <v>37</v>
      </c>
      <c r="G2185" t="s">
        <v>102</v>
      </c>
      <c r="H2185" t="s">
        <v>39</v>
      </c>
      <c r="I2185" t="s">
        <v>28</v>
      </c>
      <c r="J2185" t="s">
        <v>33</v>
      </c>
      <c r="K2185">
        <v>4.7</v>
      </c>
      <c r="L2185" t="s">
        <v>143</v>
      </c>
      <c r="M2185" t="s">
        <v>143</v>
      </c>
      <c r="N2185">
        <v>2</v>
      </c>
      <c r="O2185" t="s">
        <v>29</v>
      </c>
      <c r="P2185" t="s">
        <v>79</v>
      </c>
    </row>
    <row r="2186" spans="1:16" ht="14.5" x14ac:dyDescent="0.35">
      <c r="A2186">
        <v>2185</v>
      </c>
      <c r="B2186">
        <v>38</v>
      </c>
      <c r="C2186" t="s">
        <v>16</v>
      </c>
      <c r="D2186" t="s">
        <v>63</v>
      </c>
      <c r="E2186" t="s">
        <v>37</v>
      </c>
      <c r="F2186">
        <v>34</v>
      </c>
      <c r="G2186" t="s">
        <v>98</v>
      </c>
      <c r="H2186" t="s">
        <v>32</v>
      </c>
      <c r="I2186" t="s">
        <v>71</v>
      </c>
      <c r="J2186" t="s">
        <v>33</v>
      </c>
      <c r="K2186">
        <v>3.2</v>
      </c>
      <c r="L2186" t="s">
        <v>143</v>
      </c>
      <c r="M2186" t="s">
        <v>143</v>
      </c>
      <c r="N2186">
        <v>16</v>
      </c>
      <c r="O2186" t="s">
        <v>40</v>
      </c>
      <c r="P2186" t="s">
        <v>88</v>
      </c>
    </row>
    <row r="2187" spans="1:16" ht="14.5" x14ac:dyDescent="0.35">
      <c r="A2187">
        <v>2186</v>
      </c>
      <c r="B2187">
        <v>40</v>
      </c>
      <c r="C2187" t="s">
        <v>16</v>
      </c>
      <c r="D2187" t="s">
        <v>52</v>
      </c>
      <c r="E2187" t="s">
        <v>18</v>
      </c>
      <c r="F2187">
        <v>32</v>
      </c>
      <c r="G2187" t="s">
        <v>89</v>
      </c>
      <c r="H2187" t="s">
        <v>39</v>
      </c>
      <c r="I2187" t="s">
        <v>74</v>
      </c>
      <c r="J2187" t="s">
        <v>22</v>
      </c>
      <c r="K2187">
        <v>2.5</v>
      </c>
      <c r="L2187" t="s">
        <v>143</v>
      </c>
      <c r="M2187" t="s">
        <v>143</v>
      </c>
      <c r="N2187">
        <v>50</v>
      </c>
      <c r="O2187" t="s">
        <v>77</v>
      </c>
      <c r="P2187" t="s">
        <v>88</v>
      </c>
    </row>
    <row r="2188" spans="1:16" ht="14.5" x14ac:dyDescent="0.35">
      <c r="A2188">
        <v>2187</v>
      </c>
      <c r="B2188">
        <v>55</v>
      </c>
      <c r="C2188" t="s">
        <v>16</v>
      </c>
      <c r="D2188" t="s">
        <v>36</v>
      </c>
      <c r="E2188" t="s">
        <v>37</v>
      </c>
      <c r="F2188">
        <v>23</v>
      </c>
      <c r="G2188" t="s">
        <v>121</v>
      </c>
      <c r="H2188" t="s">
        <v>83</v>
      </c>
      <c r="I2188" t="s">
        <v>76</v>
      </c>
      <c r="J2188" t="s">
        <v>22</v>
      </c>
      <c r="K2188">
        <v>4.3</v>
      </c>
      <c r="L2188" t="s">
        <v>143</v>
      </c>
      <c r="M2188" t="s">
        <v>143</v>
      </c>
      <c r="N2188">
        <v>6</v>
      </c>
      <c r="O2188" t="s">
        <v>40</v>
      </c>
      <c r="P2188" t="s">
        <v>88</v>
      </c>
    </row>
    <row r="2189" spans="1:16" ht="14.5" x14ac:dyDescent="0.35">
      <c r="A2189">
        <v>2188</v>
      </c>
      <c r="B2189">
        <v>37</v>
      </c>
      <c r="C2189" t="s">
        <v>16</v>
      </c>
      <c r="D2189" t="s">
        <v>17</v>
      </c>
      <c r="E2189" t="s">
        <v>18</v>
      </c>
      <c r="F2189">
        <v>78</v>
      </c>
      <c r="G2189" t="s">
        <v>126</v>
      </c>
      <c r="H2189" t="s">
        <v>39</v>
      </c>
      <c r="I2189" t="s">
        <v>74</v>
      </c>
      <c r="J2189" t="s">
        <v>33</v>
      </c>
      <c r="K2189">
        <v>4.4000000000000004</v>
      </c>
      <c r="L2189" t="s">
        <v>143</v>
      </c>
      <c r="M2189" t="s">
        <v>143</v>
      </c>
      <c r="N2189">
        <v>20</v>
      </c>
      <c r="O2189" t="s">
        <v>40</v>
      </c>
      <c r="P2189" t="s">
        <v>43</v>
      </c>
    </row>
    <row r="2190" spans="1:16" ht="14.5" x14ac:dyDescent="0.35">
      <c r="A2190">
        <v>2189</v>
      </c>
      <c r="B2190">
        <v>41</v>
      </c>
      <c r="C2190" t="s">
        <v>16</v>
      </c>
      <c r="D2190" t="s">
        <v>55</v>
      </c>
      <c r="E2190" t="s">
        <v>56</v>
      </c>
      <c r="F2190">
        <v>54</v>
      </c>
      <c r="G2190" t="s">
        <v>90</v>
      </c>
      <c r="H2190" t="s">
        <v>39</v>
      </c>
      <c r="I2190" t="s">
        <v>101</v>
      </c>
      <c r="J2190" t="s">
        <v>22</v>
      </c>
      <c r="K2190">
        <v>4.7</v>
      </c>
      <c r="L2190" t="s">
        <v>143</v>
      </c>
      <c r="M2190" t="s">
        <v>143</v>
      </c>
      <c r="N2190">
        <v>9</v>
      </c>
      <c r="O2190" t="s">
        <v>34</v>
      </c>
      <c r="P2190" t="s">
        <v>35</v>
      </c>
    </row>
    <row r="2191" spans="1:16" ht="14.5" x14ac:dyDescent="0.35">
      <c r="A2191">
        <v>2190</v>
      </c>
      <c r="B2191">
        <v>38</v>
      </c>
      <c r="C2191" t="s">
        <v>16</v>
      </c>
      <c r="D2191" t="s">
        <v>17</v>
      </c>
      <c r="E2191" t="s">
        <v>18</v>
      </c>
      <c r="F2191">
        <v>94</v>
      </c>
      <c r="G2191" t="s">
        <v>141</v>
      </c>
      <c r="H2191" t="s">
        <v>83</v>
      </c>
      <c r="I2191" t="s">
        <v>101</v>
      </c>
      <c r="J2191" t="s">
        <v>50</v>
      </c>
      <c r="K2191">
        <v>4</v>
      </c>
      <c r="L2191" t="s">
        <v>143</v>
      </c>
      <c r="M2191" t="s">
        <v>143</v>
      </c>
      <c r="N2191">
        <v>47</v>
      </c>
      <c r="O2191" t="s">
        <v>34</v>
      </c>
      <c r="P2191" t="s">
        <v>67</v>
      </c>
    </row>
    <row r="2192" spans="1:16" ht="14.5" x14ac:dyDescent="0.35">
      <c r="A2192">
        <v>2191</v>
      </c>
      <c r="B2192">
        <v>42</v>
      </c>
      <c r="C2192" t="s">
        <v>16</v>
      </c>
      <c r="D2192" t="s">
        <v>124</v>
      </c>
      <c r="E2192" t="s">
        <v>60</v>
      </c>
      <c r="F2192">
        <v>75</v>
      </c>
      <c r="G2192" t="s">
        <v>111</v>
      </c>
      <c r="H2192" t="s">
        <v>32</v>
      </c>
      <c r="I2192" t="s">
        <v>28</v>
      </c>
      <c r="J2192" t="s">
        <v>33</v>
      </c>
      <c r="K2192">
        <v>4.5999999999999996</v>
      </c>
      <c r="L2192" t="s">
        <v>143</v>
      </c>
      <c r="M2192" t="s">
        <v>143</v>
      </c>
      <c r="N2192">
        <v>33</v>
      </c>
      <c r="O2192" t="s">
        <v>34</v>
      </c>
      <c r="P2192" t="s">
        <v>43</v>
      </c>
    </row>
    <row r="2193" spans="1:16" ht="14.5" x14ac:dyDescent="0.35">
      <c r="A2193">
        <v>2192</v>
      </c>
      <c r="B2193">
        <v>26</v>
      </c>
      <c r="C2193" t="s">
        <v>16</v>
      </c>
      <c r="D2193" t="s">
        <v>17</v>
      </c>
      <c r="E2193" t="s">
        <v>18</v>
      </c>
      <c r="F2193">
        <v>69</v>
      </c>
      <c r="G2193" t="s">
        <v>129</v>
      </c>
      <c r="H2193" t="s">
        <v>32</v>
      </c>
      <c r="I2193" t="s">
        <v>28</v>
      </c>
      <c r="J2193" t="s">
        <v>47</v>
      </c>
      <c r="K2193">
        <v>3.8</v>
      </c>
      <c r="L2193" t="s">
        <v>143</v>
      </c>
      <c r="M2193" t="s">
        <v>143</v>
      </c>
      <c r="N2193">
        <v>46</v>
      </c>
      <c r="O2193" t="s">
        <v>29</v>
      </c>
      <c r="P2193" t="s">
        <v>67</v>
      </c>
    </row>
    <row r="2194" spans="1:16" ht="14.5" x14ac:dyDescent="0.35">
      <c r="A2194">
        <v>2193</v>
      </c>
      <c r="B2194">
        <v>41</v>
      </c>
      <c r="C2194" t="s">
        <v>16</v>
      </c>
      <c r="D2194" t="s">
        <v>110</v>
      </c>
      <c r="E2194" t="s">
        <v>60</v>
      </c>
      <c r="F2194">
        <v>35</v>
      </c>
      <c r="G2194" t="s">
        <v>132</v>
      </c>
      <c r="H2194" t="s">
        <v>20</v>
      </c>
      <c r="I2194" t="s">
        <v>125</v>
      </c>
      <c r="J2194" t="s">
        <v>22</v>
      </c>
      <c r="K2194">
        <v>3.2</v>
      </c>
      <c r="L2194" t="s">
        <v>143</v>
      </c>
      <c r="M2194" t="s">
        <v>143</v>
      </c>
      <c r="N2194">
        <v>9</v>
      </c>
      <c r="O2194" t="s">
        <v>34</v>
      </c>
      <c r="P2194" t="s">
        <v>79</v>
      </c>
    </row>
    <row r="2195" spans="1:16" ht="14.5" x14ac:dyDescent="0.35">
      <c r="A2195">
        <v>2194</v>
      </c>
      <c r="B2195">
        <v>27</v>
      </c>
      <c r="C2195" t="s">
        <v>16</v>
      </c>
      <c r="D2195" t="s">
        <v>48</v>
      </c>
      <c r="E2195" t="s">
        <v>18</v>
      </c>
      <c r="F2195">
        <v>78</v>
      </c>
      <c r="G2195" t="s">
        <v>90</v>
      </c>
      <c r="H2195" t="s">
        <v>20</v>
      </c>
      <c r="I2195" t="s">
        <v>42</v>
      </c>
      <c r="J2195" t="s">
        <v>33</v>
      </c>
      <c r="K2195">
        <v>5</v>
      </c>
      <c r="L2195" t="s">
        <v>143</v>
      </c>
      <c r="M2195" t="s">
        <v>143</v>
      </c>
      <c r="N2195">
        <v>8</v>
      </c>
      <c r="O2195" t="s">
        <v>40</v>
      </c>
      <c r="P2195" t="s">
        <v>79</v>
      </c>
    </row>
    <row r="2196" spans="1:16" ht="14.5" x14ac:dyDescent="0.35">
      <c r="A2196">
        <v>2195</v>
      </c>
      <c r="B2196">
        <v>61</v>
      </c>
      <c r="C2196" t="s">
        <v>16</v>
      </c>
      <c r="D2196" t="s">
        <v>116</v>
      </c>
      <c r="E2196" t="s">
        <v>18</v>
      </c>
      <c r="F2196">
        <v>29</v>
      </c>
      <c r="G2196" t="s">
        <v>19</v>
      </c>
      <c r="H2196" t="s">
        <v>39</v>
      </c>
      <c r="I2196" t="s">
        <v>58</v>
      </c>
      <c r="J2196" t="s">
        <v>47</v>
      </c>
      <c r="K2196">
        <v>3.5</v>
      </c>
      <c r="L2196" t="s">
        <v>143</v>
      </c>
      <c r="M2196" t="s">
        <v>143</v>
      </c>
      <c r="N2196">
        <v>48</v>
      </c>
      <c r="O2196" t="s">
        <v>66</v>
      </c>
      <c r="P2196" t="s">
        <v>51</v>
      </c>
    </row>
    <row r="2197" spans="1:16" ht="14.5" x14ac:dyDescent="0.35">
      <c r="A2197">
        <v>2196</v>
      </c>
      <c r="B2197">
        <v>58</v>
      </c>
      <c r="C2197" t="s">
        <v>16</v>
      </c>
      <c r="D2197" t="s">
        <v>30</v>
      </c>
      <c r="E2197" t="s">
        <v>18</v>
      </c>
      <c r="F2197">
        <v>62</v>
      </c>
      <c r="G2197" t="s">
        <v>75</v>
      </c>
      <c r="H2197" t="s">
        <v>39</v>
      </c>
      <c r="I2197" t="s">
        <v>101</v>
      </c>
      <c r="J2197" t="s">
        <v>50</v>
      </c>
      <c r="K2197">
        <v>3.7</v>
      </c>
      <c r="L2197" t="s">
        <v>143</v>
      </c>
      <c r="M2197" t="s">
        <v>143</v>
      </c>
      <c r="N2197">
        <v>2</v>
      </c>
      <c r="O2197" t="s">
        <v>29</v>
      </c>
      <c r="P2197" t="s">
        <v>79</v>
      </c>
    </row>
    <row r="2198" spans="1:16" ht="14.5" x14ac:dyDescent="0.35">
      <c r="A2198">
        <v>2197</v>
      </c>
      <c r="B2198">
        <v>25</v>
      </c>
      <c r="C2198" t="s">
        <v>16</v>
      </c>
      <c r="D2198" t="s">
        <v>72</v>
      </c>
      <c r="E2198" t="s">
        <v>18</v>
      </c>
      <c r="F2198">
        <v>58</v>
      </c>
      <c r="G2198" t="s">
        <v>120</v>
      </c>
      <c r="H2198" t="s">
        <v>39</v>
      </c>
      <c r="I2198" t="s">
        <v>21</v>
      </c>
      <c r="J2198" t="s">
        <v>33</v>
      </c>
      <c r="K2198">
        <v>4.8</v>
      </c>
      <c r="L2198" t="s">
        <v>143</v>
      </c>
      <c r="M2198" t="s">
        <v>143</v>
      </c>
      <c r="N2198">
        <v>31</v>
      </c>
      <c r="O2198" t="s">
        <v>40</v>
      </c>
      <c r="P2198" t="s">
        <v>35</v>
      </c>
    </row>
    <row r="2199" spans="1:16" ht="14.5" x14ac:dyDescent="0.35">
      <c r="A2199">
        <v>2198</v>
      </c>
      <c r="B2199">
        <v>33</v>
      </c>
      <c r="C2199" t="s">
        <v>16</v>
      </c>
      <c r="D2199" t="s">
        <v>128</v>
      </c>
      <c r="E2199" t="s">
        <v>37</v>
      </c>
      <c r="F2199">
        <v>88</v>
      </c>
      <c r="G2199" t="s">
        <v>129</v>
      </c>
      <c r="H2199" t="s">
        <v>39</v>
      </c>
      <c r="I2199" t="s">
        <v>117</v>
      </c>
      <c r="J2199" t="s">
        <v>47</v>
      </c>
      <c r="K2199">
        <v>3.7</v>
      </c>
      <c r="L2199" t="s">
        <v>143</v>
      </c>
      <c r="M2199" t="s">
        <v>143</v>
      </c>
      <c r="N2199">
        <v>40</v>
      </c>
      <c r="O2199" t="s">
        <v>24</v>
      </c>
      <c r="P2199" t="s">
        <v>79</v>
      </c>
    </row>
    <row r="2200" spans="1:16" ht="14.5" x14ac:dyDescent="0.35">
      <c r="A2200">
        <v>2199</v>
      </c>
      <c r="B2200">
        <v>57</v>
      </c>
      <c r="C2200" t="s">
        <v>16</v>
      </c>
      <c r="D2200" t="s">
        <v>110</v>
      </c>
      <c r="E2200" t="s">
        <v>60</v>
      </c>
      <c r="F2200">
        <v>80</v>
      </c>
      <c r="G2200" t="s">
        <v>75</v>
      </c>
      <c r="H2200" t="s">
        <v>20</v>
      </c>
      <c r="I2200" t="s">
        <v>42</v>
      </c>
      <c r="J2200" t="s">
        <v>47</v>
      </c>
      <c r="K2200">
        <v>3.5</v>
      </c>
      <c r="L2200" t="s">
        <v>143</v>
      </c>
      <c r="M2200" t="s">
        <v>143</v>
      </c>
      <c r="N2200">
        <v>35</v>
      </c>
      <c r="O2200" t="s">
        <v>24</v>
      </c>
      <c r="P2200" t="s">
        <v>79</v>
      </c>
    </row>
    <row r="2201" spans="1:16" ht="14.5" x14ac:dyDescent="0.35">
      <c r="A2201">
        <v>2200</v>
      </c>
      <c r="B2201">
        <v>39</v>
      </c>
      <c r="C2201" t="s">
        <v>16</v>
      </c>
      <c r="D2201" t="s">
        <v>110</v>
      </c>
      <c r="E2201" t="s">
        <v>60</v>
      </c>
      <c r="F2201">
        <v>47</v>
      </c>
      <c r="G2201" t="s">
        <v>89</v>
      </c>
      <c r="H2201" t="s">
        <v>39</v>
      </c>
      <c r="I2201" t="s">
        <v>28</v>
      </c>
      <c r="J2201" t="s">
        <v>47</v>
      </c>
      <c r="K2201">
        <v>4.9000000000000004</v>
      </c>
      <c r="L2201" t="s">
        <v>143</v>
      </c>
      <c r="M2201" t="s">
        <v>143</v>
      </c>
      <c r="N2201">
        <v>40</v>
      </c>
      <c r="O2201" t="s">
        <v>77</v>
      </c>
      <c r="P2201" t="s">
        <v>79</v>
      </c>
    </row>
    <row r="2202" spans="1:16" ht="14.5" x14ac:dyDescent="0.35">
      <c r="A2202">
        <v>2201</v>
      </c>
      <c r="B2202">
        <v>60</v>
      </c>
      <c r="C2202" t="s">
        <v>16</v>
      </c>
      <c r="D2202" t="s">
        <v>134</v>
      </c>
      <c r="E2202" t="s">
        <v>60</v>
      </c>
      <c r="F2202">
        <v>51</v>
      </c>
      <c r="G2202" t="s">
        <v>45</v>
      </c>
      <c r="H2202" t="s">
        <v>20</v>
      </c>
      <c r="I2202" t="s">
        <v>54</v>
      </c>
      <c r="J2202" t="s">
        <v>47</v>
      </c>
      <c r="K2202">
        <v>4.7</v>
      </c>
      <c r="L2202" t="s">
        <v>143</v>
      </c>
      <c r="M2202" t="s">
        <v>143</v>
      </c>
      <c r="N2202">
        <v>27</v>
      </c>
      <c r="O2202" t="s">
        <v>77</v>
      </c>
      <c r="P2202" t="s">
        <v>88</v>
      </c>
    </row>
    <row r="2203" spans="1:16" ht="14.5" x14ac:dyDescent="0.35">
      <c r="A2203">
        <v>2202</v>
      </c>
      <c r="B2203">
        <v>39</v>
      </c>
      <c r="C2203" t="s">
        <v>16</v>
      </c>
      <c r="D2203" t="s">
        <v>86</v>
      </c>
      <c r="E2203" t="s">
        <v>18</v>
      </c>
      <c r="F2203">
        <v>25</v>
      </c>
      <c r="G2203" t="s">
        <v>114</v>
      </c>
      <c r="H2203" t="s">
        <v>20</v>
      </c>
      <c r="I2203" t="s">
        <v>91</v>
      </c>
      <c r="J2203" t="s">
        <v>33</v>
      </c>
      <c r="K2203">
        <v>4.9000000000000004</v>
      </c>
      <c r="L2203" t="s">
        <v>143</v>
      </c>
      <c r="M2203" t="s">
        <v>143</v>
      </c>
      <c r="N2203">
        <v>10</v>
      </c>
      <c r="O2203" t="s">
        <v>24</v>
      </c>
      <c r="P2203" t="s">
        <v>43</v>
      </c>
    </row>
    <row r="2204" spans="1:16" ht="14.5" x14ac:dyDescent="0.35">
      <c r="A2204">
        <v>2203</v>
      </c>
      <c r="B2204">
        <v>42</v>
      </c>
      <c r="C2204" t="s">
        <v>16</v>
      </c>
      <c r="D2204" t="s">
        <v>72</v>
      </c>
      <c r="E2204" t="s">
        <v>18</v>
      </c>
      <c r="F2204">
        <v>36</v>
      </c>
      <c r="G2204" t="s">
        <v>81</v>
      </c>
      <c r="H2204" t="s">
        <v>39</v>
      </c>
      <c r="I2204" t="s">
        <v>99</v>
      </c>
      <c r="J2204" t="s">
        <v>47</v>
      </c>
      <c r="K2204">
        <v>4.3</v>
      </c>
      <c r="L2204" t="s">
        <v>143</v>
      </c>
      <c r="M2204" t="s">
        <v>143</v>
      </c>
      <c r="N2204">
        <v>23</v>
      </c>
      <c r="O2204" t="s">
        <v>34</v>
      </c>
      <c r="P2204" t="s">
        <v>35</v>
      </c>
    </row>
    <row r="2205" spans="1:16" ht="14.5" x14ac:dyDescent="0.35">
      <c r="A2205">
        <v>2204</v>
      </c>
      <c r="B2205">
        <v>53</v>
      </c>
      <c r="C2205" t="s">
        <v>16</v>
      </c>
      <c r="D2205" t="s">
        <v>72</v>
      </c>
      <c r="E2205" t="s">
        <v>18</v>
      </c>
      <c r="F2205">
        <v>79</v>
      </c>
      <c r="G2205" t="s">
        <v>38</v>
      </c>
      <c r="H2205" t="s">
        <v>39</v>
      </c>
      <c r="I2205" t="s">
        <v>117</v>
      </c>
      <c r="J2205" t="s">
        <v>22</v>
      </c>
      <c r="K2205">
        <v>3.1</v>
      </c>
      <c r="L2205" t="s">
        <v>143</v>
      </c>
      <c r="M2205" t="s">
        <v>143</v>
      </c>
      <c r="N2205">
        <v>32</v>
      </c>
      <c r="O2205" t="s">
        <v>29</v>
      </c>
      <c r="P2205" t="s">
        <v>51</v>
      </c>
    </row>
    <row r="2206" spans="1:16" ht="14.5" x14ac:dyDescent="0.35">
      <c r="A2206">
        <v>2205</v>
      </c>
      <c r="B2206">
        <v>20</v>
      </c>
      <c r="C2206" t="s">
        <v>16</v>
      </c>
      <c r="D2206" t="s">
        <v>30</v>
      </c>
      <c r="E2206" t="s">
        <v>18</v>
      </c>
      <c r="F2206">
        <v>41</v>
      </c>
      <c r="G2206" t="s">
        <v>41</v>
      </c>
      <c r="H2206" t="s">
        <v>32</v>
      </c>
      <c r="I2206" t="s">
        <v>84</v>
      </c>
      <c r="J2206" t="s">
        <v>22</v>
      </c>
      <c r="K2206">
        <v>3.4</v>
      </c>
      <c r="L2206" t="s">
        <v>143</v>
      </c>
      <c r="M2206" t="s">
        <v>143</v>
      </c>
      <c r="N2206">
        <v>6</v>
      </c>
      <c r="O2206" t="s">
        <v>77</v>
      </c>
      <c r="P2206" t="s">
        <v>79</v>
      </c>
    </row>
    <row r="2207" spans="1:16" ht="14.5" x14ac:dyDescent="0.35">
      <c r="A2207">
        <v>2206</v>
      </c>
      <c r="B2207">
        <v>46</v>
      </c>
      <c r="C2207" t="s">
        <v>16</v>
      </c>
      <c r="D2207" t="s">
        <v>26</v>
      </c>
      <c r="E2207" t="s">
        <v>18</v>
      </c>
      <c r="F2207">
        <v>68</v>
      </c>
      <c r="G2207" t="s">
        <v>105</v>
      </c>
      <c r="H2207" t="s">
        <v>83</v>
      </c>
      <c r="I2207" t="s">
        <v>99</v>
      </c>
      <c r="J2207" t="s">
        <v>50</v>
      </c>
      <c r="K2207">
        <v>2.7</v>
      </c>
      <c r="L2207" t="s">
        <v>143</v>
      </c>
      <c r="M2207" t="s">
        <v>143</v>
      </c>
      <c r="N2207">
        <v>27</v>
      </c>
      <c r="O2207" t="s">
        <v>40</v>
      </c>
      <c r="P2207" t="s">
        <v>35</v>
      </c>
    </row>
    <row r="2208" spans="1:16" ht="14.5" x14ac:dyDescent="0.35">
      <c r="A2208">
        <v>2207</v>
      </c>
      <c r="B2208">
        <v>46</v>
      </c>
      <c r="C2208" t="s">
        <v>16</v>
      </c>
      <c r="D2208" t="s">
        <v>36</v>
      </c>
      <c r="E2208" t="s">
        <v>37</v>
      </c>
      <c r="F2208">
        <v>51</v>
      </c>
      <c r="G2208" t="s">
        <v>106</v>
      </c>
      <c r="H2208" t="s">
        <v>20</v>
      </c>
      <c r="I2208" t="s">
        <v>87</v>
      </c>
      <c r="J2208" t="s">
        <v>33</v>
      </c>
      <c r="K2208">
        <v>2.6</v>
      </c>
      <c r="L2208" t="s">
        <v>143</v>
      </c>
      <c r="M2208" t="s">
        <v>143</v>
      </c>
      <c r="N2208">
        <v>25</v>
      </c>
      <c r="O2208" t="s">
        <v>66</v>
      </c>
      <c r="P2208" t="s">
        <v>25</v>
      </c>
    </row>
    <row r="2209" spans="1:16" ht="14.5" x14ac:dyDescent="0.35">
      <c r="A2209">
        <v>2208</v>
      </c>
      <c r="B2209">
        <v>69</v>
      </c>
      <c r="C2209" t="s">
        <v>16</v>
      </c>
      <c r="D2209" t="s">
        <v>59</v>
      </c>
      <c r="E2209" t="s">
        <v>60</v>
      </c>
      <c r="F2209">
        <v>38</v>
      </c>
      <c r="G2209" t="s">
        <v>121</v>
      </c>
      <c r="H2209" t="s">
        <v>39</v>
      </c>
      <c r="I2209" t="s">
        <v>21</v>
      </c>
      <c r="J2209" t="s">
        <v>50</v>
      </c>
      <c r="K2209">
        <v>2.9</v>
      </c>
      <c r="L2209" t="s">
        <v>143</v>
      </c>
      <c r="M2209" t="s">
        <v>143</v>
      </c>
      <c r="N2209">
        <v>11</v>
      </c>
      <c r="O2209" t="s">
        <v>34</v>
      </c>
      <c r="P2209" t="s">
        <v>43</v>
      </c>
    </row>
    <row r="2210" spans="1:16" ht="14.5" x14ac:dyDescent="0.35">
      <c r="A2210">
        <v>2209</v>
      </c>
      <c r="B2210">
        <v>28</v>
      </c>
      <c r="C2210" t="s">
        <v>16</v>
      </c>
      <c r="D2210" t="s">
        <v>110</v>
      </c>
      <c r="E2210" t="s">
        <v>60</v>
      </c>
      <c r="F2210">
        <v>46</v>
      </c>
      <c r="G2210" t="s">
        <v>103</v>
      </c>
      <c r="H2210" t="s">
        <v>83</v>
      </c>
      <c r="I2210" t="s">
        <v>74</v>
      </c>
      <c r="J2210" t="s">
        <v>47</v>
      </c>
      <c r="K2210">
        <v>2.7</v>
      </c>
      <c r="L2210" t="s">
        <v>143</v>
      </c>
      <c r="M2210" t="s">
        <v>143</v>
      </c>
      <c r="N2210">
        <v>23</v>
      </c>
      <c r="O2210" t="s">
        <v>40</v>
      </c>
      <c r="P2210" t="s">
        <v>79</v>
      </c>
    </row>
    <row r="2211" spans="1:16" ht="14.5" x14ac:dyDescent="0.35">
      <c r="A2211">
        <v>2210</v>
      </c>
      <c r="B2211">
        <v>42</v>
      </c>
      <c r="C2211" t="s">
        <v>16</v>
      </c>
      <c r="D2211" t="s">
        <v>36</v>
      </c>
      <c r="E2211" t="s">
        <v>37</v>
      </c>
      <c r="F2211">
        <v>20</v>
      </c>
      <c r="G2211" t="s">
        <v>131</v>
      </c>
      <c r="H2211" t="s">
        <v>83</v>
      </c>
      <c r="I2211" t="s">
        <v>109</v>
      </c>
      <c r="J2211" t="s">
        <v>47</v>
      </c>
      <c r="K2211">
        <v>4.5</v>
      </c>
      <c r="L2211" t="s">
        <v>143</v>
      </c>
      <c r="M2211" t="s">
        <v>143</v>
      </c>
      <c r="N2211">
        <v>44</v>
      </c>
      <c r="O2211" t="s">
        <v>66</v>
      </c>
      <c r="P2211" t="s">
        <v>51</v>
      </c>
    </row>
    <row r="2212" spans="1:16" ht="14.5" x14ac:dyDescent="0.35">
      <c r="A2212">
        <v>2211</v>
      </c>
      <c r="B2212">
        <v>30</v>
      </c>
      <c r="C2212" t="s">
        <v>16</v>
      </c>
      <c r="D2212" t="s">
        <v>80</v>
      </c>
      <c r="E2212" t="s">
        <v>60</v>
      </c>
      <c r="F2212">
        <v>25</v>
      </c>
      <c r="G2212" t="s">
        <v>132</v>
      </c>
      <c r="H2212" t="s">
        <v>39</v>
      </c>
      <c r="I2212" t="s">
        <v>112</v>
      </c>
      <c r="J2212" t="s">
        <v>47</v>
      </c>
      <c r="K2212">
        <v>3.1</v>
      </c>
      <c r="L2212" t="s">
        <v>143</v>
      </c>
      <c r="M2212" t="s">
        <v>143</v>
      </c>
      <c r="N2212">
        <v>35</v>
      </c>
      <c r="O2212" t="s">
        <v>40</v>
      </c>
      <c r="P2212" t="s">
        <v>25</v>
      </c>
    </row>
    <row r="2213" spans="1:16" ht="14.5" x14ac:dyDescent="0.35">
      <c r="A2213">
        <v>2212</v>
      </c>
      <c r="B2213">
        <v>50</v>
      </c>
      <c r="C2213" t="s">
        <v>16</v>
      </c>
      <c r="D2213" t="s">
        <v>26</v>
      </c>
      <c r="E2213" t="s">
        <v>18</v>
      </c>
      <c r="F2213">
        <v>89</v>
      </c>
      <c r="G2213" t="s">
        <v>27</v>
      </c>
      <c r="H2213" t="s">
        <v>20</v>
      </c>
      <c r="I2213" t="s">
        <v>65</v>
      </c>
      <c r="J2213" t="s">
        <v>22</v>
      </c>
      <c r="K2213">
        <v>3.2</v>
      </c>
      <c r="L2213" t="s">
        <v>143</v>
      </c>
      <c r="M2213" t="s">
        <v>143</v>
      </c>
      <c r="N2213">
        <v>45</v>
      </c>
      <c r="O2213" t="s">
        <v>77</v>
      </c>
      <c r="P2213" t="s">
        <v>88</v>
      </c>
    </row>
    <row r="2214" spans="1:16" ht="14.5" x14ac:dyDescent="0.35">
      <c r="A2214">
        <v>2213</v>
      </c>
      <c r="B2214">
        <v>59</v>
      </c>
      <c r="C2214" t="s">
        <v>16</v>
      </c>
      <c r="D2214" t="s">
        <v>86</v>
      </c>
      <c r="E2214" t="s">
        <v>18</v>
      </c>
      <c r="F2214">
        <v>77</v>
      </c>
      <c r="G2214" t="s">
        <v>136</v>
      </c>
      <c r="H2214" t="s">
        <v>39</v>
      </c>
      <c r="I2214" t="s">
        <v>101</v>
      </c>
      <c r="J2214" t="s">
        <v>22</v>
      </c>
      <c r="K2214">
        <v>3.3</v>
      </c>
      <c r="L2214" t="s">
        <v>143</v>
      </c>
      <c r="M2214" t="s">
        <v>143</v>
      </c>
      <c r="N2214">
        <v>22</v>
      </c>
      <c r="O2214" t="s">
        <v>66</v>
      </c>
      <c r="P2214" t="s">
        <v>51</v>
      </c>
    </row>
    <row r="2215" spans="1:16" ht="14.5" x14ac:dyDescent="0.35">
      <c r="A2215">
        <v>2214</v>
      </c>
      <c r="B2215">
        <v>54</v>
      </c>
      <c r="C2215" t="s">
        <v>16</v>
      </c>
      <c r="D2215" t="s">
        <v>115</v>
      </c>
      <c r="E2215" t="s">
        <v>60</v>
      </c>
      <c r="F2215">
        <v>94</v>
      </c>
      <c r="G2215" t="s">
        <v>68</v>
      </c>
      <c r="H2215" t="s">
        <v>39</v>
      </c>
      <c r="I2215" t="s">
        <v>28</v>
      </c>
      <c r="J2215" t="s">
        <v>50</v>
      </c>
      <c r="K2215">
        <v>2.9</v>
      </c>
      <c r="L2215" t="s">
        <v>143</v>
      </c>
      <c r="M2215" t="s">
        <v>143</v>
      </c>
      <c r="N2215">
        <v>18</v>
      </c>
      <c r="O2215" t="s">
        <v>77</v>
      </c>
      <c r="P2215" t="s">
        <v>51</v>
      </c>
    </row>
    <row r="2216" spans="1:16" ht="14.5" x14ac:dyDescent="0.35">
      <c r="A2216">
        <v>2215</v>
      </c>
      <c r="B2216">
        <v>50</v>
      </c>
      <c r="C2216" t="s">
        <v>16</v>
      </c>
      <c r="D2216" t="s">
        <v>124</v>
      </c>
      <c r="E2216" t="s">
        <v>60</v>
      </c>
      <c r="F2216">
        <v>100</v>
      </c>
      <c r="G2216" t="s">
        <v>126</v>
      </c>
      <c r="H2216" t="s">
        <v>20</v>
      </c>
      <c r="I2216" t="s">
        <v>71</v>
      </c>
      <c r="J2216" t="s">
        <v>50</v>
      </c>
      <c r="K2216">
        <v>4.0999999999999996</v>
      </c>
      <c r="L2216" t="s">
        <v>143</v>
      </c>
      <c r="M2216" t="s">
        <v>143</v>
      </c>
      <c r="N2216">
        <v>20</v>
      </c>
      <c r="O2216" t="s">
        <v>77</v>
      </c>
      <c r="P2216" t="s">
        <v>35</v>
      </c>
    </row>
    <row r="2217" spans="1:16" ht="14.5" x14ac:dyDescent="0.35">
      <c r="A2217">
        <v>2216</v>
      </c>
      <c r="B2217">
        <v>25</v>
      </c>
      <c r="C2217" t="s">
        <v>16</v>
      </c>
      <c r="D2217" t="s">
        <v>36</v>
      </c>
      <c r="E2217" t="s">
        <v>37</v>
      </c>
      <c r="F2217">
        <v>96</v>
      </c>
      <c r="G2217" t="s">
        <v>57</v>
      </c>
      <c r="H2217" t="s">
        <v>39</v>
      </c>
      <c r="I2217" t="s">
        <v>117</v>
      </c>
      <c r="J2217" t="s">
        <v>22</v>
      </c>
      <c r="K2217">
        <v>2.7</v>
      </c>
      <c r="L2217" t="s">
        <v>143</v>
      </c>
      <c r="M2217" t="s">
        <v>143</v>
      </c>
      <c r="N2217">
        <v>28</v>
      </c>
      <c r="O2217" t="s">
        <v>34</v>
      </c>
      <c r="P2217" t="s">
        <v>25</v>
      </c>
    </row>
    <row r="2218" spans="1:16" ht="14.5" x14ac:dyDescent="0.35">
      <c r="A2218">
        <v>2217</v>
      </c>
      <c r="B2218">
        <v>41</v>
      </c>
      <c r="C2218" t="s">
        <v>16</v>
      </c>
      <c r="D2218" t="s">
        <v>86</v>
      </c>
      <c r="E2218" t="s">
        <v>18</v>
      </c>
      <c r="F2218">
        <v>36</v>
      </c>
      <c r="G2218" t="s">
        <v>120</v>
      </c>
      <c r="H2218" t="s">
        <v>83</v>
      </c>
      <c r="I2218" t="s">
        <v>58</v>
      </c>
      <c r="J2218" t="s">
        <v>22</v>
      </c>
      <c r="K2218">
        <v>4</v>
      </c>
      <c r="L2218" t="s">
        <v>143</v>
      </c>
      <c r="M2218" t="s">
        <v>143</v>
      </c>
      <c r="N2218">
        <v>15</v>
      </c>
      <c r="O2218" t="s">
        <v>24</v>
      </c>
      <c r="P2218" t="s">
        <v>67</v>
      </c>
    </row>
    <row r="2219" spans="1:16" ht="14.5" x14ac:dyDescent="0.35">
      <c r="A2219">
        <v>2218</v>
      </c>
      <c r="B2219">
        <v>35</v>
      </c>
      <c r="C2219" t="s">
        <v>16</v>
      </c>
      <c r="D2219" t="s">
        <v>97</v>
      </c>
      <c r="E2219" t="s">
        <v>60</v>
      </c>
      <c r="F2219">
        <v>27</v>
      </c>
      <c r="G2219" t="s">
        <v>107</v>
      </c>
      <c r="H2219" t="s">
        <v>83</v>
      </c>
      <c r="I2219" t="s">
        <v>99</v>
      </c>
      <c r="J2219" t="s">
        <v>50</v>
      </c>
      <c r="K2219">
        <v>2.6</v>
      </c>
      <c r="L2219" t="s">
        <v>143</v>
      </c>
      <c r="M2219" t="s">
        <v>143</v>
      </c>
      <c r="N2219">
        <v>42</v>
      </c>
      <c r="O2219" t="s">
        <v>66</v>
      </c>
      <c r="P2219" t="s">
        <v>25</v>
      </c>
    </row>
    <row r="2220" spans="1:16" ht="14.5" x14ac:dyDescent="0.35">
      <c r="A2220">
        <v>2219</v>
      </c>
      <c r="B2220">
        <v>67</v>
      </c>
      <c r="C2220" t="s">
        <v>16</v>
      </c>
      <c r="D2220" t="s">
        <v>80</v>
      </c>
      <c r="E2220" t="s">
        <v>60</v>
      </c>
      <c r="F2220">
        <v>67</v>
      </c>
      <c r="G2220" t="s">
        <v>126</v>
      </c>
      <c r="H2220" t="s">
        <v>39</v>
      </c>
      <c r="I2220" t="s">
        <v>127</v>
      </c>
      <c r="J2220" t="s">
        <v>22</v>
      </c>
      <c r="K2220">
        <v>3.5</v>
      </c>
      <c r="L2220" t="s">
        <v>143</v>
      </c>
      <c r="M2220" t="s">
        <v>143</v>
      </c>
      <c r="N2220">
        <v>20</v>
      </c>
      <c r="O2220" t="s">
        <v>77</v>
      </c>
      <c r="P2220" t="s">
        <v>51</v>
      </c>
    </row>
    <row r="2221" spans="1:16" ht="14.5" x14ac:dyDescent="0.35">
      <c r="A2221">
        <v>2220</v>
      </c>
      <c r="B2221">
        <v>33</v>
      </c>
      <c r="C2221" t="s">
        <v>16</v>
      </c>
      <c r="D2221" t="s">
        <v>17</v>
      </c>
      <c r="E2221" t="s">
        <v>18</v>
      </c>
      <c r="F2221">
        <v>91</v>
      </c>
      <c r="G2221" t="s">
        <v>139</v>
      </c>
      <c r="H2221" t="s">
        <v>32</v>
      </c>
      <c r="I2221" t="s">
        <v>65</v>
      </c>
      <c r="J2221" t="s">
        <v>50</v>
      </c>
      <c r="K2221">
        <v>2.8</v>
      </c>
      <c r="L2221" t="s">
        <v>143</v>
      </c>
      <c r="M2221" t="s">
        <v>143</v>
      </c>
      <c r="N2221">
        <v>16</v>
      </c>
      <c r="O2221" t="s">
        <v>66</v>
      </c>
      <c r="P2221" t="s">
        <v>25</v>
      </c>
    </row>
    <row r="2222" spans="1:16" ht="14.5" x14ac:dyDescent="0.35">
      <c r="A2222">
        <v>2221</v>
      </c>
      <c r="B2222">
        <v>19</v>
      </c>
      <c r="C2222" t="s">
        <v>16</v>
      </c>
      <c r="D2222" t="s">
        <v>124</v>
      </c>
      <c r="E2222" t="s">
        <v>60</v>
      </c>
      <c r="F2222">
        <v>62</v>
      </c>
      <c r="G2222" t="s">
        <v>45</v>
      </c>
      <c r="H2222" t="s">
        <v>83</v>
      </c>
      <c r="I2222" t="s">
        <v>109</v>
      </c>
      <c r="J2222" t="s">
        <v>50</v>
      </c>
      <c r="K2222">
        <v>4.5</v>
      </c>
      <c r="L2222" t="s">
        <v>143</v>
      </c>
      <c r="M2222" t="s">
        <v>143</v>
      </c>
      <c r="N2222">
        <v>47</v>
      </c>
      <c r="O2222" t="s">
        <v>29</v>
      </c>
      <c r="P2222" t="s">
        <v>43</v>
      </c>
    </row>
    <row r="2223" spans="1:16" ht="14.5" x14ac:dyDescent="0.35">
      <c r="A2223">
        <v>2222</v>
      </c>
      <c r="B2223">
        <v>25</v>
      </c>
      <c r="C2223" t="s">
        <v>16</v>
      </c>
      <c r="D2223" t="s">
        <v>52</v>
      </c>
      <c r="E2223" t="s">
        <v>18</v>
      </c>
      <c r="F2223">
        <v>88</v>
      </c>
      <c r="G2223" t="s">
        <v>102</v>
      </c>
      <c r="H2223" t="s">
        <v>83</v>
      </c>
      <c r="I2223" t="s">
        <v>46</v>
      </c>
      <c r="J2223" t="s">
        <v>50</v>
      </c>
      <c r="K2223">
        <v>3</v>
      </c>
      <c r="L2223" t="s">
        <v>143</v>
      </c>
      <c r="M2223" t="s">
        <v>143</v>
      </c>
      <c r="N2223">
        <v>34</v>
      </c>
      <c r="O2223" t="s">
        <v>34</v>
      </c>
      <c r="P2223" t="s">
        <v>43</v>
      </c>
    </row>
    <row r="2224" spans="1:16" ht="14.5" x14ac:dyDescent="0.35">
      <c r="A2224">
        <v>2223</v>
      </c>
      <c r="B2224">
        <v>32</v>
      </c>
      <c r="C2224" t="s">
        <v>16</v>
      </c>
      <c r="D2224" t="s">
        <v>86</v>
      </c>
      <c r="E2224" t="s">
        <v>18</v>
      </c>
      <c r="F2224">
        <v>66</v>
      </c>
      <c r="G2224" t="s">
        <v>133</v>
      </c>
      <c r="H2224" t="s">
        <v>39</v>
      </c>
      <c r="I2224" t="s">
        <v>76</v>
      </c>
      <c r="J2224" t="s">
        <v>47</v>
      </c>
      <c r="K2224">
        <v>4.4000000000000004</v>
      </c>
      <c r="L2224" t="s">
        <v>143</v>
      </c>
      <c r="M2224" t="s">
        <v>143</v>
      </c>
      <c r="N2224">
        <v>30</v>
      </c>
      <c r="O2224" t="s">
        <v>34</v>
      </c>
      <c r="P2224" t="s">
        <v>35</v>
      </c>
    </row>
    <row r="2225" spans="1:16" ht="14.5" x14ac:dyDescent="0.35">
      <c r="A2225">
        <v>2224</v>
      </c>
      <c r="B2225">
        <v>30</v>
      </c>
      <c r="C2225" t="s">
        <v>16</v>
      </c>
      <c r="D2225" t="s">
        <v>36</v>
      </c>
      <c r="E2225" t="s">
        <v>37</v>
      </c>
      <c r="F2225">
        <v>65</v>
      </c>
      <c r="G2225" t="s">
        <v>102</v>
      </c>
      <c r="H2225" t="s">
        <v>39</v>
      </c>
      <c r="I2225" t="s">
        <v>21</v>
      </c>
      <c r="J2225" t="s">
        <v>50</v>
      </c>
      <c r="K2225">
        <v>4.7</v>
      </c>
      <c r="L2225" t="s">
        <v>143</v>
      </c>
      <c r="M2225" t="s">
        <v>143</v>
      </c>
      <c r="N2225">
        <v>5</v>
      </c>
      <c r="O2225" t="s">
        <v>40</v>
      </c>
      <c r="P2225" t="s">
        <v>51</v>
      </c>
    </row>
    <row r="2226" spans="1:16" ht="14.5" x14ac:dyDescent="0.35">
      <c r="A2226">
        <v>2225</v>
      </c>
      <c r="B2226">
        <v>18</v>
      </c>
      <c r="C2226" t="s">
        <v>16</v>
      </c>
      <c r="D2226" t="s">
        <v>134</v>
      </c>
      <c r="E2226" t="s">
        <v>60</v>
      </c>
      <c r="F2226">
        <v>25</v>
      </c>
      <c r="G2226" t="s">
        <v>136</v>
      </c>
      <c r="H2226" t="s">
        <v>20</v>
      </c>
      <c r="I2226" t="s">
        <v>54</v>
      </c>
      <c r="J2226" t="s">
        <v>22</v>
      </c>
      <c r="K2226">
        <v>4.3</v>
      </c>
      <c r="L2226" t="s">
        <v>143</v>
      </c>
      <c r="M2226" t="s">
        <v>143</v>
      </c>
      <c r="N2226">
        <v>38</v>
      </c>
      <c r="O2226" t="s">
        <v>29</v>
      </c>
      <c r="P2226" t="s">
        <v>51</v>
      </c>
    </row>
    <row r="2227" spans="1:16" ht="14.5" x14ac:dyDescent="0.35">
      <c r="A2227">
        <v>2226</v>
      </c>
      <c r="B2227">
        <v>38</v>
      </c>
      <c r="C2227" t="s">
        <v>16</v>
      </c>
      <c r="D2227" t="s">
        <v>124</v>
      </c>
      <c r="E2227" t="s">
        <v>60</v>
      </c>
      <c r="F2227">
        <v>64</v>
      </c>
      <c r="G2227" t="s">
        <v>140</v>
      </c>
      <c r="H2227" t="s">
        <v>32</v>
      </c>
      <c r="I2227" t="s">
        <v>69</v>
      </c>
      <c r="J2227" t="s">
        <v>33</v>
      </c>
      <c r="K2227">
        <v>4.8</v>
      </c>
      <c r="L2227" t="s">
        <v>143</v>
      </c>
      <c r="M2227" t="s">
        <v>143</v>
      </c>
      <c r="N2227">
        <v>18</v>
      </c>
      <c r="O2227" t="s">
        <v>34</v>
      </c>
      <c r="P2227" t="s">
        <v>43</v>
      </c>
    </row>
    <row r="2228" spans="1:16" ht="14.5" x14ac:dyDescent="0.35">
      <c r="A2228">
        <v>2227</v>
      </c>
      <c r="B2228">
        <v>22</v>
      </c>
      <c r="C2228" t="s">
        <v>16</v>
      </c>
      <c r="D2228" t="s">
        <v>48</v>
      </c>
      <c r="E2228" t="s">
        <v>18</v>
      </c>
      <c r="F2228">
        <v>72</v>
      </c>
      <c r="G2228" t="s">
        <v>61</v>
      </c>
      <c r="H2228" t="s">
        <v>20</v>
      </c>
      <c r="I2228" t="s">
        <v>135</v>
      </c>
      <c r="J2228" t="s">
        <v>33</v>
      </c>
      <c r="K2228">
        <v>4.8</v>
      </c>
      <c r="L2228" t="s">
        <v>143</v>
      </c>
      <c r="M2228" t="s">
        <v>143</v>
      </c>
      <c r="N2228">
        <v>28</v>
      </c>
      <c r="O2228" t="s">
        <v>29</v>
      </c>
      <c r="P2228" t="s">
        <v>43</v>
      </c>
    </row>
    <row r="2229" spans="1:16" ht="14.5" x14ac:dyDescent="0.35">
      <c r="A2229">
        <v>2228</v>
      </c>
      <c r="B2229">
        <v>40</v>
      </c>
      <c r="C2229" t="s">
        <v>16</v>
      </c>
      <c r="D2229" t="s">
        <v>110</v>
      </c>
      <c r="E2229" t="s">
        <v>60</v>
      </c>
      <c r="F2229">
        <v>74</v>
      </c>
      <c r="G2229" t="s">
        <v>140</v>
      </c>
      <c r="H2229" t="s">
        <v>32</v>
      </c>
      <c r="I2229" t="s">
        <v>21</v>
      </c>
      <c r="J2229" t="s">
        <v>47</v>
      </c>
      <c r="K2229">
        <v>4.4000000000000004</v>
      </c>
      <c r="L2229" t="s">
        <v>143</v>
      </c>
      <c r="M2229" t="s">
        <v>143</v>
      </c>
      <c r="N2229">
        <v>42</v>
      </c>
      <c r="O2229" t="s">
        <v>34</v>
      </c>
      <c r="P2229" t="s">
        <v>25</v>
      </c>
    </row>
    <row r="2230" spans="1:16" ht="14.5" x14ac:dyDescent="0.35">
      <c r="A2230">
        <v>2229</v>
      </c>
      <c r="B2230">
        <v>54</v>
      </c>
      <c r="C2230" t="s">
        <v>16</v>
      </c>
      <c r="D2230" t="s">
        <v>134</v>
      </c>
      <c r="E2230" t="s">
        <v>60</v>
      </c>
      <c r="F2230">
        <v>50</v>
      </c>
      <c r="G2230" t="s">
        <v>102</v>
      </c>
      <c r="H2230" t="s">
        <v>39</v>
      </c>
      <c r="I2230" t="s">
        <v>87</v>
      </c>
      <c r="J2230" t="s">
        <v>50</v>
      </c>
      <c r="K2230">
        <v>3.7</v>
      </c>
      <c r="L2230" t="s">
        <v>143</v>
      </c>
      <c r="M2230" t="s">
        <v>143</v>
      </c>
      <c r="N2230">
        <v>5</v>
      </c>
      <c r="O2230" t="s">
        <v>34</v>
      </c>
      <c r="P2230" t="s">
        <v>35</v>
      </c>
    </row>
    <row r="2231" spans="1:16" ht="14.5" x14ac:dyDescent="0.35">
      <c r="A2231">
        <v>2230</v>
      </c>
      <c r="B2231">
        <v>70</v>
      </c>
      <c r="C2231" t="s">
        <v>16</v>
      </c>
      <c r="D2231" t="s">
        <v>86</v>
      </c>
      <c r="E2231" t="s">
        <v>18</v>
      </c>
      <c r="F2231">
        <v>97</v>
      </c>
      <c r="G2231" t="s">
        <v>139</v>
      </c>
      <c r="H2231" t="s">
        <v>39</v>
      </c>
      <c r="I2231" t="s">
        <v>58</v>
      </c>
      <c r="J2231" t="s">
        <v>50</v>
      </c>
      <c r="K2231">
        <v>3.9</v>
      </c>
      <c r="L2231" t="s">
        <v>143</v>
      </c>
      <c r="M2231" t="s">
        <v>143</v>
      </c>
      <c r="N2231">
        <v>50</v>
      </c>
      <c r="O2231" t="s">
        <v>24</v>
      </c>
      <c r="P2231" t="s">
        <v>79</v>
      </c>
    </row>
    <row r="2232" spans="1:16" ht="14.5" x14ac:dyDescent="0.35">
      <c r="A2232">
        <v>2231</v>
      </c>
      <c r="B2232">
        <v>52</v>
      </c>
      <c r="C2232" t="s">
        <v>16</v>
      </c>
      <c r="D2232" t="s">
        <v>44</v>
      </c>
      <c r="E2232" t="s">
        <v>37</v>
      </c>
      <c r="F2232">
        <v>36</v>
      </c>
      <c r="G2232" t="s">
        <v>103</v>
      </c>
      <c r="H2232" t="s">
        <v>32</v>
      </c>
      <c r="I2232" t="s">
        <v>76</v>
      </c>
      <c r="J2232" t="s">
        <v>33</v>
      </c>
      <c r="K2232">
        <v>3.8</v>
      </c>
      <c r="L2232" t="s">
        <v>143</v>
      </c>
      <c r="M2232" t="s">
        <v>143</v>
      </c>
      <c r="N2232">
        <v>33</v>
      </c>
      <c r="O2232" t="s">
        <v>24</v>
      </c>
      <c r="P2232" t="s">
        <v>25</v>
      </c>
    </row>
    <row r="2233" spans="1:16" ht="14.5" x14ac:dyDescent="0.35">
      <c r="A2233">
        <v>2232</v>
      </c>
      <c r="B2233">
        <v>34</v>
      </c>
      <c r="C2233" t="s">
        <v>16</v>
      </c>
      <c r="D2233" t="s">
        <v>93</v>
      </c>
      <c r="E2233" t="s">
        <v>56</v>
      </c>
      <c r="F2233">
        <v>49</v>
      </c>
      <c r="G2233" t="s">
        <v>131</v>
      </c>
      <c r="H2233" t="s">
        <v>39</v>
      </c>
      <c r="I2233" t="s">
        <v>109</v>
      </c>
      <c r="J2233" t="s">
        <v>50</v>
      </c>
      <c r="K2233">
        <v>4.0999999999999996</v>
      </c>
      <c r="L2233" t="s">
        <v>143</v>
      </c>
      <c r="M2233" t="s">
        <v>143</v>
      </c>
      <c r="N2233">
        <v>1</v>
      </c>
      <c r="O2233" t="s">
        <v>34</v>
      </c>
      <c r="P2233" t="s">
        <v>35</v>
      </c>
    </row>
    <row r="2234" spans="1:16" ht="14.5" x14ac:dyDescent="0.35">
      <c r="A2234">
        <v>2233</v>
      </c>
      <c r="B2234">
        <v>65</v>
      </c>
      <c r="C2234" t="s">
        <v>16</v>
      </c>
      <c r="D2234" t="s">
        <v>63</v>
      </c>
      <c r="E2234" t="s">
        <v>37</v>
      </c>
      <c r="F2234">
        <v>64</v>
      </c>
      <c r="G2234" t="s">
        <v>89</v>
      </c>
      <c r="H2234" t="s">
        <v>20</v>
      </c>
      <c r="I2234" t="s">
        <v>84</v>
      </c>
      <c r="J2234" t="s">
        <v>33</v>
      </c>
      <c r="K2234">
        <v>4</v>
      </c>
      <c r="L2234" t="s">
        <v>143</v>
      </c>
      <c r="M2234" t="s">
        <v>143</v>
      </c>
      <c r="N2234">
        <v>14</v>
      </c>
      <c r="O2234" t="s">
        <v>29</v>
      </c>
      <c r="P2234" t="s">
        <v>25</v>
      </c>
    </row>
    <row r="2235" spans="1:16" ht="14.5" x14ac:dyDescent="0.35">
      <c r="A2235">
        <v>2234</v>
      </c>
      <c r="B2235">
        <v>38</v>
      </c>
      <c r="C2235" t="s">
        <v>16</v>
      </c>
      <c r="D2235" t="s">
        <v>17</v>
      </c>
      <c r="E2235" t="s">
        <v>18</v>
      </c>
      <c r="F2235">
        <v>31</v>
      </c>
      <c r="G2235" t="s">
        <v>94</v>
      </c>
      <c r="H2235" t="s">
        <v>83</v>
      </c>
      <c r="I2235" t="s">
        <v>21</v>
      </c>
      <c r="J2235" t="s">
        <v>47</v>
      </c>
      <c r="K2235">
        <v>4.5</v>
      </c>
      <c r="L2235" t="s">
        <v>143</v>
      </c>
      <c r="M2235" t="s">
        <v>143</v>
      </c>
      <c r="N2235">
        <v>48</v>
      </c>
      <c r="O2235" t="s">
        <v>34</v>
      </c>
      <c r="P2235" t="s">
        <v>79</v>
      </c>
    </row>
    <row r="2236" spans="1:16" ht="14.5" x14ac:dyDescent="0.35">
      <c r="A2236">
        <v>2235</v>
      </c>
      <c r="B2236">
        <v>35</v>
      </c>
      <c r="C2236" t="s">
        <v>16</v>
      </c>
      <c r="D2236" t="s">
        <v>128</v>
      </c>
      <c r="E2236" t="s">
        <v>37</v>
      </c>
      <c r="F2236">
        <v>66</v>
      </c>
      <c r="G2236" t="s">
        <v>73</v>
      </c>
      <c r="H2236" t="s">
        <v>32</v>
      </c>
      <c r="I2236" t="s">
        <v>125</v>
      </c>
      <c r="J2236" t="s">
        <v>22</v>
      </c>
      <c r="K2236">
        <v>4</v>
      </c>
      <c r="L2236" t="s">
        <v>143</v>
      </c>
      <c r="M2236" t="s">
        <v>143</v>
      </c>
      <c r="N2236">
        <v>26</v>
      </c>
      <c r="O2236" t="s">
        <v>29</v>
      </c>
      <c r="P2236" t="s">
        <v>35</v>
      </c>
    </row>
    <row r="2237" spans="1:16" ht="14.5" x14ac:dyDescent="0.35">
      <c r="A2237">
        <v>2236</v>
      </c>
      <c r="B2237">
        <v>40</v>
      </c>
      <c r="C2237" t="s">
        <v>16</v>
      </c>
      <c r="D2237" t="s">
        <v>116</v>
      </c>
      <c r="E2237" t="s">
        <v>18</v>
      </c>
      <c r="F2237">
        <v>82</v>
      </c>
      <c r="G2237" t="s">
        <v>106</v>
      </c>
      <c r="H2237" t="s">
        <v>39</v>
      </c>
      <c r="I2237" t="s">
        <v>21</v>
      </c>
      <c r="J2237" t="s">
        <v>33</v>
      </c>
      <c r="K2237">
        <v>4.5</v>
      </c>
      <c r="L2237" t="s">
        <v>143</v>
      </c>
      <c r="M2237" t="s">
        <v>143</v>
      </c>
      <c r="N2237">
        <v>44</v>
      </c>
      <c r="O2237" t="s">
        <v>34</v>
      </c>
      <c r="P2237" t="s">
        <v>43</v>
      </c>
    </row>
    <row r="2238" spans="1:16" ht="14.5" x14ac:dyDescent="0.35">
      <c r="A2238">
        <v>2237</v>
      </c>
      <c r="B2238">
        <v>23</v>
      </c>
      <c r="C2238" t="s">
        <v>16</v>
      </c>
      <c r="D2238" t="s">
        <v>104</v>
      </c>
      <c r="E2238" t="s">
        <v>18</v>
      </c>
      <c r="F2238">
        <v>88</v>
      </c>
      <c r="G2238" t="s">
        <v>53</v>
      </c>
      <c r="H2238" t="s">
        <v>39</v>
      </c>
      <c r="I2238" t="s">
        <v>125</v>
      </c>
      <c r="J2238" t="s">
        <v>22</v>
      </c>
      <c r="K2238">
        <v>2.7</v>
      </c>
      <c r="L2238" t="s">
        <v>143</v>
      </c>
      <c r="M2238" t="s">
        <v>143</v>
      </c>
      <c r="N2238">
        <v>18</v>
      </c>
      <c r="O2238" t="s">
        <v>77</v>
      </c>
      <c r="P2238" t="s">
        <v>25</v>
      </c>
    </row>
    <row r="2239" spans="1:16" ht="14.5" x14ac:dyDescent="0.35">
      <c r="A2239">
        <v>2238</v>
      </c>
      <c r="B2239">
        <v>45</v>
      </c>
      <c r="C2239" t="s">
        <v>16</v>
      </c>
      <c r="D2239" t="s">
        <v>36</v>
      </c>
      <c r="E2239" t="s">
        <v>37</v>
      </c>
      <c r="F2239">
        <v>34</v>
      </c>
      <c r="G2239" t="s">
        <v>81</v>
      </c>
      <c r="H2239" t="s">
        <v>32</v>
      </c>
      <c r="I2239" t="s">
        <v>85</v>
      </c>
      <c r="J2239" t="s">
        <v>47</v>
      </c>
      <c r="K2239">
        <v>3.8</v>
      </c>
      <c r="L2239" t="s">
        <v>143</v>
      </c>
      <c r="M2239" t="s">
        <v>143</v>
      </c>
      <c r="N2239">
        <v>31</v>
      </c>
      <c r="O2239" t="s">
        <v>24</v>
      </c>
      <c r="P2239" t="s">
        <v>88</v>
      </c>
    </row>
    <row r="2240" spans="1:16" ht="14.5" x14ac:dyDescent="0.35">
      <c r="A2240">
        <v>2239</v>
      </c>
      <c r="B2240">
        <v>40</v>
      </c>
      <c r="C2240" t="s">
        <v>16</v>
      </c>
      <c r="D2240" t="s">
        <v>44</v>
      </c>
      <c r="E2240" t="s">
        <v>37</v>
      </c>
      <c r="F2240">
        <v>84</v>
      </c>
      <c r="G2240" t="s">
        <v>94</v>
      </c>
      <c r="H2240" t="s">
        <v>20</v>
      </c>
      <c r="I2240" t="s">
        <v>109</v>
      </c>
      <c r="J2240" t="s">
        <v>22</v>
      </c>
      <c r="K2240">
        <v>3.8</v>
      </c>
      <c r="L2240" t="s">
        <v>143</v>
      </c>
      <c r="M2240" t="s">
        <v>143</v>
      </c>
      <c r="N2240">
        <v>18</v>
      </c>
      <c r="O2240" t="s">
        <v>77</v>
      </c>
      <c r="P2240" t="s">
        <v>35</v>
      </c>
    </row>
    <row r="2241" spans="1:16" ht="14.5" x14ac:dyDescent="0.35">
      <c r="A2241">
        <v>2240</v>
      </c>
      <c r="B2241">
        <v>42</v>
      </c>
      <c r="C2241" t="s">
        <v>16</v>
      </c>
      <c r="D2241" t="s">
        <v>97</v>
      </c>
      <c r="E2241" t="s">
        <v>60</v>
      </c>
      <c r="F2241">
        <v>96</v>
      </c>
      <c r="G2241" t="s">
        <v>81</v>
      </c>
      <c r="H2241" t="s">
        <v>20</v>
      </c>
      <c r="I2241" t="s">
        <v>117</v>
      </c>
      <c r="J2241" t="s">
        <v>47</v>
      </c>
      <c r="K2241">
        <v>3.8</v>
      </c>
      <c r="L2241" t="s">
        <v>143</v>
      </c>
      <c r="M2241" t="s">
        <v>143</v>
      </c>
      <c r="N2241">
        <v>41</v>
      </c>
      <c r="O2241" t="s">
        <v>34</v>
      </c>
      <c r="P2241" t="s">
        <v>88</v>
      </c>
    </row>
    <row r="2242" spans="1:16" ht="14.5" x14ac:dyDescent="0.35">
      <c r="A2242">
        <v>2241</v>
      </c>
      <c r="B2242">
        <v>57</v>
      </c>
      <c r="C2242" t="s">
        <v>16</v>
      </c>
      <c r="D2242" t="s">
        <v>36</v>
      </c>
      <c r="E2242" t="s">
        <v>37</v>
      </c>
      <c r="F2242">
        <v>71</v>
      </c>
      <c r="G2242" t="s">
        <v>90</v>
      </c>
      <c r="H2242" t="s">
        <v>20</v>
      </c>
      <c r="I2242" t="s">
        <v>87</v>
      </c>
      <c r="J2242" t="s">
        <v>22</v>
      </c>
      <c r="K2242">
        <v>4.3</v>
      </c>
      <c r="L2242" t="s">
        <v>143</v>
      </c>
      <c r="M2242" t="s">
        <v>143</v>
      </c>
      <c r="N2242">
        <v>18</v>
      </c>
      <c r="O2242" t="s">
        <v>77</v>
      </c>
      <c r="P2242" t="s">
        <v>88</v>
      </c>
    </row>
    <row r="2243" spans="1:16" ht="14.5" x14ac:dyDescent="0.35">
      <c r="A2243">
        <v>2242</v>
      </c>
      <c r="B2243">
        <v>18</v>
      </c>
      <c r="C2243" t="s">
        <v>16</v>
      </c>
      <c r="D2243" t="s">
        <v>93</v>
      </c>
      <c r="E2243" t="s">
        <v>56</v>
      </c>
      <c r="F2243">
        <v>77</v>
      </c>
      <c r="G2243" t="s">
        <v>119</v>
      </c>
      <c r="H2243" t="s">
        <v>39</v>
      </c>
      <c r="I2243" t="s">
        <v>65</v>
      </c>
      <c r="J2243" t="s">
        <v>47</v>
      </c>
      <c r="K2243">
        <v>3.5</v>
      </c>
      <c r="L2243" t="s">
        <v>143</v>
      </c>
      <c r="M2243" t="s">
        <v>143</v>
      </c>
      <c r="N2243">
        <v>3</v>
      </c>
      <c r="O2243" t="s">
        <v>66</v>
      </c>
      <c r="P2243" t="s">
        <v>67</v>
      </c>
    </row>
    <row r="2244" spans="1:16" ht="14.5" x14ac:dyDescent="0.35">
      <c r="A2244">
        <v>2243</v>
      </c>
      <c r="B2244">
        <v>18</v>
      </c>
      <c r="C2244" t="s">
        <v>16</v>
      </c>
      <c r="D2244" t="s">
        <v>78</v>
      </c>
      <c r="E2244" t="s">
        <v>18</v>
      </c>
      <c r="F2244">
        <v>66</v>
      </c>
      <c r="G2244" t="s">
        <v>98</v>
      </c>
      <c r="H2244" t="s">
        <v>39</v>
      </c>
      <c r="I2244" t="s">
        <v>112</v>
      </c>
      <c r="J2244" t="s">
        <v>33</v>
      </c>
      <c r="K2244">
        <v>3.8</v>
      </c>
      <c r="L2244" t="s">
        <v>143</v>
      </c>
      <c r="M2244" t="s">
        <v>143</v>
      </c>
      <c r="N2244">
        <v>5</v>
      </c>
      <c r="O2244" t="s">
        <v>34</v>
      </c>
      <c r="P2244" t="s">
        <v>67</v>
      </c>
    </row>
    <row r="2245" spans="1:16" ht="14.5" x14ac:dyDescent="0.35">
      <c r="A2245">
        <v>2244</v>
      </c>
      <c r="B2245">
        <v>56</v>
      </c>
      <c r="C2245" t="s">
        <v>16</v>
      </c>
      <c r="D2245" t="s">
        <v>48</v>
      </c>
      <c r="E2245" t="s">
        <v>18</v>
      </c>
      <c r="F2245">
        <v>21</v>
      </c>
      <c r="G2245" t="s">
        <v>31</v>
      </c>
      <c r="H2245" t="s">
        <v>39</v>
      </c>
      <c r="I2245" t="s">
        <v>76</v>
      </c>
      <c r="J2245" t="s">
        <v>22</v>
      </c>
      <c r="K2245">
        <v>3.7</v>
      </c>
      <c r="L2245" t="s">
        <v>143</v>
      </c>
      <c r="M2245" t="s">
        <v>143</v>
      </c>
      <c r="N2245">
        <v>13</v>
      </c>
      <c r="O2245" t="s">
        <v>77</v>
      </c>
      <c r="P2245" t="s">
        <v>43</v>
      </c>
    </row>
    <row r="2246" spans="1:16" ht="14.5" x14ac:dyDescent="0.35">
      <c r="A2246">
        <v>2245</v>
      </c>
      <c r="B2246">
        <v>35</v>
      </c>
      <c r="C2246" t="s">
        <v>16</v>
      </c>
      <c r="D2246" t="s">
        <v>52</v>
      </c>
      <c r="E2246" t="s">
        <v>18</v>
      </c>
      <c r="F2246">
        <v>37</v>
      </c>
      <c r="G2246" t="s">
        <v>122</v>
      </c>
      <c r="H2246" t="s">
        <v>39</v>
      </c>
      <c r="I2246" t="s">
        <v>71</v>
      </c>
      <c r="J2246" t="s">
        <v>47</v>
      </c>
      <c r="K2246">
        <v>4.8</v>
      </c>
      <c r="L2246" t="s">
        <v>143</v>
      </c>
      <c r="M2246" t="s">
        <v>143</v>
      </c>
      <c r="N2246">
        <v>22</v>
      </c>
      <c r="O2246" t="s">
        <v>40</v>
      </c>
      <c r="P2246" t="s">
        <v>43</v>
      </c>
    </row>
    <row r="2247" spans="1:16" ht="14.5" x14ac:dyDescent="0.35">
      <c r="A2247">
        <v>2246</v>
      </c>
      <c r="B2247">
        <v>49</v>
      </c>
      <c r="C2247" t="s">
        <v>16</v>
      </c>
      <c r="D2247" t="s">
        <v>116</v>
      </c>
      <c r="E2247" t="s">
        <v>18</v>
      </c>
      <c r="F2247">
        <v>90</v>
      </c>
      <c r="G2247" t="s">
        <v>70</v>
      </c>
      <c r="H2247" t="s">
        <v>20</v>
      </c>
      <c r="I2247" t="s">
        <v>21</v>
      </c>
      <c r="J2247" t="s">
        <v>50</v>
      </c>
      <c r="K2247">
        <v>4.9000000000000004</v>
      </c>
      <c r="L2247" t="s">
        <v>143</v>
      </c>
      <c r="M2247" t="s">
        <v>143</v>
      </c>
      <c r="N2247">
        <v>45</v>
      </c>
      <c r="O2247" t="s">
        <v>40</v>
      </c>
      <c r="P2247" t="s">
        <v>25</v>
      </c>
    </row>
    <row r="2248" spans="1:16" ht="14.5" x14ac:dyDescent="0.35">
      <c r="A2248">
        <v>2247</v>
      </c>
      <c r="B2248">
        <v>49</v>
      </c>
      <c r="C2248" t="s">
        <v>16</v>
      </c>
      <c r="D2248" t="s">
        <v>93</v>
      </c>
      <c r="E2248" t="s">
        <v>56</v>
      </c>
      <c r="F2248">
        <v>96</v>
      </c>
      <c r="G2248" t="s">
        <v>68</v>
      </c>
      <c r="H2248" t="s">
        <v>39</v>
      </c>
      <c r="I2248" t="s">
        <v>100</v>
      </c>
      <c r="J2248" t="s">
        <v>50</v>
      </c>
      <c r="K2248">
        <v>4.3</v>
      </c>
      <c r="L2248" t="s">
        <v>143</v>
      </c>
      <c r="M2248" t="s">
        <v>143</v>
      </c>
      <c r="N2248">
        <v>39</v>
      </c>
      <c r="O2248" t="s">
        <v>40</v>
      </c>
      <c r="P2248" t="s">
        <v>88</v>
      </c>
    </row>
    <row r="2249" spans="1:16" ht="14.5" x14ac:dyDescent="0.35">
      <c r="A2249">
        <v>2248</v>
      </c>
      <c r="B2249">
        <v>34</v>
      </c>
      <c r="C2249" t="s">
        <v>16</v>
      </c>
      <c r="D2249" t="s">
        <v>97</v>
      </c>
      <c r="E2249" t="s">
        <v>60</v>
      </c>
      <c r="F2249">
        <v>37</v>
      </c>
      <c r="G2249" t="s">
        <v>94</v>
      </c>
      <c r="H2249" t="s">
        <v>20</v>
      </c>
      <c r="I2249" t="s">
        <v>76</v>
      </c>
      <c r="J2249" t="s">
        <v>47</v>
      </c>
      <c r="K2249">
        <v>4.4000000000000004</v>
      </c>
      <c r="L2249" t="s">
        <v>143</v>
      </c>
      <c r="M2249" t="s">
        <v>143</v>
      </c>
      <c r="N2249">
        <v>18</v>
      </c>
      <c r="O2249" t="s">
        <v>24</v>
      </c>
      <c r="P2249" t="s">
        <v>43</v>
      </c>
    </row>
    <row r="2250" spans="1:16" ht="14.5" x14ac:dyDescent="0.35">
      <c r="A2250">
        <v>2249</v>
      </c>
      <c r="B2250">
        <v>63</v>
      </c>
      <c r="C2250" t="s">
        <v>16</v>
      </c>
      <c r="D2250" t="s">
        <v>104</v>
      </c>
      <c r="E2250" t="s">
        <v>18</v>
      </c>
      <c r="F2250">
        <v>66</v>
      </c>
      <c r="G2250" t="s">
        <v>38</v>
      </c>
      <c r="H2250" t="s">
        <v>39</v>
      </c>
      <c r="I2250" t="s">
        <v>74</v>
      </c>
      <c r="J2250" t="s">
        <v>22</v>
      </c>
      <c r="K2250">
        <v>3.4</v>
      </c>
      <c r="L2250" t="s">
        <v>143</v>
      </c>
      <c r="M2250" t="s">
        <v>143</v>
      </c>
      <c r="N2250">
        <v>19</v>
      </c>
      <c r="O2250" t="s">
        <v>40</v>
      </c>
      <c r="P2250" t="s">
        <v>25</v>
      </c>
    </row>
    <row r="2251" spans="1:16" ht="14.5" x14ac:dyDescent="0.35">
      <c r="A2251">
        <v>2250</v>
      </c>
      <c r="B2251">
        <v>42</v>
      </c>
      <c r="C2251" t="s">
        <v>16</v>
      </c>
      <c r="D2251" t="s">
        <v>134</v>
      </c>
      <c r="E2251" t="s">
        <v>60</v>
      </c>
      <c r="F2251">
        <v>45</v>
      </c>
      <c r="G2251" t="s">
        <v>45</v>
      </c>
      <c r="H2251" t="s">
        <v>83</v>
      </c>
      <c r="I2251" t="s">
        <v>117</v>
      </c>
      <c r="J2251" t="s">
        <v>33</v>
      </c>
      <c r="K2251">
        <v>4.3</v>
      </c>
      <c r="L2251" t="s">
        <v>143</v>
      </c>
      <c r="M2251" t="s">
        <v>143</v>
      </c>
      <c r="N2251">
        <v>29</v>
      </c>
      <c r="O2251" t="s">
        <v>77</v>
      </c>
      <c r="P2251" t="s">
        <v>35</v>
      </c>
    </row>
    <row r="2252" spans="1:16" ht="14.5" x14ac:dyDescent="0.35">
      <c r="A2252">
        <v>2251</v>
      </c>
      <c r="B2252">
        <v>41</v>
      </c>
      <c r="C2252" t="s">
        <v>16</v>
      </c>
      <c r="D2252" t="s">
        <v>63</v>
      </c>
      <c r="E2252" t="s">
        <v>37</v>
      </c>
      <c r="F2252">
        <v>89</v>
      </c>
      <c r="G2252" t="s">
        <v>103</v>
      </c>
      <c r="H2252" t="s">
        <v>20</v>
      </c>
      <c r="I2252" t="s">
        <v>62</v>
      </c>
      <c r="J2252" t="s">
        <v>47</v>
      </c>
      <c r="K2252">
        <v>4.5999999999999996</v>
      </c>
      <c r="L2252" t="s">
        <v>143</v>
      </c>
      <c r="M2252" t="s">
        <v>143</v>
      </c>
      <c r="N2252">
        <v>19</v>
      </c>
      <c r="O2252" t="s">
        <v>34</v>
      </c>
      <c r="P2252" t="s">
        <v>35</v>
      </c>
    </row>
    <row r="2253" spans="1:16" ht="14.5" x14ac:dyDescent="0.35">
      <c r="A2253">
        <v>2252</v>
      </c>
      <c r="B2253">
        <v>26</v>
      </c>
      <c r="C2253" t="s">
        <v>16</v>
      </c>
      <c r="D2253" t="s">
        <v>63</v>
      </c>
      <c r="E2253" t="s">
        <v>37</v>
      </c>
      <c r="F2253">
        <v>94</v>
      </c>
      <c r="G2253" t="s">
        <v>132</v>
      </c>
      <c r="H2253" t="s">
        <v>20</v>
      </c>
      <c r="I2253" t="s">
        <v>71</v>
      </c>
      <c r="J2253" t="s">
        <v>50</v>
      </c>
      <c r="K2253">
        <v>3.8</v>
      </c>
      <c r="L2253" t="s">
        <v>143</v>
      </c>
      <c r="M2253" t="s">
        <v>143</v>
      </c>
      <c r="N2253">
        <v>22</v>
      </c>
      <c r="O2253" t="s">
        <v>77</v>
      </c>
      <c r="P2253" t="s">
        <v>79</v>
      </c>
    </row>
    <row r="2254" spans="1:16" ht="14.5" x14ac:dyDescent="0.35">
      <c r="A2254">
        <v>2253</v>
      </c>
      <c r="B2254">
        <v>48</v>
      </c>
      <c r="C2254" t="s">
        <v>16</v>
      </c>
      <c r="D2254" t="s">
        <v>63</v>
      </c>
      <c r="E2254" t="s">
        <v>37</v>
      </c>
      <c r="F2254">
        <v>96</v>
      </c>
      <c r="G2254" t="s">
        <v>136</v>
      </c>
      <c r="H2254" t="s">
        <v>32</v>
      </c>
      <c r="I2254" t="s">
        <v>28</v>
      </c>
      <c r="J2254" t="s">
        <v>47</v>
      </c>
      <c r="K2254">
        <v>3.9</v>
      </c>
      <c r="L2254" t="s">
        <v>143</v>
      </c>
      <c r="M2254" t="s">
        <v>143</v>
      </c>
      <c r="N2254">
        <v>21</v>
      </c>
      <c r="O2254" t="s">
        <v>66</v>
      </c>
      <c r="P2254" t="s">
        <v>43</v>
      </c>
    </row>
    <row r="2255" spans="1:16" ht="14.5" x14ac:dyDescent="0.35">
      <c r="A2255">
        <v>2254</v>
      </c>
      <c r="B2255">
        <v>62</v>
      </c>
      <c r="C2255" t="s">
        <v>16</v>
      </c>
      <c r="D2255" t="s">
        <v>95</v>
      </c>
      <c r="E2255" t="s">
        <v>18</v>
      </c>
      <c r="F2255">
        <v>31</v>
      </c>
      <c r="G2255" t="s">
        <v>92</v>
      </c>
      <c r="H2255" t="s">
        <v>39</v>
      </c>
      <c r="I2255" t="s">
        <v>101</v>
      </c>
      <c r="J2255" t="s">
        <v>33</v>
      </c>
      <c r="K2255">
        <v>2.6</v>
      </c>
      <c r="L2255" t="s">
        <v>143</v>
      </c>
      <c r="M2255" t="s">
        <v>143</v>
      </c>
      <c r="N2255">
        <v>22</v>
      </c>
      <c r="O2255" t="s">
        <v>40</v>
      </c>
      <c r="P2255" t="s">
        <v>79</v>
      </c>
    </row>
    <row r="2256" spans="1:16" ht="14.5" x14ac:dyDescent="0.35">
      <c r="A2256">
        <v>2255</v>
      </c>
      <c r="B2256">
        <v>24</v>
      </c>
      <c r="C2256" t="s">
        <v>16</v>
      </c>
      <c r="D2256" t="s">
        <v>124</v>
      </c>
      <c r="E2256" t="s">
        <v>60</v>
      </c>
      <c r="F2256">
        <v>79</v>
      </c>
      <c r="G2256" t="s">
        <v>105</v>
      </c>
      <c r="H2256" t="s">
        <v>39</v>
      </c>
      <c r="I2256" t="s">
        <v>71</v>
      </c>
      <c r="J2256" t="s">
        <v>22</v>
      </c>
      <c r="K2256">
        <v>4.2</v>
      </c>
      <c r="L2256" t="s">
        <v>143</v>
      </c>
      <c r="M2256" t="s">
        <v>143</v>
      </c>
      <c r="N2256">
        <v>44</v>
      </c>
      <c r="O2256" t="s">
        <v>40</v>
      </c>
      <c r="P2256" t="s">
        <v>88</v>
      </c>
    </row>
    <row r="2257" spans="1:16" ht="14.5" x14ac:dyDescent="0.35">
      <c r="A2257">
        <v>2256</v>
      </c>
      <c r="B2257">
        <v>48</v>
      </c>
      <c r="C2257" t="s">
        <v>16</v>
      </c>
      <c r="D2257" t="s">
        <v>55</v>
      </c>
      <c r="E2257" t="s">
        <v>56</v>
      </c>
      <c r="F2257">
        <v>39</v>
      </c>
      <c r="G2257" t="s">
        <v>142</v>
      </c>
      <c r="H2257" t="s">
        <v>20</v>
      </c>
      <c r="I2257" t="s">
        <v>76</v>
      </c>
      <c r="J2257" t="s">
        <v>33</v>
      </c>
      <c r="K2257">
        <v>4.5999999999999996</v>
      </c>
      <c r="L2257" t="s">
        <v>143</v>
      </c>
      <c r="M2257" t="s">
        <v>143</v>
      </c>
      <c r="N2257">
        <v>42</v>
      </c>
      <c r="O2257" t="s">
        <v>66</v>
      </c>
      <c r="P2257" t="s">
        <v>51</v>
      </c>
    </row>
    <row r="2258" spans="1:16" ht="14.5" x14ac:dyDescent="0.35">
      <c r="A2258">
        <v>2257</v>
      </c>
      <c r="B2258">
        <v>31</v>
      </c>
      <c r="C2258" t="s">
        <v>16</v>
      </c>
      <c r="D2258" t="s">
        <v>17</v>
      </c>
      <c r="E2258" t="s">
        <v>18</v>
      </c>
      <c r="F2258">
        <v>22</v>
      </c>
      <c r="G2258" t="s">
        <v>90</v>
      </c>
      <c r="H2258" t="s">
        <v>39</v>
      </c>
      <c r="I2258" t="s">
        <v>42</v>
      </c>
      <c r="J2258" t="s">
        <v>50</v>
      </c>
      <c r="K2258">
        <v>5</v>
      </c>
      <c r="L2258" t="s">
        <v>143</v>
      </c>
      <c r="M2258" t="s">
        <v>143</v>
      </c>
      <c r="N2258">
        <v>33</v>
      </c>
      <c r="O2258" t="s">
        <v>34</v>
      </c>
      <c r="P2258" t="s">
        <v>51</v>
      </c>
    </row>
    <row r="2259" spans="1:16" ht="14.5" x14ac:dyDescent="0.35">
      <c r="A2259">
        <v>2258</v>
      </c>
      <c r="B2259">
        <v>41</v>
      </c>
      <c r="C2259" t="s">
        <v>16</v>
      </c>
      <c r="D2259" t="s">
        <v>78</v>
      </c>
      <c r="E2259" t="s">
        <v>18</v>
      </c>
      <c r="F2259">
        <v>32</v>
      </c>
      <c r="G2259" t="s">
        <v>113</v>
      </c>
      <c r="H2259" t="s">
        <v>20</v>
      </c>
      <c r="I2259" t="s">
        <v>69</v>
      </c>
      <c r="J2259" t="s">
        <v>50</v>
      </c>
      <c r="K2259">
        <v>4.2</v>
      </c>
      <c r="L2259" t="s">
        <v>143</v>
      </c>
      <c r="M2259" t="s">
        <v>143</v>
      </c>
      <c r="N2259">
        <v>6</v>
      </c>
      <c r="O2259" t="s">
        <v>66</v>
      </c>
      <c r="P2259" t="s">
        <v>43</v>
      </c>
    </row>
    <row r="2260" spans="1:16" ht="14.5" x14ac:dyDescent="0.35">
      <c r="A2260">
        <v>2259</v>
      </c>
      <c r="B2260">
        <v>24</v>
      </c>
      <c r="C2260" t="s">
        <v>16</v>
      </c>
      <c r="D2260" t="s">
        <v>104</v>
      </c>
      <c r="E2260" t="s">
        <v>18</v>
      </c>
      <c r="F2260">
        <v>71</v>
      </c>
      <c r="G2260" t="s">
        <v>114</v>
      </c>
      <c r="H2260" t="s">
        <v>20</v>
      </c>
      <c r="I2260" t="s">
        <v>100</v>
      </c>
      <c r="J2260" t="s">
        <v>22</v>
      </c>
      <c r="K2260">
        <v>4.3</v>
      </c>
      <c r="L2260" t="s">
        <v>143</v>
      </c>
      <c r="M2260" t="s">
        <v>143</v>
      </c>
      <c r="N2260">
        <v>44</v>
      </c>
      <c r="O2260" t="s">
        <v>34</v>
      </c>
      <c r="P2260" t="s">
        <v>88</v>
      </c>
    </row>
    <row r="2261" spans="1:16" ht="14.5" x14ac:dyDescent="0.35">
      <c r="A2261">
        <v>2260</v>
      </c>
      <c r="B2261">
        <v>60</v>
      </c>
      <c r="C2261" t="s">
        <v>16</v>
      </c>
      <c r="D2261" t="s">
        <v>30</v>
      </c>
      <c r="E2261" t="s">
        <v>18</v>
      </c>
      <c r="F2261">
        <v>96</v>
      </c>
      <c r="G2261" t="s">
        <v>94</v>
      </c>
      <c r="H2261" t="s">
        <v>83</v>
      </c>
      <c r="I2261" t="s">
        <v>109</v>
      </c>
      <c r="J2261" t="s">
        <v>33</v>
      </c>
      <c r="K2261">
        <v>3.3</v>
      </c>
      <c r="L2261" t="s">
        <v>143</v>
      </c>
      <c r="M2261" t="s">
        <v>143</v>
      </c>
      <c r="N2261">
        <v>24</v>
      </c>
      <c r="O2261" t="s">
        <v>29</v>
      </c>
      <c r="P2261" t="s">
        <v>43</v>
      </c>
    </row>
    <row r="2262" spans="1:16" ht="14.5" x14ac:dyDescent="0.35">
      <c r="A2262">
        <v>2261</v>
      </c>
      <c r="B2262">
        <v>38</v>
      </c>
      <c r="C2262" t="s">
        <v>16</v>
      </c>
      <c r="D2262" t="s">
        <v>110</v>
      </c>
      <c r="E2262" t="s">
        <v>60</v>
      </c>
      <c r="F2262">
        <v>82</v>
      </c>
      <c r="G2262" t="s">
        <v>61</v>
      </c>
      <c r="H2262" t="s">
        <v>39</v>
      </c>
      <c r="I2262" t="s">
        <v>135</v>
      </c>
      <c r="J2262" t="s">
        <v>50</v>
      </c>
      <c r="K2262">
        <v>4.9000000000000004</v>
      </c>
      <c r="L2262" t="s">
        <v>143</v>
      </c>
      <c r="M2262" t="s">
        <v>143</v>
      </c>
      <c r="N2262">
        <v>16</v>
      </c>
      <c r="O2262" t="s">
        <v>40</v>
      </c>
      <c r="P2262" t="s">
        <v>51</v>
      </c>
    </row>
    <row r="2263" spans="1:16" ht="14.5" x14ac:dyDescent="0.35">
      <c r="A2263">
        <v>2262</v>
      </c>
      <c r="B2263">
        <v>58</v>
      </c>
      <c r="C2263" t="s">
        <v>16</v>
      </c>
      <c r="D2263" t="s">
        <v>123</v>
      </c>
      <c r="E2263" t="s">
        <v>60</v>
      </c>
      <c r="F2263">
        <v>76</v>
      </c>
      <c r="G2263" t="s">
        <v>122</v>
      </c>
      <c r="H2263" t="s">
        <v>20</v>
      </c>
      <c r="I2263" t="s">
        <v>71</v>
      </c>
      <c r="J2263" t="s">
        <v>33</v>
      </c>
      <c r="K2263">
        <v>4.4000000000000004</v>
      </c>
      <c r="L2263" t="s">
        <v>143</v>
      </c>
      <c r="M2263" t="s">
        <v>143</v>
      </c>
      <c r="N2263">
        <v>12</v>
      </c>
      <c r="O2263" t="s">
        <v>66</v>
      </c>
      <c r="P2263" t="s">
        <v>25</v>
      </c>
    </row>
    <row r="2264" spans="1:16" ht="14.5" x14ac:dyDescent="0.35">
      <c r="A2264">
        <v>2263</v>
      </c>
      <c r="B2264">
        <v>53</v>
      </c>
      <c r="C2264" t="s">
        <v>16</v>
      </c>
      <c r="D2264" t="s">
        <v>123</v>
      </c>
      <c r="E2264" t="s">
        <v>60</v>
      </c>
      <c r="F2264">
        <v>22</v>
      </c>
      <c r="G2264" t="s">
        <v>108</v>
      </c>
      <c r="H2264" t="s">
        <v>39</v>
      </c>
      <c r="I2264" t="s">
        <v>87</v>
      </c>
      <c r="J2264" t="s">
        <v>22</v>
      </c>
      <c r="K2264">
        <v>3.1</v>
      </c>
      <c r="L2264" t="s">
        <v>143</v>
      </c>
      <c r="M2264" t="s">
        <v>143</v>
      </c>
      <c r="N2264">
        <v>50</v>
      </c>
      <c r="O2264" t="s">
        <v>40</v>
      </c>
      <c r="P2264" t="s">
        <v>79</v>
      </c>
    </row>
    <row r="2265" spans="1:16" ht="14.5" x14ac:dyDescent="0.35">
      <c r="A2265">
        <v>2264</v>
      </c>
      <c r="B2265">
        <v>44</v>
      </c>
      <c r="C2265" t="s">
        <v>16</v>
      </c>
      <c r="D2265" t="s">
        <v>110</v>
      </c>
      <c r="E2265" t="s">
        <v>60</v>
      </c>
      <c r="F2265">
        <v>40</v>
      </c>
      <c r="G2265" t="s">
        <v>107</v>
      </c>
      <c r="H2265" t="s">
        <v>83</v>
      </c>
      <c r="I2265" t="s">
        <v>87</v>
      </c>
      <c r="J2265" t="s">
        <v>22</v>
      </c>
      <c r="K2265">
        <v>3.5</v>
      </c>
      <c r="L2265" t="s">
        <v>143</v>
      </c>
      <c r="M2265" t="s">
        <v>143</v>
      </c>
      <c r="N2265">
        <v>42</v>
      </c>
      <c r="O2265" t="s">
        <v>29</v>
      </c>
      <c r="P2265" t="s">
        <v>51</v>
      </c>
    </row>
    <row r="2266" spans="1:16" ht="14.5" x14ac:dyDescent="0.35">
      <c r="A2266">
        <v>2265</v>
      </c>
      <c r="B2266">
        <v>51</v>
      </c>
      <c r="C2266" t="s">
        <v>16</v>
      </c>
      <c r="D2266" t="s">
        <v>115</v>
      </c>
      <c r="E2266" t="s">
        <v>60</v>
      </c>
      <c r="F2266">
        <v>92</v>
      </c>
      <c r="G2266" t="s">
        <v>105</v>
      </c>
      <c r="H2266" t="s">
        <v>39</v>
      </c>
      <c r="I2266" t="s">
        <v>42</v>
      </c>
      <c r="J2266" t="s">
        <v>47</v>
      </c>
      <c r="K2266">
        <v>3.9</v>
      </c>
      <c r="L2266" t="s">
        <v>143</v>
      </c>
      <c r="M2266" t="s">
        <v>143</v>
      </c>
      <c r="N2266">
        <v>50</v>
      </c>
      <c r="O2266" t="s">
        <v>40</v>
      </c>
      <c r="P2266" t="s">
        <v>79</v>
      </c>
    </row>
    <row r="2267" spans="1:16" ht="14.5" x14ac:dyDescent="0.35">
      <c r="A2267">
        <v>2266</v>
      </c>
      <c r="B2267">
        <v>36</v>
      </c>
      <c r="C2267" t="s">
        <v>16</v>
      </c>
      <c r="D2267" t="s">
        <v>55</v>
      </c>
      <c r="E2267" t="s">
        <v>56</v>
      </c>
      <c r="F2267">
        <v>94</v>
      </c>
      <c r="G2267" t="s">
        <v>49</v>
      </c>
      <c r="H2267" t="s">
        <v>83</v>
      </c>
      <c r="I2267" t="s">
        <v>125</v>
      </c>
      <c r="J2267" t="s">
        <v>50</v>
      </c>
      <c r="K2267">
        <v>3.9</v>
      </c>
      <c r="L2267" t="s">
        <v>143</v>
      </c>
      <c r="M2267" t="s">
        <v>143</v>
      </c>
      <c r="N2267">
        <v>10</v>
      </c>
      <c r="O2267" t="s">
        <v>40</v>
      </c>
      <c r="P2267" t="s">
        <v>51</v>
      </c>
    </row>
    <row r="2268" spans="1:16" ht="14.5" x14ac:dyDescent="0.35">
      <c r="A2268">
        <v>2267</v>
      </c>
      <c r="B2268">
        <v>20</v>
      </c>
      <c r="C2268" t="s">
        <v>16</v>
      </c>
      <c r="D2268" t="s">
        <v>72</v>
      </c>
      <c r="E2268" t="s">
        <v>18</v>
      </c>
      <c r="F2268">
        <v>44</v>
      </c>
      <c r="G2268" t="s">
        <v>61</v>
      </c>
      <c r="H2268" t="s">
        <v>39</v>
      </c>
      <c r="I2268" t="s">
        <v>125</v>
      </c>
      <c r="J2268" t="s">
        <v>50</v>
      </c>
      <c r="K2268">
        <v>4.3</v>
      </c>
      <c r="L2268" t="s">
        <v>143</v>
      </c>
      <c r="M2268" t="s">
        <v>143</v>
      </c>
      <c r="N2268">
        <v>32</v>
      </c>
      <c r="O2268" t="s">
        <v>77</v>
      </c>
      <c r="P2268" t="s">
        <v>35</v>
      </c>
    </row>
    <row r="2269" spans="1:16" ht="14.5" x14ac:dyDescent="0.35">
      <c r="A2269">
        <v>2268</v>
      </c>
      <c r="B2269">
        <v>32</v>
      </c>
      <c r="C2269" t="s">
        <v>16</v>
      </c>
      <c r="D2269" t="s">
        <v>134</v>
      </c>
      <c r="E2269" t="s">
        <v>60</v>
      </c>
      <c r="F2269">
        <v>49</v>
      </c>
      <c r="G2269" t="s">
        <v>19</v>
      </c>
      <c r="H2269" t="s">
        <v>32</v>
      </c>
      <c r="I2269" t="s">
        <v>135</v>
      </c>
      <c r="J2269" t="s">
        <v>33</v>
      </c>
      <c r="K2269">
        <v>3.8</v>
      </c>
      <c r="L2269" t="s">
        <v>143</v>
      </c>
      <c r="M2269" t="s">
        <v>143</v>
      </c>
      <c r="N2269">
        <v>37</v>
      </c>
      <c r="O2269" t="s">
        <v>24</v>
      </c>
      <c r="P2269" t="s">
        <v>35</v>
      </c>
    </row>
    <row r="2270" spans="1:16" ht="14.5" x14ac:dyDescent="0.35">
      <c r="A2270">
        <v>2269</v>
      </c>
      <c r="B2270">
        <v>66</v>
      </c>
      <c r="C2270" t="s">
        <v>16</v>
      </c>
      <c r="D2270" t="s">
        <v>26</v>
      </c>
      <c r="E2270" t="s">
        <v>18</v>
      </c>
      <c r="F2270">
        <v>26</v>
      </c>
      <c r="G2270" t="s">
        <v>133</v>
      </c>
      <c r="H2270" t="s">
        <v>20</v>
      </c>
      <c r="I2270" t="s">
        <v>54</v>
      </c>
      <c r="J2270" t="s">
        <v>33</v>
      </c>
      <c r="K2270">
        <v>2.7</v>
      </c>
      <c r="L2270" t="s">
        <v>143</v>
      </c>
      <c r="M2270" t="s">
        <v>143</v>
      </c>
      <c r="N2270">
        <v>15</v>
      </c>
      <c r="O2270" t="s">
        <v>66</v>
      </c>
      <c r="P2270" t="s">
        <v>79</v>
      </c>
    </row>
    <row r="2271" spans="1:16" ht="14.5" x14ac:dyDescent="0.35">
      <c r="A2271">
        <v>2270</v>
      </c>
      <c r="B2271">
        <v>49</v>
      </c>
      <c r="C2271" t="s">
        <v>16</v>
      </c>
      <c r="D2271" t="s">
        <v>78</v>
      </c>
      <c r="E2271" t="s">
        <v>18</v>
      </c>
      <c r="F2271">
        <v>38</v>
      </c>
      <c r="G2271" t="s">
        <v>19</v>
      </c>
      <c r="H2271" t="s">
        <v>39</v>
      </c>
      <c r="I2271" t="s">
        <v>125</v>
      </c>
      <c r="J2271" t="s">
        <v>50</v>
      </c>
      <c r="K2271">
        <v>4.4000000000000004</v>
      </c>
      <c r="L2271" t="s">
        <v>143</v>
      </c>
      <c r="M2271" t="s">
        <v>143</v>
      </c>
      <c r="N2271">
        <v>27</v>
      </c>
      <c r="O2271" t="s">
        <v>34</v>
      </c>
      <c r="P2271" t="s">
        <v>43</v>
      </c>
    </row>
    <row r="2272" spans="1:16" ht="14.5" x14ac:dyDescent="0.35">
      <c r="A2272">
        <v>2271</v>
      </c>
      <c r="B2272">
        <v>27</v>
      </c>
      <c r="C2272" t="s">
        <v>16</v>
      </c>
      <c r="D2272" t="s">
        <v>17</v>
      </c>
      <c r="E2272" t="s">
        <v>18</v>
      </c>
      <c r="F2272">
        <v>72</v>
      </c>
      <c r="G2272" t="s">
        <v>133</v>
      </c>
      <c r="H2272" t="s">
        <v>20</v>
      </c>
      <c r="I2272" t="s">
        <v>65</v>
      </c>
      <c r="J2272" t="s">
        <v>33</v>
      </c>
      <c r="K2272">
        <v>3.5</v>
      </c>
      <c r="L2272" t="s">
        <v>143</v>
      </c>
      <c r="M2272" t="s">
        <v>143</v>
      </c>
      <c r="N2272">
        <v>7</v>
      </c>
      <c r="O2272" t="s">
        <v>24</v>
      </c>
      <c r="P2272" t="s">
        <v>35</v>
      </c>
    </row>
    <row r="2273" spans="1:16" ht="14.5" x14ac:dyDescent="0.35">
      <c r="A2273">
        <v>2272</v>
      </c>
      <c r="B2273">
        <v>29</v>
      </c>
      <c r="C2273" t="s">
        <v>16</v>
      </c>
      <c r="D2273" t="s">
        <v>72</v>
      </c>
      <c r="E2273" t="s">
        <v>18</v>
      </c>
      <c r="F2273">
        <v>99</v>
      </c>
      <c r="G2273" t="s">
        <v>111</v>
      </c>
      <c r="H2273" t="s">
        <v>39</v>
      </c>
      <c r="I2273" t="s">
        <v>87</v>
      </c>
      <c r="J2273" t="s">
        <v>47</v>
      </c>
      <c r="K2273">
        <v>3.4</v>
      </c>
      <c r="L2273" t="s">
        <v>143</v>
      </c>
      <c r="M2273" t="s">
        <v>143</v>
      </c>
      <c r="N2273">
        <v>49</v>
      </c>
      <c r="O2273" t="s">
        <v>40</v>
      </c>
      <c r="P2273" t="s">
        <v>51</v>
      </c>
    </row>
    <row r="2274" spans="1:16" ht="14.5" x14ac:dyDescent="0.35">
      <c r="A2274">
        <v>2273</v>
      </c>
      <c r="B2274">
        <v>29</v>
      </c>
      <c r="C2274" t="s">
        <v>16</v>
      </c>
      <c r="D2274" t="s">
        <v>93</v>
      </c>
      <c r="E2274" t="s">
        <v>56</v>
      </c>
      <c r="F2274">
        <v>38</v>
      </c>
      <c r="G2274" t="s">
        <v>27</v>
      </c>
      <c r="H2274" t="s">
        <v>20</v>
      </c>
      <c r="I2274" t="s">
        <v>54</v>
      </c>
      <c r="J2274" t="s">
        <v>33</v>
      </c>
      <c r="K2274">
        <v>4</v>
      </c>
      <c r="L2274" t="s">
        <v>143</v>
      </c>
      <c r="M2274" t="s">
        <v>143</v>
      </c>
      <c r="N2274">
        <v>44</v>
      </c>
      <c r="O2274" t="s">
        <v>40</v>
      </c>
      <c r="P2274" t="s">
        <v>79</v>
      </c>
    </row>
    <row r="2275" spans="1:16" ht="14.5" x14ac:dyDescent="0.35">
      <c r="A2275">
        <v>2274</v>
      </c>
      <c r="B2275">
        <v>55</v>
      </c>
      <c r="C2275" t="s">
        <v>16</v>
      </c>
      <c r="D2275" t="s">
        <v>55</v>
      </c>
      <c r="E2275" t="s">
        <v>56</v>
      </c>
      <c r="F2275">
        <v>96</v>
      </c>
      <c r="G2275" t="s">
        <v>121</v>
      </c>
      <c r="H2275" t="s">
        <v>20</v>
      </c>
      <c r="I2275" t="s">
        <v>58</v>
      </c>
      <c r="J2275" t="s">
        <v>22</v>
      </c>
      <c r="K2275">
        <v>4.8</v>
      </c>
      <c r="L2275" t="s">
        <v>143</v>
      </c>
      <c r="M2275" t="s">
        <v>143</v>
      </c>
      <c r="N2275">
        <v>13</v>
      </c>
      <c r="O2275" t="s">
        <v>40</v>
      </c>
      <c r="P2275" t="s">
        <v>67</v>
      </c>
    </row>
    <row r="2276" spans="1:16" ht="14.5" x14ac:dyDescent="0.35">
      <c r="A2276">
        <v>2275</v>
      </c>
      <c r="B2276">
        <v>57</v>
      </c>
      <c r="C2276" t="s">
        <v>16</v>
      </c>
      <c r="D2276" t="s">
        <v>72</v>
      </c>
      <c r="E2276" t="s">
        <v>18</v>
      </c>
      <c r="F2276">
        <v>27</v>
      </c>
      <c r="G2276" t="s">
        <v>75</v>
      </c>
      <c r="H2276" t="s">
        <v>20</v>
      </c>
      <c r="I2276" t="s">
        <v>42</v>
      </c>
      <c r="J2276" t="s">
        <v>33</v>
      </c>
      <c r="K2276">
        <v>4.5</v>
      </c>
      <c r="L2276" t="s">
        <v>143</v>
      </c>
      <c r="M2276" t="s">
        <v>143</v>
      </c>
      <c r="N2276">
        <v>38</v>
      </c>
      <c r="O2276" t="s">
        <v>40</v>
      </c>
      <c r="P2276" t="s">
        <v>25</v>
      </c>
    </row>
    <row r="2277" spans="1:16" ht="14.5" x14ac:dyDescent="0.35">
      <c r="A2277">
        <v>2276</v>
      </c>
      <c r="B2277">
        <v>29</v>
      </c>
      <c r="C2277" t="s">
        <v>16</v>
      </c>
      <c r="D2277" t="s">
        <v>52</v>
      </c>
      <c r="E2277" t="s">
        <v>18</v>
      </c>
      <c r="F2277">
        <v>24</v>
      </c>
      <c r="G2277" t="s">
        <v>92</v>
      </c>
      <c r="H2277" t="s">
        <v>39</v>
      </c>
      <c r="I2277" t="s">
        <v>21</v>
      </c>
      <c r="J2277" t="s">
        <v>22</v>
      </c>
      <c r="K2277">
        <v>4.4000000000000004</v>
      </c>
      <c r="L2277" t="s">
        <v>143</v>
      </c>
      <c r="M2277" t="s">
        <v>143</v>
      </c>
      <c r="N2277">
        <v>10</v>
      </c>
      <c r="O2277" t="s">
        <v>77</v>
      </c>
      <c r="P2277" t="s">
        <v>35</v>
      </c>
    </row>
    <row r="2278" spans="1:16" ht="14.5" x14ac:dyDescent="0.35">
      <c r="A2278">
        <v>2277</v>
      </c>
      <c r="B2278">
        <v>31</v>
      </c>
      <c r="C2278" t="s">
        <v>16</v>
      </c>
      <c r="D2278" t="s">
        <v>30</v>
      </c>
      <c r="E2278" t="s">
        <v>18</v>
      </c>
      <c r="F2278">
        <v>82</v>
      </c>
      <c r="G2278" t="s">
        <v>45</v>
      </c>
      <c r="H2278" t="s">
        <v>20</v>
      </c>
      <c r="I2278" t="s">
        <v>99</v>
      </c>
      <c r="J2278" t="s">
        <v>47</v>
      </c>
      <c r="K2278">
        <v>4.0999999999999996</v>
      </c>
      <c r="L2278" t="s">
        <v>143</v>
      </c>
      <c r="M2278" t="s">
        <v>143</v>
      </c>
      <c r="N2278">
        <v>25</v>
      </c>
      <c r="O2278" t="s">
        <v>77</v>
      </c>
      <c r="P2278" t="s">
        <v>35</v>
      </c>
    </row>
    <row r="2279" spans="1:16" ht="14.5" x14ac:dyDescent="0.35">
      <c r="A2279">
        <v>2278</v>
      </c>
      <c r="B2279">
        <v>25</v>
      </c>
      <c r="C2279" t="s">
        <v>16</v>
      </c>
      <c r="D2279" t="s">
        <v>115</v>
      </c>
      <c r="E2279" t="s">
        <v>60</v>
      </c>
      <c r="F2279">
        <v>56</v>
      </c>
      <c r="G2279" t="s">
        <v>81</v>
      </c>
      <c r="H2279" t="s">
        <v>39</v>
      </c>
      <c r="I2279" t="s">
        <v>109</v>
      </c>
      <c r="J2279" t="s">
        <v>47</v>
      </c>
      <c r="K2279">
        <v>4.5999999999999996</v>
      </c>
      <c r="L2279" t="s">
        <v>143</v>
      </c>
      <c r="M2279" t="s">
        <v>143</v>
      </c>
      <c r="N2279">
        <v>18</v>
      </c>
      <c r="O2279" t="s">
        <v>34</v>
      </c>
      <c r="P2279" t="s">
        <v>51</v>
      </c>
    </row>
    <row r="2280" spans="1:16" ht="14.5" x14ac:dyDescent="0.35">
      <c r="A2280">
        <v>2279</v>
      </c>
      <c r="B2280">
        <v>61</v>
      </c>
      <c r="C2280" t="s">
        <v>16</v>
      </c>
      <c r="D2280" t="s">
        <v>134</v>
      </c>
      <c r="E2280" t="s">
        <v>60</v>
      </c>
      <c r="F2280">
        <v>25</v>
      </c>
      <c r="G2280" t="s">
        <v>119</v>
      </c>
      <c r="H2280" t="s">
        <v>39</v>
      </c>
      <c r="I2280" t="s">
        <v>28</v>
      </c>
      <c r="J2280" t="s">
        <v>50</v>
      </c>
      <c r="K2280">
        <v>3.8</v>
      </c>
      <c r="L2280" t="s">
        <v>143</v>
      </c>
      <c r="M2280" t="s">
        <v>143</v>
      </c>
      <c r="N2280">
        <v>6</v>
      </c>
      <c r="O2280" t="s">
        <v>29</v>
      </c>
      <c r="P2280" t="s">
        <v>88</v>
      </c>
    </row>
    <row r="2281" spans="1:16" ht="14.5" x14ac:dyDescent="0.35">
      <c r="A2281">
        <v>2280</v>
      </c>
      <c r="B2281">
        <v>53</v>
      </c>
      <c r="C2281" t="s">
        <v>16</v>
      </c>
      <c r="D2281" t="s">
        <v>44</v>
      </c>
      <c r="E2281" t="s">
        <v>37</v>
      </c>
      <c r="F2281">
        <v>67</v>
      </c>
      <c r="G2281" t="s">
        <v>57</v>
      </c>
      <c r="H2281" t="s">
        <v>20</v>
      </c>
      <c r="I2281" t="s">
        <v>117</v>
      </c>
      <c r="J2281" t="s">
        <v>33</v>
      </c>
      <c r="K2281">
        <v>2.9</v>
      </c>
      <c r="L2281" t="s">
        <v>143</v>
      </c>
      <c r="M2281" t="s">
        <v>143</v>
      </c>
      <c r="N2281">
        <v>35</v>
      </c>
      <c r="O2281" t="s">
        <v>66</v>
      </c>
      <c r="P2281" t="s">
        <v>51</v>
      </c>
    </row>
    <row r="2282" spans="1:16" ht="14.5" x14ac:dyDescent="0.35">
      <c r="A2282">
        <v>2281</v>
      </c>
      <c r="B2282">
        <v>22</v>
      </c>
      <c r="C2282" t="s">
        <v>16</v>
      </c>
      <c r="D2282" t="s">
        <v>63</v>
      </c>
      <c r="E2282" t="s">
        <v>37</v>
      </c>
      <c r="F2282">
        <v>21</v>
      </c>
      <c r="G2282" t="s">
        <v>19</v>
      </c>
      <c r="H2282" t="s">
        <v>39</v>
      </c>
      <c r="I2282" t="s">
        <v>99</v>
      </c>
      <c r="J2282" t="s">
        <v>47</v>
      </c>
      <c r="K2282">
        <v>2.8</v>
      </c>
      <c r="L2282" t="s">
        <v>143</v>
      </c>
      <c r="M2282" t="s">
        <v>143</v>
      </c>
      <c r="N2282">
        <v>31</v>
      </c>
      <c r="O2282" t="s">
        <v>34</v>
      </c>
      <c r="P2282" t="s">
        <v>25</v>
      </c>
    </row>
    <row r="2283" spans="1:16" ht="14.5" x14ac:dyDescent="0.35">
      <c r="A2283">
        <v>2282</v>
      </c>
      <c r="B2283">
        <v>28</v>
      </c>
      <c r="C2283" t="s">
        <v>16</v>
      </c>
      <c r="D2283" t="s">
        <v>95</v>
      </c>
      <c r="E2283" t="s">
        <v>18</v>
      </c>
      <c r="F2283">
        <v>27</v>
      </c>
      <c r="G2283" t="s">
        <v>102</v>
      </c>
      <c r="H2283" t="s">
        <v>83</v>
      </c>
      <c r="I2283" t="s">
        <v>28</v>
      </c>
      <c r="J2283" t="s">
        <v>47</v>
      </c>
      <c r="K2283">
        <v>3</v>
      </c>
      <c r="L2283" t="s">
        <v>143</v>
      </c>
      <c r="M2283" t="s">
        <v>143</v>
      </c>
      <c r="N2283">
        <v>41</v>
      </c>
      <c r="O2283" t="s">
        <v>66</v>
      </c>
      <c r="P2283" t="s">
        <v>43</v>
      </c>
    </row>
    <row r="2284" spans="1:16" ht="14.5" x14ac:dyDescent="0.35">
      <c r="A2284">
        <v>2283</v>
      </c>
      <c r="B2284">
        <v>18</v>
      </c>
      <c r="C2284" t="s">
        <v>16</v>
      </c>
      <c r="D2284" t="s">
        <v>44</v>
      </c>
      <c r="E2284" t="s">
        <v>37</v>
      </c>
      <c r="F2284">
        <v>97</v>
      </c>
      <c r="G2284" t="s">
        <v>126</v>
      </c>
      <c r="H2284" t="s">
        <v>32</v>
      </c>
      <c r="I2284" t="s">
        <v>99</v>
      </c>
      <c r="J2284" t="s">
        <v>50</v>
      </c>
      <c r="K2284">
        <v>4.2</v>
      </c>
      <c r="L2284" t="s">
        <v>143</v>
      </c>
      <c r="M2284" t="s">
        <v>143</v>
      </c>
      <c r="N2284">
        <v>8</v>
      </c>
      <c r="O2284" t="s">
        <v>34</v>
      </c>
      <c r="P2284" t="s">
        <v>43</v>
      </c>
    </row>
    <row r="2285" spans="1:16" ht="14.5" x14ac:dyDescent="0.35">
      <c r="A2285">
        <v>2284</v>
      </c>
      <c r="B2285">
        <v>44</v>
      </c>
      <c r="C2285" t="s">
        <v>16</v>
      </c>
      <c r="D2285" t="s">
        <v>59</v>
      </c>
      <c r="E2285" t="s">
        <v>60</v>
      </c>
      <c r="F2285">
        <v>45</v>
      </c>
      <c r="G2285" t="s">
        <v>114</v>
      </c>
      <c r="H2285" t="s">
        <v>32</v>
      </c>
      <c r="I2285" t="s">
        <v>85</v>
      </c>
      <c r="J2285" t="s">
        <v>22</v>
      </c>
      <c r="K2285">
        <v>4.0999999999999996</v>
      </c>
      <c r="L2285" t="s">
        <v>143</v>
      </c>
      <c r="M2285" t="s">
        <v>143</v>
      </c>
      <c r="N2285">
        <v>34</v>
      </c>
      <c r="O2285" t="s">
        <v>34</v>
      </c>
      <c r="P2285" t="s">
        <v>25</v>
      </c>
    </row>
    <row r="2286" spans="1:16" ht="14.5" x14ac:dyDescent="0.35">
      <c r="A2286">
        <v>2285</v>
      </c>
      <c r="B2286">
        <v>32</v>
      </c>
      <c r="C2286" t="s">
        <v>16</v>
      </c>
      <c r="D2286" t="s">
        <v>17</v>
      </c>
      <c r="E2286" t="s">
        <v>18</v>
      </c>
      <c r="F2286">
        <v>63</v>
      </c>
      <c r="G2286" t="s">
        <v>137</v>
      </c>
      <c r="H2286" t="s">
        <v>83</v>
      </c>
      <c r="I2286" t="s">
        <v>85</v>
      </c>
      <c r="J2286" t="s">
        <v>50</v>
      </c>
      <c r="K2286">
        <v>4.0999999999999996</v>
      </c>
      <c r="L2286" t="s">
        <v>143</v>
      </c>
      <c r="M2286" t="s">
        <v>143</v>
      </c>
      <c r="N2286">
        <v>20</v>
      </c>
      <c r="O2286" t="s">
        <v>24</v>
      </c>
      <c r="P2286" t="s">
        <v>43</v>
      </c>
    </row>
    <row r="2287" spans="1:16" ht="14.5" x14ac:dyDescent="0.35">
      <c r="A2287">
        <v>2286</v>
      </c>
      <c r="B2287">
        <v>34</v>
      </c>
      <c r="C2287" t="s">
        <v>16</v>
      </c>
      <c r="D2287" t="s">
        <v>124</v>
      </c>
      <c r="E2287" t="s">
        <v>60</v>
      </c>
      <c r="F2287">
        <v>100</v>
      </c>
      <c r="G2287" t="s">
        <v>142</v>
      </c>
      <c r="H2287" t="s">
        <v>20</v>
      </c>
      <c r="I2287" t="s">
        <v>62</v>
      </c>
      <c r="J2287" t="s">
        <v>47</v>
      </c>
      <c r="K2287">
        <v>4.5999999999999996</v>
      </c>
      <c r="L2287" t="s">
        <v>143</v>
      </c>
      <c r="M2287" t="s">
        <v>143</v>
      </c>
      <c r="N2287">
        <v>38</v>
      </c>
      <c r="O2287" t="s">
        <v>40</v>
      </c>
      <c r="P2287" t="s">
        <v>88</v>
      </c>
    </row>
    <row r="2288" spans="1:16" ht="14.5" x14ac:dyDescent="0.35">
      <c r="A2288">
        <v>2287</v>
      </c>
      <c r="B2288">
        <v>67</v>
      </c>
      <c r="C2288" t="s">
        <v>16</v>
      </c>
      <c r="D2288" t="s">
        <v>116</v>
      </c>
      <c r="E2288" t="s">
        <v>18</v>
      </c>
      <c r="F2288">
        <v>38</v>
      </c>
      <c r="G2288" t="s">
        <v>138</v>
      </c>
      <c r="H2288" t="s">
        <v>20</v>
      </c>
      <c r="I2288" t="s">
        <v>135</v>
      </c>
      <c r="J2288" t="s">
        <v>33</v>
      </c>
      <c r="K2288">
        <v>2.5</v>
      </c>
      <c r="L2288" t="s">
        <v>143</v>
      </c>
      <c r="M2288" t="s">
        <v>143</v>
      </c>
      <c r="N2288">
        <v>35</v>
      </c>
      <c r="O2288" t="s">
        <v>24</v>
      </c>
      <c r="P2288" t="s">
        <v>51</v>
      </c>
    </row>
    <row r="2289" spans="1:16" ht="14.5" x14ac:dyDescent="0.35">
      <c r="A2289">
        <v>2288</v>
      </c>
      <c r="B2289">
        <v>66</v>
      </c>
      <c r="C2289" t="s">
        <v>16</v>
      </c>
      <c r="D2289" t="s">
        <v>17</v>
      </c>
      <c r="E2289" t="s">
        <v>18</v>
      </c>
      <c r="F2289">
        <v>45</v>
      </c>
      <c r="G2289" t="s">
        <v>136</v>
      </c>
      <c r="H2289" t="s">
        <v>20</v>
      </c>
      <c r="I2289" t="s">
        <v>87</v>
      </c>
      <c r="J2289" t="s">
        <v>47</v>
      </c>
      <c r="K2289">
        <v>3</v>
      </c>
      <c r="L2289" t="s">
        <v>143</v>
      </c>
      <c r="M2289" t="s">
        <v>143</v>
      </c>
      <c r="N2289">
        <v>6</v>
      </c>
      <c r="O2289" t="s">
        <v>77</v>
      </c>
      <c r="P2289" t="s">
        <v>43</v>
      </c>
    </row>
    <row r="2290" spans="1:16" ht="14.5" x14ac:dyDescent="0.35">
      <c r="A2290">
        <v>2289</v>
      </c>
      <c r="B2290">
        <v>28</v>
      </c>
      <c r="C2290" t="s">
        <v>16</v>
      </c>
      <c r="D2290" t="s">
        <v>97</v>
      </c>
      <c r="E2290" t="s">
        <v>60</v>
      </c>
      <c r="F2290">
        <v>91</v>
      </c>
      <c r="G2290" t="s">
        <v>90</v>
      </c>
      <c r="H2290" t="s">
        <v>39</v>
      </c>
      <c r="I2290" t="s">
        <v>112</v>
      </c>
      <c r="J2290" t="s">
        <v>50</v>
      </c>
      <c r="K2290">
        <v>3.8</v>
      </c>
      <c r="L2290" t="s">
        <v>143</v>
      </c>
      <c r="M2290" t="s">
        <v>143</v>
      </c>
      <c r="N2290">
        <v>50</v>
      </c>
      <c r="O2290" t="s">
        <v>40</v>
      </c>
      <c r="P2290" t="s">
        <v>35</v>
      </c>
    </row>
    <row r="2291" spans="1:16" ht="14.5" x14ac:dyDescent="0.35">
      <c r="A2291">
        <v>2290</v>
      </c>
      <c r="B2291">
        <v>70</v>
      </c>
      <c r="C2291" t="s">
        <v>16</v>
      </c>
      <c r="D2291" t="s">
        <v>52</v>
      </c>
      <c r="E2291" t="s">
        <v>18</v>
      </c>
      <c r="F2291">
        <v>82</v>
      </c>
      <c r="G2291" t="s">
        <v>98</v>
      </c>
      <c r="H2291" t="s">
        <v>39</v>
      </c>
      <c r="I2291" t="s">
        <v>112</v>
      </c>
      <c r="J2291" t="s">
        <v>50</v>
      </c>
      <c r="K2291">
        <v>4.0999999999999996</v>
      </c>
      <c r="L2291" t="s">
        <v>143</v>
      </c>
      <c r="M2291" t="s">
        <v>143</v>
      </c>
      <c r="N2291">
        <v>47</v>
      </c>
      <c r="O2291" t="s">
        <v>24</v>
      </c>
      <c r="P2291" t="s">
        <v>35</v>
      </c>
    </row>
    <row r="2292" spans="1:16" ht="14.5" x14ac:dyDescent="0.35">
      <c r="A2292">
        <v>2291</v>
      </c>
      <c r="B2292">
        <v>37</v>
      </c>
      <c r="C2292" t="s">
        <v>16</v>
      </c>
      <c r="D2292" t="s">
        <v>128</v>
      </c>
      <c r="E2292" t="s">
        <v>37</v>
      </c>
      <c r="F2292">
        <v>48</v>
      </c>
      <c r="G2292" t="s">
        <v>102</v>
      </c>
      <c r="H2292" t="s">
        <v>20</v>
      </c>
      <c r="I2292" t="s">
        <v>127</v>
      </c>
      <c r="J2292" t="s">
        <v>22</v>
      </c>
      <c r="K2292">
        <v>3.3</v>
      </c>
      <c r="L2292" t="s">
        <v>143</v>
      </c>
      <c r="M2292" t="s">
        <v>143</v>
      </c>
      <c r="N2292">
        <v>23</v>
      </c>
      <c r="O2292" t="s">
        <v>40</v>
      </c>
      <c r="P2292" t="s">
        <v>51</v>
      </c>
    </row>
    <row r="2293" spans="1:16" ht="14.5" x14ac:dyDescent="0.35">
      <c r="A2293">
        <v>2292</v>
      </c>
      <c r="B2293">
        <v>28</v>
      </c>
      <c r="C2293" t="s">
        <v>16</v>
      </c>
      <c r="D2293" t="s">
        <v>55</v>
      </c>
      <c r="E2293" t="s">
        <v>56</v>
      </c>
      <c r="F2293">
        <v>30</v>
      </c>
      <c r="G2293" t="s">
        <v>114</v>
      </c>
      <c r="H2293" t="s">
        <v>39</v>
      </c>
      <c r="I2293" t="s">
        <v>117</v>
      </c>
      <c r="J2293" t="s">
        <v>33</v>
      </c>
      <c r="K2293">
        <v>5</v>
      </c>
      <c r="L2293" t="s">
        <v>143</v>
      </c>
      <c r="M2293" t="s">
        <v>143</v>
      </c>
      <c r="N2293">
        <v>13</v>
      </c>
      <c r="O2293" t="s">
        <v>34</v>
      </c>
      <c r="P2293" t="s">
        <v>51</v>
      </c>
    </row>
    <row r="2294" spans="1:16" ht="14.5" x14ac:dyDescent="0.35">
      <c r="A2294">
        <v>2293</v>
      </c>
      <c r="B2294">
        <v>43</v>
      </c>
      <c r="C2294" t="s">
        <v>16</v>
      </c>
      <c r="D2294" t="s">
        <v>104</v>
      </c>
      <c r="E2294" t="s">
        <v>18</v>
      </c>
      <c r="F2294">
        <v>34</v>
      </c>
      <c r="G2294" t="s">
        <v>120</v>
      </c>
      <c r="H2294" t="s">
        <v>32</v>
      </c>
      <c r="I2294" t="s">
        <v>109</v>
      </c>
      <c r="J2294" t="s">
        <v>33</v>
      </c>
      <c r="K2294">
        <v>3.8</v>
      </c>
      <c r="L2294" t="s">
        <v>143</v>
      </c>
      <c r="M2294" t="s">
        <v>143</v>
      </c>
      <c r="N2294">
        <v>31</v>
      </c>
      <c r="O2294" t="s">
        <v>77</v>
      </c>
      <c r="P2294" t="s">
        <v>79</v>
      </c>
    </row>
    <row r="2295" spans="1:16" ht="14.5" x14ac:dyDescent="0.35">
      <c r="A2295">
        <v>2294</v>
      </c>
      <c r="B2295">
        <v>37</v>
      </c>
      <c r="C2295" t="s">
        <v>16</v>
      </c>
      <c r="D2295" t="s">
        <v>26</v>
      </c>
      <c r="E2295" t="s">
        <v>18</v>
      </c>
      <c r="F2295">
        <v>68</v>
      </c>
      <c r="G2295" t="s">
        <v>133</v>
      </c>
      <c r="H2295" t="s">
        <v>20</v>
      </c>
      <c r="I2295" t="s">
        <v>87</v>
      </c>
      <c r="J2295" t="s">
        <v>50</v>
      </c>
      <c r="K2295">
        <v>3.3</v>
      </c>
      <c r="L2295" t="s">
        <v>143</v>
      </c>
      <c r="M2295" t="s">
        <v>143</v>
      </c>
      <c r="N2295">
        <v>16</v>
      </c>
      <c r="O2295" t="s">
        <v>77</v>
      </c>
      <c r="P2295" t="s">
        <v>88</v>
      </c>
    </row>
    <row r="2296" spans="1:16" ht="14.5" x14ac:dyDescent="0.35">
      <c r="A2296">
        <v>2295</v>
      </c>
      <c r="B2296">
        <v>54</v>
      </c>
      <c r="C2296" t="s">
        <v>16</v>
      </c>
      <c r="D2296" t="s">
        <v>80</v>
      </c>
      <c r="E2296" t="s">
        <v>60</v>
      </c>
      <c r="F2296">
        <v>95</v>
      </c>
      <c r="G2296" t="s">
        <v>119</v>
      </c>
      <c r="H2296" t="s">
        <v>39</v>
      </c>
      <c r="I2296" t="s">
        <v>99</v>
      </c>
      <c r="J2296" t="s">
        <v>22</v>
      </c>
      <c r="K2296">
        <v>5</v>
      </c>
      <c r="L2296" t="s">
        <v>143</v>
      </c>
      <c r="M2296" t="s">
        <v>143</v>
      </c>
      <c r="N2296">
        <v>40</v>
      </c>
      <c r="O2296" t="s">
        <v>77</v>
      </c>
      <c r="P2296" t="s">
        <v>43</v>
      </c>
    </row>
    <row r="2297" spans="1:16" ht="14.5" x14ac:dyDescent="0.35">
      <c r="A2297">
        <v>2296</v>
      </c>
      <c r="B2297">
        <v>50</v>
      </c>
      <c r="C2297" t="s">
        <v>16</v>
      </c>
      <c r="D2297" t="s">
        <v>115</v>
      </c>
      <c r="E2297" t="s">
        <v>60</v>
      </c>
      <c r="F2297">
        <v>22</v>
      </c>
      <c r="G2297" t="s">
        <v>130</v>
      </c>
      <c r="H2297" t="s">
        <v>20</v>
      </c>
      <c r="I2297" t="s">
        <v>109</v>
      </c>
      <c r="J2297" t="s">
        <v>33</v>
      </c>
      <c r="K2297">
        <v>2.9</v>
      </c>
      <c r="L2297" t="s">
        <v>143</v>
      </c>
      <c r="M2297" t="s">
        <v>143</v>
      </c>
      <c r="N2297">
        <v>45</v>
      </c>
      <c r="O2297" t="s">
        <v>40</v>
      </c>
      <c r="P2297" t="s">
        <v>51</v>
      </c>
    </row>
    <row r="2298" spans="1:16" ht="14.5" x14ac:dyDescent="0.35">
      <c r="A2298">
        <v>2297</v>
      </c>
      <c r="B2298">
        <v>46</v>
      </c>
      <c r="C2298" t="s">
        <v>16</v>
      </c>
      <c r="D2298" t="s">
        <v>134</v>
      </c>
      <c r="E2298" t="s">
        <v>60</v>
      </c>
      <c r="F2298">
        <v>88</v>
      </c>
      <c r="G2298" t="s">
        <v>140</v>
      </c>
      <c r="H2298" t="s">
        <v>39</v>
      </c>
      <c r="I2298" t="s">
        <v>87</v>
      </c>
      <c r="J2298" t="s">
        <v>50</v>
      </c>
      <c r="K2298">
        <v>2.5</v>
      </c>
      <c r="L2298" t="s">
        <v>143</v>
      </c>
      <c r="M2298" t="s">
        <v>143</v>
      </c>
      <c r="N2298">
        <v>50</v>
      </c>
      <c r="O2298" t="s">
        <v>24</v>
      </c>
      <c r="P2298" t="s">
        <v>88</v>
      </c>
    </row>
    <row r="2299" spans="1:16" ht="14.5" x14ac:dyDescent="0.35">
      <c r="A2299">
        <v>2298</v>
      </c>
      <c r="B2299">
        <v>60</v>
      </c>
      <c r="C2299" t="s">
        <v>16</v>
      </c>
      <c r="D2299" t="s">
        <v>116</v>
      </c>
      <c r="E2299" t="s">
        <v>18</v>
      </c>
      <c r="F2299">
        <v>83</v>
      </c>
      <c r="G2299" t="s">
        <v>90</v>
      </c>
      <c r="H2299" t="s">
        <v>39</v>
      </c>
      <c r="I2299" t="s">
        <v>112</v>
      </c>
      <c r="J2299" t="s">
        <v>47</v>
      </c>
      <c r="K2299">
        <v>4.7</v>
      </c>
      <c r="L2299" t="s">
        <v>143</v>
      </c>
      <c r="M2299" t="s">
        <v>143</v>
      </c>
      <c r="N2299">
        <v>1</v>
      </c>
      <c r="O2299" t="s">
        <v>66</v>
      </c>
      <c r="P2299" t="s">
        <v>51</v>
      </c>
    </row>
    <row r="2300" spans="1:16" ht="14.5" x14ac:dyDescent="0.35">
      <c r="A2300">
        <v>2299</v>
      </c>
      <c r="B2300">
        <v>40</v>
      </c>
      <c r="C2300" t="s">
        <v>16</v>
      </c>
      <c r="D2300" t="s">
        <v>59</v>
      </c>
      <c r="E2300" t="s">
        <v>60</v>
      </c>
      <c r="F2300">
        <v>87</v>
      </c>
      <c r="G2300" t="s">
        <v>49</v>
      </c>
      <c r="H2300" t="s">
        <v>20</v>
      </c>
      <c r="I2300" t="s">
        <v>100</v>
      </c>
      <c r="J2300" t="s">
        <v>33</v>
      </c>
      <c r="K2300">
        <v>2.9</v>
      </c>
      <c r="L2300" t="s">
        <v>143</v>
      </c>
      <c r="M2300" t="s">
        <v>143</v>
      </c>
      <c r="N2300">
        <v>10</v>
      </c>
      <c r="O2300" t="s">
        <v>29</v>
      </c>
      <c r="P2300" t="s">
        <v>88</v>
      </c>
    </row>
    <row r="2301" spans="1:16" ht="14.5" x14ac:dyDescent="0.35">
      <c r="A2301">
        <v>2300</v>
      </c>
      <c r="B2301">
        <v>64</v>
      </c>
      <c r="C2301" t="s">
        <v>16</v>
      </c>
      <c r="D2301" t="s">
        <v>55</v>
      </c>
      <c r="E2301" t="s">
        <v>56</v>
      </c>
      <c r="F2301">
        <v>57</v>
      </c>
      <c r="G2301" t="s">
        <v>126</v>
      </c>
      <c r="H2301" t="s">
        <v>39</v>
      </c>
      <c r="I2301" t="s">
        <v>74</v>
      </c>
      <c r="J2301" t="s">
        <v>47</v>
      </c>
      <c r="K2301">
        <v>3.7</v>
      </c>
      <c r="L2301" t="s">
        <v>143</v>
      </c>
      <c r="M2301" t="s">
        <v>143</v>
      </c>
      <c r="N2301">
        <v>48</v>
      </c>
      <c r="O2301" t="s">
        <v>34</v>
      </c>
      <c r="P2301" t="s">
        <v>88</v>
      </c>
    </row>
    <row r="2302" spans="1:16" ht="14.5" x14ac:dyDescent="0.35">
      <c r="A2302">
        <v>2301</v>
      </c>
      <c r="B2302">
        <v>18</v>
      </c>
      <c r="C2302" t="s">
        <v>16</v>
      </c>
      <c r="D2302" t="s">
        <v>55</v>
      </c>
      <c r="E2302" t="s">
        <v>56</v>
      </c>
      <c r="F2302">
        <v>88</v>
      </c>
      <c r="G2302" t="s">
        <v>129</v>
      </c>
      <c r="H2302" t="s">
        <v>83</v>
      </c>
      <c r="I2302" t="s">
        <v>84</v>
      </c>
      <c r="J2302" t="s">
        <v>47</v>
      </c>
      <c r="K2302">
        <v>4.4000000000000004</v>
      </c>
      <c r="L2302" t="s">
        <v>143</v>
      </c>
      <c r="M2302" t="s">
        <v>143</v>
      </c>
      <c r="N2302">
        <v>38</v>
      </c>
      <c r="O2302" t="s">
        <v>34</v>
      </c>
      <c r="P2302" t="s">
        <v>79</v>
      </c>
    </row>
    <row r="2303" spans="1:16" ht="14.5" x14ac:dyDescent="0.35">
      <c r="A2303">
        <v>2302</v>
      </c>
      <c r="B2303">
        <v>37</v>
      </c>
      <c r="C2303" t="s">
        <v>16</v>
      </c>
      <c r="D2303" t="s">
        <v>86</v>
      </c>
      <c r="E2303" t="s">
        <v>18</v>
      </c>
      <c r="F2303">
        <v>20</v>
      </c>
      <c r="G2303" t="s">
        <v>27</v>
      </c>
      <c r="H2303" t="s">
        <v>20</v>
      </c>
      <c r="I2303" t="s">
        <v>42</v>
      </c>
      <c r="J2303" t="s">
        <v>22</v>
      </c>
      <c r="K2303">
        <v>2.9</v>
      </c>
      <c r="L2303" t="s">
        <v>143</v>
      </c>
      <c r="M2303" t="s">
        <v>143</v>
      </c>
      <c r="N2303">
        <v>21</v>
      </c>
      <c r="O2303" t="s">
        <v>77</v>
      </c>
      <c r="P2303" t="s">
        <v>43</v>
      </c>
    </row>
    <row r="2304" spans="1:16" ht="14.5" x14ac:dyDescent="0.35">
      <c r="A2304">
        <v>2303</v>
      </c>
      <c r="B2304">
        <v>36</v>
      </c>
      <c r="C2304" t="s">
        <v>16</v>
      </c>
      <c r="D2304" t="s">
        <v>124</v>
      </c>
      <c r="E2304" t="s">
        <v>60</v>
      </c>
      <c r="F2304">
        <v>39</v>
      </c>
      <c r="G2304" t="s">
        <v>49</v>
      </c>
      <c r="H2304" t="s">
        <v>20</v>
      </c>
      <c r="I2304" t="s">
        <v>62</v>
      </c>
      <c r="J2304" t="s">
        <v>47</v>
      </c>
      <c r="K2304">
        <v>3.6</v>
      </c>
      <c r="L2304" t="s">
        <v>143</v>
      </c>
      <c r="M2304" t="s">
        <v>143</v>
      </c>
      <c r="N2304">
        <v>38</v>
      </c>
      <c r="O2304" t="s">
        <v>24</v>
      </c>
      <c r="P2304" t="s">
        <v>79</v>
      </c>
    </row>
    <row r="2305" spans="1:16" ht="14.5" x14ac:dyDescent="0.35">
      <c r="A2305">
        <v>2304</v>
      </c>
      <c r="B2305">
        <v>51</v>
      </c>
      <c r="C2305" t="s">
        <v>16</v>
      </c>
      <c r="D2305" t="s">
        <v>80</v>
      </c>
      <c r="E2305" t="s">
        <v>60</v>
      </c>
      <c r="F2305">
        <v>71</v>
      </c>
      <c r="G2305" t="s">
        <v>118</v>
      </c>
      <c r="H2305" t="s">
        <v>32</v>
      </c>
      <c r="I2305" t="s">
        <v>109</v>
      </c>
      <c r="J2305" t="s">
        <v>33</v>
      </c>
      <c r="K2305">
        <v>4.8</v>
      </c>
      <c r="L2305" t="s">
        <v>143</v>
      </c>
      <c r="M2305" t="s">
        <v>143</v>
      </c>
      <c r="N2305">
        <v>31</v>
      </c>
      <c r="O2305" t="s">
        <v>34</v>
      </c>
      <c r="P2305" t="s">
        <v>25</v>
      </c>
    </row>
    <row r="2306" spans="1:16" ht="14.5" x14ac:dyDescent="0.35">
      <c r="A2306">
        <v>2305</v>
      </c>
      <c r="B2306">
        <v>26</v>
      </c>
      <c r="C2306" t="s">
        <v>16</v>
      </c>
      <c r="D2306" t="s">
        <v>95</v>
      </c>
      <c r="E2306" t="s">
        <v>18</v>
      </c>
      <c r="F2306">
        <v>73</v>
      </c>
      <c r="G2306" t="s">
        <v>53</v>
      </c>
      <c r="H2306" t="s">
        <v>20</v>
      </c>
      <c r="I2306" t="s">
        <v>58</v>
      </c>
      <c r="J2306" t="s">
        <v>22</v>
      </c>
      <c r="K2306">
        <v>4.7</v>
      </c>
      <c r="L2306" t="s">
        <v>143</v>
      </c>
      <c r="M2306" t="s">
        <v>143</v>
      </c>
      <c r="N2306">
        <v>9</v>
      </c>
      <c r="O2306" t="s">
        <v>77</v>
      </c>
      <c r="P2306" t="s">
        <v>25</v>
      </c>
    </row>
    <row r="2307" spans="1:16" ht="14.5" x14ac:dyDescent="0.35">
      <c r="A2307">
        <v>2306</v>
      </c>
      <c r="B2307">
        <v>68</v>
      </c>
      <c r="C2307" t="s">
        <v>16</v>
      </c>
      <c r="D2307" t="s">
        <v>59</v>
      </c>
      <c r="E2307" t="s">
        <v>60</v>
      </c>
      <c r="F2307">
        <v>63</v>
      </c>
      <c r="G2307" t="s">
        <v>27</v>
      </c>
      <c r="H2307" t="s">
        <v>39</v>
      </c>
      <c r="I2307" t="s">
        <v>71</v>
      </c>
      <c r="J2307" t="s">
        <v>47</v>
      </c>
      <c r="K2307">
        <v>2.6</v>
      </c>
      <c r="L2307" t="s">
        <v>143</v>
      </c>
      <c r="M2307" t="s">
        <v>143</v>
      </c>
      <c r="N2307">
        <v>47</v>
      </c>
      <c r="O2307" t="s">
        <v>29</v>
      </c>
      <c r="P2307" t="s">
        <v>35</v>
      </c>
    </row>
    <row r="2308" spans="1:16" ht="14.5" x14ac:dyDescent="0.35">
      <c r="A2308">
        <v>2307</v>
      </c>
      <c r="B2308">
        <v>27</v>
      </c>
      <c r="C2308" t="s">
        <v>16</v>
      </c>
      <c r="D2308" t="s">
        <v>134</v>
      </c>
      <c r="E2308" t="s">
        <v>60</v>
      </c>
      <c r="F2308">
        <v>78</v>
      </c>
      <c r="G2308" t="s">
        <v>94</v>
      </c>
      <c r="H2308" t="s">
        <v>20</v>
      </c>
      <c r="I2308" t="s">
        <v>58</v>
      </c>
      <c r="J2308" t="s">
        <v>22</v>
      </c>
      <c r="K2308">
        <v>3.4</v>
      </c>
      <c r="L2308" t="s">
        <v>143</v>
      </c>
      <c r="M2308" t="s">
        <v>143</v>
      </c>
      <c r="N2308">
        <v>8</v>
      </c>
      <c r="O2308" t="s">
        <v>29</v>
      </c>
      <c r="P2308" t="s">
        <v>67</v>
      </c>
    </row>
    <row r="2309" spans="1:16" ht="14.5" x14ac:dyDescent="0.35">
      <c r="A2309">
        <v>2308</v>
      </c>
      <c r="B2309">
        <v>28</v>
      </c>
      <c r="C2309" t="s">
        <v>16</v>
      </c>
      <c r="D2309" t="s">
        <v>78</v>
      </c>
      <c r="E2309" t="s">
        <v>18</v>
      </c>
      <c r="F2309">
        <v>96</v>
      </c>
      <c r="G2309" t="s">
        <v>61</v>
      </c>
      <c r="H2309" t="s">
        <v>20</v>
      </c>
      <c r="I2309" t="s">
        <v>87</v>
      </c>
      <c r="J2309" t="s">
        <v>50</v>
      </c>
      <c r="K2309">
        <v>3.5</v>
      </c>
      <c r="L2309" t="s">
        <v>143</v>
      </c>
      <c r="M2309" t="s">
        <v>143</v>
      </c>
      <c r="N2309">
        <v>30</v>
      </c>
      <c r="O2309" t="s">
        <v>77</v>
      </c>
      <c r="P2309" t="s">
        <v>43</v>
      </c>
    </row>
    <row r="2310" spans="1:16" ht="14.5" x14ac:dyDescent="0.35">
      <c r="A2310">
        <v>2309</v>
      </c>
      <c r="B2310">
        <v>49</v>
      </c>
      <c r="C2310" t="s">
        <v>16</v>
      </c>
      <c r="D2310" t="s">
        <v>80</v>
      </c>
      <c r="E2310" t="s">
        <v>60</v>
      </c>
      <c r="F2310">
        <v>81</v>
      </c>
      <c r="G2310" t="s">
        <v>105</v>
      </c>
      <c r="H2310" t="s">
        <v>39</v>
      </c>
      <c r="I2310" t="s">
        <v>76</v>
      </c>
      <c r="J2310" t="s">
        <v>22</v>
      </c>
      <c r="K2310">
        <v>3.4</v>
      </c>
      <c r="L2310" t="s">
        <v>143</v>
      </c>
      <c r="M2310" t="s">
        <v>143</v>
      </c>
      <c r="N2310">
        <v>22</v>
      </c>
      <c r="O2310" t="s">
        <v>66</v>
      </c>
      <c r="P2310" t="s">
        <v>51</v>
      </c>
    </row>
    <row r="2311" spans="1:16" ht="14.5" x14ac:dyDescent="0.35">
      <c r="A2311">
        <v>2310</v>
      </c>
      <c r="B2311">
        <v>70</v>
      </c>
      <c r="C2311" t="s">
        <v>16</v>
      </c>
      <c r="D2311" t="s">
        <v>72</v>
      </c>
      <c r="E2311" t="s">
        <v>18</v>
      </c>
      <c r="F2311">
        <v>95</v>
      </c>
      <c r="G2311" t="s">
        <v>130</v>
      </c>
      <c r="H2311" t="s">
        <v>32</v>
      </c>
      <c r="I2311" t="s">
        <v>71</v>
      </c>
      <c r="J2311" t="s">
        <v>50</v>
      </c>
      <c r="K2311">
        <v>5</v>
      </c>
      <c r="L2311" t="s">
        <v>143</v>
      </c>
      <c r="M2311" t="s">
        <v>143</v>
      </c>
      <c r="N2311">
        <v>3</v>
      </c>
      <c r="O2311" t="s">
        <v>66</v>
      </c>
      <c r="P2311" t="s">
        <v>51</v>
      </c>
    </row>
    <row r="2312" spans="1:16" ht="14.5" x14ac:dyDescent="0.35">
      <c r="A2312">
        <v>2311</v>
      </c>
      <c r="B2312">
        <v>30</v>
      </c>
      <c r="C2312" t="s">
        <v>16</v>
      </c>
      <c r="D2312" t="s">
        <v>134</v>
      </c>
      <c r="E2312" t="s">
        <v>60</v>
      </c>
      <c r="F2312">
        <v>68</v>
      </c>
      <c r="G2312" t="s">
        <v>132</v>
      </c>
      <c r="H2312" t="s">
        <v>39</v>
      </c>
      <c r="I2312" t="s">
        <v>100</v>
      </c>
      <c r="J2312" t="s">
        <v>33</v>
      </c>
      <c r="K2312">
        <v>4.5999999999999996</v>
      </c>
      <c r="L2312" t="s">
        <v>143</v>
      </c>
      <c r="M2312" t="s">
        <v>143</v>
      </c>
      <c r="N2312">
        <v>15</v>
      </c>
      <c r="O2312" t="s">
        <v>40</v>
      </c>
      <c r="P2312" t="s">
        <v>79</v>
      </c>
    </row>
    <row r="2313" spans="1:16" ht="14.5" x14ac:dyDescent="0.35">
      <c r="A2313">
        <v>2312</v>
      </c>
      <c r="B2313">
        <v>27</v>
      </c>
      <c r="C2313" t="s">
        <v>16</v>
      </c>
      <c r="D2313" t="s">
        <v>44</v>
      </c>
      <c r="E2313" t="s">
        <v>37</v>
      </c>
      <c r="F2313">
        <v>28</v>
      </c>
      <c r="G2313" t="s">
        <v>49</v>
      </c>
      <c r="H2313" t="s">
        <v>20</v>
      </c>
      <c r="I2313" t="s">
        <v>71</v>
      </c>
      <c r="J2313" t="s">
        <v>33</v>
      </c>
      <c r="K2313">
        <v>4.8</v>
      </c>
      <c r="L2313" t="s">
        <v>143</v>
      </c>
      <c r="M2313" t="s">
        <v>143</v>
      </c>
      <c r="N2313">
        <v>10</v>
      </c>
      <c r="O2313" t="s">
        <v>66</v>
      </c>
      <c r="P2313" t="s">
        <v>88</v>
      </c>
    </row>
    <row r="2314" spans="1:16" ht="14.5" x14ac:dyDescent="0.35">
      <c r="A2314">
        <v>2313</v>
      </c>
      <c r="B2314">
        <v>19</v>
      </c>
      <c r="C2314" t="s">
        <v>16</v>
      </c>
      <c r="D2314" t="s">
        <v>104</v>
      </c>
      <c r="E2314" t="s">
        <v>18</v>
      </c>
      <c r="F2314">
        <v>30</v>
      </c>
      <c r="G2314" t="s">
        <v>120</v>
      </c>
      <c r="H2314" t="s">
        <v>20</v>
      </c>
      <c r="I2314" t="s">
        <v>74</v>
      </c>
      <c r="J2314" t="s">
        <v>47</v>
      </c>
      <c r="K2314">
        <v>3.7</v>
      </c>
      <c r="L2314" t="s">
        <v>143</v>
      </c>
      <c r="M2314" t="s">
        <v>143</v>
      </c>
      <c r="N2314">
        <v>19</v>
      </c>
      <c r="O2314" t="s">
        <v>29</v>
      </c>
      <c r="P2314" t="s">
        <v>88</v>
      </c>
    </row>
    <row r="2315" spans="1:16" ht="14.5" x14ac:dyDescent="0.35">
      <c r="A2315">
        <v>2314</v>
      </c>
      <c r="B2315">
        <v>64</v>
      </c>
      <c r="C2315" t="s">
        <v>16</v>
      </c>
      <c r="D2315" t="s">
        <v>72</v>
      </c>
      <c r="E2315" t="s">
        <v>18</v>
      </c>
      <c r="F2315">
        <v>31</v>
      </c>
      <c r="G2315" t="s">
        <v>133</v>
      </c>
      <c r="H2315" t="s">
        <v>39</v>
      </c>
      <c r="I2315" t="s">
        <v>85</v>
      </c>
      <c r="J2315" t="s">
        <v>47</v>
      </c>
      <c r="K2315">
        <v>4.7</v>
      </c>
      <c r="L2315" t="s">
        <v>143</v>
      </c>
      <c r="M2315" t="s">
        <v>143</v>
      </c>
      <c r="N2315">
        <v>36</v>
      </c>
      <c r="O2315" t="s">
        <v>66</v>
      </c>
      <c r="P2315" t="s">
        <v>25</v>
      </c>
    </row>
    <row r="2316" spans="1:16" ht="14.5" x14ac:dyDescent="0.35">
      <c r="A2316">
        <v>2315</v>
      </c>
      <c r="B2316">
        <v>42</v>
      </c>
      <c r="C2316" t="s">
        <v>16</v>
      </c>
      <c r="D2316" t="s">
        <v>59</v>
      </c>
      <c r="E2316" t="s">
        <v>60</v>
      </c>
      <c r="F2316">
        <v>95</v>
      </c>
      <c r="G2316" t="s">
        <v>132</v>
      </c>
      <c r="H2316" t="s">
        <v>83</v>
      </c>
      <c r="I2316" t="s">
        <v>101</v>
      </c>
      <c r="J2316" t="s">
        <v>22</v>
      </c>
      <c r="K2316">
        <v>4.4000000000000004</v>
      </c>
      <c r="L2316" t="s">
        <v>143</v>
      </c>
      <c r="M2316" t="s">
        <v>143</v>
      </c>
      <c r="N2316">
        <v>12</v>
      </c>
      <c r="O2316" t="s">
        <v>66</v>
      </c>
      <c r="P2316" t="s">
        <v>88</v>
      </c>
    </row>
    <row r="2317" spans="1:16" ht="14.5" x14ac:dyDescent="0.35">
      <c r="A2317">
        <v>2316</v>
      </c>
      <c r="B2317">
        <v>69</v>
      </c>
      <c r="C2317" t="s">
        <v>16</v>
      </c>
      <c r="D2317" t="s">
        <v>116</v>
      </c>
      <c r="E2317" t="s">
        <v>18</v>
      </c>
      <c r="F2317">
        <v>79</v>
      </c>
      <c r="G2317" t="s">
        <v>120</v>
      </c>
      <c r="H2317" t="s">
        <v>39</v>
      </c>
      <c r="I2317" t="s">
        <v>117</v>
      </c>
      <c r="J2317" t="s">
        <v>22</v>
      </c>
      <c r="K2317">
        <v>3.5</v>
      </c>
      <c r="L2317" t="s">
        <v>143</v>
      </c>
      <c r="M2317" t="s">
        <v>143</v>
      </c>
      <c r="N2317">
        <v>49</v>
      </c>
      <c r="O2317" t="s">
        <v>77</v>
      </c>
      <c r="P2317" t="s">
        <v>51</v>
      </c>
    </row>
    <row r="2318" spans="1:16" ht="14.5" x14ac:dyDescent="0.35">
      <c r="A2318">
        <v>2317</v>
      </c>
      <c r="B2318">
        <v>28</v>
      </c>
      <c r="C2318" t="s">
        <v>16</v>
      </c>
      <c r="D2318" t="s">
        <v>44</v>
      </c>
      <c r="E2318" t="s">
        <v>37</v>
      </c>
      <c r="F2318">
        <v>39</v>
      </c>
      <c r="G2318" t="s">
        <v>49</v>
      </c>
      <c r="H2318" t="s">
        <v>20</v>
      </c>
      <c r="I2318" t="s">
        <v>125</v>
      </c>
      <c r="J2318" t="s">
        <v>22</v>
      </c>
      <c r="K2318">
        <v>3.8</v>
      </c>
      <c r="L2318" t="s">
        <v>143</v>
      </c>
      <c r="M2318" t="s">
        <v>143</v>
      </c>
      <c r="N2318">
        <v>7</v>
      </c>
      <c r="O2318" t="s">
        <v>77</v>
      </c>
      <c r="P2318" t="s">
        <v>43</v>
      </c>
    </row>
    <row r="2319" spans="1:16" ht="14.5" x14ac:dyDescent="0.35">
      <c r="A2319">
        <v>2318</v>
      </c>
      <c r="B2319">
        <v>47</v>
      </c>
      <c r="C2319" t="s">
        <v>16</v>
      </c>
      <c r="D2319" t="s">
        <v>93</v>
      </c>
      <c r="E2319" t="s">
        <v>56</v>
      </c>
      <c r="F2319">
        <v>34</v>
      </c>
      <c r="G2319" t="s">
        <v>118</v>
      </c>
      <c r="H2319" t="s">
        <v>39</v>
      </c>
      <c r="I2319" t="s">
        <v>65</v>
      </c>
      <c r="J2319" t="s">
        <v>47</v>
      </c>
      <c r="K2319">
        <v>4.7</v>
      </c>
      <c r="L2319" t="s">
        <v>143</v>
      </c>
      <c r="M2319" t="s">
        <v>143</v>
      </c>
      <c r="N2319">
        <v>28</v>
      </c>
      <c r="O2319" t="s">
        <v>66</v>
      </c>
      <c r="P2319" t="s">
        <v>79</v>
      </c>
    </row>
    <row r="2320" spans="1:16" ht="14.5" x14ac:dyDescent="0.35">
      <c r="A2320">
        <v>2319</v>
      </c>
      <c r="B2320">
        <v>69</v>
      </c>
      <c r="C2320" t="s">
        <v>16</v>
      </c>
      <c r="D2320" t="s">
        <v>95</v>
      </c>
      <c r="E2320" t="s">
        <v>18</v>
      </c>
      <c r="F2320">
        <v>28</v>
      </c>
      <c r="G2320" t="s">
        <v>45</v>
      </c>
      <c r="H2320" t="s">
        <v>20</v>
      </c>
      <c r="I2320" t="s">
        <v>46</v>
      </c>
      <c r="J2320" t="s">
        <v>33</v>
      </c>
      <c r="K2320">
        <v>3.1</v>
      </c>
      <c r="L2320" t="s">
        <v>143</v>
      </c>
      <c r="M2320" t="s">
        <v>143</v>
      </c>
      <c r="N2320">
        <v>30</v>
      </c>
      <c r="O2320" t="s">
        <v>34</v>
      </c>
      <c r="P2320" t="s">
        <v>43</v>
      </c>
    </row>
    <row r="2321" spans="1:16" ht="14.5" x14ac:dyDescent="0.35">
      <c r="A2321">
        <v>2320</v>
      </c>
      <c r="B2321">
        <v>56</v>
      </c>
      <c r="C2321" t="s">
        <v>16</v>
      </c>
      <c r="D2321" t="s">
        <v>36</v>
      </c>
      <c r="E2321" t="s">
        <v>37</v>
      </c>
      <c r="F2321">
        <v>38</v>
      </c>
      <c r="G2321" t="s">
        <v>27</v>
      </c>
      <c r="H2321" t="s">
        <v>83</v>
      </c>
      <c r="I2321" t="s">
        <v>42</v>
      </c>
      <c r="J2321" t="s">
        <v>22</v>
      </c>
      <c r="K2321">
        <v>5</v>
      </c>
      <c r="L2321" t="s">
        <v>143</v>
      </c>
      <c r="M2321" t="s">
        <v>143</v>
      </c>
      <c r="N2321">
        <v>29</v>
      </c>
      <c r="O2321" t="s">
        <v>40</v>
      </c>
      <c r="P2321" t="s">
        <v>79</v>
      </c>
    </row>
    <row r="2322" spans="1:16" ht="14.5" x14ac:dyDescent="0.35">
      <c r="A2322">
        <v>2321</v>
      </c>
      <c r="B2322">
        <v>28</v>
      </c>
      <c r="C2322" t="s">
        <v>16</v>
      </c>
      <c r="D2322" t="s">
        <v>63</v>
      </c>
      <c r="E2322" t="s">
        <v>37</v>
      </c>
      <c r="F2322">
        <v>55</v>
      </c>
      <c r="G2322" t="s">
        <v>121</v>
      </c>
      <c r="H2322" t="s">
        <v>39</v>
      </c>
      <c r="I2322" t="s">
        <v>69</v>
      </c>
      <c r="J2322" t="s">
        <v>33</v>
      </c>
      <c r="K2322">
        <v>3.7</v>
      </c>
      <c r="L2322" t="s">
        <v>143</v>
      </c>
      <c r="M2322" t="s">
        <v>143</v>
      </c>
      <c r="N2322">
        <v>9</v>
      </c>
      <c r="O2322" t="s">
        <v>77</v>
      </c>
      <c r="P2322" t="s">
        <v>88</v>
      </c>
    </row>
    <row r="2323" spans="1:16" ht="14.5" x14ac:dyDescent="0.35">
      <c r="A2323">
        <v>2322</v>
      </c>
      <c r="B2323">
        <v>50</v>
      </c>
      <c r="C2323" t="s">
        <v>16</v>
      </c>
      <c r="D2323" t="s">
        <v>36</v>
      </c>
      <c r="E2323" t="s">
        <v>37</v>
      </c>
      <c r="F2323">
        <v>31</v>
      </c>
      <c r="G2323" t="s">
        <v>103</v>
      </c>
      <c r="H2323" t="s">
        <v>39</v>
      </c>
      <c r="I2323" t="s">
        <v>109</v>
      </c>
      <c r="J2323" t="s">
        <v>22</v>
      </c>
      <c r="K2323">
        <v>3</v>
      </c>
      <c r="L2323" t="s">
        <v>143</v>
      </c>
      <c r="M2323" t="s">
        <v>143</v>
      </c>
      <c r="N2323">
        <v>27</v>
      </c>
      <c r="O2323" t="s">
        <v>77</v>
      </c>
      <c r="P2323" t="s">
        <v>25</v>
      </c>
    </row>
    <row r="2324" spans="1:16" ht="14.5" x14ac:dyDescent="0.35">
      <c r="A2324">
        <v>2323</v>
      </c>
      <c r="B2324">
        <v>39</v>
      </c>
      <c r="C2324" t="s">
        <v>16</v>
      </c>
      <c r="D2324" t="s">
        <v>55</v>
      </c>
      <c r="E2324" t="s">
        <v>56</v>
      </c>
      <c r="F2324">
        <v>84</v>
      </c>
      <c r="G2324" t="s">
        <v>130</v>
      </c>
      <c r="H2324" t="s">
        <v>32</v>
      </c>
      <c r="I2324" t="s">
        <v>84</v>
      </c>
      <c r="J2324" t="s">
        <v>33</v>
      </c>
      <c r="K2324">
        <v>4.5</v>
      </c>
      <c r="L2324" t="s">
        <v>143</v>
      </c>
      <c r="M2324" t="s">
        <v>143</v>
      </c>
      <c r="N2324">
        <v>21</v>
      </c>
      <c r="O2324" t="s">
        <v>24</v>
      </c>
      <c r="P2324" t="s">
        <v>25</v>
      </c>
    </row>
    <row r="2325" spans="1:16" ht="14.5" x14ac:dyDescent="0.35">
      <c r="A2325">
        <v>2324</v>
      </c>
      <c r="B2325">
        <v>35</v>
      </c>
      <c r="C2325" t="s">
        <v>16</v>
      </c>
      <c r="D2325" t="s">
        <v>134</v>
      </c>
      <c r="E2325" t="s">
        <v>60</v>
      </c>
      <c r="F2325">
        <v>93</v>
      </c>
      <c r="G2325" t="s">
        <v>119</v>
      </c>
      <c r="H2325" t="s">
        <v>20</v>
      </c>
      <c r="I2325" t="s">
        <v>46</v>
      </c>
      <c r="J2325" t="s">
        <v>22</v>
      </c>
      <c r="K2325">
        <v>4.7</v>
      </c>
      <c r="L2325" t="s">
        <v>143</v>
      </c>
      <c r="M2325" t="s">
        <v>143</v>
      </c>
      <c r="N2325">
        <v>36</v>
      </c>
      <c r="O2325" t="s">
        <v>34</v>
      </c>
      <c r="P2325" t="s">
        <v>79</v>
      </c>
    </row>
    <row r="2326" spans="1:16" ht="14.5" x14ac:dyDescent="0.35">
      <c r="A2326">
        <v>2325</v>
      </c>
      <c r="B2326">
        <v>59</v>
      </c>
      <c r="C2326" t="s">
        <v>16</v>
      </c>
      <c r="D2326" t="s">
        <v>55</v>
      </c>
      <c r="E2326" t="s">
        <v>56</v>
      </c>
      <c r="F2326">
        <v>28</v>
      </c>
      <c r="G2326" t="s">
        <v>41</v>
      </c>
      <c r="H2326" t="s">
        <v>20</v>
      </c>
      <c r="I2326" t="s">
        <v>101</v>
      </c>
      <c r="J2326" t="s">
        <v>22</v>
      </c>
      <c r="K2326">
        <v>3.5</v>
      </c>
      <c r="L2326" t="s">
        <v>143</v>
      </c>
      <c r="M2326" t="s">
        <v>143</v>
      </c>
      <c r="N2326">
        <v>19</v>
      </c>
      <c r="O2326" t="s">
        <v>77</v>
      </c>
      <c r="P2326" t="s">
        <v>43</v>
      </c>
    </row>
    <row r="2327" spans="1:16" ht="14.5" x14ac:dyDescent="0.35">
      <c r="A2327">
        <v>2326</v>
      </c>
      <c r="B2327">
        <v>44</v>
      </c>
      <c r="C2327" t="s">
        <v>16</v>
      </c>
      <c r="D2327" t="s">
        <v>128</v>
      </c>
      <c r="E2327" t="s">
        <v>37</v>
      </c>
      <c r="F2327">
        <v>55</v>
      </c>
      <c r="G2327" t="s">
        <v>75</v>
      </c>
      <c r="H2327" t="s">
        <v>39</v>
      </c>
      <c r="I2327" t="s">
        <v>54</v>
      </c>
      <c r="J2327" t="s">
        <v>47</v>
      </c>
      <c r="K2327">
        <v>4.4000000000000004</v>
      </c>
      <c r="L2327" t="s">
        <v>143</v>
      </c>
      <c r="M2327" t="s">
        <v>143</v>
      </c>
      <c r="N2327">
        <v>47</v>
      </c>
      <c r="O2327" t="s">
        <v>29</v>
      </c>
      <c r="P2327" t="s">
        <v>35</v>
      </c>
    </row>
    <row r="2328" spans="1:16" ht="14.5" x14ac:dyDescent="0.35">
      <c r="A2328">
        <v>2327</v>
      </c>
      <c r="B2328">
        <v>66</v>
      </c>
      <c r="C2328" t="s">
        <v>16</v>
      </c>
      <c r="D2328" t="s">
        <v>78</v>
      </c>
      <c r="E2328" t="s">
        <v>18</v>
      </c>
      <c r="F2328">
        <v>63</v>
      </c>
      <c r="G2328" t="s">
        <v>92</v>
      </c>
      <c r="H2328" t="s">
        <v>20</v>
      </c>
      <c r="I2328" t="s">
        <v>28</v>
      </c>
      <c r="J2328" t="s">
        <v>22</v>
      </c>
      <c r="K2328">
        <v>2.6</v>
      </c>
      <c r="L2328" t="s">
        <v>143</v>
      </c>
      <c r="M2328" t="s">
        <v>143</v>
      </c>
      <c r="N2328">
        <v>38</v>
      </c>
      <c r="O2328" t="s">
        <v>66</v>
      </c>
      <c r="P2328" t="s">
        <v>43</v>
      </c>
    </row>
    <row r="2329" spans="1:16" ht="14.5" x14ac:dyDescent="0.35">
      <c r="A2329">
        <v>2328</v>
      </c>
      <c r="B2329">
        <v>20</v>
      </c>
      <c r="C2329" t="s">
        <v>16</v>
      </c>
      <c r="D2329" t="s">
        <v>78</v>
      </c>
      <c r="E2329" t="s">
        <v>18</v>
      </c>
      <c r="F2329">
        <v>94</v>
      </c>
      <c r="G2329" t="s">
        <v>81</v>
      </c>
      <c r="H2329" t="s">
        <v>39</v>
      </c>
      <c r="I2329" t="s">
        <v>99</v>
      </c>
      <c r="J2329" t="s">
        <v>22</v>
      </c>
      <c r="K2329">
        <v>4.2</v>
      </c>
      <c r="L2329" t="s">
        <v>143</v>
      </c>
      <c r="M2329" t="s">
        <v>143</v>
      </c>
      <c r="N2329">
        <v>22</v>
      </c>
      <c r="O2329" t="s">
        <v>24</v>
      </c>
      <c r="P2329" t="s">
        <v>67</v>
      </c>
    </row>
    <row r="2330" spans="1:16" ht="14.5" x14ac:dyDescent="0.35">
      <c r="A2330">
        <v>2329</v>
      </c>
      <c r="B2330">
        <v>45</v>
      </c>
      <c r="C2330" t="s">
        <v>16</v>
      </c>
      <c r="D2330" t="s">
        <v>86</v>
      </c>
      <c r="E2330" t="s">
        <v>18</v>
      </c>
      <c r="F2330">
        <v>36</v>
      </c>
      <c r="G2330" t="s">
        <v>105</v>
      </c>
      <c r="H2330" t="s">
        <v>39</v>
      </c>
      <c r="I2330" t="s">
        <v>28</v>
      </c>
      <c r="J2330" t="s">
        <v>50</v>
      </c>
      <c r="K2330">
        <v>2.6</v>
      </c>
      <c r="L2330" t="s">
        <v>143</v>
      </c>
      <c r="M2330" t="s">
        <v>143</v>
      </c>
      <c r="N2330">
        <v>29</v>
      </c>
      <c r="O2330" t="s">
        <v>24</v>
      </c>
      <c r="P2330" t="s">
        <v>67</v>
      </c>
    </row>
    <row r="2331" spans="1:16" ht="14.5" x14ac:dyDescent="0.35">
      <c r="A2331">
        <v>2330</v>
      </c>
      <c r="B2331">
        <v>49</v>
      </c>
      <c r="C2331" t="s">
        <v>16</v>
      </c>
      <c r="D2331" t="s">
        <v>115</v>
      </c>
      <c r="E2331" t="s">
        <v>60</v>
      </c>
      <c r="F2331">
        <v>97</v>
      </c>
      <c r="G2331" t="s">
        <v>136</v>
      </c>
      <c r="H2331" t="s">
        <v>32</v>
      </c>
      <c r="I2331" t="s">
        <v>76</v>
      </c>
      <c r="J2331" t="s">
        <v>33</v>
      </c>
      <c r="K2331">
        <v>4.8</v>
      </c>
      <c r="L2331" t="s">
        <v>143</v>
      </c>
      <c r="M2331" t="s">
        <v>143</v>
      </c>
      <c r="N2331">
        <v>42</v>
      </c>
      <c r="O2331" t="s">
        <v>66</v>
      </c>
      <c r="P2331" t="s">
        <v>43</v>
      </c>
    </row>
    <row r="2332" spans="1:16" ht="14.5" x14ac:dyDescent="0.35">
      <c r="A2332">
        <v>2331</v>
      </c>
      <c r="B2332">
        <v>60</v>
      </c>
      <c r="C2332" t="s">
        <v>16</v>
      </c>
      <c r="D2332" t="s">
        <v>123</v>
      </c>
      <c r="E2332" t="s">
        <v>60</v>
      </c>
      <c r="F2332">
        <v>63</v>
      </c>
      <c r="G2332" t="s">
        <v>108</v>
      </c>
      <c r="H2332" t="s">
        <v>20</v>
      </c>
      <c r="I2332" t="s">
        <v>112</v>
      </c>
      <c r="J2332" t="s">
        <v>47</v>
      </c>
      <c r="K2332">
        <v>2.9</v>
      </c>
      <c r="L2332" t="s">
        <v>143</v>
      </c>
      <c r="M2332" t="s">
        <v>143</v>
      </c>
      <c r="N2332">
        <v>47</v>
      </c>
      <c r="O2332" t="s">
        <v>40</v>
      </c>
      <c r="P2332" t="s">
        <v>88</v>
      </c>
    </row>
    <row r="2333" spans="1:16" ht="14.5" x14ac:dyDescent="0.35">
      <c r="A2333">
        <v>2332</v>
      </c>
      <c r="B2333">
        <v>61</v>
      </c>
      <c r="C2333" t="s">
        <v>16</v>
      </c>
      <c r="D2333" t="s">
        <v>110</v>
      </c>
      <c r="E2333" t="s">
        <v>60</v>
      </c>
      <c r="F2333">
        <v>77</v>
      </c>
      <c r="G2333" t="s">
        <v>106</v>
      </c>
      <c r="H2333" t="s">
        <v>32</v>
      </c>
      <c r="I2333" t="s">
        <v>69</v>
      </c>
      <c r="J2333" t="s">
        <v>33</v>
      </c>
      <c r="K2333">
        <v>4.3</v>
      </c>
      <c r="L2333" t="s">
        <v>143</v>
      </c>
      <c r="M2333" t="s">
        <v>143</v>
      </c>
      <c r="N2333">
        <v>10</v>
      </c>
      <c r="O2333" t="s">
        <v>34</v>
      </c>
      <c r="P2333" t="s">
        <v>67</v>
      </c>
    </row>
    <row r="2334" spans="1:16" ht="14.5" x14ac:dyDescent="0.35">
      <c r="A2334">
        <v>2333</v>
      </c>
      <c r="B2334">
        <v>36</v>
      </c>
      <c r="C2334" t="s">
        <v>16</v>
      </c>
      <c r="D2334" t="s">
        <v>110</v>
      </c>
      <c r="E2334" t="s">
        <v>60</v>
      </c>
      <c r="F2334">
        <v>53</v>
      </c>
      <c r="G2334" t="s">
        <v>122</v>
      </c>
      <c r="H2334" t="s">
        <v>83</v>
      </c>
      <c r="I2334" t="s">
        <v>69</v>
      </c>
      <c r="J2334" t="s">
        <v>50</v>
      </c>
      <c r="K2334">
        <v>2.6</v>
      </c>
      <c r="L2334" t="s">
        <v>143</v>
      </c>
      <c r="M2334" t="s">
        <v>143</v>
      </c>
      <c r="N2334">
        <v>10</v>
      </c>
      <c r="O2334" t="s">
        <v>24</v>
      </c>
      <c r="P2334" t="s">
        <v>79</v>
      </c>
    </row>
    <row r="2335" spans="1:16" ht="14.5" x14ac:dyDescent="0.35">
      <c r="A2335">
        <v>2334</v>
      </c>
      <c r="B2335">
        <v>33</v>
      </c>
      <c r="C2335" t="s">
        <v>16</v>
      </c>
      <c r="D2335" t="s">
        <v>48</v>
      </c>
      <c r="E2335" t="s">
        <v>18</v>
      </c>
      <c r="F2335">
        <v>77</v>
      </c>
      <c r="G2335" t="s">
        <v>102</v>
      </c>
      <c r="H2335" t="s">
        <v>39</v>
      </c>
      <c r="I2335" t="s">
        <v>109</v>
      </c>
      <c r="J2335" t="s">
        <v>33</v>
      </c>
      <c r="K2335">
        <v>3.8</v>
      </c>
      <c r="L2335" t="s">
        <v>143</v>
      </c>
      <c r="M2335" t="s">
        <v>143</v>
      </c>
      <c r="N2335">
        <v>1</v>
      </c>
      <c r="O2335" t="s">
        <v>40</v>
      </c>
      <c r="P2335" t="s">
        <v>88</v>
      </c>
    </row>
    <row r="2336" spans="1:16" ht="14.5" x14ac:dyDescent="0.35">
      <c r="A2336">
        <v>2335</v>
      </c>
      <c r="B2336">
        <v>49</v>
      </c>
      <c r="C2336" t="s">
        <v>16</v>
      </c>
      <c r="D2336" t="s">
        <v>128</v>
      </c>
      <c r="E2336" t="s">
        <v>37</v>
      </c>
      <c r="F2336">
        <v>79</v>
      </c>
      <c r="G2336" t="s">
        <v>102</v>
      </c>
      <c r="H2336" t="s">
        <v>20</v>
      </c>
      <c r="I2336" t="s">
        <v>87</v>
      </c>
      <c r="J2336" t="s">
        <v>47</v>
      </c>
      <c r="K2336">
        <v>4.2</v>
      </c>
      <c r="L2336" t="s">
        <v>143</v>
      </c>
      <c r="M2336" t="s">
        <v>143</v>
      </c>
      <c r="N2336">
        <v>7</v>
      </c>
      <c r="O2336" t="s">
        <v>34</v>
      </c>
      <c r="P2336" t="s">
        <v>79</v>
      </c>
    </row>
    <row r="2337" spans="1:16" ht="14.5" x14ac:dyDescent="0.35">
      <c r="A2337">
        <v>2336</v>
      </c>
      <c r="B2337">
        <v>31</v>
      </c>
      <c r="C2337" t="s">
        <v>16</v>
      </c>
      <c r="D2337" t="s">
        <v>55</v>
      </c>
      <c r="E2337" t="s">
        <v>56</v>
      </c>
      <c r="F2337">
        <v>37</v>
      </c>
      <c r="G2337" t="s">
        <v>126</v>
      </c>
      <c r="H2337" t="s">
        <v>39</v>
      </c>
      <c r="I2337" t="s">
        <v>85</v>
      </c>
      <c r="J2337" t="s">
        <v>47</v>
      </c>
      <c r="K2337">
        <v>3.9</v>
      </c>
      <c r="L2337" t="s">
        <v>143</v>
      </c>
      <c r="M2337" t="s">
        <v>143</v>
      </c>
      <c r="N2337">
        <v>10</v>
      </c>
      <c r="O2337" t="s">
        <v>24</v>
      </c>
      <c r="P2337" t="s">
        <v>25</v>
      </c>
    </row>
    <row r="2338" spans="1:16" ht="14.5" x14ac:dyDescent="0.35">
      <c r="A2338">
        <v>2337</v>
      </c>
      <c r="B2338">
        <v>19</v>
      </c>
      <c r="C2338" t="s">
        <v>16</v>
      </c>
      <c r="D2338" t="s">
        <v>124</v>
      </c>
      <c r="E2338" t="s">
        <v>60</v>
      </c>
      <c r="F2338">
        <v>94</v>
      </c>
      <c r="G2338" t="s">
        <v>90</v>
      </c>
      <c r="H2338" t="s">
        <v>39</v>
      </c>
      <c r="I2338" t="s">
        <v>87</v>
      </c>
      <c r="J2338" t="s">
        <v>22</v>
      </c>
      <c r="K2338">
        <v>3.1</v>
      </c>
      <c r="L2338" t="s">
        <v>143</v>
      </c>
      <c r="M2338" t="s">
        <v>143</v>
      </c>
      <c r="N2338">
        <v>11</v>
      </c>
      <c r="O2338" t="s">
        <v>34</v>
      </c>
      <c r="P2338" t="s">
        <v>35</v>
      </c>
    </row>
    <row r="2339" spans="1:16" ht="14.5" x14ac:dyDescent="0.35">
      <c r="A2339">
        <v>2338</v>
      </c>
      <c r="B2339">
        <v>39</v>
      </c>
      <c r="C2339" t="s">
        <v>16</v>
      </c>
      <c r="D2339" t="s">
        <v>128</v>
      </c>
      <c r="E2339" t="s">
        <v>37</v>
      </c>
      <c r="F2339">
        <v>76</v>
      </c>
      <c r="G2339" t="s">
        <v>105</v>
      </c>
      <c r="H2339" t="s">
        <v>32</v>
      </c>
      <c r="I2339" t="s">
        <v>74</v>
      </c>
      <c r="J2339" t="s">
        <v>50</v>
      </c>
      <c r="K2339">
        <v>3.6</v>
      </c>
      <c r="L2339" t="s">
        <v>143</v>
      </c>
      <c r="M2339" t="s">
        <v>143</v>
      </c>
      <c r="N2339">
        <v>5</v>
      </c>
      <c r="O2339" t="s">
        <v>29</v>
      </c>
      <c r="P2339" t="s">
        <v>43</v>
      </c>
    </row>
    <row r="2340" spans="1:16" ht="14.5" x14ac:dyDescent="0.35">
      <c r="A2340">
        <v>2339</v>
      </c>
      <c r="B2340">
        <v>66</v>
      </c>
      <c r="C2340" t="s">
        <v>16</v>
      </c>
      <c r="D2340" t="s">
        <v>44</v>
      </c>
      <c r="E2340" t="s">
        <v>37</v>
      </c>
      <c r="F2340">
        <v>68</v>
      </c>
      <c r="G2340" t="s">
        <v>133</v>
      </c>
      <c r="H2340" t="s">
        <v>32</v>
      </c>
      <c r="I2340" t="s">
        <v>58</v>
      </c>
      <c r="J2340" t="s">
        <v>50</v>
      </c>
      <c r="K2340">
        <v>4</v>
      </c>
      <c r="L2340" t="s">
        <v>143</v>
      </c>
      <c r="M2340" t="s">
        <v>143</v>
      </c>
      <c r="N2340">
        <v>21</v>
      </c>
      <c r="O2340" t="s">
        <v>40</v>
      </c>
      <c r="P2340" t="s">
        <v>51</v>
      </c>
    </row>
    <row r="2341" spans="1:16" ht="14.5" x14ac:dyDescent="0.35">
      <c r="A2341">
        <v>2340</v>
      </c>
      <c r="B2341">
        <v>25</v>
      </c>
      <c r="C2341" t="s">
        <v>16</v>
      </c>
      <c r="D2341" t="s">
        <v>48</v>
      </c>
      <c r="E2341" t="s">
        <v>18</v>
      </c>
      <c r="F2341">
        <v>65</v>
      </c>
      <c r="G2341" t="s">
        <v>106</v>
      </c>
      <c r="H2341" t="s">
        <v>20</v>
      </c>
      <c r="I2341" t="s">
        <v>28</v>
      </c>
      <c r="J2341" t="s">
        <v>33</v>
      </c>
      <c r="K2341">
        <v>3.4</v>
      </c>
      <c r="L2341" t="s">
        <v>143</v>
      </c>
      <c r="M2341" t="s">
        <v>143</v>
      </c>
      <c r="N2341">
        <v>24</v>
      </c>
      <c r="O2341" t="s">
        <v>66</v>
      </c>
      <c r="P2341" t="s">
        <v>51</v>
      </c>
    </row>
    <row r="2342" spans="1:16" ht="14.5" x14ac:dyDescent="0.35">
      <c r="A2342">
        <v>2341</v>
      </c>
      <c r="B2342">
        <v>63</v>
      </c>
      <c r="C2342" t="s">
        <v>16</v>
      </c>
      <c r="D2342" t="s">
        <v>17</v>
      </c>
      <c r="E2342" t="s">
        <v>18</v>
      </c>
      <c r="F2342">
        <v>24</v>
      </c>
      <c r="G2342" t="s">
        <v>70</v>
      </c>
      <c r="H2342" t="s">
        <v>39</v>
      </c>
      <c r="I2342" t="s">
        <v>100</v>
      </c>
      <c r="J2342" t="s">
        <v>47</v>
      </c>
      <c r="K2342">
        <v>2.6</v>
      </c>
      <c r="L2342" t="s">
        <v>143</v>
      </c>
      <c r="M2342" t="s">
        <v>143</v>
      </c>
      <c r="N2342">
        <v>37</v>
      </c>
      <c r="O2342" t="s">
        <v>34</v>
      </c>
      <c r="P2342" t="s">
        <v>25</v>
      </c>
    </row>
    <row r="2343" spans="1:16" ht="14.5" x14ac:dyDescent="0.35">
      <c r="A2343">
        <v>2342</v>
      </c>
      <c r="B2343">
        <v>56</v>
      </c>
      <c r="C2343" t="s">
        <v>16</v>
      </c>
      <c r="D2343" t="s">
        <v>93</v>
      </c>
      <c r="E2343" t="s">
        <v>56</v>
      </c>
      <c r="F2343">
        <v>31</v>
      </c>
      <c r="G2343" t="s">
        <v>130</v>
      </c>
      <c r="H2343" t="s">
        <v>20</v>
      </c>
      <c r="I2343" t="s">
        <v>76</v>
      </c>
      <c r="J2343" t="s">
        <v>47</v>
      </c>
      <c r="K2343">
        <v>4.5</v>
      </c>
      <c r="L2343" t="s">
        <v>143</v>
      </c>
      <c r="M2343" t="s">
        <v>143</v>
      </c>
      <c r="N2343">
        <v>22</v>
      </c>
      <c r="O2343" t="s">
        <v>24</v>
      </c>
      <c r="P2343" t="s">
        <v>88</v>
      </c>
    </row>
    <row r="2344" spans="1:16" ht="14.5" x14ac:dyDescent="0.35">
      <c r="A2344">
        <v>2343</v>
      </c>
      <c r="B2344">
        <v>20</v>
      </c>
      <c r="C2344" t="s">
        <v>16</v>
      </c>
      <c r="D2344" t="s">
        <v>78</v>
      </c>
      <c r="E2344" t="s">
        <v>18</v>
      </c>
      <c r="F2344">
        <v>89</v>
      </c>
      <c r="G2344" t="s">
        <v>113</v>
      </c>
      <c r="H2344" t="s">
        <v>39</v>
      </c>
      <c r="I2344" t="s">
        <v>69</v>
      </c>
      <c r="J2344" t="s">
        <v>50</v>
      </c>
      <c r="K2344">
        <v>4.9000000000000004</v>
      </c>
      <c r="L2344" t="s">
        <v>143</v>
      </c>
      <c r="M2344" t="s">
        <v>143</v>
      </c>
      <c r="N2344">
        <v>16</v>
      </c>
      <c r="O2344" t="s">
        <v>77</v>
      </c>
      <c r="P2344" t="s">
        <v>25</v>
      </c>
    </row>
    <row r="2345" spans="1:16" ht="14.5" x14ac:dyDescent="0.35">
      <c r="A2345">
        <v>2344</v>
      </c>
      <c r="B2345">
        <v>58</v>
      </c>
      <c r="C2345" t="s">
        <v>16</v>
      </c>
      <c r="D2345" t="s">
        <v>116</v>
      </c>
      <c r="E2345" t="s">
        <v>18</v>
      </c>
      <c r="F2345">
        <v>49</v>
      </c>
      <c r="G2345" t="s">
        <v>119</v>
      </c>
      <c r="H2345" t="s">
        <v>39</v>
      </c>
      <c r="I2345" t="s">
        <v>99</v>
      </c>
      <c r="J2345" t="s">
        <v>47</v>
      </c>
      <c r="K2345">
        <v>4.4000000000000004</v>
      </c>
      <c r="L2345" t="s">
        <v>143</v>
      </c>
      <c r="M2345" t="s">
        <v>143</v>
      </c>
      <c r="N2345">
        <v>44</v>
      </c>
      <c r="O2345" t="s">
        <v>40</v>
      </c>
      <c r="P2345" t="s">
        <v>79</v>
      </c>
    </row>
    <row r="2346" spans="1:16" ht="14.5" x14ac:dyDescent="0.35">
      <c r="A2346">
        <v>2345</v>
      </c>
      <c r="B2346">
        <v>34</v>
      </c>
      <c r="C2346" t="s">
        <v>16</v>
      </c>
      <c r="D2346" t="s">
        <v>36</v>
      </c>
      <c r="E2346" t="s">
        <v>37</v>
      </c>
      <c r="F2346">
        <v>92</v>
      </c>
      <c r="G2346" t="s">
        <v>38</v>
      </c>
      <c r="H2346" t="s">
        <v>83</v>
      </c>
      <c r="I2346" t="s">
        <v>84</v>
      </c>
      <c r="J2346" t="s">
        <v>50</v>
      </c>
      <c r="K2346">
        <v>3.5</v>
      </c>
      <c r="L2346" t="s">
        <v>143</v>
      </c>
      <c r="M2346" t="s">
        <v>143</v>
      </c>
      <c r="N2346">
        <v>14</v>
      </c>
      <c r="O2346" t="s">
        <v>24</v>
      </c>
      <c r="P2346" t="s">
        <v>67</v>
      </c>
    </row>
    <row r="2347" spans="1:16" ht="14.5" x14ac:dyDescent="0.35">
      <c r="A2347">
        <v>2346</v>
      </c>
      <c r="B2347">
        <v>28</v>
      </c>
      <c r="C2347" t="s">
        <v>16</v>
      </c>
      <c r="D2347" t="s">
        <v>104</v>
      </c>
      <c r="E2347" t="s">
        <v>18</v>
      </c>
      <c r="F2347">
        <v>32</v>
      </c>
      <c r="G2347" t="s">
        <v>75</v>
      </c>
      <c r="H2347" t="s">
        <v>32</v>
      </c>
      <c r="I2347" t="s">
        <v>112</v>
      </c>
      <c r="J2347" t="s">
        <v>22</v>
      </c>
      <c r="K2347">
        <v>3.3</v>
      </c>
      <c r="L2347" t="s">
        <v>143</v>
      </c>
      <c r="M2347" t="s">
        <v>143</v>
      </c>
      <c r="N2347">
        <v>23</v>
      </c>
      <c r="O2347" t="s">
        <v>66</v>
      </c>
      <c r="P2347" t="s">
        <v>88</v>
      </c>
    </row>
    <row r="2348" spans="1:16" ht="14.5" x14ac:dyDescent="0.35">
      <c r="A2348">
        <v>2347</v>
      </c>
      <c r="B2348">
        <v>22</v>
      </c>
      <c r="C2348" t="s">
        <v>16</v>
      </c>
      <c r="D2348" t="s">
        <v>93</v>
      </c>
      <c r="E2348" t="s">
        <v>56</v>
      </c>
      <c r="F2348">
        <v>67</v>
      </c>
      <c r="G2348" t="s">
        <v>121</v>
      </c>
      <c r="H2348" t="s">
        <v>20</v>
      </c>
      <c r="I2348" t="s">
        <v>101</v>
      </c>
      <c r="J2348" t="s">
        <v>22</v>
      </c>
      <c r="K2348">
        <v>3.1</v>
      </c>
      <c r="L2348" t="s">
        <v>143</v>
      </c>
      <c r="M2348" t="s">
        <v>143</v>
      </c>
      <c r="N2348">
        <v>46</v>
      </c>
      <c r="O2348" t="s">
        <v>77</v>
      </c>
      <c r="P2348" t="s">
        <v>25</v>
      </c>
    </row>
    <row r="2349" spans="1:16" ht="14.5" x14ac:dyDescent="0.35">
      <c r="A2349">
        <v>2348</v>
      </c>
      <c r="B2349">
        <v>37</v>
      </c>
      <c r="C2349" t="s">
        <v>16</v>
      </c>
      <c r="D2349" t="s">
        <v>124</v>
      </c>
      <c r="E2349" t="s">
        <v>60</v>
      </c>
      <c r="F2349">
        <v>64</v>
      </c>
      <c r="G2349" t="s">
        <v>90</v>
      </c>
      <c r="H2349" t="s">
        <v>32</v>
      </c>
      <c r="I2349" t="s">
        <v>21</v>
      </c>
      <c r="J2349" t="s">
        <v>50</v>
      </c>
      <c r="K2349">
        <v>4.2</v>
      </c>
      <c r="L2349" t="s">
        <v>143</v>
      </c>
      <c r="M2349" t="s">
        <v>143</v>
      </c>
      <c r="N2349">
        <v>46</v>
      </c>
      <c r="O2349" t="s">
        <v>29</v>
      </c>
      <c r="P2349" t="s">
        <v>88</v>
      </c>
    </row>
    <row r="2350" spans="1:16" ht="14.5" x14ac:dyDescent="0.35">
      <c r="A2350">
        <v>2349</v>
      </c>
      <c r="B2350">
        <v>54</v>
      </c>
      <c r="C2350" t="s">
        <v>16</v>
      </c>
      <c r="D2350" t="s">
        <v>63</v>
      </c>
      <c r="E2350" t="s">
        <v>37</v>
      </c>
      <c r="F2350">
        <v>84</v>
      </c>
      <c r="G2350" t="s">
        <v>27</v>
      </c>
      <c r="H2350" t="s">
        <v>39</v>
      </c>
      <c r="I2350" t="s">
        <v>112</v>
      </c>
      <c r="J2350" t="s">
        <v>33</v>
      </c>
      <c r="K2350">
        <v>4.9000000000000004</v>
      </c>
      <c r="L2350" t="s">
        <v>143</v>
      </c>
      <c r="M2350" t="s">
        <v>143</v>
      </c>
      <c r="N2350">
        <v>16</v>
      </c>
      <c r="O2350" t="s">
        <v>40</v>
      </c>
      <c r="P2350" t="s">
        <v>88</v>
      </c>
    </row>
    <row r="2351" spans="1:16" ht="14.5" x14ac:dyDescent="0.35">
      <c r="A2351">
        <v>2350</v>
      </c>
      <c r="B2351">
        <v>65</v>
      </c>
      <c r="C2351" t="s">
        <v>16</v>
      </c>
      <c r="D2351" t="s">
        <v>17</v>
      </c>
      <c r="E2351" t="s">
        <v>18</v>
      </c>
      <c r="F2351">
        <v>34</v>
      </c>
      <c r="G2351" t="s">
        <v>75</v>
      </c>
      <c r="H2351" t="s">
        <v>39</v>
      </c>
      <c r="I2351" t="s">
        <v>112</v>
      </c>
      <c r="J2351" t="s">
        <v>50</v>
      </c>
      <c r="K2351">
        <v>3.9</v>
      </c>
      <c r="L2351" t="s">
        <v>143</v>
      </c>
      <c r="M2351" t="s">
        <v>143</v>
      </c>
      <c r="N2351">
        <v>40</v>
      </c>
      <c r="O2351" t="s">
        <v>34</v>
      </c>
      <c r="P2351" t="s">
        <v>88</v>
      </c>
    </row>
    <row r="2352" spans="1:16" ht="14.5" x14ac:dyDescent="0.35">
      <c r="A2352">
        <v>2351</v>
      </c>
      <c r="B2352">
        <v>57</v>
      </c>
      <c r="C2352" t="s">
        <v>16</v>
      </c>
      <c r="D2352" t="s">
        <v>63</v>
      </c>
      <c r="E2352" t="s">
        <v>37</v>
      </c>
      <c r="F2352">
        <v>26</v>
      </c>
      <c r="G2352" t="s">
        <v>68</v>
      </c>
      <c r="H2352" t="s">
        <v>39</v>
      </c>
      <c r="I2352" t="s">
        <v>42</v>
      </c>
      <c r="J2352" t="s">
        <v>22</v>
      </c>
      <c r="K2352">
        <v>4.2</v>
      </c>
      <c r="L2352" t="s">
        <v>143</v>
      </c>
      <c r="M2352" t="s">
        <v>143</v>
      </c>
      <c r="N2352">
        <v>21</v>
      </c>
      <c r="O2352" t="s">
        <v>29</v>
      </c>
      <c r="P2352" t="s">
        <v>43</v>
      </c>
    </row>
    <row r="2353" spans="1:16" ht="14.5" x14ac:dyDescent="0.35">
      <c r="A2353">
        <v>2352</v>
      </c>
      <c r="B2353">
        <v>38</v>
      </c>
      <c r="C2353" t="s">
        <v>16</v>
      </c>
      <c r="D2353" t="s">
        <v>26</v>
      </c>
      <c r="E2353" t="s">
        <v>18</v>
      </c>
      <c r="F2353">
        <v>50</v>
      </c>
      <c r="G2353" t="s">
        <v>73</v>
      </c>
      <c r="H2353" t="s">
        <v>32</v>
      </c>
      <c r="I2353" t="s">
        <v>100</v>
      </c>
      <c r="J2353" t="s">
        <v>50</v>
      </c>
      <c r="K2353">
        <v>4.9000000000000004</v>
      </c>
      <c r="L2353" t="s">
        <v>143</v>
      </c>
      <c r="M2353" t="s">
        <v>143</v>
      </c>
      <c r="N2353">
        <v>25</v>
      </c>
      <c r="O2353" t="s">
        <v>40</v>
      </c>
      <c r="P2353" t="s">
        <v>67</v>
      </c>
    </row>
    <row r="2354" spans="1:16" ht="14.5" x14ac:dyDescent="0.35">
      <c r="A2354">
        <v>2353</v>
      </c>
      <c r="B2354">
        <v>70</v>
      </c>
      <c r="C2354" t="s">
        <v>16</v>
      </c>
      <c r="D2354" t="s">
        <v>128</v>
      </c>
      <c r="E2354" t="s">
        <v>37</v>
      </c>
      <c r="F2354">
        <v>46</v>
      </c>
      <c r="G2354" t="s">
        <v>136</v>
      </c>
      <c r="H2354" t="s">
        <v>39</v>
      </c>
      <c r="I2354" t="s">
        <v>125</v>
      </c>
      <c r="J2354" t="s">
        <v>50</v>
      </c>
      <c r="K2354">
        <v>2.8</v>
      </c>
      <c r="L2354" t="s">
        <v>143</v>
      </c>
      <c r="M2354" t="s">
        <v>143</v>
      </c>
      <c r="N2354">
        <v>25</v>
      </c>
      <c r="O2354" t="s">
        <v>66</v>
      </c>
      <c r="P2354" t="s">
        <v>51</v>
      </c>
    </row>
    <row r="2355" spans="1:16" ht="14.5" x14ac:dyDescent="0.35">
      <c r="A2355">
        <v>2354</v>
      </c>
      <c r="B2355">
        <v>56</v>
      </c>
      <c r="C2355" t="s">
        <v>16</v>
      </c>
      <c r="D2355" t="s">
        <v>59</v>
      </c>
      <c r="E2355" t="s">
        <v>60</v>
      </c>
      <c r="F2355">
        <v>71</v>
      </c>
      <c r="G2355" t="s">
        <v>49</v>
      </c>
      <c r="H2355" t="s">
        <v>39</v>
      </c>
      <c r="I2355" t="s">
        <v>46</v>
      </c>
      <c r="J2355" t="s">
        <v>50</v>
      </c>
      <c r="K2355">
        <v>4.0999999999999996</v>
      </c>
      <c r="L2355" t="s">
        <v>143</v>
      </c>
      <c r="M2355" t="s">
        <v>143</v>
      </c>
      <c r="N2355">
        <v>25</v>
      </c>
      <c r="O2355" t="s">
        <v>77</v>
      </c>
      <c r="P2355" t="s">
        <v>88</v>
      </c>
    </row>
    <row r="2356" spans="1:16" ht="14.5" x14ac:dyDescent="0.35">
      <c r="A2356">
        <v>2355</v>
      </c>
      <c r="B2356">
        <v>56</v>
      </c>
      <c r="C2356" t="s">
        <v>16</v>
      </c>
      <c r="D2356" t="s">
        <v>17</v>
      </c>
      <c r="E2356" t="s">
        <v>18</v>
      </c>
      <c r="F2356">
        <v>78</v>
      </c>
      <c r="G2356" t="s">
        <v>141</v>
      </c>
      <c r="H2356" t="s">
        <v>39</v>
      </c>
      <c r="I2356" t="s">
        <v>135</v>
      </c>
      <c r="J2356" t="s">
        <v>47</v>
      </c>
      <c r="K2356">
        <v>4.8</v>
      </c>
      <c r="L2356" t="s">
        <v>143</v>
      </c>
      <c r="M2356" t="s">
        <v>143</v>
      </c>
      <c r="N2356">
        <v>27</v>
      </c>
      <c r="O2356" t="s">
        <v>24</v>
      </c>
      <c r="P2356" t="s">
        <v>79</v>
      </c>
    </row>
    <row r="2357" spans="1:16" ht="14.5" x14ac:dyDescent="0.35">
      <c r="A2357">
        <v>2356</v>
      </c>
      <c r="B2357">
        <v>22</v>
      </c>
      <c r="C2357" t="s">
        <v>16</v>
      </c>
      <c r="D2357" t="s">
        <v>78</v>
      </c>
      <c r="E2357" t="s">
        <v>18</v>
      </c>
      <c r="F2357">
        <v>35</v>
      </c>
      <c r="G2357" t="s">
        <v>113</v>
      </c>
      <c r="H2357" t="s">
        <v>32</v>
      </c>
      <c r="I2357" t="s">
        <v>65</v>
      </c>
      <c r="J2357" t="s">
        <v>22</v>
      </c>
      <c r="K2357">
        <v>4.0999999999999996</v>
      </c>
      <c r="L2357" t="s">
        <v>143</v>
      </c>
      <c r="M2357" t="s">
        <v>143</v>
      </c>
      <c r="N2357">
        <v>12</v>
      </c>
      <c r="O2357" t="s">
        <v>29</v>
      </c>
      <c r="P2357" t="s">
        <v>79</v>
      </c>
    </row>
    <row r="2358" spans="1:16" ht="14.5" x14ac:dyDescent="0.35">
      <c r="A2358">
        <v>2357</v>
      </c>
      <c r="B2358">
        <v>57</v>
      </c>
      <c r="C2358" t="s">
        <v>16</v>
      </c>
      <c r="D2358" t="s">
        <v>123</v>
      </c>
      <c r="E2358" t="s">
        <v>60</v>
      </c>
      <c r="F2358">
        <v>58</v>
      </c>
      <c r="G2358" t="s">
        <v>49</v>
      </c>
      <c r="H2358" t="s">
        <v>39</v>
      </c>
      <c r="I2358" t="s">
        <v>21</v>
      </c>
      <c r="J2358" t="s">
        <v>47</v>
      </c>
      <c r="K2358">
        <v>3</v>
      </c>
      <c r="L2358" t="s">
        <v>143</v>
      </c>
      <c r="M2358" t="s">
        <v>143</v>
      </c>
      <c r="N2358">
        <v>27</v>
      </c>
      <c r="O2358" t="s">
        <v>77</v>
      </c>
      <c r="P2358" t="s">
        <v>51</v>
      </c>
    </row>
    <row r="2359" spans="1:16" ht="14.5" x14ac:dyDescent="0.35">
      <c r="A2359">
        <v>2358</v>
      </c>
      <c r="B2359">
        <v>53</v>
      </c>
      <c r="C2359" t="s">
        <v>16</v>
      </c>
      <c r="D2359" t="s">
        <v>48</v>
      </c>
      <c r="E2359" t="s">
        <v>18</v>
      </c>
      <c r="F2359">
        <v>67</v>
      </c>
      <c r="G2359" t="s">
        <v>142</v>
      </c>
      <c r="H2359" t="s">
        <v>20</v>
      </c>
      <c r="I2359" t="s">
        <v>100</v>
      </c>
      <c r="J2359" t="s">
        <v>50</v>
      </c>
      <c r="K2359">
        <v>4.2</v>
      </c>
      <c r="L2359" t="s">
        <v>143</v>
      </c>
      <c r="M2359" t="s">
        <v>143</v>
      </c>
      <c r="N2359">
        <v>40</v>
      </c>
      <c r="O2359" t="s">
        <v>34</v>
      </c>
      <c r="P2359" t="s">
        <v>67</v>
      </c>
    </row>
    <row r="2360" spans="1:16" ht="14.5" x14ac:dyDescent="0.35">
      <c r="A2360">
        <v>2359</v>
      </c>
      <c r="B2360">
        <v>53</v>
      </c>
      <c r="C2360" t="s">
        <v>16</v>
      </c>
      <c r="D2360" t="s">
        <v>26</v>
      </c>
      <c r="E2360" t="s">
        <v>18</v>
      </c>
      <c r="F2360">
        <v>93</v>
      </c>
      <c r="G2360" t="s">
        <v>96</v>
      </c>
      <c r="H2360" t="s">
        <v>20</v>
      </c>
      <c r="I2360" t="s">
        <v>62</v>
      </c>
      <c r="J2360" t="s">
        <v>33</v>
      </c>
      <c r="K2360">
        <v>3.8</v>
      </c>
      <c r="L2360" t="s">
        <v>143</v>
      </c>
      <c r="M2360" t="s">
        <v>143</v>
      </c>
      <c r="N2360">
        <v>38</v>
      </c>
      <c r="O2360" t="s">
        <v>34</v>
      </c>
      <c r="P2360" t="s">
        <v>51</v>
      </c>
    </row>
    <row r="2361" spans="1:16" ht="14.5" x14ac:dyDescent="0.35">
      <c r="A2361">
        <v>2360</v>
      </c>
      <c r="B2361">
        <v>19</v>
      </c>
      <c r="C2361" t="s">
        <v>16</v>
      </c>
      <c r="D2361" t="s">
        <v>110</v>
      </c>
      <c r="E2361" t="s">
        <v>60</v>
      </c>
      <c r="F2361">
        <v>81</v>
      </c>
      <c r="G2361" t="s">
        <v>129</v>
      </c>
      <c r="H2361" t="s">
        <v>32</v>
      </c>
      <c r="I2361" t="s">
        <v>71</v>
      </c>
      <c r="J2361" t="s">
        <v>33</v>
      </c>
      <c r="K2361">
        <v>3.3</v>
      </c>
      <c r="L2361" t="s">
        <v>143</v>
      </c>
      <c r="M2361" t="s">
        <v>143</v>
      </c>
      <c r="N2361">
        <v>44</v>
      </c>
      <c r="O2361" t="s">
        <v>66</v>
      </c>
      <c r="P2361" t="s">
        <v>88</v>
      </c>
    </row>
    <row r="2362" spans="1:16" ht="14.5" x14ac:dyDescent="0.35">
      <c r="A2362">
        <v>2361</v>
      </c>
      <c r="B2362">
        <v>49</v>
      </c>
      <c r="C2362" t="s">
        <v>16</v>
      </c>
      <c r="D2362" t="s">
        <v>59</v>
      </c>
      <c r="E2362" t="s">
        <v>60</v>
      </c>
      <c r="F2362">
        <v>80</v>
      </c>
      <c r="G2362" t="s">
        <v>75</v>
      </c>
      <c r="H2362" t="s">
        <v>20</v>
      </c>
      <c r="I2362" t="s">
        <v>58</v>
      </c>
      <c r="J2362" t="s">
        <v>50</v>
      </c>
      <c r="K2362">
        <v>4.7</v>
      </c>
      <c r="L2362" t="s">
        <v>143</v>
      </c>
      <c r="M2362" t="s">
        <v>143</v>
      </c>
      <c r="N2362">
        <v>27</v>
      </c>
      <c r="O2362" t="s">
        <v>24</v>
      </c>
      <c r="P2362" t="s">
        <v>88</v>
      </c>
    </row>
    <row r="2363" spans="1:16" ht="14.5" x14ac:dyDescent="0.35">
      <c r="A2363">
        <v>2362</v>
      </c>
      <c r="B2363">
        <v>44</v>
      </c>
      <c r="C2363" t="s">
        <v>16</v>
      </c>
      <c r="D2363" t="s">
        <v>110</v>
      </c>
      <c r="E2363" t="s">
        <v>60</v>
      </c>
      <c r="F2363">
        <v>64</v>
      </c>
      <c r="G2363" t="s">
        <v>81</v>
      </c>
      <c r="H2363" t="s">
        <v>39</v>
      </c>
      <c r="I2363" t="s">
        <v>21</v>
      </c>
      <c r="J2363" t="s">
        <v>33</v>
      </c>
      <c r="K2363">
        <v>4.3</v>
      </c>
      <c r="L2363" t="s">
        <v>143</v>
      </c>
      <c r="M2363" t="s">
        <v>143</v>
      </c>
      <c r="N2363">
        <v>30</v>
      </c>
      <c r="O2363" t="s">
        <v>34</v>
      </c>
      <c r="P2363" t="s">
        <v>88</v>
      </c>
    </row>
    <row r="2364" spans="1:16" ht="14.5" x14ac:dyDescent="0.35">
      <c r="A2364">
        <v>2363</v>
      </c>
      <c r="B2364">
        <v>27</v>
      </c>
      <c r="C2364" t="s">
        <v>16</v>
      </c>
      <c r="D2364" t="s">
        <v>30</v>
      </c>
      <c r="E2364" t="s">
        <v>18</v>
      </c>
      <c r="F2364">
        <v>41</v>
      </c>
      <c r="G2364" t="s">
        <v>132</v>
      </c>
      <c r="H2364" t="s">
        <v>39</v>
      </c>
      <c r="I2364" t="s">
        <v>101</v>
      </c>
      <c r="J2364" t="s">
        <v>50</v>
      </c>
      <c r="K2364">
        <v>2.7</v>
      </c>
      <c r="L2364" t="s">
        <v>143</v>
      </c>
      <c r="M2364" t="s">
        <v>143</v>
      </c>
      <c r="N2364">
        <v>24</v>
      </c>
      <c r="O2364" t="s">
        <v>34</v>
      </c>
      <c r="P2364" t="s">
        <v>79</v>
      </c>
    </row>
    <row r="2365" spans="1:16" ht="14.5" x14ac:dyDescent="0.35">
      <c r="A2365">
        <v>2364</v>
      </c>
      <c r="B2365">
        <v>60</v>
      </c>
      <c r="C2365" t="s">
        <v>16</v>
      </c>
      <c r="D2365" t="s">
        <v>116</v>
      </c>
      <c r="E2365" t="s">
        <v>18</v>
      </c>
      <c r="F2365">
        <v>79</v>
      </c>
      <c r="G2365" t="s">
        <v>129</v>
      </c>
      <c r="H2365" t="s">
        <v>83</v>
      </c>
      <c r="I2365" t="s">
        <v>62</v>
      </c>
      <c r="J2365" t="s">
        <v>22</v>
      </c>
      <c r="K2365">
        <v>4.2</v>
      </c>
      <c r="L2365" t="s">
        <v>143</v>
      </c>
      <c r="M2365" t="s">
        <v>143</v>
      </c>
      <c r="N2365">
        <v>38</v>
      </c>
      <c r="O2365" t="s">
        <v>29</v>
      </c>
      <c r="P2365" t="s">
        <v>67</v>
      </c>
    </row>
    <row r="2366" spans="1:16" ht="14.5" x14ac:dyDescent="0.35">
      <c r="A2366">
        <v>2365</v>
      </c>
      <c r="B2366">
        <v>62</v>
      </c>
      <c r="C2366" t="s">
        <v>16</v>
      </c>
      <c r="D2366" t="s">
        <v>80</v>
      </c>
      <c r="E2366" t="s">
        <v>60</v>
      </c>
      <c r="F2366">
        <v>60</v>
      </c>
      <c r="G2366" t="s">
        <v>82</v>
      </c>
      <c r="H2366" t="s">
        <v>20</v>
      </c>
      <c r="I2366" t="s">
        <v>28</v>
      </c>
      <c r="J2366" t="s">
        <v>22</v>
      </c>
      <c r="K2366">
        <v>4.2</v>
      </c>
      <c r="L2366" t="s">
        <v>143</v>
      </c>
      <c r="M2366" t="s">
        <v>143</v>
      </c>
      <c r="N2366">
        <v>4</v>
      </c>
      <c r="O2366" t="s">
        <v>40</v>
      </c>
      <c r="P2366" t="s">
        <v>51</v>
      </c>
    </row>
    <row r="2367" spans="1:16" ht="14.5" x14ac:dyDescent="0.35">
      <c r="A2367">
        <v>2366</v>
      </c>
      <c r="B2367">
        <v>52</v>
      </c>
      <c r="C2367" t="s">
        <v>16</v>
      </c>
      <c r="D2367" t="s">
        <v>44</v>
      </c>
      <c r="E2367" t="s">
        <v>37</v>
      </c>
      <c r="F2367">
        <v>91</v>
      </c>
      <c r="G2367" t="s">
        <v>45</v>
      </c>
      <c r="H2367" t="s">
        <v>32</v>
      </c>
      <c r="I2367" t="s">
        <v>91</v>
      </c>
      <c r="J2367" t="s">
        <v>22</v>
      </c>
      <c r="K2367">
        <v>2.5</v>
      </c>
      <c r="L2367" t="s">
        <v>143</v>
      </c>
      <c r="M2367" t="s">
        <v>143</v>
      </c>
      <c r="N2367">
        <v>32</v>
      </c>
      <c r="O2367" t="s">
        <v>24</v>
      </c>
      <c r="P2367" t="s">
        <v>79</v>
      </c>
    </row>
    <row r="2368" spans="1:16" ht="14.5" x14ac:dyDescent="0.35">
      <c r="A2368">
        <v>2367</v>
      </c>
      <c r="B2368">
        <v>30</v>
      </c>
      <c r="C2368" t="s">
        <v>16</v>
      </c>
      <c r="D2368" t="s">
        <v>63</v>
      </c>
      <c r="E2368" t="s">
        <v>37</v>
      </c>
      <c r="F2368">
        <v>66</v>
      </c>
      <c r="G2368" t="s">
        <v>121</v>
      </c>
      <c r="H2368" t="s">
        <v>20</v>
      </c>
      <c r="I2368" t="s">
        <v>101</v>
      </c>
      <c r="J2368" t="s">
        <v>22</v>
      </c>
      <c r="K2368">
        <v>3.6</v>
      </c>
      <c r="L2368" t="s">
        <v>143</v>
      </c>
      <c r="M2368" t="s">
        <v>143</v>
      </c>
      <c r="N2368">
        <v>32</v>
      </c>
      <c r="O2368" t="s">
        <v>34</v>
      </c>
      <c r="P2368" t="s">
        <v>25</v>
      </c>
    </row>
    <row r="2369" spans="1:16" ht="14.5" x14ac:dyDescent="0.35">
      <c r="A2369">
        <v>2368</v>
      </c>
      <c r="B2369">
        <v>66</v>
      </c>
      <c r="C2369" t="s">
        <v>16</v>
      </c>
      <c r="D2369" t="s">
        <v>116</v>
      </c>
      <c r="E2369" t="s">
        <v>18</v>
      </c>
      <c r="F2369">
        <v>85</v>
      </c>
      <c r="G2369" t="s">
        <v>105</v>
      </c>
      <c r="H2369" t="s">
        <v>20</v>
      </c>
      <c r="I2369" t="s">
        <v>87</v>
      </c>
      <c r="J2369" t="s">
        <v>22</v>
      </c>
      <c r="K2369">
        <v>3.4</v>
      </c>
      <c r="L2369" t="s">
        <v>143</v>
      </c>
      <c r="M2369" t="s">
        <v>143</v>
      </c>
      <c r="N2369">
        <v>28</v>
      </c>
      <c r="O2369" t="s">
        <v>66</v>
      </c>
      <c r="P2369" t="s">
        <v>67</v>
      </c>
    </row>
    <row r="2370" spans="1:16" ht="14.5" x14ac:dyDescent="0.35">
      <c r="A2370">
        <v>2369</v>
      </c>
      <c r="B2370">
        <v>29</v>
      </c>
      <c r="C2370" t="s">
        <v>16</v>
      </c>
      <c r="D2370" t="s">
        <v>80</v>
      </c>
      <c r="E2370" t="s">
        <v>60</v>
      </c>
      <c r="F2370">
        <v>38</v>
      </c>
      <c r="G2370" t="s">
        <v>118</v>
      </c>
      <c r="H2370" t="s">
        <v>39</v>
      </c>
      <c r="I2370" t="s">
        <v>84</v>
      </c>
      <c r="J2370" t="s">
        <v>47</v>
      </c>
      <c r="K2370">
        <v>3.3</v>
      </c>
      <c r="L2370" t="s">
        <v>143</v>
      </c>
      <c r="M2370" t="s">
        <v>143</v>
      </c>
      <c r="N2370">
        <v>6</v>
      </c>
      <c r="O2370" t="s">
        <v>77</v>
      </c>
      <c r="P2370" t="s">
        <v>88</v>
      </c>
    </row>
    <row r="2371" spans="1:16" ht="14.5" x14ac:dyDescent="0.35">
      <c r="A2371">
        <v>2370</v>
      </c>
      <c r="B2371">
        <v>24</v>
      </c>
      <c r="C2371" t="s">
        <v>16</v>
      </c>
      <c r="D2371" t="s">
        <v>26</v>
      </c>
      <c r="E2371" t="s">
        <v>18</v>
      </c>
      <c r="F2371">
        <v>23</v>
      </c>
      <c r="G2371" t="s">
        <v>120</v>
      </c>
      <c r="H2371" t="s">
        <v>39</v>
      </c>
      <c r="I2371" t="s">
        <v>100</v>
      </c>
      <c r="J2371" t="s">
        <v>22</v>
      </c>
      <c r="K2371">
        <v>4.5999999999999996</v>
      </c>
      <c r="L2371" t="s">
        <v>143</v>
      </c>
      <c r="M2371" t="s">
        <v>143</v>
      </c>
      <c r="N2371">
        <v>24</v>
      </c>
      <c r="O2371" t="s">
        <v>40</v>
      </c>
      <c r="P2371" t="s">
        <v>79</v>
      </c>
    </row>
    <row r="2372" spans="1:16" ht="14.5" x14ac:dyDescent="0.35">
      <c r="A2372">
        <v>2371</v>
      </c>
      <c r="B2372">
        <v>51</v>
      </c>
      <c r="C2372" t="s">
        <v>16</v>
      </c>
      <c r="D2372" t="s">
        <v>63</v>
      </c>
      <c r="E2372" t="s">
        <v>37</v>
      </c>
      <c r="F2372">
        <v>71</v>
      </c>
      <c r="G2372" t="s">
        <v>111</v>
      </c>
      <c r="H2372" t="s">
        <v>39</v>
      </c>
      <c r="I2372" t="s">
        <v>85</v>
      </c>
      <c r="J2372" t="s">
        <v>33</v>
      </c>
      <c r="K2372">
        <v>3.9</v>
      </c>
      <c r="L2372" t="s">
        <v>143</v>
      </c>
      <c r="M2372" t="s">
        <v>143</v>
      </c>
      <c r="N2372">
        <v>38</v>
      </c>
      <c r="O2372" t="s">
        <v>24</v>
      </c>
      <c r="P2372" t="s">
        <v>35</v>
      </c>
    </row>
    <row r="2373" spans="1:16" ht="14.5" x14ac:dyDescent="0.35">
      <c r="A2373">
        <v>2372</v>
      </c>
      <c r="B2373">
        <v>67</v>
      </c>
      <c r="C2373" t="s">
        <v>16</v>
      </c>
      <c r="D2373" t="s">
        <v>116</v>
      </c>
      <c r="E2373" t="s">
        <v>18</v>
      </c>
      <c r="F2373">
        <v>25</v>
      </c>
      <c r="G2373" t="s">
        <v>107</v>
      </c>
      <c r="H2373" t="s">
        <v>39</v>
      </c>
      <c r="I2373" t="s">
        <v>54</v>
      </c>
      <c r="J2373" t="s">
        <v>22</v>
      </c>
      <c r="K2373">
        <v>3.7</v>
      </c>
      <c r="L2373" t="s">
        <v>143</v>
      </c>
      <c r="M2373" t="s">
        <v>143</v>
      </c>
      <c r="N2373">
        <v>28</v>
      </c>
      <c r="O2373" t="s">
        <v>77</v>
      </c>
      <c r="P2373" t="s">
        <v>43</v>
      </c>
    </row>
    <row r="2374" spans="1:16" ht="14.5" x14ac:dyDescent="0.35">
      <c r="A2374">
        <v>2373</v>
      </c>
      <c r="B2374">
        <v>50</v>
      </c>
      <c r="C2374" t="s">
        <v>16</v>
      </c>
      <c r="D2374" t="s">
        <v>128</v>
      </c>
      <c r="E2374" t="s">
        <v>37</v>
      </c>
      <c r="F2374">
        <v>39</v>
      </c>
      <c r="G2374" t="s">
        <v>81</v>
      </c>
      <c r="H2374" t="s">
        <v>83</v>
      </c>
      <c r="I2374" t="s">
        <v>58</v>
      </c>
      <c r="J2374" t="s">
        <v>33</v>
      </c>
      <c r="K2374">
        <v>3.1</v>
      </c>
      <c r="L2374" t="s">
        <v>143</v>
      </c>
      <c r="M2374" t="s">
        <v>143</v>
      </c>
      <c r="N2374">
        <v>9</v>
      </c>
      <c r="O2374" t="s">
        <v>40</v>
      </c>
      <c r="P2374" t="s">
        <v>25</v>
      </c>
    </row>
    <row r="2375" spans="1:16" ht="14.5" x14ac:dyDescent="0.35">
      <c r="A2375">
        <v>2374</v>
      </c>
      <c r="B2375">
        <v>37</v>
      </c>
      <c r="C2375" t="s">
        <v>16</v>
      </c>
      <c r="D2375" t="s">
        <v>95</v>
      </c>
      <c r="E2375" t="s">
        <v>18</v>
      </c>
      <c r="F2375">
        <v>20</v>
      </c>
      <c r="G2375" t="s">
        <v>142</v>
      </c>
      <c r="H2375" t="s">
        <v>39</v>
      </c>
      <c r="I2375" t="s">
        <v>21</v>
      </c>
      <c r="J2375" t="s">
        <v>33</v>
      </c>
      <c r="K2375">
        <v>4.9000000000000004</v>
      </c>
      <c r="L2375" t="s">
        <v>143</v>
      </c>
      <c r="M2375" t="s">
        <v>143</v>
      </c>
      <c r="N2375">
        <v>21</v>
      </c>
      <c r="O2375" t="s">
        <v>77</v>
      </c>
      <c r="P2375" t="s">
        <v>88</v>
      </c>
    </row>
    <row r="2376" spans="1:16" ht="14.5" x14ac:dyDescent="0.35">
      <c r="A2376">
        <v>2375</v>
      </c>
      <c r="B2376">
        <v>69</v>
      </c>
      <c r="C2376" t="s">
        <v>16</v>
      </c>
      <c r="D2376" t="s">
        <v>134</v>
      </c>
      <c r="E2376" t="s">
        <v>60</v>
      </c>
      <c r="F2376">
        <v>73</v>
      </c>
      <c r="G2376" t="s">
        <v>140</v>
      </c>
      <c r="H2376" t="s">
        <v>20</v>
      </c>
      <c r="I2376" t="s">
        <v>91</v>
      </c>
      <c r="J2376" t="s">
        <v>22</v>
      </c>
      <c r="K2376">
        <v>4.7</v>
      </c>
      <c r="L2376" t="s">
        <v>143</v>
      </c>
      <c r="M2376" t="s">
        <v>143</v>
      </c>
      <c r="N2376">
        <v>31</v>
      </c>
      <c r="O2376" t="s">
        <v>77</v>
      </c>
      <c r="P2376" t="s">
        <v>79</v>
      </c>
    </row>
    <row r="2377" spans="1:16" ht="14.5" x14ac:dyDescent="0.35">
      <c r="A2377">
        <v>2376</v>
      </c>
      <c r="B2377">
        <v>60</v>
      </c>
      <c r="C2377" t="s">
        <v>16</v>
      </c>
      <c r="D2377" t="s">
        <v>123</v>
      </c>
      <c r="E2377" t="s">
        <v>60</v>
      </c>
      <c r="F2377">
        <v>63</v>
      </c>
      <c r="G2377" t="s">
        <v>132</v>
      </c>
      <c r="H2377" t="s">
        <v>20</v>
      </c>
      <c r="I2377" t="s">
        <v>91</v>
      </c>
      <c r="J2377" t="s">
        <v>50</v>
      </c>
      <c r="K2377">
        <v>2.9</v>
      </c>
      <c r="L2377" t="s">
        <v>143</v>
      </c>
      <c r="M2377" t="s">
        <v>143</v>
      </c>
      <c r="N2377">
        <v>18</v>
      </c>
      <c r="O2377" t="s">
        <v>34</v>
      </c>
      <c r="P2377" t="s">
        <v>51</v>
      </c>
    </row>
    <row r="2378" spans="1:16" ht="14.5" x14ac:dyDescent="0.35">
      <c r="A2378">
        <v>2377</v>
      </c>
      <c r="B2378">
        <v>21</v>
      </c>
      <c r="C2378" t="s">
        <v>16</v>
      </c>
      <c r="D2378" t="s">
        <v>134</v>
      </c>
      <c r="E2378" t="s">
        <v>60</v>
      </c>
      <c r="F2378">
        <v>94</v>
      </c>
      <c r="G2378" t="s">
        <v>113</v>
      </c>
      <c r="H2378" t="s">
        <v>83</v>
      </c>
      <c r="I2378" t="s">
        <v>100</v>
      </c>
      <c r="J2378" t="s">
        <v>33</v>
      </c>
      <c r="K2378">
        <v>4.0999999999999996</v>
      </c>
      <c r="L2378" t="s">
        <v>143</v>
      </c>
      <c r="M2378" t="s">
        <v>143</v>
      </c>
      <c r="N2378">
        <v>5</v>
      </c>
      <c r="O2378" t="s">
        <v>29</v>
      </c>
      <c r="P2378" t="s">
        <v>35</v>
      </c>
    </row>
    <row r="2379" spans="1:16" ht="14.5" x14ac:dyDescent="0.35">
      <c r="A2379">
        <v>2378</v>
      </c>
      <c r="B2379">
        <v>44</v>
      </c>
      <c r="C2379" t="s">
        <v>16</v>
      </c>
      <c r="D2379" t="s">
        <v>17</v>
      </c>
      <c r="E2379" t="s">
        <v>18</v>
      </c>
      <c r="F2379">
        <v>94</v>
      </c>
      <c r="G2379" t="s">
        <v>138</v>
      </c>
      <c r="H2379" t="s">
        <v>20</v>
      </c>
      <c r="I2379" t="s">
        <v>127</v>
      </c>
      <c r="J2379" t="s">
        <v>50</v>
      </c>
      <c r="K2379">
        <v>4</v>
      </c>
      <c r="L2379" t="s">
        <v>143</v>
      </c>
      <c r="M2379" t="s">
        <v>143</v>
      </c>
      <c r="N2379">
        <v>22</v>
      </c>
      <c r="O2379" t="s">
        <v>29</v>
      </c>
      <c r="P2379" t="s">
        <v>43</v>
      </c>
    </row>
    <row r="2380" spans="1:16" ht="14.5" x14ac:dyDescent="0.35">
      <c r="A2380">
        <v>2379</v>
      </c>
      <c r="B2380">
        <v>26</v>
      </c>
      <c r="C2380" t="s">
        <v>16</v>
      </c>
      <c r="D2380" t="s">
        <v>110</v>
      </c>
      <c r="E2380" t="s">
        <v>60</v>
      </c>
      <c r="F2380">
        <v>71</v>
      </c>
      <c r="G2380" t="s">
        <v>73</v>
      </c>
      <c r="H2380" t="s">
        <v>20</v>
      </c>
      <c r="I2380" t="s">
        <v>76</v>
      </c>
      <c r="J2380" t="s">
        <v>47</v>
      </c>
      <c r="K2380">
        <v>2.7</v>
      </c>
      <c r="L2380" t="s">
        <v>143</v>
      </c>
      <c r="M2380" t="s">
        <v>143</v>
      </c>
      <c r="N2380">
        <v>37</v>
      </c>
      <c r="O2380" t="s">
        <v>40</v>
      </c>
      <c r="P2380" t="s">
        <v>67</v>
      </c>
    </row>
    <row r="2381" spans="1:16" ht="14.5" x14ac:dyDescent="0.35">
      <c r="A2381">
        <v>2380</v>
      </c>
      <c r="B2381">
        <v>40</v>
      </c>
      <c r="C2381" t="s">
        <v>16</v>
      </c>
      <c r="D2381" t="s">
        <v>115</v>
      </c>
      <c r="E2381" t="s">
        <v>60</v>
      </c>
      <c r="F2381">
        <v>77</v>
      </c>
      <c r="G2381" t="s">
        <v>138</v>
      </c>
      <c r="H2381" t="s">
        <v>39</v>
      </c>
      <c r="I2381" t="s">
        <v>91</v>
      </c>
      <c r="J2381" t="s">
        <v>33</v>
      </c>
      <c r="K2381">
        <v>4</v>
      </c>
      <c r="L2381" t="s">
        <v>143</v>
      </c>
      <c r="M2381" t="s">
        <v>143</v>
      </c>
      <c r="N2381">
        <v>22</v>
      </c>
      <c r="O2381" t="s">
        <v>77</v>
      </c>
      <c r="P2381" t="s">
        <v>79</v>
      </c>
    </row>
    <row r="2382" spans="1:16" ht="14.5" x14ac:dyDescent="0.35">
      <c r="A2382">
        <v>2381</v>
      </c>
      <c r="B2382">
        <v>41</v>
      </c>
      <c r="C2382" t="s">
        <v>16</v>
      </c>
      <c r="D2382" t="s">
        <v>110</v>
      </c>
      <c r="E2382" t="s">
        <v>60</v>
      </c>
      <c r="F2382">
        <v>66</v>
      </c>
      <c r="G2382" t="s">
        <v>129</v>
      </c>
      <c r="H2382" t="s">
        <v>39</v>
      </c>
      <c r="I2382" t="s">
        <v>85</v>
      </c>
      <c r="J2382" t="s">
        <v>50</v>
      </c>
      <c r="K2382">
        <v>2.5</v>
      </c>
      <c r="L2382" t="s">
        <v>143</v>
      </c>
      <c r="M2382" t="s">
        <v>143</v>
      </c>
      <c r="N2382">
        <v>36</v>
      </c>
      <c r="O2382" t="s">
        <v>40</v>
      </c>
      <c r="P2382" t="s">
        <v>25</v>
      </c>
    </row>
    <row r="2383" spans="1:16" ht="14.5" x14ac:dyDescent="0.35">
      <c r="A2383">
        <v>2382</v>
      </c>
      <c r="B2383">
        <v>62</v>
      </c>
      <c r="C2383" t="s">
        <v>16</v>
      </c>
      <c r="D2383" t="s">
        <v>36</v>
      </c>
      <c r="E2383" t="s">
        <v>37</v>
      </c>
      <c r="F2383">
        <v>23</v>
      </c>
      <c r="G2383" t="s">
        <v>141</v>
      </c>
      <c r="H2383" t="s">
        <v>39</v>
      </c>
      <c r="I2383" t="s">
        <v>76</v>
      </c>
      <c r="J2383" t="s">
        <v>47</v>
      </c>
      <c r="K2383">
        <v>4.5</v>
      </c>
      <c r="L2383" t="s">
        <v>143</v>
      </c>
      <c r="M2383" t="s">
        <v>143</v>
      </c>
      <c r="N2383">
        <v>23</v>
      </c>
      <c r="O2383" t="s">
        <v>40</v>
      </c>
      <c r="P2383" t="s">
        <v>43</v>
      </c>
    </row>
    <row r="2384" spans="1:16" ht="14.5" x14ac:dyDescent="0.35">
      <c r="A2384">
        <v>2383</v>
      </c>
      <c r="B2384">
        <v>39</v>
      </c>
      <c r="C2384" t="s">
        <v>16</v>
      </c>
      <c r="D2384" t="s">
        <v>26</v>
      </c>
      <c r="E2384" t="s">
        <v>18</v>
      </c>
      <c r="F2384">
        <v>60</v>
      </c>
      <c r="G2384" t="s">
        <v>90</v>
      </c>
      <c r="H2384" t="s">
        <v>39</v>
      </c>
      <c r="I2384" t="s">
        <v>42</v>
      </c>
      <c r="J2384" t="s">
        <v>33</v>
      </c>
      <c r="K2384">
        <v>3.9</v>
      </c>
      <c r="L2384" t="s">
        <v>143</v>
      </c>
      <c r="M2384" t="s">
        <v>143</v>
      </c>
      <c r="N2384">
        <v>44</v>
      </c>
      <c r="O2384" t="s">
        <v>77</v>
      </c>
      <c r="P2384" t="s">
        <v>35</v>
      </c>
    </row>
    <row r="2385" spans="1:16" ht="14.5" x14ac:dyDescent="0.35">
      <c r="A2385">
        <v>2384</v>
      </c>
      <c r="B2385">
        <v>53</v>
      </c>
      <c r="C2385" t="s">
        <v>16</v>
      </c>
      <c r="D2385" t="s">
        <v>123</v>
      </c>
      <c r="E2385" t="s">
        <v>60</v>
      </c>
      <c r="F2385">
        <v>72</v>
      </c>
      <c r="G2385" t="s">
        <v>38</v>
      </c>
      <c r="H2385" t="s">
        <v>20</v>
      </c>
      <c r="I2385" t="s">
        <v>71</v>
      </c>
      <c r="J2385" t="s">
        <v>33</v>
      </c>
      <c r="K2385">
        <v>4.9000000000000004</v>
      </c>
      <c r="L2385" t="s">
        <v>143</v>
      </c>
      <c r="M2385" t="s">
        <v>143</v>
      </c>
      <c r="N2385">
        <v>25</v>
      </c>
      <c r="O2385" t="s">
        <v>66</v>
      </c>
      <c r="P2385" t="s">
        <v>43</v>
      </c>
    </row>
    <row r="2386" spans="1:16" ht="14.5" x14ac:dyDescent="0.35">
      <c r="A2386">
        <v>2385</v>
      </c>
      <c r="B2386">
        <v>24</v>
      </c>
      <c r="C2386" t="s">
        <v>16</v>
      </c>
      <c r="D2386" t="s">
        <v>17</v>
      </c>
      <c r="E2386" t="s">
        <v>18</v>
      </c>
      <c r="F2386">
        <v>35</v>
      </c>
      <c r="G2386" t="s">
        <v>81</v>
      </c>
      <c r="H2386" t="s">
        <v>20</v>
      </c>
      <c r="I2386" t="s">
        <v>87</v>
      </c>
      <c r="J2386" t="s">
        <v>22</v>
      </c>
      <c r="K2386">
        <v>3.3</v>
      </c>
      <c r="L2386" t="s">
        <v>143</v>
      </c>
      <c r="M2386" t="s">
        <v>143</v>
      </c>
      <c r="N2386">
        <v>40</v>
      </c>
      <c r="O2386" t="s">
        <v>40</v>
      </c>
      <c r="P2386" t="s">
        <v>51</v>
      </c>
    </row>
    <row r="2387" spans="1:16" ht="14.5" x14ac:dyDescent="0.35">
      <c r="A2387">
        <v>2386</v>
      </c>
      <c r="B2387">
        <v>41</v>
      </c>
      <c r="C2387" t="s">
        <v>16</v>
      </c>
      <c r="D2387" t="s">
        <v>110</v>
      </c>
      <c r="E2387" t="s">
        <v>60</v>
      </c>
      <c r="F2387">
        <v>31</v>
      </c>
      <c r="G2387" t="s">
        <v>92</v>
      </c>
      <c r="H2387" t="s">
        <v>39</v>
      </c>
      <c r="I2387" t="s">
        <v>101</v>
      </c>
      <c r="J2387" t="s">
        <v>50</v>
      </c>
      <c r="K2387">
        <v>3.8</v>
      </c>
      <c r="L2387" t="s">
        <v>143</v>
      </c>
      <c r="M2387" t="s">
        <v>143</v>
      </c>
      <c r="N2387">
        <v>12</v>
      </c>
      <c r="O2387" t="s">
        <v>40</v>
      </c>
      <c r="P2387" t="s">
        <v>35</v>
      </c>
    </row>
    <row r="2388" spans="1:16" ht="14.5" x14ac:dyDescent="0.35">
      <c r="A2388">
        <v>2387</v>
      </c>
      <c r="B2388">
        <v>19</v>
      </c>
      <c r="C2388" t="s">
        <v>16</v>
      </c>
      <c r="D2388" t="s">
        <v>116</v>
      </c>
      <c r="E2388" t="s">
        <v>18</v>
      </c>
      <c r="F2388">
        <v>33</v>
      </c>
      <c r="G2388" t="s">
        <v>106</v>
      </c>
      <c r="H2388" t="s">
        <v>20</v>
      </c>
      <c r="I2388" t="s">
        <v>135</v>
      </c>
      <c r="J2388" t="s">
        <v>47</v>
      </c>
      <c r="K2388">
        <v>2.9</v>
      </c>
      <c r="L2388" t="s">
        <v>143</v>
      </c>
      <c r="M2388" t="s">
        <v>143</v>
      </c>
      <c r="N2388">
        <v>14</v>
      </c>
      <c r="O2388" t="s">
        <v>24</v>
      </c>
      <c r="P2388" t="s">
        <v>79</v>
      </c>
    </row>
    <row r="2389" spans="1:16" ht="14.5" x14ac:dyDescent="0.35">
      <c r="A2389">
        <v>2388</v>
      </c>
      <c r="B2389">
        <v>36</v>
      </c>
      <c r="C2389" t="s">
        <v>16</v>
      </c>
      <c r="D2389" t="s">
        <v>115</v>
      </c>
      <c r="E2389" t="s">
        <v>60</v>
      </c>
      <c r="F2389">
        <v>95</v>
      </c>
      <c r="G2389" t="s">
        <v>113</v>
      </c>
      <c r="H2389" t="s">
        <v>39</v>
      </c>
      <c r="I2389" t="s">
        <v>71</v>
      </c>
      <c r="J2389" t="s">
        <v>47</v>
      </c>
      <c r="K2389">
        <v>4</v>
      </c>
      <c r="L2389" t="s">
        <v>143</v>
      </c>
      <c r="M2389" t="s">
        <v>143</v>
      </c>
      <c r="N2389">
        <v>14</v>
      </c>
      <c r="O2389" t="s">
        <v>77</v>
      </c>
      <c r="P2389" t="s">
        <v>79</v>
      </c>
    </row>
    <row r="2390" spans="1:16" ht="14.5" x14ac:dyDescent="0.35">
      <c r="A2390">
        <v>2389</v>
      </c>
      <c r="B2390">
        <v>21</v>
      </c>
      <c r="C2390" t="s">
        <v>16</v>
      </c>
      <c r="D2390" t="s">
        <v>72</v>
      </c>
      <c r="E2390" t="s">
        <v>18</v>
      </c>
      <c r="F2390">
        <v>68</v>
      </c>
      <c r="G2390" t="s">
        <v>81</v>
      </c>
      <c r="H2390" t="s">
        <v>39</v>
      </c>
      <c r="I2390" t="s">
        <v>91</v>
      </c>
      <c r="J2390" t="s">
        <v>50</v>
      </c>
      <c r="K2390">
        <v>4.0999999999999996</v>
      </c>
      <c r="L2390" t="s">
        <v>143</v>
      </c>
      <c r="M2390" t="s">
        <v>143</v>
      </c>
      <c r="N2390">
        <v>10</v>
      </c>
      <c r="O2390" t="s">
        <v>77</v>
      </c>
      <c r="P2390" t="s">
        <v>43</v>
      </c>
    </row>
    <row r="2391" spans="1:16" ht="14.5" x14ac:dyDescent="0.35">
      <c r="A2391">
        <v>2390</v>
      </c>
      <c r="B2391">
        <v>25</v>
      </c>
      <c r="C2391" t="s">
        <v>16</v>
      </c>
      <c r="D2391" t="s">
        <v>55</v>
      </c>
      <c r="E2391" t="s">
        <v>56</v>
      </c>
      <c r="F2391">
        <v>87</v>
      </c>
      <c r="G2391" t="s">
        <v>102</v>
      </c>
      <c r="H2391" t="s">
        <v>39</v>
      </c>
      <c r="I2391" t="s">
        <v>74</v>
      </c>
      <c r="J2391" t="s">
        <v>33</v>
      </c>
      <c r="K2391">
        <v>3.1</v>
      </c>
      <c r="L2391" t="s">
        <v>143</v>
      </c>
      <c r="M2391" t="s">
        <v>143</v>
      </c>
      <c r="N2391">
        <v>17</v>
      </c>
      <c r="O2391" t="s">
        <v>66</v>
      </c>
      <c r="P2391" t="s">
        <v>88</v>
      </c>
    </row>
    <row r="2392" spans="1:16" ht="14.5" x14ac:dyDescent="0.35">
      <c r="A2392">
        <v>2391</v>
      </c>
      <c r="B2392">
        <v>65</v>
      </c>
      <c r="C2392" t="s">
        <v>16</v>
      </c>
      <c r="D2392" t="s">
        <v>48</v>
      </c>
      <c r="E2392" t="s">
        <v>18</v>
      </c>
      <c r="F2392">
        <v>64</v>
      </c>
      <c r="G2392" t="s">
        <v>108</v>
      </c>
      <c r="H2392" t="s">
        <v>83</v>
      </c>
      <c r="I2392" t="s">
        <v>125</v>
      </c>
      <c r="J2392" t="s">
        <v>22</v>
      </c>
      <c r="K2392">
        <v>4.5999999999999996</v>
      </c>
      <c r="L2392" t="s">
        <v>143</v>
      </c>
      <c r="M2392" t="s">
        <v>143</v>
      </c>
      <c r="N2392">
        <v>24</v>
      </c>
      <c r="O2392" t="s">
        <v>77</v>
      </c>
      <c r="P2392" t="s">
        <v>25</v>
      </c>
    </row>
    <row r="2393" spans="1:16" ht="14.5" x14ac:dyDescent="0.35">
      <c r="A2393">
        <v>2392</v>
      </c>
      <c r="B2393">
        <v>42</v>
      </c>
      <c r="C2393" t="s">
        <v>16</v>
      </c>
      <c r="D2393" t="s">
        <v>48</v>
      </c>
      <c r="E2393" t="s">
        <v>18</v>
      </c>
      <c r="F2393">
        <v>74</v>
      </c>
      <c r="G2393" t="s">
        <v>142</v>
      </c>
      <c r="H2393" t="s">
        <v>39</v>
      </c>
      <c r="I2393" t="s">
        <v>85</v>
      </c>
      <c r="J2393" t="s">
        <v>22</v>
      </c>
      <c r="K2393">
        <v>4.5999999999999996</v>
      </c>
      <c r="L2393" t="s">
        <v>143</v>
      </c>
      <c r="M2393" t="s">
        <v>143</v>
      </c>
      <c r="N2393">
        <v>31</v>
      </c>
      <c r="O2393" t="s">
        <v>66</v>
      </c>
      <c r="P2393" t="s">
        <v>51</v>
      </c>
    </row>
    <row r="2394" spans="1:16" ht="14.5" x14ac:dyDescent="0.35">
      <c r="A2394">
        <v>2393</v>
      </c>
      <c r="B2394">
        <v>40</v>
      </c>
      <c r="C2394" t="s">
        <v>16</v>
      </c>
      <c r="D2394" t="s">
        <v>30</v>
      </c>
      <c r="E2394" t="s">
        <v>18</v>
      </c>
      <c r="F2394">
        <v>62</v>
      </c>
      <c r="G2394" t="s">
        <v>61</v>
      </c>
      <c r="H2394" t="s">
        <v>20</v>
      </c>
      <c r="I2394" t="s">
        <v>58</v>
      </c>
      <c r="J2394" t="s">
        <v>33</v>
      </c>
      <c r="K2394">
        <v>2.6</v>
      </c>
      <c r="L2394" t="s">
        <v>143</v>
      </c>
      <c r="M2394" t="s">
        <v>143</v>
      </c>
      <c r="N2394">
        <v>36</v>
      </c>
      <c r="O2394" t="s">
        <v>29</v>
      </c>
      <c r="P2394" t="s">
        <v>43</v>
      </c>
    </row>
    <row r="2395" spans="1:16" ht="14.5" x14ac:dyDescent="0.35">
      <c r="A2395">
        <v>2394</v>
      </c>
      <c r="B2395">
        <v>58</v>
      </c>
      <c r="C2395" t="s">
        <v>16</v>
      </c>
      <c r="D2395" t="s">
        <v>116</v>
      </c>
      <c r="E2395" t="s">
        <v>18</v>
      </c>
      <c r="F2395">
        <v>97</v>
      </c>
      <c r="G2395" t="s">
        <v>53</v>
      </c>
      <c r="H2395" t="s">
        <v>39</v>
      </c>
      <c r="I2395" t="s">
        <v>101</v>
      </c>
      <c r="J2395" t="s">
        <v>22</v>
      </c>
      <c r="K2395">
        <v>5</v>
      </c>
      <c r="L2395" t="s">
        <v>143</v>
      </c>
      <c r="M2395" t="s">
        <v>143</v>
      </c>
      <c r="N2395">
        <v>38</v>
      </c>
      <c r="O2395" t="s">
        <v>40</v>
      </c>
      <c r="P2395" t="s">
        <v>88</v>
      </c>
    </row>
    <row r="2396" spans="1:16" ht="14.5" x14ac:dyDescent="0.35">
      <c r="A2396">
        <v>2395</v>
      </c>
      <c r="B2396">
        <v>40</v>
      </c>
      <c r="C2396" t="s">
        <v>16</v>
      </c>
      <c r="D2396" t="s">
        <v>36</v>
      </c>
      <c r="E2396" t="s">
        <v>37</v>
      </c>
      <c r="F2396">
        <v>47</v>
      </c>
      <c r="G2396" t="s">
        <v>130</v>
      </c>
      <c r="H2396" t="s">
        <v>20</v>
      </c>
      <c r="I2396" t="s">
        <v>91</v>
      </c>
      <c r="J2396" t="s">
        <v>50</v>
      </c>
      <c r="K2396">
        <v>2.9</v>
      </c>
      <c r="L2396" t="s">
        <v>143</v>
      </c>
      <c r="M2396" t="s">
        <v>143</v>
      </c>
      <c r="N2396">
        <v>23</v>
      </c>
      <c r="O2396" t="s">
        <v>77</v>
      </c>
      <c r="P2396" t="s">
        <v>25</v>
      </c>
    </row>
    <row r="2397" spans="1:16" ht="14.5" x14ac:dyDescent="0.35">
      <c r="A2397">
        <v>2396</v>
      </c>
      <c r="B2397">
        <v>62</v>
      </c>
      <c r="C2397" t="s">
        <v>16</v>
      </c>
      <c r="D2397" t="s">
        <v>17</v>
      </c>
      <c r="E2397" t="s">
        <v>18</v>
      </c>
      <c r="F2397">
        <v>83</v>
      </c>
      <c r="G2397" t="s">
        <v>130</v>
      </c>
      <c r="H2397" t="s">
        <v>39</v>
      </c>
      <c r="I2397" t="s">
        <v>100</v>
      </c>
      <c r="J2397" t="s">
        <v>22</v>
      </c>
      <c r="K2397">
        <v>3.5</v>
      </c>
      <c r="L2397" t="s">
        <v>143</v>
      </c>
      <c r="M2397" t="s">
        <v>143</v>
      </c>
      <c r="N2397">
        <v>47</v>
      </c>
      <c r="O2397" t="s">
        <v>40</v>
      </c>
      <c r="P2397" t="s">
        <v>67</v>
      </c>
    </row>
    <row r="2398" spans="1:16" ht="14.5" x14ac:dyDescent="0.35">
      <c r="A2398">
        <v>2397</v>
      </c>
      <c r="B2398">
        <v>38</v>
      </c>
      <c r="C2398" t="s">
        <v>16</v>
      </c>
      <c r="D2398" t="s">
        <v>48</v>
      </c>
      <c r="E2398" t="s">
        <v>18</v>
      </c>
      <c r="F2398">
        <v>82</v>
      </c>
      <c r="G2398" t="s">
        <v>41</v>
      </c>
      <c r="H2398" t="s">
        <v>39</v>
      </c>
      <c r="I2398" t="s">
        <v>69</v>
      </c>
      <c r="J2398" t="s">
        <v>33</v>
      </c>
      <c r="K2398">
        <v>3.7</v>
      </c>
      <c r="L2398" t="s">
        <v>143</v>
      </c>
      <c r="M2398" t="s">
        <v>143</v>
      </c>
      <c r="N2398">
        <v>20</v>
      </c>
      <c r="O2398" t="s">
        <v>24</v>
      </c>
      <c r="P2398" t="s">
        <v>35</v>
      </c>
    </row>
    <row r="2399" spans="1:16" ht="14.5" x14ac:dyDescent="0.35">
      <c r="A2399">
        <v>2398</v>
      </c>
      <c r="B2399">
        <v>37</v>
      </c>
      <c r="C2399" t="s">
        <v>16</v>
      </c>
      <c r="D2399" t="s">
        <v>80</v>
      </c>
      <c r="E2399" t="s">
        <v>60</v>
      </c>
      <c r="F2399">
        <v>26</v>
      </c>
      <c r="G2399" t="s">
        <v>57</v>
      </c>
      <c r="H2399" t="s">
        <v>20</v>
      </c>
      <c r="I2399" t="s">
        <v>85</v>
      </c>
      <c r="J2399" t="s">
        <v>50</v>
      </c>
      <c r="K2399">
        <v>2.9</v>
      </c>
      <c r="L2399" t="s">
        <v>143</v>
      </c>
      <c r="M2399" t="s">
        <v>143</v>
      </c>
      <c r="N2399">
        <v>41</v>
      </c>
      <c r="O2399" t="s">
        <v>24</v>
      </c>
      <c r="P2399" t="s">
        <v>79</v>
      </c>
    </row>
    <row r="2400" spans="1:16" ht="14.5" x14ac:dyDescent="0.35">
      <c r="A2400">
        <v>2399</v>
      </c>
      <c r="B2400">
        <v>65</v>
      </c>
      <c r="C2400" t="s">
        <v>16</v>
      </c>
      <c r="D2400" t="s">
        <v>93</v>
      </c>
      <c r="E2400" t="s">
        <v>56</v>
      </c>
      <c r="F2400">
        <v>81</v>
      </c>
      <c r="G2400" t="s">
        <v>94</v>
      </c>
      <c r="H2400" t="s">
        <v>39</v>
      </c>
      <c r="I2400" t="s">
        <v>112</v>
      </c>
      <c r="J2400" t="s">
        <v>22</v>
      </c>
      <c r="K2400">
        <v>4.3</v>
      </c>
      <c r="L2400" t="s">
        <v>143</v>
      </c>
      <c r="M2400" t="s">
        <v>143</v>
      </c>
      <c r="N2400">
        <v>44</v>
      </c>
      <c r="O2400" t="s">
        <v>66</v>
      </c>
      <c r="P2400" t="s">
        <v>25</v>
      </c>
    </row>
    <row r="2401" spans="1:16" ht="14.5" x14ac:dyDescent="0.35">
      <c r="A2401">
        <v>2400</v>
      </c>
      <c r="B2401">
        <v>55</v>
      </c>
      <c r="C2401" t="s">
        <v>16</v>
      </c>
      <c r="D2401" t="s">
        <v>72</v>
      </c>
      <c r="E2401" t="s">
        <v>18</v>
      </c>
      <c r="F2401">
        <v>44</v>
      </c>
      <c r="G2401" t="s">
        <v>73</v>
      </c>
      <c r="H2401" t="s">
        <v>20</v>
      </c>
      <c r="I2401" t="s">
        <v>109</v>
      </c>
      <c r="J2401" t="s">
        <v>33</v>
      </c>
      <c r="K2401">
        <v>3.2</v>
      </c>
      <c r="L2401" t="s">
        <v>143</v>
      </c>
      <c r="M2401" t="s">
        <v>143</v>
      </c>
      <c r="N2401">
        <v>31</v>
      </c>
      <c r="O2401" t="s">
        <v>29</v>
      </c>
      <c r="P2401" t="s">
        <v>79</v>
      </c>
    </row>
    <row r="2402" spans="1:16" ht="14.5" x14ac:dyDescent="0.35">
      <c r="A2402">
        <v>2401</v>
      </c>
      <c r="B2402">
        <v>43</v>
      </c>
      <c r="C2402" t="s">
        <v>16</v>
      </c>
      <c r="D2402" t="s">
        <v>80</v>
      </c>
      <c r="E2402" t="s">
        <v>60</v>
      </c>
      <c r="F2402">
        <v>88</v>
      </c>
      <c r="G2402" t="s">
        <v>41</v>
      </c>
      <c r="H2402" t="s">
        <v>39</v>
      </c>
      <c r="I2402" t="s">
        <v>91</v>
      </c>
      <c r="J2402" t="s">
        <v>22</v>
      </c>
      <c r="K2402">
        <v>4.2</v>
      </c>
      <c r="L2402" t="s">
        <v>143</v>
      </c>
      <c r="M2402" t="s">
        <v>143</v>
      </c>
      <c r="N2402">
        <v>11</v>
      </c>
      <c r="O2402" t="s">
        <v>34</v>
      </c>
      <c r="P2402" t="s">
        <v>67</v>
      </c>
    </row>
    <row r="2403" spans="1:16" ht="14.5" x14ac:dyDescent="0.35">
      <c r="A2403">
        <v>2402</v>
      </c>
      <c r="B2403">
        <v>43</v>
      </c>
      <c r="C2403" t="s">
        <v>16</v>
      </c>
      <c r="D2403" t="s">
        <v>128</v>
      </c>
      <c r="E2403" t="s">
        <v>37</v>
      </c>
      <c r="F2403">
        <v>76</v>
      </c>
      <c r="G2403" t="s">
        <v>41</v>
      </c>
      <c r="H2403" t="s">
        <v>39</v>
      </c>
      <c r="I2403" t="s">
        <v>62</v>
      </c>
      <c r="J2403" t="s">
        <v>22</v>
      </c>
      <c r="K2403">
        <v>4.2</v>
      </c>
      <c r="L2403" t="s">
        <v>143</v>
      </c>
      <c r="M2403" t="s">
        <v>143</v>
      </c>
      <c r="N2403">
        <v>25</v>
      </c>
      <c r="O2403" t="s">
        <v>40</v>
      </c>
      <c r="P2403" t="s">
        <v>67</v>
      </c>
    </row>
    <row r="2404" spans="1:16" ht="14.5" x14ac:dyDescent="0.35">
      <c r="A2404">
        <v>2403</v>
      </c>
      <c r="B2404">
        <v>45</v>
      </c>
      <c r="C2404" t="s">
        <v>16</v>
      </c>
      <c r="D2404" t="s">
        <v>110</v>
      </c>
      <c r="E2404" t="s">
        <v>60</v>
      </c>
      <c r="F2404">
        <v>89</v>
      </c>
      <c r="G2404" t="s">
        <v>131</v>
      </c>
      <c r="H2404" t="s">
        <v>39</v>
      </c>
      <c r="I2404" t="s">
        <v>101</v>
      </c>
      <c r="J2404" t="s">
        <v>22</v>
      </c>
      <c r="K2404">
        <v>3.8</v>
      </c>
      <c r="L2404" t="s">
        <v>143</v>
      </c>
      <c r="M2404" t="s">
        <v>143</v>
      </c>
      <c r="N2404">
        <v>31</v>
      </c>
      <c r="O2404" t="s">
        <v>29</v>
      </c>
      <c r="P2404" t="s">
        <v>35</v>
      </c>
    </row>
    <row r="2405" spans="1:16" ht="14.5" x14ac:dyDescent="0.35">
      <c r="A2405">
        <v>2404</v>
      </c>
      <c r="B2405">
        <v>64</v>
      </c>
      <c r="C2405" t="s">
        <v>16</v>
      </c>
      <c r="D2405" t="s">
        <v>52</v>
      </c>
      <c r="E2405" t="s">
        <v>18</v>
      </c>
      <c r="F2405">
        <v>22</v>
      </c>
      <c r="G2405" t="s">
        <v>61</v>
      </c>
      <c r="H2405" t="s">
        <v>39</v>
      </c>
      <c r="I2405" t="s">
        <v>127</v>
      </c>
      <c r="J2405" t="s">
        <v>50</v>
      </c>
      <c r="K2405">
        <v>4.4000000000000004</v>
      </c>
      <c r="L2405" t="s">
        <v>143</v>
      </c>
      <c r="M2405" t="s">
        <v>143</v>
      </c>
      <c r="N2405">
        <v>40</v>
      </c>
      <c r="O2405" t="s">
        <v>77</v>
      </c>
      <c r="P2405" t="s">
        <v>35</v>
      </c>
    </row>
    <row r="2406" spans="1:16" ht="14.5" x14ac:dyDescent="0.35">
      <c r="A2406">
        <v>2405</v>
      </c>
      <c r="B2406">
        <v>28</v>
      </c>
      <c r="C2406" t="s">
        <v>16</v>
      </c>
      <c r="D2406" t="s">
        <v>52</v>
      </c>
      <c r="E2406" t="s">
        <v>18</v>
      </c>
      <c r="F2406">
        <v>33</v>
      </c>
      <c r="G2406" t="s">
        <v>57</v>
      </c>
      <c r="H2406" t="s">
        <v>20</v>
      </c>
      <c r="I2406" t="s">
        <v>100</v>
      </c>
      <c r="J2406" t="s">
        <v>22</v>
      </c>
      <c r="K2406">
        <v>3.1</v>
      </c>
      <c r="L2406" t="s">
        <v>143</v>
      </c>
      <c r="M2406" t="s">
        <v>143</v>
      </c>
      <c r="N2406">
        <v>23</v>
      </c>
      <c r="O2406" t="s">
        <v>34</v>
      </c>
      <c r="P2406" t="s">
        <v>67</v>
      </c>
    </row>
    <row r="2407" spans="1:16" ht="14.5" x14ac:dyDescent="0.35">
      <c r="A2407">
        <v>2406</v>
      </c>
      <c r="B2407">
        <v>69</v>
      </c>
      <c r="C2407" t="s">
        <v>16</v>
      </c>
      <c r="D2407" t="s">
        <v>30</v>
      </c>
      <c r="E2407" t="s">
        <v>18</v>
      </c>
      <c r="F2407">
        <v>97</v>
      </c>
      <c r="G2407" t="s">
        <v>90</v>
      </c>
      <c r="H2407" t="s">
        <v>83</v>
      </c>
      <c r="I2407" t="s">
        <v>58</v>
      </c>
      <c r="J2407" t="s">
        <v>50</v>
      </c>
      <c r="K2407">
        <v>5</v>
      </c>
      <c r="L2407" t="s">
        <v>143</v>
      </c>
      <c r="M2407" t="s">
        <v>143</v>
      </c>
      <c r="N2407">
        <v>5</v>
      </c>
      <c r="O2407" t="s">
        <v>77</v>
      </c>
      <c r="P2407" t="s">
        <v>51</v>
      </c>
    </row>
    <row r="2408" spans="1:16" ht="14.5" x14ac:dyDescent="0.35">
      <c r="A2408">
        <v>2407</v>
      </c>
      <c r="B2408">
        <v>54</v>
      </c>
      <c r="C2408" t="s">
        <v>16</v>
      </c>
      <c r="D2408" t="s">
        <v>110</v>
      </c>
      <c r="E2408" t="s">
        <v>60</v>
      </c>
      <c r="F2408">
        <v>57</v>
      </c>
      <c r="G2408" t="s">
        <v>90</v>
      </c>
      <c r="H2408" t="s">
        <v>39</v>
      </c>
      <c r="I2408" t="s">
        <v>117</v>
      </c>
      <c r="J2408" t="s">
        <v>22</v>
      </c>
      <c r="K2408">
        <v>4.7</v>
      </c>
      <c r="L2408" t="s">
        <v>143</v>
      </c>
      <c r="M2408" t="s">
        <v>143</v>
      </c>
      <c r="N2408">
        <v>26</v>
      </c>
      <c r="O2408" t="s">
        <v>40</v>
      </c>
      <c r="P2408" t="s">
        <v>35</v>
      </c>
    </row>
    <row r="2409" spans="1:16" ht="14.5" x14ac:dyDescent="0.35">
      <c r="A2409">
        <v>2408</v>
      </c>
      <c r="B2409">
        <v>52</v>
      </c>
      <c r="C2409" t="s">
        <v>16</v>
      </c>
      <c r="D2409" t="s">
        <v>52</v>
      </c>
      <c r="E2409" t="s">
        <v>18</v>
      </c>
      <c r="F2409">
        <v>38</v>
      </c>
      <c r="G2409" t="s">
        <v>106</v>
      </c>
      <c r="H2409" t="s">
        <v>39</v>
      </c>
      <c r="I2409" t="s">
        <v>109</v>
      </c>
      <c r="J2409" t="s">
        <v>47</v>
      </c>
      <c r="K2409">
        <v>3</v>
      </c>
      <c r="L2409" t="s">
        <v>143</v>
      </c>
      <c r="M2409" t="s">
        <v>143</v>
      </c>
      <c r="N2409">
        <v>11</v>
      </c>
      <c r="O2409" t="s">
        <v>34</v>
      </c>
      <c r="P2409" t="s">
        <v>67</v>
      </c>
    </row>
    <row r="2410" spans="1:16" ht="14.5" x14ac:dyDescent="0.35">
      <c r="A2410">
        <v>2409</v>
      </c>
      <c r="B2410">
        <v>23</v>
      </c>
      <c r="C2410" t="s">
        <v>16</v>
      </c>
      <c r="D2410" t="s">
        <v>44</v>
      </c>
      <c r="E2410" t="s">
        <v>37</v>
      </c>
      <c r="F2410">
        <v>55</v>
      </c>
      <c r="G2410" t="s">
        <v>68</v>
      </c>
      <c r="H2410" t="s">
        <v>83</v>
      </c>
      <c r="I2410" t="s">
        <v>85</v>
      </c>
      <c r="J2410" t="s">
        <v>50</v>
      </c>
      <c r="K2410">
        <v>4.2</v>
      </c>
      <c r="L2410" t="s">
        <v>143</v>
      </c>
      <c r="M2410" t="s">
        <v>143</v>
      </c>
      <c r="N2410">
        <v>44</v>
      </c>
      <c r="O2410" t="s">
        <v>77</v>
      </c>
      <c r="P2410" t="s">
        <v>88</v>
      </c>
    </row>
    <row r="2411" spans="1:16" ht="14.5" x14ac:dyDescent="0.35">
      <c r="A2411">
        <v>2410</v>
      </c>
      <c r="B2411">
        <v>26</v>
      </c>
      <c r="C2411" t="s">
        <v>16</v>
      </c>
      <c r="D2411" t="s">
        <v>97</v>
      </c>
      <c r="E2411" t="s">
        <v>60</v>
      </c>
      <c r="F2411">
        <v>37</v>
      </c>
      <c r="G2411" t="s">
        <v>140</v>
      </c>
      <c r="H2411" t="s">
        <v>20</v>
      </c>
      <c r="I2411" t="s">
        <v>125</v>
      </c>
      <c r="J2411" t="s">
        <v>33</v>
      </c>
      <c r="K2411">
        <v>3</v>
      </c>
      <c r="L2411" t="s">
        <v>143</v>
      </c>
      <c r="M2411" t="s">
        <v>143</v>
      </c>
      <c r="N2411">
        <v>47</v>
      </c>
      <c r="O2411" t="s">
        <v>29</v>
      </c>
      <c r="P2411" t="s">
        <v>88</v>
      </c>
    </row>
    <row r="2412" spans="1:16" ht="14.5" x14ac:dyDescent="0.35">
      <c r="A2412">
        <v>2411</v>
      </c>
      <c r="B2412">
        <v>48</v>
      </c>
      <c r="C2412" t="s">
        <v>16</v>
      </c>
      <c r="D2412" t="s">
        <v>63</v>
      </c>
      <c r="E2412" t="s">
        <v>37</v>
      </c>
      <c r="F2412">
        <v>43</v>
      </c>
      <c r="G2412" t="s">
        <v>141</v>
      </c>
      <c r="H2412" t="s">
        <v>39</v>
      </c>
      <c r="I2412" t="s">
        <v>28</v>
      </c>
      <c r="J2412" t="s">
        <v>47</v>
      </c>
      <c r="K2412">
        <v>3.7</v>
      </c>
      <c r="L2412" t="s">
        <v>143</v>
      </c>
      <c r="M2412" t="s">
        <v>143</v>
      </c>
      <c r="N2412">
        <v>46</v>
      </c>
      <c r="O2412" t="s">
        <v>40</v>
      </c>
      <c r="P2412" t="s">
        <v>79</v>
      </c>
    </row>
    <row r="2413" spans="1:16" ht="14.5" x14ac:dyDescent="0.35">
      <c r="A2413">
        <v>2412</v>
      </c>
      <c r="B2413">
        <v>49</v>
      </c>
      <c r="C2413" t="s">
        <v>16</v>
      </c>
      <c r="D2413" t="s">
        <v>95</v>
      </c>
      <c r="E2413" t="s">
        <v>18</v>
      </c>
      <c r="F2413">
        <v>96</v>
      </c>
      <c r="G2413" t="s">
        <v>132</v>
      </c>
      <c r="H2413" t="s">
        <v>39</v>
      </c>
      <c r="I2413" t="s">
        <v>100</v>
      </c>
      <c r="J2413" t="s">
        <v>47</v>
      </c>
      <c r="K2413">
        <v>2.7</v>
      </c>
      <c r="L2413" t="s">
        <v>143</v>
      </c>
      <c r="M2413" t="s">
        <v>143</v>
      </c>
      <c r="N2413">
        <v>35</v>
      </c>
      <c r="O2413" t="s">
        <v>29</v>
      </c>
      <c r="P2413" t="s">
        <v>88</v>
      </c>
    </row>
    <row r="2414" spans="1:16" ht="14.5" x14ac:dyDescent="0.35">
      <c r="A2414">
        <v>2413</v>
      </c>
      <c r="B2414">
        <v>53</v>
      </c>
      <c r="C2414" t="s">
        <v>16</v>
      </c>
      <c r="D2414" t="s">
        <v>93</v>
      </c>
      <c r="E2414" t="s">
        <v>56</v>
      </c>
      <c r="F2414">
        <v>51</v>
      </c>
      <c r="G2414" t="s">
        <v>41</v>
      </c>
      <c r="H2414" t="s">
        <v>39</v>
      </c>
      <c r="I2414" t="s">
        <v>62</v>
      </c>
      <c r="J2414" t="s">
        <v>22</v>
      </c>
      <c r="K2414">
        <v>4.3</v>
      </c>
      <c r="L2414" t="s">
        <v>143</v>
      </c>
      <c r="M2414" t="s">
        <v>143</v>
      </c>
      <c r="N2414">
        <v>8</v>
      </c>
      <c r="O2414" t="s">
        <v>66</v>
      </c>
      <c r="P2414" t="s">
        <v>67</v>
      </c>
    </row>
    <row r="2415" spans="1:16" ht="14.5" x14ac:dyDescent="0.35">
      <c r="A2415">
        <v>2414</v>
      </c>
      <c r="B2415">
        <v>69</v>
      </c>
      <c r="C2415" t="s">
        <v>16</v>
      </c>
      <c r="D2415" t="s">
        <v>52</v>
      </c>
      <c r="E2415" t="s">
        <v>18</v>
      </c>
      <c r="F2415">
        <v>95</v>
      </c>
      <c r="G2415" t="s">
        <v>129</v>
      </c>
      <c r="H2415" t="s">
        <v>83</v>
      </c>
      <c r="I2415" t="s">
        <v>74</v>
      </c>
      <c r="J2415" t="s">
        <v>50</v>
      </c>
      <c r="K2415">
        <v>2.7</v>
      </c>
      <c r="L2415" t="s">
        <v>143</v>
      </c>
      <c r="M2415" t="s">
        <v>143</v>
      </c>
      <c r="N2415">
        <v>30</v>
      </c>
      <c r="O2415" t="s">
        <v>66</v>
      </c>
      <c r="P2415" t="s">
        <v>35</v>
      </c>
    </row>
    <row r="2416" spans="1:16" ht="14.5" x14ac:dyDescent="0.35">
      <c r="A2416">
        <v>2415</v>
      </c>
      <c r="B2416">
        <v>26</v>
      </c>
      <c r="C2416" t="s">
        <v>16</v>
      </c>
      <c r="D2416" t="s">
        <v>116</v>
      </c>
      <c r="E2416" t="s">
        <v>18</v>
      </c>
      <c r="F2416">
        <v>26</v>
      </c>
      <c r="G2416" t="s">
        <v>132</v>
      </c>
      <c r="H2416" t="s">
        <v>39</v>
      </c>
      <c r="I2416" t="s">
        <v>84</v>
      </c>
      <c r="J2416" t="s">
        <v>47</v>
      </c>
      <c r="K2416">
        <v>3.7</v>
      </c>
      <c r="L2416" t="s">
        <v>143</v>
      </c>
      <c r="M2416" t="s">
        <v>143</v>
      </c>
      <c r="N2416">
        <v>14</v>
      </c>
      <c r="O2416" t="s">
        <v>34</v>
      </c>
      <c r="P2416" t="s">
        <v>67</v>
      </c>
    </row>
    <row r="2417" spans="1:16" ht="14.5" x14ac:dyDescent="0.35">
      <c r="A2417">
        <v>2416</v>
      </c>
      <c r="B2417">
        <v>21</v>
      </c>
      <c r="C2417" t="s">
        <v>16</v>
      </c>
      <c r="D2417" t="s">
        <v>55</v>
      </c>
      <c r="E2417" t="s">
        <v>56</v>
      </c>
      <c r="F2417">
        <v>34</v>
      </c>
      <c r="G2417" t="s">
        <v>68</v>
      </c>
      <c r="H2417" t="s">
        <v>83</v>
      </c>
      <c r="I2417" t="s">
        <v>84</v>
      </c>
      <c r="J2417" t="s">
        <v>50</v>
      </c>
      <c r="K2417">
        <v>4.3</v>
      </c>
      <c r="L2417" t="s">
        <v>143</v>
      </c>
      <c r="M2417" t="s">
        <v>143</v>
      </c>
      <c r="N2417">
        <v>30</v>
      </c>
      <c r="O2417" t="s">
        <v>66</v>
      </c>
      <c r="P2417" t="s">
        <v>35</v>
      </c>
    </row>
    <row r="2418" spans="1:16" ht="14.5" x14ac:dyDescent="0.35">
      <c r="A2418">
        <v>2417</v>
      </c>
      <c r="B2418">
        <v>59</v>
      </c>
      <c r="C2418" t="s">
        <v>16</v>
      </c>
      <c r="D2418" t="s">
        <v>36</v>
      </c>
      <c r="E2418" t="s">
        <v>37</v>
      </c>
      <c r="F2418">
        <v>83</v>
      </c>
      <c r="G2418" t="s">
        <v>136</v>
      </c>
      <c r="H2418" t="s">
        <v>32</v>
      </c>
      <c r="I2418" t="s">
        <v>85</v>
      </c>
      <c r="J2418" t="s">
        <v>47</v>
      </c>
      <c r="K2418">
        <v>4</v>
      </c>
      <c r="L2418" t="s">
        <v>143</v>
      </c>
      <c r="M2418" t="s">
        <v>143</v>
      </c>
      <c r="N2418">
        <v>26</v>
      </c>
      <c r="O2418" t="s">
        <v>34</v>
      </c>
      <c r="P2418" t="s">
        <v>88</v>
      </c>
    </row>
    <row r="2419" spans="1:16" ht="14.5" x14ac:dyDescent="0.35">
      <c r="A2419">
        <v>2418</v>
      </c>
      <c r="B2419">
        <v>21</v>
      </c>
      <c r="C2419" t="s">
        <v>16</v>
      </c>
      <c r="D2419" t="s">
        <v>123</v>
      </c>
      <c r="E2419" t="s">
        <v>60</v>
      </c>
      <c r="F2419">
        <v>24</v>
      </c>
      <c r="G2419" t="s">
        <v>111</v>
      </c>
      <c r="H2419" t="s">
        <v>39</v>
      </c>
      <c r="I2419" t="s">
        <v>69</v>
      </c>
      <c r="J2419" t="s">
        <v>50</v>
      </c>
      <c r="K2419">
        <v>3.3</v>
      </c>
      <c r="L2419" t="s">
        <v>143</v>
      </c>
      <c r="M2419" t="s">
        <v>143</v>
      </c>
      <c r="N2419">
        <v>32</v>
      </c>
      <c r="O2419" t="s">
        <v>24</v>
      </c>
      <c r="P2419" t="s">
        <v>25</v>
      </c>
    </row>
    <row r="2420" spans="1:16" ht="14.5" x14ac:dyDescent="0.35">
      <c r="A2420">
        <v>2419</v>
      </c>
      <c r="B2420">
        <v>22</v>
      </c>
      <c r="C2420" t="s">
        <v>16</v>
      </c>
      <c r="D2420" t="s">
        <v>86</v>
      </c>
      <c r="E2420" t="s">
        <v>18</v>
      </c>
      <c r="F2420">
        <v>69</v>
      </c>
      <c r="G2420" t="s">
        <v>142</v>
      </c>
      <c r="H2420" t="s">
        <v>32</v>
      </c>
      <c r="I2420" t="s">
        <v>117</v>
      </c>
      <c r="J2420" t="s">
        <v>50</v>
      </c>
      <c r="K2420">
        <v>4</v>
      </c>
      <c r="L2420" t="s">
        <v>143</v>
      </c>
      <c r="M2420" t="s">
        <v>143</v>
      </c>
      <c r="N2420">
        <v>47</v>
      </c>
      <c r="O2420" t="s">
        <v>29</v>
      </c>
      <c r="P2420" t="s">
        <v>88</v>
      </c>
    </row>
    <row r="2421" spans="1:16" ht="14.5" x14ac:dyDescent="0.35">
      <c r="A2421">
        <v>2420</v>
      </c>
      <c r="B2421">
        <v>26</v>
      </c>
      <c r="C2421" t="s">
        <v>16</v>
      </c>
      <c r="D2421" t="s">
        <v>26</v>
      </c>
      <c r="E2421" t="s">
        <v>18</v>
      </c>
      <c r="F2421">
        <v>40</v>
      </c>
      <c r="G2421" t="s">
        <v>89</v>
      </c>
      <c r="H2421" t="s">
        <v>39</v>
      </c>
      <c r="I2421" t="s">
        <v>135</v>
      </c>
      <c r="J2421" t="s">
        <v>50</v>
      </c>
      <c r="K2421">
        <v>2.7</v>
      </c>
      <c r="L2421" t="s">
        <v>143</v>
      </c>
      <c r="M2421" t="s">
        <v>143</v>
      </c>
      <c r="N2421">
        <v>11</v>
      </c>
      <c r="O2421" t="s">
        <v>34</v>
      </c>
      <c r="P2421" t="s">
        <v>88</v>
      </c>
    </row>
    <row r="2422" spans="1:16" ht="14.5" x14ac:dyDescent="0.35">
      <c r="A2422">
        <v>2421</v>
      </c>
      <c r="B2422">
        <v>41</v>
      </c>
      <c r="C2422" t="s">
        <v>16</v>
      </c>
      <c r="D2422" t="s">
        <v>93</v>
      </c>
      <c r="E2422" t="s">
        <v>56</v>
      </c>
      <c r="F2422">
        <v>87</v>
      </c>
      <c r="G2422" t="s">
        <v>89</v>
      </c>
      <c r="H2422" t="s">
        <v>32</v>
      </c>
      <c r="I2422" t="s">
        <v>87</v>
      </c>
      <c r="J2422" t="s">
        <v>22</v>
      </c>
      <c r="K2422">
        <v>4.2</v>
      </c>
      <c r="L2422" t="s">
        <v>143</v>
      </c>
      <c r="M2422" t="s">
        <v>143</v>
      </c>
      <c r="N2422">
        <v>28</v>
      </c>
      <c r="O2422" t="s">
        <v>40</v>
      </c>
      <c r="P2422" t="s">
        <v>43</v>
      </c>
    </row>
    <row r="2423" spans="1:16" ht="14.5" x14ac:dyDescent="0.35">
      <c r="A2423">
        <v>2422</v>
      </c>
      <c r="B2423">
        <v>37</v>
      </c>
      <c r="C2423" t="s">
        <v>16</v>
      </c>
      <c r="D2423" t="s">
        <v>44</v>
      </c>
      <c r="E2423" t="s">
        <v>37</v>
      </c>
      <c r="F2423">
        <v>46</v>
      </c>
      <c r="G2423" t="s">
        <v>139</v>
      </c>
      <c r="H2423" t="s">
        <v>20</v>
      </c>
      <c r="I2423" t="s">
        <v>62</v>
      </c>
      <c r="J2423" t="s">
        <v>33</v>
      </c>
      <c r="K2423">
        <v>4.5999999999999996</v>
      </c>
      <c r="L2423" t="s">
        <v>143</v>
      </c>
      <c r="M2423" t="s">
        <v>143</v>
      </c>
      <c r="N2423">
        <v>2</v>
      </c>
      <c r="O2423" t="s">
        <v>77</v>
      </c>
      <c r="P2423" t="s">
        <v>88</v>
      </c>
    </row>
    <row r="2424" spans="1:16" ht="14.5" x14ac:dyDescent="0.35">
      <c r="A2424">
        <v>2423</v>
      </c>
      <c r="B2424">
        <v>30</v>
      </c>
      <c r="C2424" t="s">
        <v>16</v>
      </c>
      <c r="D2424" t="s">
        <v>97</v>
      </c>
      <c r="E2424" t="s">
        <v>60</v>
      </c>
      <c r="F2424">
        <v>82</v>
      </c>
      <c r="G2424" t="s">
        <v>133</v>
      </c>
      <c r="H2424" t="s">
        <v>39</v>
      </c>
      <c r="I2424" t="s">
        <v>91</v>
      </c>
      <c r="J2424" t="s">
        <v>22</v>
      </c>
      <c r="K2424">
        <v>4.8</v>
      </c>
      <c r="L2424" t="s">
        <v>143</v>
      </c>
      <c r="M2424" t="s">
        <v>143</v>
      </c>
      <c r="N2424">
        <v>45</v>
      </c>
      <c r="O2424" t="s">
        <v>34</v>
      </c>
      <c r="P2424" t="s">
        <v>35</v>
      </c>
    </row>
    <row r="2425" spans="1:16" ht="14.5" x14ac:dyDescent="0.35">
      <c r="A2425">
        <v>2424</v>
      </c>
      <c r="B2425">
        <v>49</v>
      </c>
      <c r="C2425" t="s">
        <v>16</v>
      </c>
      <c r="D2425" t="s">
        <v>123</v>
      </c>
      <c r="E2425" t="s">
        <v>60</v>
      </c>
      <c r="F2425">
        <v>81</v>
      </c>
      <c r="G2425" t="s">
        <v>57</v>
      </c>
      <c r="H2425" t="s">
        <v>39</v>
      </c>
      <c r="I2425" t="s">
        <v>65</v>
      </c>
      <c r="J2425" t="s">
        <v>47</v>
      </c>
      <c r="K2425">
        <v>2.8</v>
      </c>
      <c r="L2425" t="s">
        <v>143</v>
      </c>
      <c r="M2425" t="s">
        <v>143</v>
      </c>
      <c r="N2425">
        <v>7</v>
      </c>
      <c r="O2425" t="s">
        <v>34</v>
      </c>
      <c r="P2425" t="s">
        <v>88</v>
      </c>
    </row>
    <row r="2426" spans="1:16" ht="14.5" x14ac:dyDescent="0.35">
      <c r="A2426">
        <v>2425</v>
      </c>
      <c r="B2426">
        <v>49</v>
      </c>
      <c r="C2426" t="s">
        <v>16</v>
      </c>
      <c r="D2426" t="s">
        <v>97</v>
      </c>
      <c r="E2426" t="s">
        <v>60</v>
      </c>
      <c r="F2426">
        <v>57</v>
      </c>
      <c r="G2426" t="s">
        <v>70</v>
      </c>
      <c r="H2426" t="s">
        <v>39</v>
      </c>
      <c r="I2426" t="s">
        <v>91</v>
      </c>
      <c r="J2426" t="s">
        <v>22</v>
      </c>
      <c r="K2426">
        <v>4.5</v>
      </c>
      <c r="L2426" t="s">
        <v>143</v>
      </c>
      <c r="M2426" t="s">
        <v>143</v>
      </c>
      <c r="N2426">
        <v>28</v>
      </c>
      <c r="O2426" t="s">
        <v>66</v>
      </c>
      <c r="P2426" t="s">
        <v>67</v>
      </c>
    </row>
    <row r="2427" spans="1:16" ht="14.5" x14ac:dyDescent="0.35">
      <c r="A2427">
        <v>2426</v>
      </c>
      <c r="B2427">
        <v>58</v>
      </c>
      <c r="C2427" t="s">
        <v>16</v>
      </c>
      <c r="D2427" t="s">
        <v>63</v>
      </c>
      <c r="E2427" t="s">
        <v>37</v>
      </c>
      <c r="F2427">
        <v>49</v>
      </c>
      <c r="G2427" t="s">
        <v>105</v>
      </c>
      <c r="H2427" t="s">
        <v>32</v>
      </c>
      <c r="I2427" t="s">
        <v>69</v>
      </c>
      <c r="J2427" t="s">
        <v>47</v>
      </c>
      <c r="K2427">
        <v>3</v>
      </c>
      <c r="L2427" t="s">
        <v>143</v>
      </c>
      <c r="M2427" t="s">
        <v>143</v>
      </c>
      <c r="N2427">
        <v>34</v>
      </c>
      <c r="O2427" t="s">
        <v>66</v>
      </c>
      <c r="P2427" t="s">
        <v>51</v>
      </c>
    </row>
    <row r="2428" spans="1:16" ht="14.5" x14ac:dyDescent="0.35">
      <c r="A2428">
        <v>2427</v>
      </c>
      <c r="B2428">
        <v>70</v>
      </c>
      <c r="C2428" t="s">
        <v>16</v>
      </c>
      <c r="D2428" t="s">
        <v>93</v>
      </c>
      <c r="E2428" t="s">
        <v>56</v>
      </c>
      <c r="F2428">
        <v>42</v>
      </c>
      <c r="G2428" t="s">
        <v>94</v>
      </c>
      <c r="H2428" t="s">
        <v>39</v>
      </c>
      <c r="I2428" t="s">
        <v>69</v>
      </c>
      <c r="J2428" t="s">
        <v>50</v>
      </c>
      <c r="K2428">
        <v>4.5999999999999996</v>
      </c>
      <c r="L2428" t="s">
        <v>143</v>
      </c>
      <c r="M2428" t="s">
        <v>143</v>
      </c>
      <c r="N2428">
        <v>26</v>
      </c>
      <c r="O2428" t="s">
        <v>77</v>
      </c>
      <c r="P2428" t="s">
        <v>88</v>
      </c>
    </row>
    <row r="2429" spans="1:16" ht="14.5" x14ac:dyDescent="0.35">
      <c r="A2429">
        <v>2428</v>
      </c>
      <c r="B2429">
        <v>27</v>
      </c>
      <c r="C2429" t="s">
        <v>16</v>
      </c>
      <c r="D2429" t="s">
        <v>93</v>
      </c>
      <c r="E2429" t="s">
        <v>56</v>
      </c>
      <c r="F2429">
        <v>26</v>
      </c>
      <c r="G2429" t="s">
        <v>41</v>
      </c>
      <c r="H2429" t="s">
        <v>39</v>
      </c>
      <c r="I2429" t="s">
        <v>65</v>
      </c>
      <c r="J2429" t="s">
        <v>33</v>
      </c>
      <c r="K2429">
        <v>3.3</v>
      </c>
      <c r="L2429" t="s">
        <v>143</v>
      </c>
      <c r="M2429" t="s">
        <v>143</v>
      </c>
      <c r="N2429">
        <v>45</v>
      </c>
      <c r="O2429" t="s">
        <v>29</v>
      </c>
      <c r="P2429" t="s">
        <v>51</v>
      </c>
    </row>
    <row r="2430" spans="1:16" ht="14.5" x14ac:dyDescent="0.35">
      <c r="A2430">
        <v>2429</v>
      </c>
      <c r="B2430">
        <v>65</v>
      </c>
      <c r="C2430" t="s">
        <v>16</v>
      </c>
      <c r="D2430" t="s">
        <v>104</v>
      </c>
      <c r="E2430" t="s">
        <v>18</v>
      </c>
      <c r="F2430">
        <v>38</v>
      </c>
      <c r="G2430" t="s">
        <v>126</v>
      </c>
      <c r="H2430" t="s">
        <v>39</v>
      </c>
      <c r="I2430" t="s">
        <v>74</v>
      </c>
      <c r="J2430" t="s">
        <v>33</v>
      </c>
      <c r="K2430">
        <v>4.4000000000000004</v>
      </c>
      <c r="L2430" t="s">
        <v>143</v>
      </c>
      <c r="M2430" t="s">
        <v>143</v>
      </c>
      <c r="N2430">
        <v>34</v>
      </c>
      <c r="O2430" t="s">
        <v>77</v>
      </c>
      <c r="P2430" t="s">
        <v>43</v>
      </c>
    </row>
    <row r="2431" spans="1:16" ht="14.5" x14ac:dyDescent="0.35">
      <c r="A2431">
        <v>2430</v>
      </c>
      <c r="B2431">
        <v>57</v>
      </c>
      <c r="C2431" t="s">
        <v>16</v>
      </c>
      <c r="D2431" t="s">
        <v>44</v>
      </c>
      <c r="E2431" t="s">
        <v>37</v>
      </c>
      <c r="F2431">
        <v>57</v>
      </c>
      <c r="G2431" t="s">
        <v>132</v>
      </c>
      <c r="H2431" t="s">
        <v>83</v>
      </c>
      <c r="I2431" t="s">
        <v>28</v>
      </c>
      <c r="J2431" t="s">
        <v>47</v>
      </c>
      <c r="K2431">
        <v>4.4000000000000004</v>
      </c>
      <c r="L2431" t="s">
        <v>143</v>
      </c>
      <c r="M2431" t="s">
        <v>143</v>
      </c>
      <c r="N2431">
        <v>47</v>
      </c>
      <c r="O2431" t="s">
        <v>34</v>
      </c>
      <c r="P2431" t="s">
        <v>25</v>
      </c>
    </row>
    <row r="2432" spans="1:16" ht="14.5" x14ac:dyDescent="0.35">
      <c r="A2432">
        <v>2431</v>
      </c>
      <c r="B2432">
        <v>20</v>
      </c>
      <c r="C2432" t="s">
        <v>16</v>
      </c>
      <c r="D2432" t="s">
        <v>93</v>
      </c>
      <c r="E2432" t="s">
        <v>56</v>
      </c>
      <c r="F2432">
        <v>100</v>
      </c>
      <c r="G2432" t="s">
        <v>105</v>
      </c>
      <c r="H2432" t="s">
        <v>83</v>
      </c>
      <c r="I2432" t="s">
        <v>46</v>
      </c>
      <c r="J2432" t="s">
        <v>47</v>
      </c>
      <c r="K2432">
        <v>4.3</v>
      </c>
      <c r="L2432" t="s">
        <v>143</v>
      </c>
      <c r="M2432" t="s">
        <v>143</v>
      </c>
      <c r="N2432">
        <v>42</v>
      </c>
      <c r="O2432" t="s">
        <v>29</v>
      </c>
      <c r="P2432" t="s">
        <v>51</v>
      </c>
    </row>
    <row r="2433" spans="1:16" ht="14.5" x14ac:dyDescent="0.35">
      <c r="A2433">
        <v>2432</v>
      </c>
      <c r="B2433">
        <v>34</v>
      </c>
      <c r="C2433" t="s">
        <v>16</v>
      </c>
      <c r="D2433" t="s">
        <v>95</v>
      </c>
      <c r="E2433" t="s">
        <v>18</v>
      </c>
      <c r="F2433">
        <v>73</v>
      </c>
      <c r="G2433" t="s">
        <v>81</v>
      </c>
      <c r="H2433" t="s">
        <v>32</v>
      </c>
      <c r="I2433" t="s">
        <v>69</v>
      </c>
      <c r="J2433" t="s">
        <v>50</v>
      </c>
      <c r="K2433">
        <v>3.4</v>
      </c>
      <c r="L2433" t="s">
        <v>143</v>
      </c>
      <c r="M2433" t="s">
        <v>143</v>
      </c>
      <c r="N2433">
        <v>27</v>
      </c>
      <c r="O2433" t="s">
        <v>66</v>
      </c>
      <c r="P2433" t="s">
        <v>88</v>
      </c>
    </row>
    <row r="2434" spans="1:16" ht="14.5" x14ac:dyDescent="0.35">
      <c r="A2434">
        <v>2433</v>
      </c>
      <c r="B2434">
        <v>59</v>
      </c>
      <c r="C2434" t="s">
        <v>16</v>
      </c>
      <c r="D2434" t="s">
        <v>93</v>
      </c>
      <c r="E2434" t="s">
        <v>56</v>
      </c>
      <c r="F2434">
        <v>66</v>
      </c>
      <c r="G2434" t="s">
        <v>68</v>
      </c>
      <c r="H2434" t="s">
        <v>39</v>
      </c>
      <c r="I2434" t="s">
        <v>91</v>
      </c>
      <c r="J2434" t="s">
        <v>22</v>
      </c>
      <c r="K2434">
        <v>2.8</v>
      </c>
      <c r="L2434" t="s">
        <v>143</v>
      </c>
      <c r="M2434" t="s">
        <v>143</v>
      </c>
      <c r="N2434">
        <v>43</v>
      </c>
      <c r="O2434" t="s">
        <v>24</v>
      </c>
      <c r="P2434" t="s">
        <v>79</v>
      </c>
    </row>
    <row r="2435" spans="1:16" ht="14.5" x14ac:dyDescent="0.35">
      <c r="A2435">
        <v>2434</v>
      </c>
      <c r="B2435">
        <v>54</v>
      </c>
      <c r="C2435" t="s">
        <v>16</v>
      </c>
      <c r="D2435" t="s">
        <v>104</v>
      </c>
      <c r="E2435" t="s">
        <v>18</v>
      </c>
      <c r="F2435">
        <v>73</v>
      </c>
      <c r="G2435" t="s">
        <v>41</v>
      </c>
      <c r="H2435" t="s">
        <v>39</v>
      </c>
      <c r="I2435" t="s">
        <v>135</v>
      </c>
      <c r="J2435" t="s">
        <v>33</v>
      </c>
      <c r="K2435">
        <v>3.4</v>
      </c>
      <c r="L2435" t="s">
        <v>143</v>
      </c>
      <c r="M2435" t="s">
        <v>143</v>
      </c>
      <c r="N2435">
        <v>16</v>
      </c>
      <c r="O2435" t="s">
        <v>29</v>
      </c>
      <c r="P2435" t="s">
        <v>67</v>
      </c>
    </row>
    <row r="2436" spans="1:16" ht="14.5" x14ac:dyDescent="0.35">
      <c r="A2436">
        <v>2435</v>
      </c>
      <c r="B2436">
        <v>36</v>
      </c>
      <c r="C2436" t="s">
        <v>16</v>
      </c>
      <c r="D2436" t="s">
        <v>134</v>
      </c>
      <c r="E2436" t="s">
        <v>60</v>
      </c>
      <c r="F2436">
        <v>45</v>
      </c>
      <c r="G2436" t="s">
        <v>131</v>
      </c>
      <c r="H2436" t="s">
        <v>39</v>
      </c>
      <c r="I2436" t="s">
        <v>101</v>
      </c>
      <c r="J2436" t="s">
        <v>33</v>
      </c>
      <c r="K2436">
        <v>5</v>
      </c>
      <c r="L2436" t="s">
        <v>143</v>
      </c>
      <c r="M2436" t="s">
        <v>143</v>
      </c>
      <c r="N2436">
        <v>40</v>
      </c>
      <c r="O2436" t="s">
        <v>34</v>
      </c>
      <c r="P2436" t="s">
        <v>79</v>
      </c>
    </row>
    <row r="2437" spans="1:16" ht="14.5" x14ac:dyDescent="0.35">
      <c r="A2437">
        <v>2436</v>
      </c>
      <c r="B2437">
        <v>21</v>
      </c>
      <c r="C2437" t="s">
        <v>16</v>
      </c>
      <c r="D2437" t="s">
        <v>44</v>
      </c>
      <c r="E2437" t="s">
        <v>37</v>
      </c>
      <c r="F2437">
        <v>27</v>
      </c>
      <c r="G2437" t="s">
        <v>68</v>
      </c>
      <c r="H2437" t="s">
        <v>32</v>
      </c>
      <c r="I2437" t="s">
        <v>85</v>
      </c>
      <c r="J2437" t="s">
        <v>50</v>
      </c>
      <c r="K2437">
        <v>4.5</v>
      </c>
      <c r="L2437" t="s">
        <v>143</v>
      </c>
      <c r="M2437" t="s">
        <v>143</v>
      </c>
      <c r="N2437">
        <v>29</v>
      </c>
      <c r="O2437" t="s">
        <v>29</v>
      </c>
      <c r="P2437" t="s">
        <v>67</v>
      </c>
    </row>
    <row r="2438" spans="1:16" ht="14.5" x14ac:dyDescent="0.35">
      <c r="A2438">
        <v>2437</v>
      </c>
      <c r="B2438">
        <v>52</v>
      </c>
      <c r="C2438" t="s">
        <v>16</v>
      </c>
      <c r="D2438" t="s">
        <v>104</v>
      </c>
      <c r="E2438" t="s">
        <v>18</v>
      </c>
      <c r="F2438">
        <v>24</v>
      </c>
      <c r="G2438" t="s">
        <v>130</v>
      </c>
      <c r="H2438" t="s">
        <v>39</v>
      </c>
      <c r="I2438" t="s">
        <v>125</v>
      </c>
      <c r="J2438" t="s">
        <v>50</v>
      </c>
      <c r="K2438">
        <v>2.7</v>
      </c>
      <c r="L2438" t="s">
        <v>143</v>
      </c>
      <c r="M2438" t="s">
        <v>143</v>
      </c>
      <c r="N2438">
        <v>38</v>
      </c>
      <c r="O2438" t="s">
        <v>34</v>
      </c>
      <c r="P2438" t="s">
        <v>51</v>
      </c>
    </row>
    <row r="2439" spans="1:16" ht="14.5" x14ac:dyDescent="0.35">
      <c r="A2439">
        <v>2438</v>
      </c>
      <c r="B2439">
        <v>43</v>
      </c>
      <c r="C2439" t="s">
        <v>16</v>
      </c>
      <c r="D2439" t="s">
        <v>44</v>
      </c>
      <c r="E2439" t="s">
        <v>37</v>
      </c>
      <c r="F2439">
        <v>59</v>
      </c>
      <c r="G2439" t="s">
        <v>45</v>
      </c>
      <c r="H2439" t="s">
        <v>83</v>
      </c>
      <c r="I2439" t="s">
        <v>127</v>
      </c>
      <c r="J2439" t="s">
        <v>22</v>
      </c>
      <c r="K2439">
        <v>3.4</v>
      </c>
      <c r="L2439" t="s">
        <v>143</v>
      </c>
      <c r="M2439" t="s">
        <v>143</v>
      </c>
      <c r="N2439">
        <v>34</v>
      </c>
      <c r="O2439" t="s">
        <v>34</v>
      </c>
      <c r="P2439" t="s">
        <v>35</v>
      </c>
    </row>
    <row r="2440" spans="1:16" ht="14.5" x14ac:dyDescent="0.35">
      <c r="A2440">
        <v>2439</v>
      </c>
      <c r="B2440">
        <v>32</v>
      </c>
      <c r="C2440" t="s">
        <v>16</v>
      </c>
      <c r="D2440" t="s">
        <v>30</v>
      </c>
      <c r="E2440" t="s">
        <v>18</v>
      </c>
      <c r="F2440">
        <v>20</v>
      </c>
      <c r="G2440" t="s">
        <v>70</v>
      </c>
      <c r="H2440" t="s">
        <v>32</v>
      </c>
      <c r="I2440" t="s">
        <v>100</v>
      </c>
      <c r="J2440" t="s">
        <v>22</v>
      </c>
      <c r="K2440">
        <v>3.4</v>
      </c>
      <c r="L2440" t="s">
        <v>143</v>
      </c>
      <c r="M2440" t="s">
        <v>143</v>
      </c>
      <c r="N2440">
        <v>30</v>
      </c>
      <c r="O2440" t="s">
        <v>24</v>
      </c>
      <c r="P2440" t="s">
        <v>35</v>
      </c>
    </row>
    <row r="2441" spans="1:16" ht="14.5" x14ac:dyDescent="0.35">
      <c r="A2441">
        <v>2440</v>
      </c>
      <c r="B2441">
        <v>55</v>
      </c>
      <c r="C2441" t="s">
        <v>16</v>
      </c>
      <c r="D2441" t="s">
        <v>59</v>
      </c>
      <c r="E2441" t="s">
        <v>60</v>
      </c>
      <c r="F2441">
        <v>44</v>
      </c>
      <c r="G2441" t="s">
        <v>64</v>
      </c>
      <c r="H2441" t="s">
        <v>39</v>
      </c>
      <c r="I2441" t="s">
        <v>28</v>
      </c>
      <c r="J2441" t="s">
        <v>47</v>
      </c>
      <c r="K2441">
        <v>2.8</v>
      </c>
      <c r="L2441" t="s">
        <v>143</v>
      </c>
      <c r="M2441" t="s">
        <v>143</v>
      </c>
      <c r="N2441">
        <v>45</v>
      </c>
      <c r="O2441" t="s">
        <v>66</v>
      </c>
      <c r="P2441" t="s">
        <v>43</v>
      </c>
    </row>
    <row r="2442" spans="1:16" ht="14.5" x14ac:dyDescent="0.35">
      <c r="A2442">
        <v>2441</v>
      </c>
      <c r="B2442">
        <v>31</v>
      </c>
      <c r="C2442" t="s">
        <v>16</v>
      </c>
      <c r="D2442" t="s">
        <v>116</v>
      </c>
      <c r="E2442" t="s">
        <v>18</v>
      </c>
      <c r="F2442">
        <v>90</v>
      </c>
      <c r="G2442" t="s">
        <v>107</v>
      </c>
      <c r="H2442" t="s">
        <v>39</v>
      </c>
      <c r="I2442" t="s">
        <v>99</v>
      </c>
      <c r="J2442" t="s">
        <v>33</v>
      </c>
      <c r="K2442">
        <v>4.7</v>
      </c>
      <c r="L2442" t="s">
        <v>143</v>
      </c>
      <c r="M2442" t="s">
        <v>143</v>
      </c>
      <c r="N2442">
        <v>47</v>
      </c>
      <c r="O2442" t="s">
        <v>66</v>
      </c>
      <c r="P2442" t="s">
        <v>43</v>
      </c>
    </row>
    <row r="2443" spans="1:16" ht="14.5" x14ac:dyDescent="0.35">
      <c r="A2443">
        <v>2442</v>
      </c>
      <c r="B2443">
        <v>45</v>
      </c>
      <c r="C2443" t="s">
        <v>16</v>
      </c>
      <c r="D2443" t="s">
        <v>97</v>
      </c>
      <c r="E2443" t="s">
        <v>60</v>
      </c>
      <c r="F2443">
        <v>36</v>
      </c>
      <c r="G2443" t="s">
        <v>90</v>
      </c>
      <c r="H2443" t="s">
        <v>39</v>
      </c>
      <c r="I2443" t="s">
        <v>85</v>
      </c>
      <c r="J2443" t="s">
        <v>50</v>
      </c>
      <c r="K2443">
        <v>4.7</v>
      </c>
      <c r="L2443" t="s">
        <v>143</v>
      </c>
      <c r="M2443" t="s">
        <v>143</v>
      </c>
      <c r="N2443">
        <v>5</v>
      </c>
      <c r="O2443" t="s">
        <v>34</v>
      </c>
      <c r="P2443" t="s">
        <v>79</v>
      </c>
    </row>
    <row r="2444" spans="1:16" ht="14.5" x14ac:dyDescent="0.35">
      <c r="A2444">
        <v>2443</v>
      </c>
      <c r="B2444">
        <v>53</v>
      </c>
      <c r="C2444" t="s">
        <v>16</v>
      </c>
      <c r="D2444" t="s">
        <v>17</v>
      </c>
      <c r="E2444" t="s">
        <v>18</v>
      </c>
      <c r="F2444">
        <v>95</v>
      </c>
      <c r="G2444" t="s">
        <v>45</v>
      </c>
      <c r="H2444" t="s">
        <v>20</v>
      </c>
      <c r="I2444" t="s">
        <v>74</v>
      </c>
      <c r="J2444" t="s">
        <v>22</v>
      </c>
      <c r="K2444">
        <v>4.7</v>
      </c>
      <c r="L2444" t="s">
        <v>143</v>
      </c>
      <c r="M2444" t="s">
        <v>143</v>
      </c>
      <c r="N2444">
        <v>50</v>
      </c>
      <c r="O2444" t="s">
        <v>77</v>
      </c>
      <c r="P2444" t="s">
        <v>67</v>
      </c>
    </row>
    <row r="2445" spans="1:16" ht="14.5" x14ac:dyDescent="0.35">
      <c r="A2445">
        <v>2444</v>
      </c>
      <c r="B2445">
        <v>24</v>
      </c>
      <c r="C2445" t="s">
        <v>16</v>
      </c>
      <c r="D2445" t="s">
        <v>123</v>
      </c>
      <c r="E2445" t="s">
        <v>60</v>
      </c>
      <c r="F2445">
        <v>30</v>
      </c>
      <c r="G2445" t="s">
        <v>138</v>
      </c>
      <c r="H2445" t="s">
        <v>39</v>
      </c>
      <c r="I2445" t="s">
        <v>87</v>
      </c>
      <c r="J2445" t="s">
        <v>33</v>
      </c>
      <c r="K2445">
        <v>3.4</v>
      </c>
      <c r="L2445" t="s">
        <v>143</v>
      </c>
      <c r="M2445" t="s">
        <v>143</v>
      </c>
      <c r="N2445">
        <v>24</v>
      </c>
      <c r="O2445" t="s">
        <v>66</v>
      </c>
      <c r="P2445" t="s">
        <v>67</v>
      </c>
    </row>
    <row r="2446" spans="1:16" ht="14.5" x14ac:dyDescent="0.35">
      <c r="A2446">
        <v>2445</v>
      </c>
      <c r="B2446">
        <v>47</v>
      </c>
      <c r="C2446" t="s">
        <v>16</v>
      </c>
      <c r="D2446" t="s">
        <v>110</v>
      </c>
      <c r="E2446" t="s">
        <v>60</v>
      </c>
      <c r="F2446">
        <v>65</v>
      </c>
      <c r="G2446" t="s">
        <v>57</v>
      </c>
      <c r="H2446" t="s">
        <v>32</v>
      </c>
      <c r="I2446" t="s">
        <v>71</v>
      </c>
      <c r="J2446" t="s">
        <v>50</v>
      </c>
      <c r="K2446">
        <v>3.7</v>
      </c>
      <c r="L2446" t="s">
        <v>143</v>
      </c>
      <c r="M2446" t="s">
        <v>143</v>
      </c>
      <c r="N2446">
        <v>15</v>
      </c>
      <c r="O2446" t="s">
        <v>77</v>
      </c>
      <c r="P2446" t="s">
        <v>67</v>
      </c>
    </row>
    <row r="2447" spans="1:16" ht="14.5" x14ac:dyDescent="0.35">
      <c r="A2447">
        <v>2446</v>
      </c>
      <c r="B2447">
        <v>63</v>
      </c>
      <c r="C2447" t="s">
        <v>16</v>
      </c>
      <c r="D2447" t="s">
        <v>110</v>
      </c>
      <c r="E2447" t="s">
        <v>60</v>
      </c>
      <c r="F2447">
        <v>96</v>
      </c>
      <c r="G2447" t="s">
        <v>113</v>
      </c>
      <c r="H2447" t="s">
        <v>39</v>
      </c>
      <c r="I2447" t="s">
        <v>101</v>
      </c>
      <c r="J2447" t="s">
        <v>47</v>
      </c>
      <c r="K2447">
        <v>4.0999999999999996</v>
      </c>
      <c r="L2447" t="s">
        <v>143</v>
      </c>
      <c r="M2447" t="s">
        <v>143</v>
      </c>
      <c r="N2447">
        <v>50</v>
      </c>
      <c r="O2447" t="s">
        <v>29</v>
      </c>
      <c r="P2447" t="s">
        <v>35</v>
      </c>
    </row>
    <row r="2448" spans="1:16" ht="14.5" x14ac:dyDescent="0.35">
      <c r="A2448">
        <v>2447</v>
      </c>
      <c r="B2448">
        <v>38</v>
      </c>
      <c r="C2448" t="s">
        <v>16</v>
      </c>
      <c r="D2448" t="s">
        <v>48</v>
      </c>
      <c r="E2448" t="s">
        <v>18</v>
      </c>
      <c r="F2448">
        <v>65</v>
      </c>
      <c r="G2448" t="s">
        <v>111</v>
      </c>
      <c r="H2448" t="s">
        <v>20</v>
      </c>
      <c r="I2448" t="s">
        <v>91</v>
      </c>
      <c r="J2448" t="s">
        <v>33</v>
      </c>
      <c r="K2448">
        <v>2.9</v>
      </c>
      <c r="L2448" t="s">
        <v>143</v>
      </c>
      <c r="M2448" t="s">
        <v>143</v>
      </c>
      <c r="N2448">
        <v>7</v>
      </c>
      <c r="O2448" t="s">
        <v>34</v>
      </c>
      <c r="P2448" t="s">
        <v>79</v>
      </c>
    </row>
    <row r="2449" spans="1:16" ht="14.5" x14ac:dyDescent="0.35">
      <c r="A2449">
        <v>2448</v>
      </c>
      <c r="B2449">
        <v>59</v>
      </c>
      <c r="C2449" t="s">
        <v>16</v>
      </c>
      <c r="D2449" t="s">
        <v>86</v>
      </c>
      <c r="E2449" t="s">
        <v>18</v>
      </c>
      <c r="F2449">
        <v>47</v>
      </c>
      <c r="G2449" t="s">
        <v>138</v>
      </c>
      <c r="H2449" t="s">
        <v>20</v>
      </c>
      <c r="I2449" t="s">
        <v>91</v>
      </c>
      <c r="J2449" t="s">
        <v>50</v>
      </c>
      <c r="K2449">
        <v>3.2</v>
      </c>
      <c r="L2449" t="s">
        <v>143</v>
      </c>
      <c r="M2449" t="s">
        <v>143</v>
      </c>
      <c r="N2449">
        <v>10</v>
      </c>
      <c r="O2449" t="s">
        <v>24</v>
      </c>
      <c r="P2449" t="s">
        <v>25</v>
      </c>
    </row>
    <row r="2450" spans="1:16" ht="14.5" x14ac:dyDescent="0.35">
      <c r="A2450">
        <v>2449</v>
      </c>
      <c r="B2450">
        <v>54</v>
      </c>
      <c r="C2450" t="s">
        <v>16</v>
      </c>
      <c r="D2450" t="s">
        <v>115</v>
      </c>
      <c r="E2450" t="s">
        <v>60</v>
      </c>
      <c r="F2450">
        <v>25</v>
      </c>
      <c r="G2450" t="s">
        <v>113</v>
      </c>
      <c r="H2450" t="s">
        <v>32</v>
      </c>
      <c r="I2450" t="s">
        <v>74</v>
      </c>
      <c r="J2450" t="s">
        <v>50</v>
      </c>
      <c r="K2450">
        <v>3</v>
      </c>
      <c r="L2450" t="s">
        <v>143</v>
      </c>
      <c r="M2450" t="s">
        <v>143</v>
      </c>
      <c r="N2450">
        <v>38</v>
      </c>
      <c r="O2450" t="s">
        <v>40</v>
      </c>
      <c r="P2450" t="s">
        <v>67</v>
      </c>
    </row>
    <row r="2451" spans="1:16" ht="14.5" x14ac:dyDescent="0.35">
      <c r="A2451">
        <v>2450</v>
      </c>
      <c r="B2451">
        <v>26</v>
      </c>
      <c r="C2451" t="s">
        <v>16</v>
      </c>
      <c r="D2451" t="s">
        <v>55</v>
      </c>
      <c r="E2451" t="s">
        <v>56</v>
      </c>
      <c r="F2451">
        <v>56</v>
      </c>
      <c r="G2451" t="s">
        <v>81</v>
      </c>
      <c r="H2451" t="s">
        <v>32</v>
      </c>
      <c r="I2451" t="s">
        <v>74</v>
      </c>
      <c r="J2451" t="s">
        <v>50</v>
      </c>
      <c r="K2451">
        <v>4.0999999999999996</v>
      </c>
      <c r="L2451" t="s">
        <v>143</v>
      </c>
      <c r="M2451" t="s">
        <v>143</v>
      </c>
      <c r="N2451">
        <v>31</v>
      </c>
      <c r="O2451" t="s">
        <v>24</v>
      </c>
      <c r="P2451" t="s">
        <v>25</v>
      </c>
    </row>
    <row r="2452" spans="1:16" ht="14.5" x14ac:dyDescent="0.35">
      <c r="A2452">
        <v>2451</v>
      </c>
      <c r="B2452">
        <v>68</v>
      </c>
      <c r="C2452" t="s">
        <v>16</v>
      </c>
      <c r="D2452" t="s">
        <v>104</v>
      </c>
      <c r="E2452" t="s">
        <v>18</v>
      </c>
      <c r="F2452">
        <v>76</v>
      </c>
      <c r="G2452" t="s">
        <v>89</v>
      </c>
      <c r="H2452" t="s">
        <v>39</v>
      </c>
      <c r="I2452" t="s">
        <v>127</v>
      </c>
      <c r="J2452" t="s">
        <v>50</v>
      </c>
      <c r="K2452">
        <v>4.5</v>
      </c>
      <c r="L2452" t="s">
        <v>143</v>
      </c>
      <c r="M2452" t="s">
        <v>143</v>
      </c>
      <c r="N2452">
        <v>7</v>
      </c>
      <c r="O2452" t="s">
        <v>24</v>
      </c>
      <c r="P2452" t="s">
        <v>51</v>
      </c>
    </row>
    <row r="2453" spans="1:16" ht="14.5" x14ac:dyDescent="0.35">
      <c r="A2453">
        <v>2452</v>
      </c>
      <c r="B2453">
        <v>41</v>
      </c>
      <c r="C2453" t="s">
        <v>16</v>
      </c>
      <c r="D2453" t="s">
        <v>116</v>
      </c>
      <c r="E2453" t="s">
        <v>18</v>
      </c>
      <c r="F2453">
        <v>60</v>
      </c>
      <c r="G2453" t="s">
        <v>92</v>
      </c>
      <c r="H2453" t="s">
        <v>39</v>
      </c>
      <c r="I2453" t="s">
        <v>65</v>
      </c>
      <c r="J2453" t="s">
        <v>50</v>
      </c>
      <c r="K2453">
        <v>3.4</v>
      </c>
      <c r="L2453" t="s">
        <v>143</v>
      </c>
      <c r="M2453" t="s">
        <v>143</v>
      </c>
      <c r="N2453">
        <v>27</v>
      </c>
      <c r="O2453" t="s">
        <v>24</v>
      </c>
      <c r="P2453" t="s">
        <v>79</v>
      </c>
    </row>
    <row r="2454" spans="1:16" ht="14.5" x14ac:dyDescent="0.35">
      <c r="A2454">
        <v>2453</v>
      </c>
      <c r="B2454">
        <v>68</v>
      </c>
      <c r="C2454" t="s">
        <v>16</v>
      </c>
      <c r="D2454" t="s">
        <v>48</v>
      </c>
      <c r="E2454" t="s">
        <v>18</v>
      </c>
      <c r="F2454">
        <v>67</v>
      </c>
      <c r="G2454" t="s">
        <v>75</v>
      </c>
      <c r="H2454" t="s">
        <v>20</v>
      </c>
      <c r="I2454" t="s">
        <v>65</v>
      </c>
      <c r="J2454" t="s">
        <v>22</v>
      </c>
      <c r="K2454">
        <v>4.0999999999999996</v>
      </c>
      <c r="L2454" t="s">
        <v>143</v>
      </c>
      <c r="M2454" t="s">
        <v>143</v>
      </c>
      <c r="N2454">
        <v>45</v>
      </c>
      <c r="O2454" t="s">
        <v>66</v>
      </c>
      <c r="P2454" t="s">
        <v>88</v>
      </c>
    </row>
    <row r="2455" spans="1:16" ht="14.5" x14ac:dyDescent="0.35">
      <c r="A2455">
        <v>2454</v>
      </c>
      <c r="B2455">
        <v>21</v>
      </c>
      <c r="C2455" t="s">
        <v>16</v>
      </c>
      <c r="D2455" t="s">
        <v>26</v>
      </c>
      <c r="E2455" t="s">
        <v>18</v>
      </c>
      <c r="F2455">
        <v>95</v>
      </c>
      <c r="G2455" t="s">
        <v>137</v>
      </c>
      <c r="H2455" t="s">
        <v>83</v>
      </c>
      <c r="I2455" t="s">
        <v>100</v>
      </c>
      <c r="J2455" t="s">
        <v>33</v>
      </c>
      <c r="K2455">
        <v>4.5999999999999996</v>
      </c>
      <c r="L2455" t="s">
        <v>143</v>
      </c>
      <c r="M2455" t="s">
        <v>143</v>
      </c>
      <c r="N2455">
        <v>13</v>
      </c>
      <c r="O2455" t="s">
        <v>29</v>
      </c>
      <c r="P2455" t="s">
        <v>43</v>
      </c>
    </row>
    <row r="2456" spans="1:16" ht="14.5" x14ac:dyDescent="0.35">
      <c r="A2456">
        <v>2455</v>
      </c>
      <c r="B2456">
        <v>32</v>
      </c>
      <c r="C2456" t="s">
        <v>16</v>
      </c>
      <c r="D2456" t="s">
        <v>134</v>
      </c>
      <c r="E2456" t="s">
        <v>60</v>
      </c>
      <c r="F2456">
        <v>72</v>
      </c>
      <c r="G2456" t="s">
        <v>111</v>
      </c>
      <c r="H2456" t="s">
        <v>39</v>
      </c>
      <c r="I2456" t="s">
        <v>127</v>
      </c>
      <c r="J2456" t="s">
        <v>22</v>
      </c>
      <c r="K2456">
        <v>4.5999999999999996</v>
      </c>
      <c r="L2456" t="s">
        <v>143</v>
      </c>
      <c r="M2456" t="s">
        <v>143</v>
      </c>
      <c r="N2456">
        <v>33</v>
      </c>
      <c r="O2456" t="s">
        <v>24</v>
      </c>
      <c r="P2456" t="s">
        <v>43</v>
      </c>
    </row>
    <row r="2457" spans="1:16" ht="14.5" x14ac:dyDescent="0.35">
      <c r="A2457">
        <v>2456</v>
      </c>
      <c r="B2457">
        <v>20</v>
      </c>
      <c r="C2457" t="s">
        <v>16</v>
      </c>
      <c r="D2457" t="s">
        <v>124</v>
      </c>
      <c r="E2457" t="s">
        <v>60</v>
      </c>
      <c r="F2457">
        <v>98</v>
      </c>
      <c r="G2457" t="s">
        <v>111</v>
      </c>
      <c r="H2457" t="s">
        <v>20</v>
      </c>
      <c r="I2457" t="s">
        <v>84</v>
      </c>
      <c r="J2457" t="s">
        <v>33</v>
      </c>
      <c r="K2457">
        <v>3.4</v>
      </c>
      <c r="L2457" t="s">
        <v>143</v>
      </c>
      <c r="M2457" t="s">
        <v>143</v>
      </c>
      <c r="N2457">
        <v>25</v>
      </c>
      <c r="O2457" t="s">
        <v>29</v>
      </c>
      <c r="P2457" t="s">
        <v>88</v>
      </c>
    </row>
    <row r="2458" spans="1:16" ht="14.5" x14ac:dyDescent="0.35">
      <c r="A2458">
        <v>2457</v>
      </c>
      <c r="B2458">
        <v>59</v>
      </c>
      <c r="C2458" t="s">
        <v>16</v>
      </c>
      <c r="D2458" t="s">
        <v>30</v>
      </c>
      <c r="E2458" t="s">
        <v>18</v>
      </c>
      <c r="F2458">
        <v>83</v>
      </c>
      <c r="G2458" t="s">
        <v>136</v>
      </c>
      <c r="H2458" t="s">
        <v>39</v>
      </c>
      <c r="I2458" t="s">
        <v>87</v>
      </c>
      <c r="J2458" t="s">
        <v>22</v>
      </c>
      <c r="K2458">
        <v>3.3</v>
      </c>
      <c r="L2458" t="s">
        <v>143</v>
      </c>
      <c r="M2458" t="s">
        <v>143</v>
      </c>
      <c r="N2458">
        <v>5</v>
      </c>
      <c r="O2458" t="s">
        <v>40</v>
      </c>
      <c r="P2458" t="s">
        <v>79</v>
      </c>
    </row>
    <row r="2459" spans="1:16" ht="14.5" x14ac:dyDescent="0.35">
      <c r="A2459">
        <v>2458</v>
      </c>
      <c r="B2459">
        <v>53</v>
      </c>
      <c r="C2459" t="s">
        <v>16</v>
      </c>
      <c r="D2459" t="s">
        <v>59</v>
      </c>
      <c r="E2459" t="s">
        <v>60</v>
      </c>
      <c r="F2459">
        <v>37</v>
      </c>
      <c r="G2459" t="s">
        <v>70</v>
      </c>
      <c r="H2459" t="s">
        <v>39</v>
      </c>
      <c r="I2459" t="s">
        <v>28</v>
      </c>
      <c r="J2459" t="s">
        <v>50</v>
      </c>
      <c r="K2459">
        <v>3.6</v>
      </c>
      <c r="L2459" t="s">
        <v>143</v>
      </c>
      <c r="M2459" t="s">
        <v>143</v>
      </c>
      <c r="N2459">
        <v>23</v>
      </c>
      <c r="O2459" t="s">
        <v>29</v>
      </c>
      <c r="P2459" t="s">
        <v>51</v>
      </c>
    </row>
    <row r="2460" spans="1:16" ht="14.5" x14ac:dyDescent="0.35">
      <c r="A2460">
        <v>2459</v>
      </c>
      <c r="B2460">
        <v>66</v>
      </c>
      <c r="C2460" t="s">
        <v>16</v>
      </c>
      <c r="D2460" t="s">
        <v>104</v>
      </c>
      <c r="E2460" t="s">
        <v>18</v>
      </c>
      <c r="F2460">
        <v>85</v>
      </c>
      <c r="G2460" t="s">
        <v>96</v>
      </c>
      <c r="H2460" t="s">
        <v>20</v>
      </c>
      <c r="I2460" t="s">
        <v>42</v>
      </c>
      <c r="J2460" t="s">
        <v>50</v>
      </c>
      <c r="K2460">
        <v>4.5999999999999996</v>
      </c>
      <c r="L2460" t="s">
        <v>143</v>
      </c>
      <c r="M2460" t="s">
        <v>143</v>
      </c>
      <c r="N2460">
        <v>17</v>
      </c>
      <c r="O2460" t="s">
        <v>66</v>
      </c>
      <c r="P2460" t="s">
        <v>35</v>
      </c>
    </row>
    <row r="2461" spans="1:16" ht="14.5" x14ac:dyDescent="0.35">
      <c r="A2461">
        <v>2460</v>
      </c>
      <c r="B2461">
        <v>47</v>
      </c>
      <c r="C2461" t="s">
        <v>16</v>
      </c>
      <c r="D2461" t="s">
        <v>116</v>
      </c>
      <c r="E2461" t="s">
        <v>18</v>
      </c>
      <c r="F2461">
        <v>36</v>
      </c>
      <c r="G2461" t="s">
        <v>61</v>
      </c>
      <c r="H2461" t="s">
        <v>20</v>
      </c>
      <c r="I2461" t="s">
        <v>74</v>
      </c>
      <c r="J2461" t="s">
        <v>50</v>
      </c>
      <c r="K2461">
        <v>4.3</v>
      </c>
      <c r="L2461" t="s">
        <v>143</v>
      </c>
      <c r="M2461" t="s">
        <v>143</v>
      </c>
      <c r="N2461">
        <v>14</v>
      </c>
      <c r="O2461" t="s">
        <v>29</v>
      </c>
      <c r="P2461" t="s">
        <v>35</v>
      </c>
    </row>
    <row r="2462" spans="1:16" ht="14.5" x14ac:dyDescent="0.35">
      <c r="A2462">
        <v>2461</v>
      </c>
      <c r="B2462">
        <v>58</v>
      </c>
      <c r="C2462" t="s">
        <v>16</v>
      </c>
      <c r="D2462" t="s">
        <v>30</v>
      </c>
      <c r="E2462" t="s">
        <v>18</v>
      </c>
      <c r="F2462">
        <v>36</v>
      </c>
      <c r="G2462" t="s">
        <v>27</v>
      </c>
      <c r="H2462" t="s">
        <v>32</v>
      </c>
      <c r="I2462" t="s">
        <v>84</v>
      </c>
      <c r="J2462" t="s">
        <v>22</v>
      </c>
      <c r="K2462">
        <v>4</v>
      </c>
      <c r="L2462" t="s">
        <v>143</v>
      </c>
      <c r="M2462" t="s">
        <v>143</v>
      </c>
      <c r="N2462">
        <v>28</v>
      </c>
      <c r="O2462" t="s">
        <v>34</v>
      </c>
      <c r="P2462" t="s">
        <v>43</v>
      </c>
    </row>
    <row r="2463" spans="1:16" ht="14.5" x14ac:dyDescent="0.35">
      <c r="A2463">
        <v>2462</v>
      </c>
      <c r="B2463">
        <v>28</v>
      </c>
      <c r="C2463" t="s">
        <v>16</v>
      </c>
      <c r="D2463" t="s">
        <v>110</v>
      </c>
      <c r="E2463" t="s">
        <v>60</v>
      </c>
      <c r="F2463">
        <v>86</v>
      </c>
      <c r="G2463" t="s">
        <v>129</v>
      </c>
      <c r="H2463" t="s">
        <v>20</v>
      </c>
      <c r="I2463" t="s">
        <v>99</v>
      </c>
      <c r="J2463" t="s">
        <v>47</v>
      </c>
      <c r="K2463">
        <v>4.8</v>
      </c>
      <c r="L2463" t="s">
        <v>143</v>
      </c>
      <c r="M2463" t="s">
        <v>143</v>
      </c>
      <c r="N2463">
        <v>19</v>
      </c>
      <c r="O2463" t="s">
        <v>34</v>
      </c>
      <c r="P2463" t="s">
        <v>35</v>
      </c>
    </row>
    <row r="2464" spans="1:16" ht="14.5" x14ac:dyDescent="0.35">
      <c r="A2464">
        <v>2463</v>
      </c>
      <c r="B2464">
        <v>68</v>
      </c>
      <c r="C2464" t="s">
        <v>16</v>
      </c>
      <c r="D2464" t="s">
        <v>86</v>
      </c>
      <c r="E2464" t="s">
        <v>18</v>
      </c>
      <c r="F2464">
        <v>99</v>
      </c>
      <c r="G2464" t="s">
        <v>61</v>
      </c>
      <c r="H2464" t="s">
        <v>83</v>
      </c>
      <c r="I2464" t="s">
        <v>112</v>
      </c>
      <c r="J2464" t="s">
        <v>33</v>
      </c>
      <c r="K2464">
        <v>4.3</v>
      </c>
      <c r="L2464" t="s">
        <v>143</v>
      </c>
      <c r="M2464" t="s">
        <v>143</v>
      </c>
      <c r="N2464">
        <v>31</v>
      </c>
      <c r="O2464" t="s">
        <v>66</v>
      </c>
      <c r="P2464" t="s">
        <v>67</v>
      </c>
    </row>
    <row r="2465" spans="1:16" ht="14.5" x14ac:dyDescent="0.35">
      <c r="A2465">
        <v>2464</v>
      </c>
      <c r="B2465">
        <v>60</v>
      </c>
      <c r="C2465" t="s">
        <v>16</v>
      </c>
      <c r="D2465" t="s">
        <v>17</v>
      </c>
      <c r="E2465" t="s">
        <v>18</v>
      </c>
      <c r="F2465">
        <v>21</v>
      </c>
      <c r="G2465" t="s">
        <v>82</v>
      </c>
      <c r="H2465" t="s">
        <v>83</v>
      </c>
      <c r="I2465" t="s">
        <v>117</v>
      </c>
      <c r="J2465" t="s">
        <v>47</v>
      </c>
      <c r="K2465">
        <v>3.3</v>
      </c>
      <c r="L2465" t="s">
        <v>143</v>
      </c>
      <c r="M2465" t="s">
        <v>143</v>
      </c>
      <c r="N2465">
        <v>25</v>
      </c>
      <c r="O2465" t="s">
        <v>29</v>
      </c>
      <c r="P2465" t="s">
        <v>67</v>
      </c>
    </row>
    <row r="2466" spans="1:16" ht="14.5" x14ac:dyDescent="0.35">
      <c r="A2466">
        <v>2465</v>
      </c>
      <c r="B2466">
        <v>47</v>
      </c>
      <c r="C2466" t="s">
        <v>16</v>
      </c>
      <c r="D2466" t="s">
        <v>93</v>
      </c>
      <c r="E2466" t="s">
        <v>56</v>
      </c>
      <c r="F2466">
        <v>84</v>
      </c>
      <c r="G2466" t="s">
        <v>68</v>
      </c>
      <c r="H2466" t="s">
        <v>20</v>
      </c>
      <c r="I2466" t="s">
        <v>76</v>
      </c>
      <c r="J2466" t="s">
        <v>22</v>
      </c>
      <c r="K2466">
        <v>2.8</v>
      </c>
      <c r="L2466" t="s">
        <v>143</v>
      </c>
      <c r="M2466" t="s">
        <v>143</v>
      </c>
      <c r="N2466">
        <v>4</v>
      </c>
      <c r="O2466" t="s">
        <v>29</v>
      </c>
      <c r="P2466" t="s">
        <v>67</v>
      </c>
    </row>
    <row r="2467" spans="1:16" ht="14.5" x14ac:dyDescent="0.35">
      <c r="A2467">
        <v>2466</v>
      </c>
      <c r="B2467">
        <v>18</v>
      </c>
      <c r="C2467" t="s">
        <v>16</v>
      </c>
      <c r="D2467" t="s">
        <v>36</v>
      </c>
      <c r="E2467" t="s">
        <v>37</v>
      </c>
      <c r="F2467">
        <v>63</v>
      </c>
      <c r="G2467" t="s">
        <v>96</v>
      </c>
      <c r="H2467" t="s">
        <v>39</v>
      </c>
      <c r="I2467" t="s">
        <v>101</v>
      </c>
      <c r="J2467" t="s">
        <v>33</v>
      </c>
      <c r="K2467">
        <v>4.4000000000000004</v>
      </c>
      <c r="L2467" t="s">
        <v>143</v>
      </c>
      <c r="M2467" t="s">
        <v>143</v>
      </c>
      <c r="N2467">
        <v>20</v>
      </c>
      <c r="O2467" t="s">
        <v>66</v>
      </c>
      <c r="P2467" t="s">
        <v>35</v>
      </c>
    </row>
    <row r="2468" spans="1:16" ht="14.5" x14ac:dyDescent="0.35">
      <c r="A2468">
        <v>2467</v>
      </c>
      <c r="B2468">
        <v>32</v>
      </c>
      <c r="C2468" t="s">
        <v>16</v>
      </c>
      <c r="D2468" t="s">
        <v>52</v>
      </c>
      <c r="E2468" t="s">
        <v>18</v>
      </c>
      <c r="F2468">
        <v>84</v>
      </c>
      <c r="G2468" t="s">
        <v>138</v>
      </c>
      <c r="H2468" t="s">
        <v>32</v>
      </c>
      <c r="I2468" t="s">
        <v>62</v>
      </c>
      <c r="J2468" t="s">
        <v>47</v>
      </c>
      <c r="K2468">
        <v>3.7</v>
      </c>
      <c r="L2468" t="s">
        <v>143</v>
      </c>
      <c r="M2468" t="s">
        <v>143</v>
      </c>
      <c r="N2468">
        <v>37</v>
      </c>
      <c r="O2468" t="s">
        <v>29</v>
      </c>
      <c r="P2468" t="s">
        <v>43</v>
      </c>
    </row>
    <row r="2469" spans="1:16" ht="14.5" x14ac:dyDescent="0.35">
      <c r="A2469">
        <v>2468</v>
      </c>
      <c r="B2469">
        <v>27</v>
      </c>
      <c r="C2469" t="s">
        <v>16</v>
      </c>
      <c r="D2469" t="s">
        <v>52</v>
      </c>
      <c r="E2469" t="s">
        <v>18</v>
      </c>
      <c r="F2469">
        <v>72</v>
      </c>
      <c r="G2469" t="s">
        <v>118</v>
      </c>
      <c r="H2469" t="s">
        <v>39</v>
      </c>
      <c r="I2469" t="s">
        <v>84</v>
      </c>
      <c r="J2469" t="s">
        <v>33</v>
      </c>
      <c r="K2469">
        <v>3.6</v>
      </c>
      <c r="L2469" t="s">
        <v>143</v>
      </c>
      <c r="M2469" t="s">
        <v>143</v>
      </c>
      <c r="N2469">
        <v>28</v>
      </c>
      <c r="O2469" t="s">
        <v>34</v>
      </c>
      <c r="P2469" t="s">
        <v>43</v>
      </c>
    </row>
    <row r="2470" spans="1:16" ht="14.5" x14ac:dyDescent="0.35">
      <c r="A2470">
        <v>2469</v>
      </c>
      <c r="B2470">
        <v>65</v>
      </c>
      <c r="C2470" t="s">
        <v>16</v>
      </c>
      <c r="D2470" t="s">
        <v>78</v>
      </c>
      <c r="E2470" t="s">
        <v>18</v>
      </c>
      <c r="F2470">
        <v>21</v>
      </c>
      <c r="G2470" t="s">
        <v>130</v>
      </c>
      <c r="H2470" t="s">
        <v>20</v>
      </c>
      <c r="I2470" t="s">
        <v>100</v>
      </c>
      <c r="J2470" t="s">
        <v>22</v>
      </c>
      <c r="K2470">
        <v>3.7</v>
      </c>
      <c r="L2470" t="s">
        <v>143</v>
      </c>
      <c r="M2470" t="s">
        <v>143</v>
      </c>
      <c r="N2470">
        <v>6</v>
      </c>
      <c r="O2470" t="s">
        <v>24</v>
      </c>
      <c r="P2470" t="s">
        <v>35</v>
      </c>
    </row>
    <row r="2471" spans="1:16" ht="14.5" x14ac:dyDescent="0.35">
      <c r="A2471">
        <v>2470</v>
      </c>
      <c r="B2471">
        <v>68</v>
      </c>
      <c r="C2471" t="s">
        <v>16</v>
      </c>
      <c r="D2471" t="s">
        <v>36</v>
      </c>
      <c r="E2471" t="s">
        <v>37</v>
      </c>
      <c r="F2471">
        <v>92</v>
      </c>
      <c r="G2471" t="s">
        <v>119</v>
      </c>
      <c r="H2471" t="s">
        <v>39</v>
      </c>
      <c r="I2471" t="s">
        <v>125</v>
      </c>
      <c r="J2471" t="s">
        <v>50</v>
      </c>
      <c r="K2471">
        <v>5</v>
      </c>
      <c r="L2471" t="s">
        <v>143</v>
      </c>
      <c r="M2471" t="s">
        <v>143</v>
      </c>
      <c r="N2471">
        <v>27</v>
      </c>
      <c r="O2471" t="s">
        <v>40</v>
      </c>
      <c r="P2471" t="s">
        <v>43</v>
      </c>
    </row>
    <row r="2472" spans="1:16" ht="14.5" x14ac:dyDescent="0.35">
      <c r="A2472">
        <v>2471</v>
      </c>
      <c r="B2472">
        <v>55</v>
      </c>
      <c r="C2472" t="s">
        <v>16</v>
      </c>
      <c r="D2472" t="s">
        <v>17</v>
      </c>
      <c r="E2472" t="s">
        <v>18</v>
      </c>
      <c r="F2472">
        <v>72</v>
      </c>
      <c r="G2472" t="s">
        <v>108</v>
      </c>
      <c r="H2472" t="s">
        <v>83</v>
      </c>
      <c r="I2472" t="s">
        <v>62</v>
      </c>
      <c r="J2472" t="s">
        <v>50</v>
      </c>
      <c r="K2472">
        <v>2.7</v>
      </c>
      <c r="L2472" t="s">
        <v>143</v>
      </c>
      <c r="M2472" t="s">
        <v>143</v>
      </c>
      <c r="N2472">
        <v>29</v>
      </c>
      <c r="O2472" t="s">
        <v>34</v>
      </c>
      <c r="P2472" t="s">
        <v>25</v>
      </c>
    </row>
    <row r="2473" spans="1:16" ht="14.5" x14ac:dyDescent="0.35">
      <c r="A2473">
        <v>2472</v>
      </c>
      <c r="B2473">
        <v>30</v>
      </c>
      <c r="C2473" t="s">
        <v>16</v>
      </c>
      <c r="D2473" t="s">
        <v>36</v>
      </c>
      <c r="E2473" t="s">
        <v>37</v>
      </c>
      <c r="F2473">
        <v>83</v>
      </c>
      <c r="G2473" t="s">
        <v>92</v>
      </c>
      <c r="H2473" t="s">
        <v>39</v>
      </c>
      <c r="I2473" t="s">
        <v>21</v>
      </c>
      <c r="J2473" t="s">
        <v>33</v>
      </c>
      <c r="K2473">
        <v>4.3</v>
      </c>
      <c r="L2473" t="s">
        <v>143</v>
      </c>
      <c r="M2473" t="s">
        <v>143</v>
      </c>
      <c r="N2473">
        <v>1</v>
      </c>
      <c r="O2473" t="s">
        <v>29</v>
      </c>
      <c r="P2473" t="s">
        <v>43</v>
      </c>
    </row>
    <row r="2474" spans="1:16" ht="14.5" x14ac:dyDescent="0.35">
      <c r="A2474">
        <v>2473</v>
      </c>
      <c r="B2474">
        <v>24</v>
      </c>
      <c r="C2474" t="s">
        <v>16</v>
      </c>
      <c r="D2474" t="s">
        <v>48</v>
      </c>
      <c r="E2474" t="s">
        <v>18</v>
      </c>
      <c r="F2474">
        <v>73</v>
      </c>
      <c r="G2474" t="s">
        <v>131</v>
      </c>
      <c r="H2474" t="s">
        <v>39</v>
      </c>
      <c r="I2474" t="s">
        <v>91</v>
      </c>
      <c r="J2474" t="s">
        <v>47</v>
      </c>
      <c r="K2474">
        <v>4.0999999999999996</v>
      </c>
      <c r="L2474" t="s">
        <v>143</v>
      </c>
      <c r="M2474" t="s">
        <v>143</v>
      </c>
      <c r="N2474">
        <v>31</v>
      </c>
      <c r="O2474" t="s">
        <v>34</v>
      </c>
      <c r="P2474" t="s">
        <v>43</v>
      </c>
    </row>
    <row r="2475" spans="1:16" ht="14.5" x14ac:dyDescent="0.35">
      <c r="A2475">
        <v>2474</v>
      </c>
      <c r="B2475">
        <v>57</v>
      </c>
      <c r="C2475" t="s">
        <v>16</v>
      </c>
      <c r="D2475" t="s">
        <v>116</v>
      </c>
      <c r="E2475" t="s">
        <v>18</v>
      </c>
      <c r="F2475">
        <v>98</v>
      </c>
      <c r="G2475" t="s">
        <v>64</v>
      </c>
      <c r="H2475" t="s">
        <v>39</v>
      </c>
      <c r="I2475" t="s">
        <v>99</v>
      </c>
      <c r="J2475" t="s">
        <v>22</v>
      </c>
      <c r="K2475">
        <v>2.6</v>
      </c>
      <c r="L2475" t="s">
        <v>143</v>
      </c>
      <c r="M2475" t="s">
        <v>143</v>
      </c>
      <c r="N2475">
        <v>28</v>
      </c>
      <c r="O2475" t="s">
        <v>29</v>
      </c>
      <c r="P2475" t="s">
        <v>51</v>
      </c>
    </row>
    <row r="2476" spans="1:16" ht="14.5" x14ac:dyDescent="0.35">
      <c r="A2476">
        <v>2475</v>
      </c>
      <c r="B2476">
        <v>23</v>
      </c>
      <c r="C2476" t="s">
        <v>16</v>
      </c>
      <c r="D2476" t="s">
        <v>104</v>
      </c>
      <c r="E2476" t="s">
        <v>18</v>
      </c>
      <c r="F2476">
        <v>76</v>
      </c>
      <c r="G2476" t="s">
        <v>89</v>
      </c>
      <c r="H2476" t="s">
        <v>39</v>
      </c>
      <c r="I2476" t="s">
        <v>69</v>
      </c>
      <c r="J2476" t="s">
        <v>50</v>
      </c>
      <c r="K2476">
        <v>3.2</v>
      </c>
      <c r="L2476" t="s">
        <v>143</v>
      </c>
      <c r="M2476" t="s">
        <v>143</v>
      </c>
      <c r="N2476">
        <v>19</v>
      </c>
      <c r="O2476" t="s">
        <v>66</v>
      </c>
      <c r="P2476" t="s">
        <v>51</v>
      </c>
    </row>
    <row r="2477" spans="1:16" ht="14.5" x14ac:dyDescent="0.35">
      <c r="A2477">
        <v>2476</v>
      </c>
      <c r="B2477">
        <v>69</v>
      </c>
      <c r="C2477" t="s">
        <v>16</v>
      </c>
      <c r="D2477" t="s">
        <v>72</v>
      </c>
      <c r="E2477" t="s">
        <v>18</v>
      </c>
      <c r="F2477">
        <v>43</v>
      </c>
      <c r="G2477" t="s">
        <v>90</v>
      </c>
      <c r="H2477" t="s">
        <v>32</v>
      </c>
      <c r="I2477" t="s">
        <v>84</v>
      </c>
      <c r="J2477" t="s">
        <v>47</v>
      </c>
      <c r="K2477">
        <v>3.5</v>
      </c>
      <c r="L2477" t="s">
        <v>143</v>
      </c>
      <c r="M2477" t="s">
        <v>143</v>
      </c>
      <c r="N2477">
        <v>36</v>
      </c>
      <c r="O2477" t="s">
        <v>24</v>
      </c>
      <c r="P2477" t="s">
        <v>79</v>
      </c>
    </row>
    <row r="2478" spans="1:16" ht="14.5" x14ac:dyDescent="0.35">
      <c r="A2478">
        <v>2477</v>
      </c>
      <c r="B2478">
        <v>60</v>
      </c>
      <c r="C2478" t="s">
        <v>16</v>
      </c>
      <c r="D2478" t="s">
        <v>115</v>
      </c>
      <c r="E2478" t="s">
        <v>60</v>
      </c>
      <c r="F2478">
        <v>60</v>
      </c>
      <c r="G2478" t="s">
        <v>103</v>
      </c>
      <c r="H2478" t="s">
        <v>39</v>
      </c>
      <c r="I2478" t="s">
        <v>42</v>
      </c>
      <c r="J2478" t="s">
        <v>47</v>
      </c>
      <c r="K2478">
        <v>3.7</v>
      </c>
      <c r="L2478" t="s">
        <v>143</v>
      </c>
      <c r="M2478" t="s">
        <v>143</v>
      </c>
      <c r="N2478">
        <v>28</v>
      </c>
      <c r="O2478" t="s">
        <v>29</v>
      </c>
      <c r="P2478" t="s">
        <v>79</v>
      </c>
    </row>
    <row r="2479" spans="1:16" ht="14.5" x14ac:dyDescent="0.35">
      <c r="A2479">
        <v>2478</v>
      </c>
      <c r="B2479">
        <v>25</v>
      </c>
      <c r="C2479" t="s">
        <v>16</v>
      </c>
      <c r="D2479" t="s">
        <v>134</v>
      </c>
      <c r="E2479" t="s">
        <v>60</v>
      </c>
      <c r="F2479">
        <v>40</v>
      </c>
      <c r="G2479" t="s">
        <v>90</v>
      </c>
      <c r="H2479" t="s">
        <v>20</v>
      </c>
      <c r="I2479" t="s">
        <v>42</v>
      </c>
      <c r="J2479" t="s">
        <v>33</v>
      </c>
      <c r="K2479">
        <v>3.8</v>
      </c>
      <c r="L2479" t="s">
        <v>143</v>
      </c>
      <c r="M2479" t="s">
        <v>143</v>
      </c>
      <c r="N2479">
        <v>29</v>
      </c>
      <c r="O2479" t="s">
        <v>40</v>
      </c>
      <c r="P2479" t="s">
        <v>35</v>
      </c>
    </row>
    <row r="2480" spans="1:16" ht="14.5" x14ac:dyDescent="0.35">
      <c r="A2480">
        <v>2479</v>
      </c>
      <c r="B2480">
        <v>18</v>
      </c>
      <c r="C2480" t="s">
        <v>16</v>
      </c>
      <c r="D2480" t="s">
        <v>116</v>
      </c>
      <c r="E2480" t="s">
        <v>18</v>
      </c>
      <c r="F2480">
        <v>93</v>
      </c>
      <c r="G2480" t="s">
        <v>120</v>
      </c>
      <c r="H2480" t="s">
        <v>32</v>
      </c>
      <c r="I2480" t="s">
        <v>28</v>
      </c>
      <c r="J2480" t="s">
        <v>22</v>
      </c>
      <c r="K2480">
        <v>4.8</v>
      </c>
      <c r="L2480" t="s">
        <v>143</v>
      </c>
      <c r="M2480" t="s">
        <v>143</v>
      </c>
      <c r="N2480">
        <v>9</v>
      </c>
      <c r="O2480" t="s">
        <v>66</v>
      </c>
      <c r="P2480" t="s">
        <v>88</v>
      </c>
    </row>
    <row r="2481" spans="1:16" ht="14.5" x14ac:dyDescent="0.35">
      <c r="A2481">
        <v>2480</v>
      </c>
      <c r="B2481">
        <v>37</v>
      </c>
      <c r="C2481" t="s">
        <v>16</v>
      </c>
      <c r="D2481" t="s">
        <v>72</v>
      </c>
      <c r="E2481" t="s">
        <v>18</v>
      </c>
      <c r="F2481">
        <v>98</v>
      </c>
      <c r="G2481" t="s">
        <v>102</v>
      </c>
      <c r="H2481" t="s">
        <v>32</v>
      </c>
      <c r="I2481" t="s">
        <v>69</v>
      </c>
      <c r="J2481" t="s">
        <v>50</v>
      </c>
      <c r="K2481">
        <v>4.2</v>
      </c>
      <c r="L2481" t="s">
        <v>143</v>
      </c>
      <c r="M2481" t="s">
        <v>143</v>
      </c>
      <c r="N2481">
        <v>26</v>
      </c>
      <c r="O2481" t="s">
        <v>34</v>
      </c>
      <c r="P2481" t="s">
        <v>88</v>
      </c>
    </row>
    <row r="2482" spans="1:16" ht="14.5" x14ac:dyDescent="0.35">
      <c r="A2482">
        <v>2481</v>
      </c>
      <c r="B2482">
        <v>61</v>
      </c>
      <c r="C2482" t="s">
        <v>16</v>
      </c>
      <c r="D2482" t="s">
        <v>116</v>
      </c>
      <c r="E2482" t="s">
        <v>18</v>
      </c>
      <c r="F2482">
        <v>91</v>
      </c>
      <c r="G2482" t="s">
        <v>114</v>
      </c>
      <c r="H2482" t="s">
        <v>83</v>
      </c>
      <c r="I2482" t="s">
        <v>28</v>
      </c>
      <c r="J2482" t="s">
        <v>47</v>
      </c>
      <c r="K2482">
        <v>2.9</v>
      </c>
      <c r="L2482" t="s">
        <v>143</v>
      </c>
      <c r="M2482" t="s">
        <v>143</v>
      </c>
      <c r="N2482">
        <v>7</v>
      </c>
      <c r="O2482" t="s">
        <v>34</v>
      </c>
      <c r="P2482" t="s">
        <v>25</v>
      </c>
    </row>
    <row r="2483" spans="1:16" ht="14.5" x14ac:dyDescent="0.35">
      <c r="A2483">
        <v>2482</v>
      </c>
      <c r="B2483">
        <v>41</v>
      </c>
      <c r="C2483" t="s">
        <v>16</v>
      </c>
      <c r="D2483" t="s">
        <v>124</v>
      </c>
      <c r="E2483" t="s">
        <v>60</v>
      </c>
      <c r="F2483">
        <v>92</v>
      </c>
      <c r="G2483" t="s">
        <v>118</v>
      </c>
      <c r="H2483" t="s">
        <v>83</v>
      </c>
      <c r="I2483" t="s">
        <v>100</v>
      </c>
      <c r="J2483" t="s">
        <v>50</v>
      </c>
      <c r="K2483">
        <v>2.9</v>
      </c>
      <c r="L2483" t="s">
        <v>143</v>
      </c>
      <c r="M2483" t="s">
        <v>143</v>
      </c>
      <c r="N2483">
        <v>35</v>
      </c>
      <c r="O2483" t="s">
        <v>77</v>
      </c>
      <c r="P2483" t="s">
        <v>35</v>
      </c>
    </row>
    <row r="2484" spans="1:16" ht="14.5" x14ac:dyDescent="0.35">
      <c r="A2484">
        <v>2483</v>
      </c>
      <c r="B2484">
        <v>69</v>
      </c>
      <c r="C2484" t="s">
        <v>16</v>
      </c>
      <c r="D2484" t="s">
        <v>59</v>
      </c>
      <c r="E2484" t="s">
        <v>60</v>
      </c>
      <c r="F2484">
        <v>87</v>
      </c>
      <c r="G2484" t="s">
        <v>108</v>
      </c>
      <c r="H2484" t="s">
        <v>32</v>
      </c>
      <c r="I2484" t="s">
        <v>91</v>
      </c>
      <c r="J2484" t="s">
        <v>22</v>
      </c>
      <c r="K2484">
        <v>4.8</v>
      </c>
      <c r="L2484" t="s">
        <v>143</v>
      </c>
      <c r="M2484" t="s">
        <v>143</v>
      </c>
      <c r="N2484">
        <v>46</v>
      </c>
      <c r="O2484" t="s">
        <v>34</v>
      </c>
      <c r="P2484" t="s">
        <v>88</v>
      </c>
    </row>
    <row r="2485" spans="1:16" ht="14.5" x14ac:dyDescent="0.35">
      <c r="A2485">
        <v>2484</v>
      </c>
      <c r="B2485">
        <v>32</v>
      </c>
      <c r="C2485" t="s">
        <v>16</v>
      </c>
      <c r="D2485" t="s">
        <v>78</v>
      </c>
      <c r="E2485" t="s">
        <v>18</v>
      </c>
      <c r="F2485">
        <v>96</v>
      </c>
      <c r="G2485" t="s">
        <v>108</v>
      </c>
      <c r="H2485" t="s">
        <v>32</v>
      </c>
      <c r="I2485" t="s">
        <v>76</v>
      </c>
      <c r="J2485" t="s">
        <v>50</v>
      </c>
      <c r="K2485">
        <v>2.9</v>
      </c>
      <c r="L2485" t="s">
        <v>143</v>
      </c>
      <c r="M2485" t="s">
        <v>143</v>
      </c>
      <c r="N2485">
        <v>8</v>
      </c>
      <c r="O2485" t="s">
        <v>77</v>
      </c>
      <c r="P2485" t="s">
        <v>79</v>
      </c>
    </row>
    <row r="2486" spans="1:16" ht="14.5" x14ac:dyDescent="0.35">
      <c r="A2486">
        <v>2485</v>
      </c>
      <c r="B2486">
        <v>60</v>
      </c>
      <c r="C2486" t="s">
        <v>16</v>
      </c>
      <c r="D2486" t="s">
        <v>95</v>
      </c>
      <c r="E2486" t="s">
        <v>18</v>
      </c>
      <c r="F2486">
        <v>97</v>
      </c>
      <c r="G2486" t="s">
        <v>73</v>
      </c>
      <c r="H2486" t="s">
        <v>39</v>
      </c>
      <c r="I2486" t="s">
        <v>87</v>
      </c>
      <c r="J2486" t="s">
        <v>47</v>
      </c>
      <c r="K2486">
        <v>4.8</v>
      </c>
      <c r="L2486" t="s">
        <v>143</v>
      </c>
      <c r="M2486" t="s">
        <v>143</v>
      </c>
      <c r="N2486">
        <v>50</v>
      </c>
      <c r="O2486" t="s">
        <v>29</v>
      </c>
      <c r="P2486" t="s">
        <v>88</v>
      </c>
    </row>
    <row r="2487" spans="1:16" ht="14.5" x14ac:dyDescent="0.35">
      <c r="A2487">
        <v>2486</v>
      </c>
      <c r="B2487">
        <v>43</v>
      </c>
      <c r="C2487" t="s">
        <v>16</v>
      </c>
      <c r="D2487" t="s">
        <v>17</v>
      </c>
      <c r="E2487" t="s">
        <v>18</v>
      </c>
      <c r="F2487">
        <v>55</v>
      </c>
      <c r="G2487" t="s">
        <v>53</v>
      </c>
      <c r="H2487" t="s">
        <v>39</v>
      </c>
      <c r="I2487" t="s">
        <v>109</v>
      </c>
      <c r="J2487" t="s">
        <v>33</v>
      </c>
      <c r="K2487">
        <v>4.5999999999999996</v>
      </c>
      <c r="L2487" t="s">
        <v>143</v>
      </c>
      <c r="M2487" t="s">
        <v>143</v>
      </c>
      <c r="N2487">
        <v>37</v>
      </c>
      <c r="O2487" t="s">
        <v>66</v>
      </c>
      <c r="P2487" t="s">
        <v>43</v>
      </c>
    </row>
    <row r="2488" spans="1:16" ht="14.5" x14ac:dyDescent="0.35">
      <c r="A2488">
        <v>2487</v>
      </c>
      <c r="B2488">
        <v>61</v>
      </c>
      <c r="C2488" t="s">
        <v>16</v>
      </c>
      <c r="D2488" t="s">
        <v>30</v>
      </c>
      <c r="E2488" t="s">
        <v>18</v>
      </c>
      <c r="F2488">
        <v>58</v>
      </c>
      <c r="G2488" t="s">
        <v>96</v>
      </c>
      <c r="H2488" t="s">
        <v>20</v>
      </c>
      <c r="I2488" t="s">
        <v>127</v>
      </c>
      <c r="J2488" t="s">
        <v>33</v>
      </c>
      <c r="K2488">
        <v>4.4000000000000004</v>
      </c>
      <c r="L2488" t="s">
        <v>143</v>
      </c>
      <c r="M2488" t="s">
        <v>143</v>
      </c>
      <c r="N2488">
        <v>6</v>
      </c>
      <c r="O2488" t="s">
        <v>34</v>
      </c>
      <c r="P2488" t="s">
        <v>25</v>
      </c>
    </row>
    <row r="2489" spans="1:16" ht="14.5" x14ac:dyDescent="0.35">
      <c r="A2489">
        <v>2488</v>
      </c>
      <c r="B2489">
        <v>57</v>
      </c>
      <c r="C2489" t="s">
        <v>16</v>
      </c>
      <c r="D2489" t="s">
        <v>128</v>
      </c>
      <c r="E2489" t="s">
        <v>37</v>
      </c>
      <c r="F2489">
        <v>21</v>
      </c>
      <c r="G2489" t="s">
        <v>49</v>
      </c>
      <c r="H2489" t="s">
        <v>20</v>
      </c>
      <c r="I2489" t="s">
        <v>74</v>
      </c>
      <c r="J2489" t="s">
        <v>33</v>
      </c>
      <c r="K2489">
        <v>3</v>
      </c>
      <c r="L2489" t="s">
        <v>143</v>
      </c>
      <c r="M2489" t="s">
        <v>143</v>
      </c>
      <c r="N2489">
        <v>16</v>
      </c>
      <c r="O2489" t="s">
        <v>40</v>
      </c>
      <c r="P2489" t="s">
        <v>67</v>
      </c>
    </row>
    <row r="2490" spans="1:16" ht="14.5" x14ac:dyDescent="0.35">
      <c r="A2490">
        <v>2489</v>
      </c>
      <c r="B2490">
        <v>56</v>
      </c>
      <c r="C2490" t="s">
        <v>16</v>
      </c>
      <c r="D2490" t="s">
        <v>59</v>
      </c>
      <c r="E2490" t="s">
        <v>60</v>
      </c>
      <c r="F2490">
        <v>82</v>
      </c>
      <c r="G2490" t="s">
        <v>73</v>
      </c>
      <c r="H2490" t="s">
        <v>83</v>
      </c>
      <c r="I2490" t="s">
        <v>54</v>
      </c>
      <c r="J2490" t="s">
        <v>47</v>
      </c>
      <c r="K2490">
        <v>4.4000000000000004</v>
      </c>
      <c r="L2490" t="s">
        <v>143</v>
      </c>
      <c r="M2490" t="s">
        <v>143</v>
      </c>
      <c r="N2490">
        <v>30</v>
      </c>
      <c r="O2490" t="s">
        <v>40</v>
      </c>
      <c r="P2490" t="s">
        <v>79</v>
      </c>
    </row>
    <row r="2491" spans="1:16" ht="14.5" x14ac:dyDescent="0.35">
      <c r="A2491">
        <v>2490</v>
      </c>
      <c r="B2491">
        <v>66</v>
      </c>
      <c r="C2491" t="s">
        <v>16</v>
      </c>
      <c r="D2491" t="s">
        <v>55</v>
      </c>
      <c r="E2491" t="s">
        <v>56</v>
      </c>
      <c r="F2491">
        <v>34</v>
      </c>
      <c r="G2491" t="s">
        <v>138</v>
      </c>
      <c r="H2491" t="s">
        <v>39</v>
      </c>
      <c r="I2491" t="s">
        <v>87</v>
      </c>
      <c r="J2491" t="s">
        <v>22</v>
      </c>
      <c r="K2491">
        <v>3.9</v>
      </c>
      <c r="L2491" t="s">
        <v>143</v>
      </c>
      <c r="M2491" t="s">
        <v>143</v>
      </c>
      <c r="N2491">
        <v>50</v>
      </c>
      <c r="O2491" t="s">
        <v>24</v>
      </c>
      <c r="P2491" t="s">
        <v>51</v>
      </c>
    </row>
    <row r="2492" spans="1:16" ht="14.5" x14ac:dyDescent="0.35">
      <c r="A2492">
        <v>2491</v>
      </c>
      <c r="B2492">
        <v>52</v>
      </c>
      <c r="C2492" t="s">
        <v>16</v>
      </c>
      <c r="D2492" t="s">
        <v>17</v>
      </c>
      <c r="E2492" t="s">
        <v>18</v>
      </c>
      <c r="F2492">
        <v>78</v>
      </c>
      <c r="G2492" t="s">
        <v>49</v>
      </c>
      <c r="H2492" t="s">
        <v>39</v>
      </c>
      <c r="I2492" t="s">
        <v>21</v>
      </c>
      <c r="J2492" t="s">
        <v>33</v>
      </c>
      <c r="K2492">
        <v>4</v>
      </c>
      <c r="L2492" t="s">
        <v>143</v>
      </c>
      <c r="M2492" t="s">
        <v>143</v>
      </c>
      <c r="N2492">
        <v>5</v>
      </c>
      <c r="O2492" t="s">
        <v>29</v>
      </c>
      <c r="P2492" t="s">
        <v>88</v>
      </c>
    </row>
    <row r="2493" spans="1:16" ht="14.5" x14ac:dyDescent="0.35">
      <c r="A2493">
        <v>2492</v>
      </c>
      <c r="B2493">
        <v>63</v>
      </c>
      <c r="C2493" t="s">
        <v>16</v>
      </c>
      <c r="D2493" t="s">
        <v>59</v>
      </c>
      <c r="E2493" t="s">
        <v>60</v>
      </c>
      <c r="F2493">
        <v>47</v>
      </c>
      <c r="G2493" t="s">
        <v>89</v>
      </c>
      <c r="H2493" t="s">
        <v>39</v>
      </c>
      <c r="I2493" t="s">
        <v>127</v>
      </c>
      <c r="J2493" t="s">
        <v>33</v>
      </c>
      <c r="K2493">
        <v>2.5</v>
      </c>
      <c r="L2493" t="s">
        <v>143</v>
      </c>
      <c r="M2493" t="s">
        <v>143</v>
      </c>
      <c r="N2493">
        <v>15</v>
      </c>
      <c r="O2493" t="s">
        <v>66</v>
      </c>
      <c r="P2493" t="s">
        <v>79</v>
      </c>
    </row>
    <row r="2494" spans="1:16" ht="14.5" x14ac:dyDescent="0.35">
      <c r="A2494">
        <v>2493</v>
      </c>
      <c r="B2494">
        <v>50</v>
      </c>
      <c r="C2494" t="s">
        <v>16</v>
      </c>
      <c r="D2494" t="s">
        <v>80</v>
      </c>
      <c r="E2494" t="s">
        <v>60</v>
      </c>
      <c r="F2494">
        <v>96</v>
      </c>
      <c r="G2494" t="s">
        <v>138</v>
      </c>
      <c r="H2494" t="s">
        <v>32</v>
      </c>
      <c r="I2494" t="s">
        <v>58</v>
      </c>
      <c r="J2494" t="s">
        <v>47</v>
      </c>
      <c r="K2494">
        <v>4.0999999999999996</v>
      </c>
      <c r="L2494" t="s">
        <v>143</v>
      </c>
      <c r="M2494" t="s">
        <v>143</v>
      </c>
      <c r="N2494">
        <v>34</v>
      </c>
      <c r="O2494" t="s">
        <v>66</v>
      </c>
      <c r="P2494" t="s">
        <v>67</v>
      </c>
    </row>
    <row r="2495" spans="1:16" ht="14.5" x14ac:dyDescent="0.35">
      <c r="A2495">
        <v>2494</v>
      </c>
      <c r="B2495">
        <v>21</v>
      </c>
      <c r="C2495" t="s">
        <v>16</v>
      </c>
      <c r="D2495" t="s">
        <v>116</v>
      </c>
      <c r="E2495" t="s">
        <v>18</v>
      </c>
      <c r="F2495">
        <v>23</v>
      </c>
      <c r="G2495" t="s">
        <v>27</v>
      </c>
      <c r="H2495" t="s">
        <v>32</v>
      </c>
      <c r="I2495" t="s">
        <v>109</v>
      </c>
      <c r="J2495" t="s">
        <v>50</v>
      </c>
      <c r="K2495">
        <v>4.8</v>
      </c>
      <c r="L2495" t="s">
        <v>143</v>
      </c>
      <c r="M2495" t="s">
        <v>143</v>
      </c>
      <c r="N2495">
        <v>6</v>
      </c>
      <c r="O2495" t="s">
        <v>24</v>
      </c>
      <c r="P2495" t="s">
        <v>88</v>
      </c>
    </row>
    <row r="2496" spans="1:16" ht="14.5" x14ac:dyDescent="0.35">
      <c r="A2496">
        <v>2495</v>
      </c>
      <c r="B2496">
        <v>42</v>
      </c>
      <c r="C2496" t="s">
        <v>16</v>
      </c>
      <c r="D2496" t="s">
        <v>63</v>
      </c>
      <c r="E2496" t="s">
        <v>37</v>
      </c>
      <c r="F2496">
        <v>27</v>
      </c>
      <c r="G2496" t="s">
        <v>92</v>
      </c>
      <c r="H2496" t="s">
        <v>32</v>
      </c>
      <c r="I2496" t="s">
        <v>91</v>
      </c>
      <c r="J2496" t="s">
        <v>22</v>
      </c>
      <c r="K2496">
        <v>2.6</v>
      </c>
      <c r="L2496" t="s">
        <v>143</v>
      </c>
      <c r="M2496" t="s">
        <v>143</v>
      </c>
      <c r="N2496">
        <v>26</v>
      </c>
      <c r="O2496" t="s">
        <v>77</v>
      </c>
      <c r="P2496" t="s">
        <v>43</v>
      </c>
    </row>
    <row r="2497" spans="1:16" ht="14.5" x14ac:dyDescent="0.35">
      <c r="A2497">
        <v>2496</v>
      </c>
      <c r="B2497">
        <v>40</v>
      </c>
      <c r="C2497" t="s">
        <v>16</v>
      </c>
      <c r="D2497" t="s">
        <v>123</v>
      </c>
      <c r="E2497" t="s">
        <v>60</v>
      </c>
      <c r="F2497">
        <v>37</v>
      </c>
      <c r="G2497" t="s">
        <v>136</v>
      </c>
      <c r="H2497" t="s">
        <v>83</v>
      </c>
      <c r="I2497" t="s">
        <v>112</v>
      </c>
      <c r="J2497" t="s">
        <v>33</v>
      </c>
      <c r="K2497">
        <v>3.1</v>
      </c>
      <c r="L2497" t="s">
        <v>143</v>
      </c>
      <c r="M2497" t="s">
        <v>143</v>
      </c>
      <c r="N2497">
        <v>34</v>
      </c>
      <c r="O2497" t="s">
        <v>34</v>
      </c>
      <c r="P2497" t="s">
        <v>88</v>
      </c>
    </row>
    <row r="2498" spans="1:16" ht="14.5" x14ac:dyDescent="0.35">
      <c r="A2498">
        <v>2497</v>
      </c>
      <c r="B2498">
        <v>67</v>
      </c>
      <c r="C2498" t="s">
        <v>16</v>
      </c>
      <c r="D2498" t="s">
        <v>110</v>
      </c>
      <c r="E2498" t="s">
        <v>60</v>
      </c>
      <c r="F2498">
        <v>79</v>
      </c>
      <c r="G2498" t="s">
        <v>106</v>
      </c>
      <c r="H2498" t="s">
        <v>32</v>
      </c>
      <c r="I2498" t="s">
        <v>125</v>
      </c>
      <c r="J2498" t="s">
        <v>47</v>
      </c>
      <c r="K2498">
        <v>3.2</v>
      </c>
      <c r="L2498" t="s">
        <v>143</v>
      </c>
      <c r="M2498" t="s">
        <v>143</v>
      </c>
      <c r="N2498">
        <v>37</v>
      </c>
      <c r="O2498" t="s">
        <v>34</v>
      </c>
      <c r="P2498" t="s">
        <v>35</v>
      </c>
    </row>
    <row r="2499" spans="1:16" ht="14.5" x14ac:dyDescent="0.35">
      <c r="A2499">
        <v>2498</v>
      </c>
      <c r="B2499">
        <v>35</v>
      </c>
      <c r="C2499" t="s">
        <v>16</v>
      </c>
      <c r="D2499" t="s">
        <v>123</v>
      </c>
      <c r="E2499" t="s">
        <v>60</v>
      </c>
      <c r="F2499">
        <v>40</v>
      </c>
      <c r="G2499" t="s">
        <v>103</v>
      </c>
      <c r="H2499" t="s">
        <v>39</v>
      </c>
      <c r="I2499" t="s">
        <v>74</v>
      </c>
      <c r="J2499" t="s">
        <v>47</v>
      </c>
      <c r="K2499">
        <v>4.2</v>
      </c>
      <c r="L2499" t="s">
        <v>143</v>
      </c>
      <c r="M2499" t="s">
        <v>143</v>
      </c>
      <c r="N2499">
        <v>28</v>
      </c>
      <c r="O2499" t="s">
        <v>66</v>
      </c>
      <c r="P2499" t="s">
        <v>43</v>
      </c>
    </row>
    <row r="2500" spans="1:16" ht="14.5" x14ac:dyDescent="0.35">
      <c r="A2500">
        <v>2499</v>
      </c>
      <c r="B2500">
        <v>18</v>
      </c>
      <c r="C2500" t="s">
        <v>16</v>
      </c>
      <c r="D2500" t="s">
        <v>55</v>
      </c>
      <c r="E2500" t="s">
        <v>56</v>
      </c>
      <c r="F2500">
        <v>39</v>
      </c>
      <c r="G2500" t="s">
        <v>31</v>
      </c>
      <c r="H2500" t="s">
        <v>32</v>
      </c>
      <c r="I2500" t="s">
        <v>87</v>
      </c>
      <c r="J2500" t="s">
        <v>50</v>
      </c>
      <c r="K2500">
        <v>2.6</v>
      </c>
      <c r="L2500" t="s">
        <v>143</v>
      </c>
      <c r="M2500" t="s">
        <v>143</v>
      </c>
      <c r="N2500">
        <v>38</v>
      </c>
      <c r="O2500" t="s">
        <v>29</v>
      </c>
      <c r="P2500" t="s">
        <v>25</v>
      </c>
    </row>
    <row r="2501" spans="1:16" ht="14.5" x14ac:dyDescent="0.35">
      <c r="A2501">
        <v>2500</v>
      </c>
      <c r="B2501">
        <v>52</v>
      </c>
      <c r="C2501" t="s">
        <v>16</v>
      </c>
      <c r="D2501" t="s">
        <v>95</v>
      </c>
      <c r="E2501" t="s">
        <v>18</v>
      </c>
      <c r="F2501">
        <v>73</v>
      </c>
      <c r="G2501" t="s">
        <v>53</v>
      </c>
      <c r="H2501" t="s">
        <v>20</v>
      </c>
      <c r="I2501" t="s">
        <v>62</v>
      </c>
      <c r="J2501" t="s">
        <v>47</v>
      </c>
      <c r="K2501">
        <v>3.1</v>
      </c>
      <c r="L2501" t="s">
        <v>143</v>
      </c>
      <c r="M2501" t="s">
        <v>143</v>
      </c>
      <c r="N2501">
        <v>2</v>
      </c>
      <c r="O2501" t="s">
        <v>29</v>
      </c>
      <c r="P2501" t="s">
        <v>51</v>
      </c>
    </row>
    <row r="2502" spans="1:16" ht="14.5" x14ac:dyDescent="0.35">
      <c r="A2502">
        <v>2501</v>
      </c>
      <c r="B2502">
        <v>59</v>
      </c>
      <c r="C2502" t="s">
        <v>16</v>
      </c>
      <c r="D2502" t="s">
        <v>134</v>
      </c>
      <c r="E2502" t="s">
        <v>60</v>
      </c>
      <c r="F2502">
        <v>84</v>
      </c>
      <c r="G2502" t="s">
        <v>31</v>
      </c>
      <c r="H2502" t="s">
        <v>39</v>
      </c>
      <c r="I2502" t="s">
        <v>74</v>
      </c>
      <c r="J2502" t="s">
        <v>50</v>
      </c>
      <c r="K2502">
        <v>2.9</v>
      </c>
      <c r="L2502" t="s">
        <v>143</v>
      </c>
      <c r="M2502" t="s">
        <v>143</v>
      </c>
      <c r="N2502">
        <v>32</v>
      </c>
      <c r="O2502" t="s">
        <v>29</v>
      </c>
      <c r="P2502" t="s">
        <v>67</v>
      </c>
    </row>
    <row r="2503" spans="1:16" ht="14.5" x14ac:dyDescent="0.35">
      <c r="A2503">
        <v>2502</v>
      </c>
      <c r="B2503">
        <v>49</v>
      </c>
      <c r="C2503" t="s">
        <v>16</v>
      </c>
      <c r="D2503" t="s">
        <v>52</v>
      </c>
      <c r="E2503" t="s">
        <v>18</v>
      </c>
      <c r="F2503">
        <v>94</v>
      </c>
      <c r="G2503" t="s">
        <v>57</v>
      </c>
      <c r="H2503" t="s">
        <v>39</v>
      </c>
      <c r="I2503" t="s">
        <v>74</v>
      </c>
      <c r="J2503" t="s">
        <v>50</v>
      </c>
      <c r="K2503">
        <v>4.5999999999999996</v>
      </c>
      <c r="L2503" t="s">
        <v>143</v>
      </c>
      <c r="M2503" t="s">
        <v>143</v>
      </c>
      <c r="N2503">
        <v>30</v>
      </c>
      <c r="O2503" t="s">
        <v>24</v>
      </c>
      <c r="P2503" t="s">
        <v>67</v>
      </c>
    </row>
    <row r="2504" spans="1:16" ht="14.5" x14ac:dyDescent="0.35">
      <c r="A2504">
        <v>2503</v>
      </c>
      <c r="B2504">
        <v>46</v>
      </c>
      <c r="C2504" t="s">
        <v>16</v>
      </c>
      <c r="D2504" t="s">
        <v>78</v>
      </c>
      <c r="E2504" t="s">
        <v>18</v>
      </c>
      <c r="F2504">
        <v>47</v>
      </c>
      <c r="G2504" t="s">
        <v>126</v>
      </c>
      <c r="H2504" t="s">
        <v>20</v>
      </c>
      <c r="I2504" t="s">
        <v>62</v>
      </c>
      <c r="J2504" t="s">
        <v>33</v>
      </c>
      <c r="K2504">
        <v>4.0999999999999996</v>
      </c>
      <c r="L2504" t="s">
        <v>143</v>
      </c>
      <c r="M2504" t="s">
        <v>143</v>
      </c>
      <c r="N2504">
        <v>17</v>
      </c>
      <c r="O2504" t="s">
        <v>40</v>
      </c>
      <c r="P2504" t="s">
        <v>88</v>
      </c>
    </row>
    <row r="2505" spans="1:16" ht="14.5" x14ac:dyDescent="0.35">
      <c r="A2505">
        <v>2504</v>
      </c>
      <c r="B2505">
        <v>69</v>
      </c>
      <c r="C2505" t="s">
        <v>16</v>
      </c>
      <c r="D2505" t="s">
        <v>128</v>
      </c>
      <c r="E2505" t="s">
        <v>37</v>
      </c>
      <c r="F2505">
        <v>77</v>
      </c>
      <c r="G2505" t="s">
        <v>114</v>
      </c>
      <c r="H2505" t="s">
        <v>39</v>
      </c>
      <c r="I2505" t="s">
        <v>74</v>
      </c>
      <c r="J2505" t="s">
        <v>47</v>
      </c>
      <c r="K2505">
        <v>2.5</v>
      </c>
      <c r="L2505" t="s">
        <v>143</v>
      </c>
      <c r="M2505" t="s">
        <v>143</v>
      </c>
      <c r="N2505">
        <v>5</v>
      </c>
      <c r="O2505" t="s">
        <v>77</v>
      </c>
      <c r="P2505" t="s">
        <v>67</v>
      </c>
    </row>
    <row r="2506" spans="1:16" ht="14.5" x14ac:dyDescent="0.35">
      <c r="A2506">
        <v>2505</v>
      </c>
      <c r="B2506">
        <v>56</v>
      </c>
      <c r="C2506" t="s">
        <v>16</v>
      </c>
      <c r="D2506" t="s">
        <v>52</v>
      </c>
      <c r="E2506" t="s">
        <v>18</v>
      </c>
      <c r="F2506">
        <v>94</v>
      </c>
      <c r="G2506" t="s">
        <v>38</v>
      </c>
      <c r="H2506" t="s">
        <v>39</v>
      </c>
      <c r="I2506" t="s">
        <v>42</v>
      </c>
      <c r="J2506" t="s">
        <v>22</v>
      </c>
      <c r="K2506">
        <v>4</v>
      </c>
      <c r="L2506" t="s">
        <v>143</v>
      </c>
      <c r="M2506" t="s">
        <v>143</v>
      </c>
      <c r="N2506">
        <v>31</v>
      </c>
      <c r="O2506" t="s">
        <v>29</v>
      </c>
      <c r="P2506" t="s">
        <v>67</v>
      </c>
    </row>
    <row r="2507" spans="1:16" ht="14.5" x14ac:dyDescent="0.35">
      <c r="A2507">
        <v>2506</v>
      </c>
      <c r="B2507">
        <v>27</v>
      </c>
      <c r="C2507" t="s">
        <v>16</v>
      </c>
      <c r="D2507" t="s">
        <v>59</v>
      </c>
      <c r="E2507" t="s">
        <v>60</v>
      </c>
      <c r="F2507">
        <v>75</v>
      </c>
      <c r="G2507" t="s">
        <v>106</v>
      </c>
      <c r="H2507" t="s">
        <v>39</v>
      </c>
      <c r="I2507" t="s">
        <v>100</v>
      </c>
      <c r="J2507" t="s">
        <v>47</v>
      </c>
      <c r="K2507">
        <v>3.5</v>
      </c>
      <c r="L2507" t="s">
        <v>143</v>
      </c>
      <c r="M2507" t="s">
        <v>143</v>
      </c>
      <c r="N2507">
        <v>43</v>
      </c>
      <c r="O2507" t="s">
        <v>40</v>
      </c>
      <c r="P2507" t="s">
        <v>51</v>
      </c>
    </row>
    <row r="2508" spans="1:16" ht="14.5" x14ac:dyDescent="0.35">
      <c r="A2508">
        <v>2507</v>
      </c>
      <c r="B2508">
        <v>57</v>
      </c>
      <c r="C2508" t="s">
        <v>16</v>
      </c>
      <c r="D2508" t="s">
        <v>72</v>
      </c>
      <c r="E2508" t="s">
        <v>18</v>
      </c>
      <c r="F2508">
        <v>82</v>
      </c>
      <c r="G2508" t="s">
        <v>75</v>
      </c>
      <c r="H2508" t="s">
        <v>83</v>
      </c>
      <c r="I2508" t="s">
        <v>112</v>
      </c>
      <c r="J2508" t="s">
        <v>33</v>
      </c>
      <c r="K2508">
        <v>4.4000000000000004</v>
      </c>
      <c r="L2508" t="s">
        <v>143</v>
      </c>
      <c r="M2508" t="s">
        <v>143</v>
      </c>
      <c r="N2508">
        <v>19</v>
      </c>
      <c r="O2508" t="s">
        <v>24</v>
      </c>
      <c r="P2508" t="s">
        <v>43</v>
      </c>
    </row>
    <row r="2509" spans="1:16" ht="14.5" x14ac:dyDescent="0.35">
      <c r="A2509">
        <v>2508</v>
      </c>
      <c r="B2509">
        <v>58</v>
      </c>
      <c r="C2509" t="s">
        <v>16</v>
      </c>
      <c r="D2509" t="s">
        <v>63</v>
      </c>
      <c r="E2509" t="s">
        <v>37</v>
      </c>
      <c r="F2509">
        <v>36</v>
      </c>
      <c r="G2509" t="s">
        <v>53</v>
      </c>
      <c r="H2509" t="s">
        <v>39</v>
      </c>
      <c r="I2509" t="s">
        <v>100</v>
      </c>
      <c r="J2509" t="s">
        <v>50</v>
      </c>
      <c r="K2509">
        <v>2.9</v>
      </c>
      <c r="L2509" t="s">
        <v>143</v>
      </c>
      <c r="M2509" t="s">
        <v>143</v>
      </c>
      <c r="N2509">
        <v>32</v>
      </c>
      <c r="O2509" t="s">
        <v>34</v>
      </c>
      <c r="P2509" t="s">
        <v>88</v>
      </c>
    </row>
    <row r="2510" spans="1:16" ht="14.5" x14ac:dyDescent="0.35">
      <c r="A2510">
        <v>2509</v>
      </c>
      <c r="B2510">
        <v>23</v>
      </c>
      <c r="C2510" t="s">
        <v>16</v>
      </c>
      <c r="D2510" t="s">
        <v>44</v>
      </c>
      <c r="E2510" t="s">
        <v>37</v>
      </c>
      <c r="F2510">
        <v>90</v>
      </c>
      <c r="G2510" t="s">
        <v>90</v>
      </c>
      <c r="H2510" t="s">
        <v>83</v>
      </c>
      <c r="I2510" t="s">
        <v>117</v>
      </c>
      <c r="J2510" t="s">
        <v>33</v>
      </c>
      <c r="K2510">
        <v>3.1</v>
      </c>
      <c r="L2510" t="s">
        <v>143</v>
      </c>
      <c r="M2510" t="s">
        <v>143</v>
      </c>
      <c r="N2510">
        <v>5</v>
      </c>
      <c r="O2510" t="s">
        <v>77</v>
      </c>
      <c r="P2510" t="s">
        <v>67</v>
      </c>
    </row>
    <row r="2511" spans="1:16" ht="14.5" x14ac:dyDescent="0.35">
      <c r="A2511">
        <v>2510</v>
      </c>
      <c r="B2511">
        <v>19</v>
      </c>
      <c r="C2511" t="s">
        <v>16</v>
      </c>
      <c r="D2511" t="s">
        <v>116</v>
      </c>
      <c r="E2511" t="s">
        <v>18</v>
      </c>
      <c r="F2511">
        <v>48</v>
      </c>
      <c r="G2511" t="s">
        <v>140</v>
      </c>
      <c r="H2511" t="s">
        <v>39</v>
      </c>
      <c r="I2511" t="s">
        <v>85</v>
      </c>
      <c r="J2511" t="s">
        <v>33</v>
      </c>
      <c r="K2511">
        <v>4.4000000000000004</v>
      </c>
      <c r="L2511" t="s">
        <v>143</v>
      </c>
      <c r="M2511" t="s">
        <v>143</v>
      </c>
      <c r="N2511">
        <v>9</v>
      </c>
      <c r="O2511" t="s">
        <v>66</v>
      </c>
      <c r="P2511" t="s">
        <v>51</v>
      </c>
    </row>
    <row r="2512" spans="1:16" ht="14.5" x14ac:dyDescent="0.35">
      <c r="A2512">
        <v>2511</v>
      </c>
      <c r="B2512">
        <v>40</v>
      </c>
      <c r="C2512" t="s">
        <v>16</v>
      </c>
      <c r="D2512" t="s">
        <v>93</v>
      </c>
      <c r="E2512" t="s">
        <v>56</v>
      </c>
      <c r="F2512">
        <v>42</v>
      </c>
      <c r="G2512" t="s">
        <v>138</v>
      </c>
      <c r="H2512" t="s">
        <v>20</v>
      </c>
      <c r="I2512" t="s">
        <v>65</v>
      </c>
      <c r="J2512" t="s">
        <v>22</v>
      </c>
      <c r="K2512">
        <v>4.4000000000000004</v>
      </c>
      <c r="L2512" t="s">
        <v>143</v>
      </c>
      <c r="M2512" t="s">
        <v>143</v>
      </c>
      <c r="N2512">
        <v>48</v>
      </c>
      <c r="O2512" t="s">
        <v>34</v>
      </c>
      <c r="P2512" t="s">
        <v>35</v>
      </c>
    </row>
    <row r="2513" spans="1:16" ht="14.5" x14ac:dyDescent="0.35">
      <c r="A2513">
        <v>2512</v>
      </c>
      <c r="B2513">
        <v>54</v>
      </c>
      <c r="C2513" t="s">
        <v>16</v>
      </c>
      <c r="D2513" t="s">
        <v>123</v>
      </c>
      <c r="E2513" t="s">
        <v>60</v>
      </c>
      <c r="F2513">
        <v>33</v>
      </c>
      <c r="G2513" t="s">
        <v>126</v>
      </c>
      <c r="H2513" t="s">
        <v>39</v>
      </c>
      <c r="I2513" t="s">
        <v>100</v>
      </c>
      <c r="J2513" t="s">
        <v>47</v>
      </c>
      <c r="K2513">
        <v>2.7</v>
      </c>
      <c r="L2513" t="s">
        <v>143</v>
      </c>
      <c r="M2513" t="s">
        <v>143</v>
      </c>
      <c r="N2513">
        <v>1</v>
      </c>
      <c r="O2513" t="s">
        <v>40</v>
      </c>
      <c r="P2513" t="s">
        <v>51</v>
      </c>
    </row>
    <row r="2514" spans="1:16" ht="14.5" x14ac:dyDescent="0.35">
      <c r="A2514">
        <v>2513</v>
      </c>
      <c r="B2514">
        <v>50</v>
      </c>
      <c r="C2514" t="s">
        <v>16</v>
      </c>
      <c r="D2514" t="s">
        <v>116</v>
      </c>
      <c r="E2514" t="s">
        <v>18</v>
      </c>
      <c r="F2514">
        <v>63</v>
      </c>
      <c r="G2514" t="s">
        <v>105</v>
      </c>
      <c r="H2514" t="s">
        <v>39</v>
      </c>
      <c r="I2514" t="s">
        <v>87</v>
      </c>
      <c r="J2514" t="s">
        <v>47</v>
      </c>
      <c r="K2514">
        <v>4.9000000000000004</v>
      </c>
      <c r="L2514" t="s">
        <v>143</v>
      </c>
      <c r="M2514" t="s">
        <v>143</v>
      </c>
      <c r="N2514">
        <v>20</v>
      </c>
      <c r="O2514" t="s">
        <v>34</v>
      </c>
      <c r="P2514" t="s">
        <v>79</v>
      </c>
    </row>
    <row r="2515" spans="1:16" ht="14.5" x14ac:dyDescent="0.35">
      <c r="A2515">
        <v>2514</v>
      </c>
      <c r="B2515">
        <v>69</v>
      </c>
      <c r="C2515" t="s">
        <v>16</v>
      </c>
      <c r="D2515" t="s">
        <v>59</v>
      </c>
      <c r="E2515" t="s">
        <v>60</v>
      </c>
      <c r="F2515">
        <v>53</v>
      </c>
      <c r="G2515" t="s">
        <v>140</v>
      </c>
      <c r="H2515" t="s">
        <v>20</v>
      </c>
      <c r="I2515" t="s">
        <v>76</v>
      </c>
      <c r="J2515" t="s">
        <v>22</v>
      </c>
      <c r="K2515">
        <v>3.5</v>
      </c>
      <c r="L2515" t="s">
        <v>143</v>
      </c>
      <c r="M2515" t="s">
        <v>143</v>
      </c>
      <c r="N2515">
        <v>42</v>
      </c>
      <c r="O2515" t="s">
        <v>29</v>
      </c>
      <c r="P2515" t="s">
        <v>43</v>
      </c>
    </row>
    <row r="2516" spans="1:16" ht="14.5" x14ac:dyDescent="0.35">
      <c r="A2516">
        <v>2515</v>
      </c>
      <c r="B2516">
        <v>42</v>
      </c>
      <c r="C2516" t="s">
        <v>16</v>
      </c>
      <c r="D2516" t="s">
        <v>115</v>
      </c>
      <c r="E2516" t="s">
        <v>60</v>
      </c>
      <c r="F2516">
        <v>37</v>
      </c>
      <c r="G2516" t="s">
        <v>111</v>
      </c>
      <c r="H2516" t="s">
        <v>20</v>
      </c>
      <c r="I2516" t="s">
        <v>76</v>
      </c>
      <c r="J2516" t="s">
        <v>33</v>
      </c>
      <c r="K2516">
        <v>4.8</v>
      </c>
      <c r="L2516" t="s">
        <v>143</v>
      </c>
      <c r="M2516" t="s">
        <v>143</v>
      </c>
      <c r="N2516">
        <v>45</v>
      </c>
      <c r="O2516" t="s">
        <v>40</v>
      </c>
      <c r="P2516" t="s">
        <v>67</v>
      </c>
    </row>
    <row r="2517" spans="1:16" ht="14.5" x14ac:dyDescent="0.35">
      <c r="A2517">
        <v>2516</v>
      </c>
      <c r="B2517">
        <v>37</v>
      </c>
      <c r="C2517" t="s">
        <v>16</v>
      </c>
      <c r="D2517" t="s">
        <v>17</v>
      </c>
      <c r="E2517" t="s">
        <v>18</v>
      </c>
      <c r="F2517">
        <v>92</v>
      </c>
      <c r="G2517" t="s">
        <v>102</v>
      </c>
      <c r="H2517" t="s">
        <v>39</v>
      </c>
      <c r="I2517" t="s">
        <v>127</v>
      </c>
      <c r="J2517" t="s">
        <v>47</v>
      </c>
      <c r="K2517">
        <v>4.2</v>
      </c>
      <c r="L2517" t="s">
        <v>143</v>
      </c>
      <c r="M2517" t="s">
        <v>143</v>
      </c>
      <c r="N2517">
        <v>41</v>
      </c>
      <c r="O2517" t="s">
        <v>29</v>
      </c>
      <c r="P2517" t="s">
        <v>79</v>
      </c>
    </row>
    <row r="2518" spans="1:16" ht="14.5" x14ac:dyDescent="0.35">
      <c r="A2518">
        <v>2517</v>
      </c>
      <c r="B2518">
        <v>46</v>
      </c>
      <c r="C2518" t="s">
        <v>16</v>
      </c>
      <c r="D2518" t="s">
        <v>52</v>
      </c>
      <c r="E2518" t="s">
        <v>18</v>
      </c>
      <c r="F2518">
        <v>73</v>
      </c>
      <c r="G2518" t="s">
        <v>131</v>
      </c>
      <c r="H2518" t="s">
        <v>83</v>
      </c>
      <c r="I2518" t="s">
        <v>101</v>
      </c>
      <c r="J2518" t="s">
        <v>33</v>
      </c>
      <c r="K2518">
        <v>4.5999999999999996</v>
      </c>
      <c r="L2518" t="s">
        <v>143</v>
      </c>
      <c r="M2518" t="s">
        <v>143</v>
      </c>
      <c r="N2518">
        <v>36</v>
      </c>
      <c r="O2518" t="s">
        <v>77</v>
      </c>
      <c r="P2518" t="s">
        <v>51</v>
      </c>
    </row>
    <row r="2519" spans="1:16" ht="14.5" x14ac:dyDescent="0.35">
      <c r="A2519">
        <v>2518</v>
      </c>
      <c r="B2519">
        <v>64</v>
      </c>
      <c r="C2519" t="s">
        <v>16</v>
      </c>
      <c r="D2519" t="s">
        <v>48</v>
      </c>
      <c r="E2519" t="s">
        <v>18</v>
      </c>
      <c r="F2519">
        <v>38</v>
      </c>
      <c r="G2519" t="s">
        <v>45</v>
      </c>
      <c r="H2519" t="s">
        <v>20</v>
      </c>
      <c r="I2519" t="s">
        <v>112</v>
      </c>
      <c r="J2519" t="s">
        <v>33</v>
      </c>
      <c r="K2519">
        <v>2.9</v>
      </c>
      <c r="L2519" t="s">
        <v>143</v>
      </c>
      <c r="M2519" t="s">
        <v>143</v>
      </c>
      <c r="N2519">
        <v>10</v>
      </c>
      <c r="O2519" t="s">
        <v>24</v>
      </c>
      <c r="P2519" t="s">
        <v>43</v>
      </c>
    </row>
    <row r="2520" spans="1:16" ht="14.5" x14ac:dyDescent="0.35">
      <c r="A2520">
        <v>2519</v>
      </c>
      <c r="B2520">
        <v>20</v>
      </c>
      <c r="C2520" t="s">
        <v>16</v>
      </c>
      <c r="D2520" t="s">
        <v>128</v>
      </c>
      <c r="E2520" t="s">
        <v>37</v>
      </c>
      <c r="F2520">
        <v>51</v>
      </c>
      <c r="G2520" t="s">
        <v>27</v>
      </c>
      <c r="H2520" t="s">
        <v>83</v>
      </c>
      <c r="I2520" t="s">
        <v>135</v>
      </c>
      <c r="J2520" t="s">
        <v>50</v>
      </c>
      <c r="K2520">
        <v>4</v>
      </c>
      <c r="L2520" t="s">
        <v>143</v>
      </c>
      <c r="M2520" t="s">
        <v>143</v>
      </c>
      <c r="N2520">
        <v>31</v>
      </c>
      <c r="O2520" t="s">
        <v>24</v>
      </c>
      <c r="P2520" t="s">
        <v>43</v>
      </c>
    </row>
    <row r="2521" spans="1:16" ht="14.5" x14ac:dyDescent="0.35">
      <c r="A2521">
        <v>2520</v>
      </c>
      <c r="B2521">
        <v>40</v>
      </c>
      <c r="C2521" t="s">
        <v>16</v>
      </c>
      <c r="D2521" t="s">
        <v>93</v>
      </c>
      <c r="E2521" t="s">
        <v>56</v>
      </c>
      <c r="F2521">
        <v>90</v>
      </c>
      <c r="G2521" t="s">
        <v>142</v>
      </c>
      <c r="H2521" t="s">
        <v>20</v>
      </c>
      <c r="I2521" t="s">
        <v>127</v>
      </c>
      <c r="J2521" t="s">
        <v>33</v>
      </c>
      <c r="K2521">
        <v>4.9000000000000004</v>
      </c>
      <c r="L2521" t="s">
        <v>143</v>
      </c>
      <c r="M2521" t="s">
        <v>143</v>
      </c>
      <c r="N2521">
        <v>21</v>
      </c>
      <c r="O2521" t="s">
        <v>34</v>
      </c>
      <c r="P2521" t="s">
        <v>51</v>
      </c>
    </row>
    <row r="2522" spans="1:16" ht="14.5" x14ac:dyDescent="0.35">
      <c r="A2522">
        <v>2521</v>
      </c>
      <c r="B2522">
        <v>64</v>
      </c>
      <c r="C2522" t="s">
        <v>16</v>
      </c>
      <c r="D2522" t="s">
        <v>93</v>
      </c>
      <c r="E2522" t="s">
        <v>56</v>
      </c>
      <c r="F2522">
        <v>56</v>
      </c>
      <c r="G2522" t="s">
        <v>106</v>
      </c>
      <c r="H2522" t="s">
        <v>20</v>
      </c>
      <c r="I2522" t="s">
        <v>127</v>
      </c>
      <c r="J2522" t="s">
        <v>47</v>
      </c>
      <c r="K2522">
        <v>3.1</v>
      </c>
      <c r="L2522" t="s">
        <v>143</v>
      </c>
      <c r="M2522" t="s">
        <v>143</v>
      </c>
      <c r="N2522">
        <v>16</v>
      </c>
      <c r="O2522" t="s">
        <v>29</v>
      </c>
      <c r="P2522" t="s">
        <v>88</v>
      </c>
    </row>
    <row r="2523" spans="1:16" ht="14.5" x14ac:dyDescent="0.35">
      <c r="A2523">
        <v>2522</v>
      </c>
      <c r="B2523">
        <v>29</v>
      </c>
      <c r="C2523" t="s">
        <v>16</v>
      </c>
      <c r="D2523" t="s">
        <v>59</v>
      </c>
      <c r="E2523" t="s">
        <v>60</v>
      </c>
      <c r="F2523">
        <v>33</v>
      </c>
      <c r="G2523" t="s">
        <v>139</v>
      </c>
      <c r="H2523" t="s">
        <v>39</v>
      </c>
      <c r="I2523" t="s">
        <v>127</v>
      </c>
      <c r="J2523" t="s">
        <v>50</v>
      </c>
      <c r="K2523">
        <v>4.4000000000000004</v>
      </c>
      <c r="L2523" t="s">
        <v>143</v>
      </c>
      <c r="M2523" t="s">
        <v>143</v>
      </c>
      <c r="N2523">
        <v>18</v>
      </c>
      <c r="O2523" t="s">
        <v>40</v>
      </c>
      <c r="P2523" t="s">
        <v>88</v>
      </c>
    </row>
    <row r="2524" spans="1:16" ht="14.5" x14ac:dyDescent="0.35">
      <c r="A2524">
        <v>2523</v>
      </c>
      <c r="B2524">
        <v>20</v>
      </c>
      <c r="C2524" t="s">
        <v>16</v>
      </c>
      <c r="D2524" t="s">
        <v>124</v>
      </c>
      <c r="E2524" t="s">
        <v>60</v>
      </c>
      <c r="F2524">
        <v>53</v>
      </c>
      <c r="G2524" t="s">
        <v>31</v>
      </c>
      <c r="H2524" t="s">
        <v>32</v>
      </c>
      <c r="I2524" t="s">
        <v>69</v>
      </c>
      <c r="J2524" t="s">
        <v>22</v>
      </c>
      <c r="K2524">
        <v>2.5</v>
      </c>
      <c r="L2524" t="s">
        <v>143</v>
      </c>
      <c r="M2524" t="s">
        <v>143</v>
      </c>
      <c r="N2524">
        <v>20</v>
      </c>
      <c r="O2524" t="s">
        <v>77</v>
      </c>
      <c r="P2524" t="s">
        <v>35</v>
      </c>
    </row>
    <row r="2525" spans="1:16" ht="14.5" x14ac:dyDescent="0.35">
      <c r="A2525">
        <v>2524</v>
      </c>
      <c r="B2525">
        <v>43</v>
      </c>
      <c r="C2525" t="s">
        <v>16</v>
      </c>
      <c r="D2525" t="s">
        <v>59</v>
      </c>
      <c r="E2525" t="s">
        <v>60</v>
      </c>
      <c r="F2525">
        <v>24</v>
      </c>
      <c r="G2525" t="s">
        <v>118</v>
      </c>
      <c r="H2525" t="s">
        <v>32</v>
      </c>
      <c r="I2525" t="s">
        <v>100</v>
      </c>
      <c r="J2525" t="s">
        <v>33</v>
      </c>
      <c r="K2525">
        <v>3.4</v>
      </c>
      <c r="L2525" t="s">
        <v>143</v>
      </c>
      <c r="M2525" t="s">
        <v>143</v>
      </c>
      <c r="N2525">
        <v>21</v>
      </c>
      <c r="O2525" t="s">
        <v>66</v>
      </c>
      <c r="P2525" t="s">
        <v>43</v>
      </c>
    </row>
    <row r="2526" spans="1:16" ht="14.5" x14ac:dyDescent="0.35">
      <c r="A2526">
        <v>2525</v>
      </c>
      <c r="B2526">
        <v>60</v>
      </c>
      <c r="C2526" t="s">
        <v>16</v>
      </c>
      <c r="D2526" t="s">
        <v>55</v>
      </c>
      <c r="E2526" t="s">
        <v>56</v>
      </c>
      <c r="F2526">
        <v>59</v>
      </c>
      <c r="G2526" t="s">
        <v>102</v>
      </c>
      <c r="H2526" t="s">
        <v>39</v>
      </c>
      <c r="I2526" t="s">
        <v>65</v>
      </c>
      <c r="J2526" t="s">
        <v>33</v>
      </c>
      <c r="K2526">
        <v>3.7</v>
      </c>
      <c r="L2526" t="s">
        <v>143</v>
      </c>
      <c r="M2526" t="s">
        <v>143</v>
      </c>
      <c r="N2526">
        <v>23</v>
      </c>
      <c r="O2526" t="s">
        <v>34</v>
      </c>
      <c r="P2526" t="s">
        <v>51</v>
      </c>
    </row>
    <row r="2527" spans="1:16" ht="14.5" x14ac:dyDescent="0.35">
      <c r="A2527">
        <v>2526</v>
      </c>
      <c r="B2527">
        <v>39</v>
      </c>
      <c r="C2527" t="s">
        <v>16</v>
      </c>
      <c r="D2527" t="s">
        <v>26</v>
      </c>
      <c r="E2527" t="s">
        <v>18</v>
      </c>
      <c r="F2527">
        <v>72</v>
      </c>
      <c r="G2527" t="s">
        <v>19</v>
      </c>
      <c r="H2527" t="s">
        <v>39</v>
      </c>
      <c r="I2527" t="s">
        <v>65</v>
      </c>
      <c r="J2527" t="s">
        <v>22</v>
      </c>
      <c r="K2527">
        <v>4.2</v>
      </c>
      <c r="L2527" t="s">
        <v>143</v>
      </c>
      <c r="M2527" t="s">
        <v>143</v>
      </c>
      <c r="N2527">
        <v>20</v>
      </c>
      <c r="O2527" t="s">
        <v>40</v>
      </c>
      <c r="P2527" t="s">
        <v>35</v>
      </c>
    </row>
    <row r="2528" spans="1:16" ht="14.5" x14ac:dyDescent="0.35">
      <c r="A2528">
        <v>2527</v>
      </c>
      <c r="B2528">
        <v>47</v>
      </c>
      <c r="C2528" t="s">
        <v>16</v>
      </c>
      <c r="D2528" t="s">
        <v>52</v>
      </c>
      <c r="E2528" t="s">
        <v>18</v>
      </c>
      <c r="F2528">
        <v>28</v>
      </c>
      <c r="G2528" t="s">
        <v>38</v>
      </c>
      <c r="H2528" t="s">
        <v>32</v>
      </c>
      <c r="I2528" t="s">
        <v>91</v>
      </c>
      <c r="J2528" t="s">
        <v>33</v>
      </c>
      <c r="K2528">
        <v>3.4</v>
      </c>
      <c r="L2528" t="s">
        <v>143</v>
      </c>
      <c r="M2528" t="s">
        <v>143</v>
      </c>
      <c r="N2528">
        <v>30</v>
      </c>
      <c r="O2528" t="s">
        <v>40</v>
      </c>
      <c r="P2528" t="s">
        <v>67</v>
      </c>
    </row>
    <row r="2529" spans="1:16" ht="14.5" x14ac:dyDescent="0.35">
      <c r="A2529">
        <v>2528</v>
      </c>
      <c r="B2529">
        <v>19</v>
      </c>
      <c r="C2529" t="s">
        <v>16</v>
      </c>
      <c r="D2529" t="s">
        <v>86</v>
      </c>
      <c r="E2529" t="s">
        <v>18</v>
      </c>
      <c r="F2529">
        <v>36</v>
      </c>
      <c r="G2529" t="s">
        <v>106</v>
      </c>
      <c r="H2529" t="s">
        <v>39</v>
      </c>
      <c r="I2529" t="s">
        <v>71</v>
      </c>
      <c r="J2529" t="s">
        <v>50</v>
      </c>
      <c r="K2529">
        <v>3.6</v>
      </c>
      <c r="L2529" t="s">
        <v>143</v>
      </c>
      <c r="M2529" t="s">
        <v>143</v>
      </c>
      <c r="N2529">
        <v>33</v>
      </c>
      <c r="O2529" t="s">
        <v>66</v>
      </c>
      <c r="P2529" t="s">
        <v>88</v>
      </c>
    </row>
    <row r="2530" spans="1:16" ht="14.5" x14ac:dyDescent="0.35">
      <c r="A2530">
        <v>2529</v>
      </c>
      <c r="B2530">
        <v>52</v>
      </c>
      <c r="C2530" t="s">
        <v>16</v>
      </c>
      <c r="D2530" t="s">
        <v>97</v>
      </c>
      <c r="E2530" t="s">
        <v>60</v>
      </c>
      <c r="F2530">
        <v>47</v>
      </c>
      <c r="G2530" t="s">
        <v>81</v>
      </c>
      <c r="H2530" t="s">
        <v>32</v>
      </c>
      <c r="I2530" t="s">
        <v>91</v>
      </c>
      <c r="J2530" t="s">
        <v>50</v>
      </c>
      <c r="K2530">
        <v>4.7</v>
      </c>
      <c r="L2530" t="s">
        <v>143</v>
      </c>
      <c r="M2530" t="s">
        <v>143</v>
      </c>
      <c r="N2530">
        <v>31</v>
      </c>
      <c r="O2530" t="s">
        <v>77</v>
      </c>
      <c r="P2530" t="s">
        <v>79</v>
      </c>
    </row>
    <row r="2531" spans="1:16" ht="14.5" x14ac:dyDescent="0.35">
      <c r="A2531">
        <v>2530</v>
      </c>
      <c r="B2531">
        <v>34</v>
      </c>
      <c r="C2531" t="s">
        <v>16</v>
      </c>
      <c r="D2531" t="s">
        <v>134</v>
      </c>
      <c r="E2531" t="s">
        <v>60</v>
      </c>
      <c r="F2531">
        <v>62</v>
      </c>
      <c r="G2531" t="s">
        <v>113</v>
      </c>
      <c r="H2531" t="s">
        <v>39</v>
      </c>
      <c r="I2531" t="s">
        <v>127</v>
      </c>
      <c r="J2531" t="s">
        <v>33</v>
      </c>
      <c r="K2531">
        <v>4.7</v>
      </c>
      <c r="L2531" t="s">
        <v>143</v>
      </c>
      <c r="M2531" t="s">
        <v>143</v>
      </c>
      <c r="N2531">
        <v>48</v>
      </c>
      <c r="O2531" t="s">
        <v>66</v>
      </c>
      <c r="P2531" t="s">
        <v>79</v>
      </c>
    </row>
    <row r="2532" spans="1:16" ht="14.5" x14ac:dyDescent="0.35">
      <c r="A2532">
        <v>2531</v>
      </c>
      <c r="B2532">
        <v>25</v>
      </c>
      <c r="C2532" t="s">
        <v>16</v>
      </c>
      <c r="D2532" t="s">
        <v>78</v>
      </c>
      <c r="E2532" t="s">
        <v>18</v>
      </c>
      <c r="F2532">
        <v>98</v>
      </c>
      <c r="G2532" t="s">
        <v>31</v>
      </c>
      <c r="H2532" t="s">
        <v>32</v>
      </c>
      <c r="I2532" t="s">
        <v>100</v>
      </c>
      <c r="J2532" t="s">
        <v>33</v>
      </c>
      <c r="K2532">
        <v>3.6</v>
      </c>
      <c r="L2532" t="s">
        <v>143</v>
      </c>
      <c r="M2532" t="s">
        <v>143</v>
      </c>
      <c r="N2532">
        <v>28</v>
      </c>
      <c r="O2532" t="s">
        <v>77</v>
      </c>
      <c r="P2532" t="s">
        <v>35</v>
      </c>
    </row>
    <row r="2533" spans="1:16" ht="14.5" x14ac:dyDescent="0.35">
      <c r="A2533">
        <v>2532</v>
      </c>
      <c r="B2533">
        <v>43</v>
      </c>
      <c r="C2533" t="s">
        <v>16</v>
      </c>
      <c r="D2533" t="s">
        <v>36</v>
      </c>
      <c r="E2533" t="s">
        <v>37</v>
      </c>
      <c r="F2533">
        <v>28</v>
      </c>
      <c r="G2533" t="s">
        <v>96</v>
      </c>
      <c r="H2533" t="s">
        <v>39</v>
      </c>
      <c r="I2533" t="s">
        <v>74</v>
      </c>
      <c r="J2533" t="s">
        <v>47</v>
      </c>
      <c r="K2533">
        <v>4.5999999999999996</v>
      </c>
      <c r="L2533" t="s">
        <v>143</v>
      </c>
      <c r="M2533" t="s">
        <v>143</v>
      </c>
      <c r="N2533">
        <v>7</v>
      </c>
      <c r="O2533" t="s">
        <v>29</v>
      </c>
      <c r="P2533" t="s">
        <v>88</v>
      </c>
    </row>
    <row r="2534" spans="1:16" ht="14.5" x14ac:dyDescent="0.35">
      <c r="A2534">
        <v>2533</v>
      </c>
      <c r="B2534">
        <v>55</v>
      </c>
      <c r="C2534" t="s">
        <v>16</v>
      </c>
      <c r="D2534" t="s">
        <v>116</v>
      </c>
      <c r="E2534" t="s">
        <v>18</v>
      </c>
      <c r="F2534">
        <v>86</v>
      </c>
      <c r="G2534" t="s">
        <v>136</v>
      </c>
      <c r="H2534" t="s">
        <v>32</v>
      </c>
      <c r="I2534" t="s">
        <v>54</v>
      </c>
      <c r="J2534" t="s">
        <v>47</v>
      </c>
      <c r="K2534">
        <v>2.6</v>
      </c>
      <c r="L2534" t="s">
        <v>143</v>
      </c>
      <c r="M2534" t="s">
        <v>143</v>
      </c>
      <c r="N2534">
        <v>4</v>
      </c>
      <c r="O2534" t="s">
        <v>77</v>
      </c>
      <c r="P2534" t="s">
        <v>35</v>
      </c>
    </row>
    <row r="2535" spans="1:16" ht="14.5" x14ac:dyDescent="0.35">
      <c r="A2535">
        <v>2534</v>
      </c>
      <c r="B2535">
        <v>66</v>
      </c>
      <c r="C2535" t="s">
        <v>16</v>
      </c>
      <c r="D2535" t="s">
        <v>97</v>
      </c>
      <c r="E2535" t="s">
        <v>60</v>
      </c>
      <c r="F2535">
        <v>46</v>
      </c>
      <c r="G2535" t="s">
        <v>129</v>
      </c>
      <c r="H2535" t="s">
        <v>32</v>
      </c>
      <c r="I2535" t="s">
        <v>135</v>
      </c>
      <c r="J2535" t="s">
        <v>47</v>
      </c>
      <c r="K2535">
        <v>3.1</v>
      </c>
      <c r="L2535" t="s">
        <v>143</v>
      </c>
      <c r="M2535" t="s">
        <v>143</v>
      </c>
      <c r="N2535">
        <v>49</v>
      </c>
      <c r="O2535" t="s">
        <v>29</v>
      </c>
      <c r="P2535" t="s">
        <v>67</v>
      </c>
    </row>
    <row r="2536" spans="1:16" ht="14.5" x14ac:dyDescent="0.35">
      <c r="A2536">
        <v>2535</v>
      </c>
      <c r="B2536">
        <v>41</v>
      </c>
      <c r="C2536" t="s">
        <v>16</v>
      </c>
      <c r="D2536" t="s">
        <v>80</v>
      </c>
      <c r="E2536" t="s">
        <v>60</v>
      </c>
      <c r="F2536">
        <v>42</v>
      </c>
      <c r="G2536" t="s">
        <v>132</v>
      </c>
      <c r="H2536" t="s">
        <v>83</v>
      </c>
      <c r="I2536" t="s">
        <v>99</v>
      </c>
      <c r="J2536" t="s">
        <v>50</v>
      </c>
      <c r="K2536">
        <v>3.2</v>
      </c>
      <c r="L2536" t="s">
        <v>143</v>
      </c>
      <c r="M2536" t="s">
        <v>143</v>
      </c>
      <c r="N2536">
        <v>22</v>
      </c>
      <c r="O2536" t="s">
        <v>29</v>
      </c>
      <c r="P2536" t="s">
        <v>35</v>
      </c>
    </row>
    <row r="2537" spans="1:16" ht="14.5" x14ac:dyDescent="0.35">
      <c r="A2537">
        <v>2536</v>
      </c>
      <c r="B2537">
        <v>47</v>
      </c>
      <c r="C2537" t="s">
        <v>16</v>
      </c>
      <c r="D2537" t="s">
        <v>55</v>
      </c>
      <c r="E2537" t="s">
        <v>56</v>
      </c>
      <c r="F2537">
        <v>80</v>
      </c>
      <c r="G2537" t="s">
        <v>120</v>
      </c>
      <c r="H2537" t="s">
        <v>32</v>
      </c>
      <c r="I2537" t="s">
        <v>65</v>
      </c>
      <c r="J2537" t="s">
        <v>22</v>
      </c>
      <c r="K2537">
        <v>3.9</v>
      </c>
      <c r="L2537" t="s">
        <v>143</v>
      </c>
      <c r="M2537" t="s">
        <v>143</v>
      </c>
      <c r="N2537">
        <v>39</v>
      </c>
      <c r="O2537" t="s">
        <v>66</v>
      </c>
      <c r="P2537" t="s">
        <v>25</v>
      </c>
    </row>
    <row r="2538" spans="1:16" ht="14.5" x14ac:dyDescent="0.35">
      <c r="A2538">
        <v>2537</v>
      </c>
      <c r="B2538">
        <v>51</v>
      </c>
      <c r="C2538" t="s">
        <v>16</v>
      </c>
      <c r="D2538" t="s">
        <v>124</v>
      </c>
      <c r="E2538" t="s">
        <v>60</v>
      </c>
      <c r="F2538">
        <v>39</v>
      </c>
      <c r="G2538" t="s">
        <v>92</v>
      </c>
      <c r="H2538" t="s">
        <v>20</v>
      </c>
      <c r="I2538" t="s">
        <v>21</v>
      </c>
      <c r="J2538" t="s">
        <v>33</v>
      </c>
      <c r="K2538">
        <v>4.9000000000000004</v>
      </c>
      <c r="L2538" t="s">
        <v>143</v>
      </c>
      <c r="M2538" t="s">
        <v>143</v>
      </c>
      <c r="N2538">
        <v>45</v>
      </c>
      <c r="O2538" t="s">
        <v>40</v>
      </c>
      <c r="P2538" t="s">
        <v>88</v>
      </c>
    </row>
    <row r="2539" spans="1:16" ht="14.5" x14ac:dyDescent="0.35">
      <c r="A2539">
        <v>2538</v>
      </c>
      <c r="B2539">
        <v>44</v>
      </c>
      <c r="C2539" t="s">
        <v>16</v>
      </c>
      <c r="D2539" t="s">
        <v>55</v>
      </c>
      <c r="E2539" t="s">
        <v>56</v>
      </c>
      <c r="F2539">
        <v>49</v>
      </c>
      <c r="G2539" t="s">
        <v>27</v>
      </c>
      <c r="H2539" t="s">
        <v>39</v>
      </c>
      <c r="I2539" t="s">
        <v>65</v>
      </c>
      <c r="J2539" t="s">
        <v>47</v>
      </c>
      <c r="K2539">
        <v>4.0999999999999996</v>
      </c>
      <c r="L2539" t="s">
        <v>143</v>
      </c>
      <c r="M2539" t="s">
        <v>143</v>
      </c>
      <c r="N2539">
        <v>30</v>
      </c>
      <c r="O2539" t="s">
        <v>40</v>
      </c>
      <c r="P2539" t="s">
        <v>25</v>
      </c>
    </row>
    <row r="2540" spans="1:16" ht="14.5" x14ac:dyDescent="0.35">
      <c r="A2540">
        <v>2539</v>
      </c>
      <c r="B2540">
        <v>18</v>
      </c>
      <c r="C2540" t="s">
        <v>16</v>
      </c>
      <c r="D2540" t="s">
        <v>110</v>
      </c>
      <c r="E2540" t="s">
        <v>60</v>
      </c>
      <c r="F2540">
        <v>32</v>
      </c>
      <c r="G2540" t="s">
        <v>118</v>
      </c>
      <c r="H2540" t="s">
        <v>39</v>
      </c>
      <c r="I2540" t="s">
        <v>58</v>
      </c>
      <c r="J2540" t="s">
        <v>47</v>
      </c>
      <c r="K2540">
        <v>4.2</v>
      </c>
      <c r="L2540" t="s">
        <v>143</v>
      </c>
      <c r="M2540" t="s">
        <v>143</v>
      </c>
      <c r="N2540">
        <v>33</v>
      </c>
      <c r="O2540" t="s">
        <v>34</v>
      </c>
      <c r="P2540" t="s">
        <v>67</v>
      </c>
    </row>
    <row r="2541" spans="1:16" ht="14.5" x14ac:dyDescent="0.35">
      <c r="A2541">
        <v>2540</v>
      </c>
      <c r="B2541">
        <v>33</v>
      </c>
      <c r="C2541" t="s">
        <v>16</v>
      </c>
      <c r="D2541" t="s">
        <v>36</v>
      </c>
      <c r="E2541" t="s">
        <v>37</v>
      </c>
      <c r="F2541">
        <v>73</v>
      </c>
      <c r="G2541" t="s">
        <v>31</v>
      </c>
      <c r="H2541" t="s">
        <v>39</v>
      </c>
      <c r="I2541" t="s">
        <v>65</v>
      </c>
      <c r="J2541" t="s">
        <v>50</v>
      </c>
      <c r="K2541">
        <v>4.0999999999999996</v>
      </c>
      <c r="L2541" t="s">
        <v>143</v>
      </c>
      <c r="M2541" t="s">
        <v>143</v>
      </c>
      <c r="N2541">
        <v>24</v>
      </c>
      <c r="O2541" t="s">
        <v>29</v>
      </c>
      <c r="P2541" t="s">
        <v>67</v>
      </c>
    </row>
    <row r="2542" spans="1:16" ht="14.5" x14ac:dyDescent="0.35">
      <c r="A2542">
        <v>2541</v>
      </c>
      <c r="B2542">
        <v>24</v>
      </c>
      <c r="C2542" t="s">
        <v>16</v>
      </c>
      <c r="D2542" t="s">
        <v>124</v>
      </c>
      <c r="E2542" t="s">
        <v>60</v>
      </c>
      <c r="F2542">
        <v>42</v>
      </c>
      <c r="G2542" t="s">
        <v>118</v>
      </c>
      <c r="H2542" t="s">
        <v>39</v>
      </c>
      <c r="I2542" t="s">
        <v>54</v>
      </c>
      <c r="J2542" t="s">
        <v>47</v>
      </c>
      <c r="K2542">
        <v>3.9</v>
      </c>
      <c r="L2542" t="s">
        <v>143</v>
      </c>
      <c r="M2542" t="s">
        <v>143</v>
      </c>
      <c r="N2542">
        <v>11</v>
      </c>
      <c r="O2542" t="s">
        <v>77</v>
      </c>
      <c r="P2542" t="s">
        <v>51</v>
      </c>
    </row>
    <row r="2543" spans="1:16" ht="14.5" x14ac:dyDescent="0.35">
      <c r="A2543">
        <v>2542</v>
      </c>
      <c r="B2543">
        <v>33</v>
      </c>
      <c r="C2543" t="s">
        <v>16</v>
      </c>
      <c r="D2543" t="s">
        <v>110</v>
      </c>
      <c r="E2543" t="s">
        <v>60</v>
      </c>
      <c r="F2543">
        <v>58</v>
      </c>
      <c r="G2543" t="s">
        <v>140</v>
      </c>
      <c r="H2543" t="s">
        <v>39</v>
      </c>
      <c r="I2543" t="s">
        <v>58</v>
      </c>
      <c r="J2543" t="s">
        <v>33</v>
      </c>
      <c r="K2543">
        <v>2.7</v>
      </c>
      <c r="L2543" t="s">
        <v>143</v>
      </c>
      <c r="M2543" t="s">
        <v>143</v>
      </c>
      <c r="N2543">
        <v>13</v>
      </c>
      <c r="O2543" t="s">
        <v>24</v>
      </c>
      <c r="P2543" t="s">
        <v>88</v>
      </c>
    </row>
    <row r="2544" spans="1:16" ht="14.5" x14ac:dyDescent="0.35">
      <c r="A2544">
        <v>2543</v>
      </c>
      <c r="B2544">
        <v>61</v>
      </c>
      <c r="C2544" t="s">
        <v>16</v>
      </c>
      <c r="D2544" t="s">
        <v>97</v>
      </c>
      <c r="E2544" t="s">
        <v>60</v>
      </c>
      <c r="F2544">
        <v>22</v>
      </c>
      <c r="G2544" t="s">
        <v>64</v>
      </c>
      <c r="H2544" t="s">
        <v>39</v>
      </c>
      <c r="I2544" t="s">
        <v>46</v>
      </c>
      <c r="J2544" t="s">
        <v>22</v>
      </c>
      <c r="K2544">
        <v>3.7</v>
      </c>
      <c r="L2544" t="s">
        <v>143</v>
      </c>
      <c r="M2544" t="s">
        <v>143</v>
      </c>
      <c r="N2544">
        <v>27</v>
      </c>
      <c r="O2544" t="s">
        <v>40</v>
      </c>
      <c r="P2544" t="s">
        <v>43</v>
      </c>
    </row>
    <row r="2545" spans="1:16" ht="14.5" x14ac:dyDescent="0.35">
      <c r="A2545">
        <v>2544</v>
      </c>
      <c r="B2545">
        <v>27</v>
      </c>
      <c r="C2545" t="s">
        <v>16</v>
      </c>
      <c r="D2545" t="s">
        <v>110</v>
      </c>
      <c r="E2545" t="s">
        <v>60</v>
      </c>
      <c r="F2545">
        <v>56</v>
      </c>
      <c r="G2545" t="s">
        <v>57</v>
      </c>
      <c r="H2545" t="s">
        <v>20</v>
      </c>
      <c r="I2545" t="s">
        <v>91</v>
      </c>
      <c r="J2545" t="s">
        <v>33</v>
      </c>
      <c r="K2545">
        <v>2.7</v>
      </c>
      <c r="L2545" t="s">
        <v>143</v>
      </c>
      <c r="M2545" t="s">
        <v>143</v>
      </c>
      <c r="N2545">
        <v>30</v>
      </c>
      <c r="O2545" t="s">
        <v>40</v>
      </c>
      <c r="P2545" t="s">
        <v>67</v>
      </c>
    </row>
    <row r="2546" spans="1:16" ht="14.5" x14ac:dyDescent="0.35">
      <c r="A2546">
        <v>2545</v>
      </c>
      <c r="B2546">
        <v>46</v>
      </c>
      <c r="C2546" t="s">
        <v>16</v>
      </c>
      <c r="D2546" t="s">
        <v>86</v>
      </c>
      <c r="E2546" t="s">
        <v>18</v>
      </c>
      <c r="F2546">
        <v>70</v>
      </c>
      <c r="G2546" t="s">
        <v>70</v>
      </c>
      <c r="H2546" t="s">
        <v>39</v>
      </c>
      <c r="I2546" t="s">
        <v>99</v>
      </c>
      <c r="J2546" t="s">
        <v>33</v>
      </c>
      <c r="K2546">
        <v>2.5</v>
      </c>
      <c r="L2546" t="s">
        <v>143</v>
      </c>
      <c r="M2546" t="s">
        <v>143</v>
      </c>
      <c r="N2546">
        <v>39</v>
      </c>
      <c r="O2546" t="s">
        <v>24</v>
      </c>
      <c r="P2546" t="s">
        <v>51</v>
      </c>
    </row>
    <row r="2547" spans="1:16" ht="14.5" x14ac:dyDescent="0.35">
      <c r="A2547">
        <v>2546</v>
      </c>
      <c r="B2547">
        <v>38</v>
      </c>
      <c r="C2547" t="s">
        <v>16</v>
      </c>
      <c r="D2547" t="s">
        <v>63</v>
      </c>
      <c r="E2547" t="s">
        <v>37</v>
      </c>
      <c r="F2547">
        <v>50</v>
      </c>
      <c r="G2547" t="s">
        <v>96</v>
      </c>
      <c r="H2547" t="s">
        <v>20</v>
      </c>
      <c r="I2547" t="s">
        <v>69</v>
      </c>
      <c r="J2547" t="s">
        <v>33</v>
      </c>
      <c r="K2547">
        <v>3.9</v>
      </c>
      <c r="L2547" t="s">
        <v>143</v>
      </c>
      <c r="M2547" t="s">
        <v>143</v>
      </c>
      <c r="N2547">
        <v>10</v>
      </c>
      <c r="O2547" t="s">
        <v>77</v>
      </c>
      <c r="P2547" t="s">
        <v>43</v>
      </c>
    </row>
    <row r="2548" spans="1:16" ht="14.5" x14ac:dyDescent="0.35">
      <c r="A2548">
        <v>2547</v>
      </c>
      <c r="B2548">
        <v>63</v>
      </c>
      <c r="C2548" t="s">
        <v>16</v>
      </c>
      <c r="D2548" t="s">
        <v>128</v>
      </c>
      <c r="E2548" t="s">
        <v>37</v>
      </c>
      <c r="F2548">
        <v>21</v>
      </c>
      <c r="G2548" t="s">
        <v>96</v>
      </c>
      <c r="H2548" t="s">
        <v>20</v>
      </c>
      <c r="I2548" t="s">
        <v>21</v>
      </c>
      <c r="J2548" t="s">
        <v>47</v>
      </c>
      <c r="K2548">
        <v>3</v>
      </c>
      <c r="L2548" t="s">
        <v>143</v>
      </c>
      <c r="M2548" t="s">
        <v>143</v>
      </c>
      <c r="N2548">
        <v>4</v>
      </c>
      <c r="O2548" t="s">
        <v>34</v>
      </c>
      <c r="P2548" t="s">
        <v>51</v>
      </c>
    </row>
    <row r="2549" spans="1:16" ht="14.5" x14ac:dyDescent="0.35">
      <c r="A2549">
        <v>2548</v>
      </c>
      <c r="B2549">
        <v>47</v>
      </c>
      <c r="C2549" t="s">
        <v>16</v>
      </c>
      <c r="D2549" t="s">
        <v>93</v>
      </c>
      <c r="E2549" t="s">
        <v>56</v>
      </c>
      <c r="F2549">
        <v>97</v>
      </c>
      <c r="G2549" t="s">
        <v>82</v>
      </c>
      <c r="H2549" t="s">
        <v>39</v>
      </c>
      <c r="I2549" t="s">
        <v>109</v>
      </c>
      <c r="J2549" t="s">
        <v>47</v>
      </c>
      <c r="K2549">
        <v>3.2</v>
      </c>
      <c r="L2549" t="s">
        <v>143</v>
      </c>
      <c r="M2549" t="s">
        <v>143</v>
      </c>
      <c r="N2549">
        <v>16</v>
      </c>
      <c r="O2549" t="s">
        <v>29</v>
      </c>
      <c r="P2549" t="s">
        <v>35</v>
      </c>
    </row>
    <row r="2550" spans="1:16" ht="14.5" x14ac:dyDescent="0.35">
      <c r="A2550">
        <v>2549</v>
      </c>
      <c r="B2550">
        <v>42</v>
      </c>
      <c r="C2550" t="s">
        <v>16</v>
      </c>
      <c r="D2550" t="s">
        <v>123</v>
      </c>
      <c r="E2550" t="s">
        <v>60</v>
      </c>
      <c r="F2550">
        <v>63</v>
      </c>
      <c r="G2550" t="s">
        <v>96</v>
      </c>
      <c r="H2550" t="s">
        <v>20</v>
      </c>
      <c r="I2550" t="s">
        <v>62</v>
      </c>
      <c r="J2550" t="s">
        <v>22</v>
      </c>
      <c r="K2550">
        <v>3.8</v>
      </c>
      <c r="L2550" t="s">
        <v>143</v>
      </c>
      <c r="M2550" t="s">
        <v>143</v>
      </c>
      <c r="N2550">
        <v>34</v>
      </c>
      <c r="O2550" t="s">
        <v>34</v>
      </c>
      <c r="P2550" t="s">
        <v>79</v>
      </c>
    </row>
    <row r="2551" spans="1:16" ht="14.5" x14ac:dyDescent="0.35">
      <c r="A2551">
        <v>2550</v>
      </c>
      <c r="B2551">
        <v>41</v>
      </c>
      <c r="C2551" t="s">
        <v>16</v>
      </c>
      <c r="D2551" t="s">
        <v>93</v>
      </c>
      <c r="E2551" t="s">
        <v>56</v>
      </c>
      <c r="F2551">
        <v>60</v>
      </c>
      <c r="G2551" t="s">
        <v>132</v>
      </c>
      <c r="H2551" t="s">
        <v>39</v>
      </c>
      <c r="I2551" t="s">
        <v>99</v>
      </c>
      <c r="J2551" t="s">
        <v>50</v>
      </c>
      <c r="K2551">
        <v>2.7</v>
      </c>
      <c r="L2551" t="s">
        <v>143</v>
      </c>
      <c r="M2551" t="s">
        <v>143</v>
      </c>
      <c r="N2551">
        <v>11</v>
      </c>
      <c r="O2551" t="s">
        <v>77</v>
      </c>
      <c r="P2551" t="s">
        <v>88</v>
      </c>
    </row>
    <row r="2552" spans="1:16" ht="14.5" x14ac:dyDescent="0.35">
      <c r="A2552">
        <v>2551</v>
      </c>
      <c r="B2552">
        <v>53</v>
      </c>
      <c r="C2552" t="s">
        <v>16</v>
      </c>
      <c r="D2552" t="s">
        <v>128</v>
      </c>
      <c r="E2552" t="s">
        <v>37</v>
      </c>
      <c r="F2552">
        <v>52</v>
      </c>
      <c r="G2552" t="s">
        <v>73</v>
      </c>
      <c r="H2552" t="s">
        <v>83</v>
      </c>
      <c r="I2552" t="s">
        <v>91</v>
      </c>
      <c r="J2552" t="s">
        <v>50</v>
      </c>
      <c r="K2552">
        <v>3</v>
      </c>
      <c r="L2552" t="s">
        <v>143</v>
      </c>
      <c r="M2552" t="s">
        <v>143</v>
      </c>
      <c r="N2552">
        <v>30</v>
      </c>
      <c r="O2552" t="s">
        <v>77</v>
      </c>
      <c r="P2552" t="s">
        <v>25</v>
      </c>
    </row>
    <row r="2553" spans="1:16" ht="14.5" x14ac:dyDescent="0.35">
      <c r="A2553">
        <v>2552</v>
      </c>
      <c r="B2553">
        <v>29</v>
      </c>
      <c r="C2553" t="s">
        <v>16</v>
      </c>
      <c r="D2553" t="s">
        <v>63</v>
      </c>
      <c r="E2553" t="s">
        <v>37</v>
      </c>
      <c r="F2553">
        <v>32</v>
      </c>
      <c r="G2553" t="s">
        <v>139</v>
      </c>
      <c r="H2553" t="s">
        <v>39</v>
      </c>
      <c r="I2553" t="s">
        <v>28</v>
      </c>
      <c r="J2553" t="s">
        <v>22</v>
      </c>
      <c r="K2553">
        <v>4.0999999999999996</v>
      </c>
      <c r="L2553" t="s">
        <v>143</v>
      </c>
      <c r="M2553" t="s">
        <v>143</v>
      </c>
      <c r="N2553">
        <v>40</v>
      </c>
      <c r="O2553" t="s">
        <v>77</v>
      </c>
      <c r="P2553" t="s">
        <v>43</v>
      </c>
    </row>
    <row r="2554" spans="1:16" ht="14.5" x14ac:dyDescent="0.35">
      <c r="A2554">
        <v>2553</v>
      </c>
      <c r="B2554">
        <v>61</v>
      </c>
      <c r="C2554" t="s">
        <v>16</v>
      </c>
      <c r="D2554" t="s">
        <v>124</v>
      </c>
      <c r="E2554" t="s">
        <v>60</v>
      </c>
      <c r="F2554">
        <v>48</v>
      </c>
      <c r="G2554" t="s">
        <v>119</v>
      </c>
      <c r="H2554" t="s">
        <v>83</v>
      </c>
      <c r="I2554" t="s">
        <v>65</v>
      </c>
      <c r="J2554" t="s">
        <v>33</v>
      </c>
      <c r="K2554">
        <v>3.2</v>
      </c>
      <c r="L2554" t="s">
        <v>143</v>
      </c>
      <c r="M2554" t="s">
        <v>143</v>
      </c>
      <c r="N2554">
        <v>13</v>
      </c>
      <c r="O2554" t="s">
        <v>34</v>
      </c>
      <c r="P2554" t="s">
        <v>43</v>
      </c>
    </row>
    <row r="2555" spans="1:16" ht="14.5" x14ac:dyDescent="0.35">
      <c r="A2555">
        <v>2554</v>
      </c>
      <c r="B2555">
        <v>69</v>
      </c>
      <c r="C2555" t="s">
        <v>16</v>
      </c>
      <c r="D2555" t="s">
        <v>97</v>
      </c>
      <c r="E2555" t="s">
        <v>60</v>
      </c>
      <c r="F2555">
        <v>25</v>
      </c>
      <c r="G2555" t="s">
        <v>120</v>
      </c>
      <c r="H2555" t="s">
        <v>39</v>
      </c>
      <c r="I2555" t="s">
        <v>28</v>
      </c>
      <c r="J2555" t="s">
        <v>47</v>
      </c>
      <c r="K2555">
        <v>4.5</v>
      </c>
      <c r="L2555" t="s">
        <v>143</v>
      </c>
      <c r="M2555" t="s">
        <v>143</v>
      </c>
      <c r="N2555">
        <v>28</v>
      </c>
      <c r="O2555" t="s">
        <v>24</v>
      </c>
      <c r="P2555" t="s">
        <v>88</v>
      </c>
    </row>
    <row r="2556" spans="1:16" ht="14.5" x14ac:dyDescent="0.35">
      <c r="A2556">
        <v>2555</v>
      </c>
      <c r="B2556">
        <v>51</v>
      </c>
      <c r="C2556" t="s">
        <v>16</v>
      </c>
      <c r="D2556" t="s">
        <v>97</v>
      </c>
      <c r="E2556" t="s">
        <v>60</v>
      </c>
      <c r="F2556">
        <v>68</v>
      </c>
      <c r="G2556" t="s">
        <v>102</v>
      </c>
      <c r="H2556" t="s">
        <v>39</v>
      </c>
      <c r="I2556" t="s">
        <v>21</v>
      </c>
      <c r="J2556" t="s">
        <v>47</v>
      </c>
      <c r="K2556">
        <v>4.3</v>
      </c>
      <c r="L2556" t="s">
        <v>143</v>
      </c>
      <c r="M2556" t="s">
        <v>143</v>
      </c>
      <c r="N2556">
        <v>49</v>
      </c>
      <c r="O2556" t="s">
        <v>77</v>
      </c>
      <c r="P2556" t="s">
        <v>67</v>
      </c>
    </row>
    <row r="2557" spans="1:16" ht="14.5" x14ac:dyDescent="0.35">
      <c r="A2557">
        <v>2556</v>
      </c>
      <c r="B2557">
        <v>24</v>
      </c>
      <c r="C2557" t="s">
        <v>16</v>
      </c>
      <c r="D2557" t="s">
        <v>86</v>
      </c>
      <c r="E2557" t="s">
        <v>18</v>
      </c>
      <c r="F2557">
        <v>74</v>
      </c>
      <c r="G2557" t="s">
        <v>126</v>
      </c>
      <c r="H2557" t="s">
        <v>39</v>
      </c>
      <c r="I2557" t="s">
        <v>21</v>
      </c>
      <c r="J2557" t="s">
        <v>50</v>
      </c>
      <c r="K2557">
        <v>3.5</v>
      </c>
      <c r="L2557" t="s">
        <v>143</v>
      </c>
      <c r="M2557" t="s">
        <v>143</v>
      </c>
      <c r="N2557">
        <v>23</v>
      </c>
      <c r="O2557" t="s">
        <v>34</v>
      </c>
      <c r="P2557" t="s">
        <v>35</v>
      </c>
    </row>
    <row r="2558" spans="1:16" ht="14.5" x14ac:dyDescent="0.35">
      <c r="A2558">
        <v>2557</v>
      </c>
      <c r="B2558">
        <v>24</v>
      </c>
      <c r="C2558" t="s">
        <v>16</v>
      </c>
      <c r="D2558" t="s">
        <v>104</v>
      </c>
      <c r="E2558" t="s">
        <v>18</v>
      </c>
      <c r="F2558">
        <v>88</v>
      </c>
      <c r="G2558" t="s">
        <v>49</v>
      </c>
      <c r="H2558" t="s">
        <v>83</v>
      </c>
      <c r="I2558" t="s">
        <v>127</v>
      </c>
      <c r="J2558" t="s">
        <v>50</v>
      </c>
      <c r="K2558">
        <v>3.1</v>
      </c>
      <c r="L2558" t="s">
        <v>143</v>
      </c>
      <c r="M2558" t="s">
        <v>143</v>
      </c>
      <c r="N2558">
        <v>4</v>
      </c>
      <c r="O2558" t="s">
        <v>66</v>
      </c>
      <c r="P2558" t="s">
        <v>51</v>
      </c>
    </row>
    <row r="2559" spans="1:16" ht="14.5" x14ac:dyDescent="0.35">
      <c r="A2559">
        <v>2558</v>
      </c>
      <c r="B2559">
        <v>70</v>
      </c>
      <c r="C2559" t="s">
        <v>16</v>
      </c>
      <c r="D2559" t="s">
        <v>52</v>
      </c>
      <c r="E2559" t="s">
        <v>18</v>
      </c>
      <c r="F2559">
        <v>23</v>
      </c>
      <c r="G2559" t="s">
        <v>92</v>
      </c>
      <c r="H2559" t="s">
        <v>20</v>
      </c>
      <c r="I2559" t="s">
        <v>100</v>
      </c>
      <c r="J2559" t="s">
        <v>33</v>
      </c>
      <c r="K2559">
        <v>3.9</v>
      </c>
      <c r="L2559" t="s">
        <v>143</v>
      </c>
      <c r="M2559" t="s">
        <v>143</v>
      </c>
      <c r="N2559">
        <v>17</v>
      </c>
      <c r="O2559" t="s">
        <v>40</v>
      </c>
      <c r="P2559" t="s">
        <v>25</v>
      </c>
    </row>
    <row r="2560" spans="1:16" ht="14.5" x14ac:dyDescent="0.35">
      <c r="A2560">
        <v>2559</v>
      </c>
      <c r="B2560">
        <v>49</v>
      </c>
      <c r="C2560" t="s">
        <v>16</v>
      </c>
      <c r="D2560" t="s">
        <v>95</v>
      </c>
      <c r="E2560" t="s">
        <v>18</v>
      </c>
      <c r="F2560">
        <v>32</v>
      </c>
      <c r="G2560" t="s">
        <v>90</v>
      </c>
      <c r="H2560" t="s">
        <v>39</v>
      </c>
      <c r="I2560" t="s">
        <v>58</v>
      </c>
      <c r="J2560" t="s">
        <v>50</v>
      </c>
      <c r="K2560">
        <v>2.7</v>
      </c>
      <c r="L2560" t="s">
        <v>143</v>
      </c>
      <c r="M2560" t="s">
        <v>143</v>
      </c>
      <c r="N2560">
        <v>24</v>
      </c>
      <c r="O2560" t="s">
        <v>40</v>
      </c>
      <c r="P2560" t="s">
        <v>25</v>
      </c>
    </row>
    <row r="2561" spans="1:16" ht="14.5" x14ac:dyDescent="0.35">
      <c r="A2561">
        <v>2560</v>
      </c>
      <c r="B2561">
        <v>48</v>
      </c>
      <c r="C2561" t="s">
        <v>16</v>
      </c>
      <c r="D2561" t="s">
        <v>124</v>
      </c>
      <c r="E2561" t="s">
        <v>60</v>
      </c>
      <c r="F2561">
        <v>71</v>
      </c>
      <c r="G2561" t="s">
        <v>82</v>
      </c>
      <c r="H2561" t="s">
        <v>32</v>
      </c>
      <c r="I2561" t="s">
        <v>87</v>
      </c>
      <c r="J2561" t="s">
        <v>22</v>
      </c>
      <c r="K2561">
        <v>4</v>
      </c>
      <c r="L2561" t="s">
        <v>143</v>
      </c>
      <c r="M2561" t="s">
        <v>143</v>
      </c>
      <c r="N2561">
        <v>21</v>
      </c>
      <c r="O2561" t="s">
        <v>77</v>
      </c>
      <c r="P2561" t="s">
        <v>88</v>
      </c>
    </row>
    <row r="2562" spans="1:16" ht="14.5" x14ac:dyDescent="0.35">
      <c r="A2562">
        <v>2561</v>
      </c>
      <c r="B2562">
        <v>58</v>
      </c>
      <c r="C2562" t="s">
        <v>16</v>
      </c>
      <c r="D2562" t="s">
        <v>128</v>
      </c>
      <c r="E2562" t="s">
        <v>37</v>
      </c>
      <c r="F2562">
        <v>62</v>
      </c>
      <c r="G2562" t="s">
        <v>90</v>
      </c>
      <c r="H2562" t="s">
        <v>39</v>
      </c>
      <c r="I2562" t="s">
        <v>74</v>
      </c>
      <c r="J2562" t="s">
        <v>33</v>
      </c>
      <c r="K2562">
        <v>2.7</v>
      </c>
      <c r="L2562" t="s">
        <v>143</v>
      </c>
      <c r="M2562" t="s">
        <v>143</v>
      </c>
      <c r="N2562">
        <v>17</v>
      </c>
      <c r="O2562" t="s">
        <v>77</v>
      </c>
      <c r="P2562" t="s">
        <v>67</v>
      </c>
    </row>
    <row r="2563" spans="1:16" ht="14.5" x14ac:dyDescent="0.35">
      <c r="A2563">
        <v>2562</v>
      </c>
      <c r="B2563">
        <v>32</v>
      </c>
      <c r="C2563" t="s">
        <v>16</v>
      </c>
      <c r="D2563" t="s">
        <v>95</v>
      </c>
      <c r="E2563" t="s">
        <v>18</v>
      </c>
      <c r="F2563">
        <v>20</v>
      </c>
      <c r="G2563" t="s">
        <v>75</v>
      </c>
      <c r="H2563" t="s">
        <v>20</v>
      </c>
      <c r="I2563" t="s">
        <v>127</v>
      </c>
      <c r="J2563" t="s">
        <v>33</v>
      </c>
      <c r="K2563">
        <v>2.7</v>
      </c>
      <c r="L2563" t="s">
        <v>143</v>
      </c>
      <c r="M2563" t="s">
        <v>143</v>
      </c>
      <c r="N2563">
        <v>22</v>
      </c>
      <c r="O2563" t="s">
        <v>77</v>
      </c>
      <c r="P2563" t="s">
        <v>51</v>
      </c>
    </row>
    <row r="2564" spans="1:16" ht="14.5" x14ac:dyDescent="0.35">
      <c r="A2564">
        <v>2563</v>
      </c>
      <c r="B2564">
        <v>57</v>
      </c>
      <c r="C2564" t="s">
        <v>16</v>
      </c>
      <c r="D2564" t="s">
        <v>52</v>
      </c>
      <c r="E2564" t="s">
        <v>18</v>
      </c>
      <c r="F2564">
        <v>62</v>
      </c>
      <c r="G2564" t="s">
        <v>108</v>
      </c>
      <c r="H2564" t="s">
        <v>83</v>
      </c>
      <c r="I2564" t="s">
        <v>125</v>
      </c>
      <c r="J2564" t="s">
        <v>33</v>
      </c>
      <c r="K2564">
        <v>4.7</v>
      </c>
      <c r="L2564" t="s">
        <v>143</v>
      </c>
      <c r="M2564" t="s">
        <v>143</v>
      </c>
      <c r="N2564">
        <v>27</v>
      </c>
      <c r="O2564" t="s">
        <v>29</v>
      </c>
      <c r="P2564" t="s">
        <v>25</v>
      </c>
    </row>
    <row r="2565" spans="1:16" ht="14.5" x14ac:dyDescent="0.35">
      <c r="A2565">
        <v>2564</v>
      </c>
      <c r="B2565">
        <v>69</v>
      </c>
      <c r="C2565" t="s">
        <v>16</v>
      </c>
      <c r="D2565" t="s">
        <v>123</v>
      </c>
      <c r="E2565" t="s">
        <v>60</v>
      </c>
      <c r="F2565">
        <v>81</v>
      </c>
      <c r="G2565" t="s">
        <v>31</v>
      </c>
      <c r="H2565" t="s">
        <v>83</v>
      </c>
      <c r="I2565" t="s">
        <v>21</v>
      </c>
      <c r="J2565" t="s">
        <v>22</v>
      </c>
      <c r="K2565">
        <v>4.5</v>
      </c>
      <c r="L2565" t="s">
        <v>143</v>
      </c>
      <c r="M2565" t="s">
        <v>143</v>
      </c>
      <c r="N2565">
        <v>1</v>
      </c>
      <c r="O2565" t="s">
        <v>24</v>
      </c>
      <c r="P2565" t="s">
        <v>88</v>
      </c>
    </row>
    <row r="2566" spans="1:16" ht="14.5" x14ac:dyDescent="0.35">
      <c r="A2566">
        <v>2565</v>
      </c>
      <c r="B2566">
        <v>42</v>
      </c>
      <c r="C2566" t="s">
        <v>16</v>
      </c>
      <c r="D2566" t="s">
        <v>110</v>
      </c>
      <c r="E2566" t="s">
        <v>60</v>
      </c>
      <c r="F2566">
        <v>90</v>
      </c>
      <c r="G2566" t="s">
        <v>19</v>
      </c>
      <c r="H2566" t="s">
        <v>20</v>
      </c>
      <c r="I2566" t="s">
        <v>117</v>
      </c>
      <c r="J2566" t="s">
        <v>22</v>
      </c>
      <c r="K2566">
        <v>3</v>
      </c>
      <c r="L2566" t="s">
        <v>143</v>
      </c>
      <c r="M2566" t="s">
        <v>143</v>
      </c>
      <c r="N2566">
        <v>27</v>
      </c>
      <c r="O2566" t="s">
        <v>66</v>
      </c>
      <c r="P2566" t="s">
        <v>35</v>
      </c>
    </row>
    <row r="2567" spans="1:16" ht="14.5" x14ac:dyDescent="0.35">
      <c r="A2567">
        <v>2566</v>
      </c>
      <c r="B2567">
        <v>30</v>
      </c>
      <c r="C2567" t="s">
        <v>16</v>
      </c>
      <c r="D2567" t="s">
        <v>116</v>
      </c>
      <c r="E2567" t="s">
        <v>18</v>
      </c>
      <c r="F2567">
        <v>43</v>
      </c>
      <c r="G2567" t="s">
        <v>120</v>
      </c>
      <c r="H2567" t="s">
        <v>32</v>
      </c>
      <c r="I2567" t="s">
        <v>117</v>
      </c>
      <c r="J2567" t="s">
        <v>50</v>
      </c>
      <c r="K2567">
        <v>3.6</v>
      </c>
      <c r="L2567" t="s">
        <v>143</v>
      </c>
      <c r="M2567" t="s">
        <v>143</v>
      </c>
      <c r="N2567">
        <v>8</v>
      </c>
      <c r="O2567" t="s">
        <v>24</v>
      </c>
      <c r="P2567" t="s">
        <v>51</v>
      </c>
    </row>
    <row r="2568" spans="1:16" ht="14.5" x14ac:dyDescent="0.35">
      <c r="A2568">
        <v>2567</v>
      </c>
      <c r="B2568">
        <v>35</v>
      </c>
      <c r="C2568" t="s">
        <v>16</v>
      </c>
      <c r="D2568" t="s">
        <v>59</v>
      </c>
      <c r="E2568" t="s">
        <v>60</v>
      </c>
      <c r="F2568">
        <v>38</v>
      </c>
      <c r="G2568" t="s">
        <v>61</v>
      </c>
      <c r="H2568" t="s">
        <v>32</v>
      </c>
      <c r="I2568" t="s">
        <v>125</v>
      </c>
      <c r="J2568" t="s">
        <v>50</v>
      </c>
      <c r="K2568">
        <v>3.3</v>
      </c>
      <c r="L2568" t="s">
        <v>143</v>
      </c>
      <c r="M2568" t="s">
        <v>143</v>
      </c>
      <c r="N2568">
        <v>43</v>
      </c>
      <c r="O2568" t="s">
        <v>40</v>
      </c>
      <c r="P2568" t="s">
        <v>51</v>
      </c>
    </row>
    <row r="2569" spans="1:16" ht="14.5" x14ac:dyDescent="0.35">
      <c r="A2569">
        <v>2568</v>
      </c>
      <c r="B2569">
        <v>19</v>
      </c>
      <c r="C2569" t="s">
        <v>16</v>
      </c>
      <c r="D2569" t="s">
        <v>80</v>
      </c>
      <c r="E2569" t="s">
        <v>60</v>
      </c>
      <c r="F2569">
        <v>25</v>
      </c>
      <c r="G2569" t="s">
        <v>142</v>
      </c>
      <c r="H2569" t="s">
        <v>83</v>
      </c>
      <c r="I2569" t="s">
        <v>71</v>
      </c>
      <c r="J2569" t="s">
        <v>33</v>
      </c>
      <c r="K2569">
        <v>4.3</v>
      </c>
      <c r="L2569" t="s">
        <v>143</v>
      </c>
      <c r="M2569" t="s">
        <v>143</v>
      </c>
      <c r="N2569">
        <v>24</v>
      </c>
      <c r="O2569" t="s">
        <v>29</v>
      </c>
      <c r="P2569" t="s">
        <v>25</v>
      </c>
    </row>
    <row r="2570" spans="1:16" ht="14.5" x14ac:dyDescent="0.35">
      <c r="A2570">
        <v>2569</v>
      </c>
      <c r="B2570">
        <v>52</v>
      </c>
      <c r="C2570" t="s">
        <v>16</v>
      </c>
      <c r="D2570" t="s">
        <v>104</v>
      </c>
      <c r="E2570" t="s">
        <v>18</v>
      </c>
      <c r="F2570">
        <v>98</v>
      </c>
      <c r="G2570" t="s">
        <v>96</v>
      </c>
      <c r="H2570" t="s">
        <v>83</v>
      </c>
      <c r="I2570" t="s">
        <v>87</v>
      </c>
      <c r="J2570" t="s">
        <v>22</v>
      </c>
      <c r="K2570">
        <v>4.3</v>
      </c>
      <c r="L2570" t="s">
        <v>143</v>
      </c>
      <c r="M2570" t="s">
        <v>143</v>
      </c>
      <c r="N2570">
        <v>29</v>
      </c>
      <c r="O2570" t="s">
        <v>40</v>
      </c>
      <c r="P2570" t="s">
        <v>25</v>
      </c>
    </row>
    <row r="2571" spans="1:16" ht="14.5" x14ac:dyDescent="0.35">
      <c r="A2571">
        <v>2570</v>
      </c>
      <c r="B2571">
        <v>42</v>
      </c>
      <c r="C2571" t="s">
        <v>16</v>
      </c>
      <c r="D2571" t="s">
        <v>72</v>
      </c>
      <c r="E2571" t="s">
        <v>18</v>
      </c>
      <c r="F2571">
        <v>75</v>
      </c>
      <c r="G2571" t="s">
        <v>75</v>
      </c>
      <c r="H2571" t="s">
        <v>39</v>
      </c>
      <c r="I2571" t="s">
        <v>54</v>
      </c>
      <c r="J2571" t="s">
        <v>33</v>
      </c>
      <c r="K2571">
        <v>4.8</v>
      </c>
      <c r="L2571" t="s">
        <v>143</v>
      </c>
      <c r="M2571" t="s">
        <v>143</v>
      </c>
      <c r="N2571">
        <v>10</v>
      </c>
      <c r="O2571" t="s">
        <v>66</v>
      </c>
      <c r="P2571" t="s">
        <v>67</v>
      </c>
    </row>
    <row r="2572" spans="1:16" ht="14.5" x14ac:dyDescent="0.35">
      <c r="A2572">
        <v>2571</v>
      </c>
      <c r="B2572">
        <v>36</v>
      </c>
      <c r="C2572" t="s">
        <v>16</v>
      </c>
      <c r="D2572" t="s">
        <v>44</v>
      </c>
      <c r="E2572" t="s">
        <v>37</v>
      </c>
      <c r="F2572">
        <v>27</v>
      </c>
      <c r="G2572" t="s">
        <v>121</v>
      </c>
      <c r="H2572" t="s">
        <v>83</v>
      </c>
      <c r="I2572" t="s">
        <v>69</v>
      </c>
      <c r="J2572" t="s">
        <v>33</v>
      </c>
      <c r="K2572">
        <v>4</v>
      </c>
      <c r="L2572" t="s">
        <v>143</v>
      </c>
      <c r="M2572" t="s">
        <v>143</v>
      </c>
      <c r="N2572">
        <v>12</v>
      </c>
      <c r="O2572" t="s">
        <v>40</v>
      </c>
      <c r="P2572" t="s">
        <v>25</v>
      </c>
    </row>
    <row r="2573" spans="1:16" ht="14.5" x14ac:dyDescent="0.35">
      <c r="A2573">
        <v>2572</v>
      </c>
      <c r="B2573">
        <v>45</v>
      </c>
      <c r="C2573" t="s">
        <v>16</v>
      </c>
      <c r="D2573" t="s">
        <v>80</v>
      </c>
      <c r="E2573" t="s">
        <v>60</v>
      </c>
      <c r="F2573">
        <v>27</v>
      </c>
      <c r="G2573" t="s">
        <v>82</v>
      </c>
      <c r="H2573" t="s">
        <v>20</v>
      </c>
      <c r="I2573" t="s">
        <v>85</v>
      </c>
      <c r="J2573" t="s">
        <v>22</v>
      </c>
      <c r="K2573">
        <v>3.5</v>
      </c>
      <c r="L2573" t="s">
        <v>143</v>
      </c>
      <c r="M2573" t="s">
        <v>143</v>
      </c>
      <c r="N2573">
        <v>48</v>
      </c>
      <c r="O2573" t="s">
        <v>29</v>
      </c>
      <c r="P2573" t="s">
        <v>25</v>
      </c>
    </row>
    <row r="2574" spans="1:16" ht="14.5" x14ac:dyDescent="0.35">
      <c r="A2574">
        <v>2573</v>
      </c>
      <c r="B2574">
        <v>54</v>
      </c>
      <c r="C2574" t="s">
        <v>16</v>
      </c>
      <c r="D2574" t="s">
        <v>17</v>
      </c>
      <c r="E2574" t="s">
        <v>18</v>
      </c>
      <c r="F2574">
        <v>42</v>
      </c>
      <c r="G2574" t="s">
        <v>140</v>
      </c>
      <c r="H2574" t="s">
        <v>39</v>
      </c>
      <c r="I2574" t="s">
        <v>58</v>
      </c>
      <c r="J2574" t="s">
        <v>50</v>
      </c>
      <c r="K2574">
        <v>3.9</v>
      </c>
      <c r="L2574" t="s">
        <v>143</v>
      </c>
      <c r="M2574" t="s">
        <v>143</v>
      </c>
      <c r="N2574">
        <v>40</v>
      </c>
      <c r="O2574" t="s">
        <v>66</v>
      </c>
      <c r="P2574" t="s">
        <v>51</v>
      </c>
    </row>
    <row r="2575" spans="1:16" ht="14.5" x14ac:dyDescent="0.35">
      <c r="A2575">
        <v>2574</v>
      </c>
      <c r="B2575">
        <v>54</v>
      </c>
      <c r="C2575" t="s">
        <v>16</v>
      </c>
      <c r="D2575" t="s">
        <v>104</v>
      </c>
      <c r="E2575" t="s">
        <v>18</v>
      </c>
      <c r="F2575">
        <v>90</v>
      </c>
      <c r="G2575" t="s">
        <v>121</v>
      </c>
      <c r="H2575" t="s">
        <v>39</v>
      </c>
      <c r="I2575" t="s">
        <v>99</v>
      </c>
      <c r="J2575" t="s">
        <v>47</v>
      </c>
      <c r="K2575">
        <v>4.4000000000000004</v>
      </c>
      <c r="L2575" t="s">
        <v>143</v>
      </c>
      <c r="M2575" t="s">
        <v>143</v>
      </c>
      <c r="N2575">
        <v>1</v>
      </c>
      <c r="O2575" t="s">
        <v>66</v>
      </c>
      <c r="P2575" t="s">
        <v>43</v>
      </c>
    </row>
    <row r="2576" spans="1:16" ht="14.5" x14ac:dyDescent="0.35">
      <c r="A2576">
        <v>2575</v>
      </c>
      <c r="B2576">
        <v>27</v>
      </c>
      <c r="C2576" t="s">
        <v>16</v>
      </c>
      <c r="D2576" t="s">
        <v>115</v>
      </c>
      <c r="E2576" t="s">
        <v>60</v>
      </c>
      <c r="F2576">
        <v>63</v>
      </c>
      <c r="G2576" t="s">
        <v>94</v>
      </c>
      <c r="H2576" t="s">
        <v>39</v>
      </c>
      <c r="I2576" t="s">
        <v>101</v>
      </c>
      <c r="J2576" t="s">
        <v>47</v>
      </c>
      <c r="K2576">
        <v>4.5999999999999996</v>
      </c>
      <c r="L2576" t="s">
        <v>143</v>
      </c>
      <c r="M2576" t="s">
        <v>143</v>
      </c>
      <c r="N2576">
        <v>26</v>
      </c>
      <c r="O2576" t="s">
        <v>34</v>
      </c>
      <c r="P2576" t="s">
        <v>25</v>
      </c>
    </row>
    <row r="2577" spans="1:16" ht="14.5" x14ac:dyDescent="0.35">
      <c r="A2577">
        <v>2576</v>
      </c>
      <c r="B2577">
        <v>53</v>
      </c>
      <c r="C2577" t="s">
        <v>16</v>
      </c>
      <c r="D2577" t="s">
        <v>52</v>
      </c>
      <c r="E2577" t="s">
        <v>18</v>
      </c>
      <c r="F2577">
        <v>96</v>
      </c>
      <c r="G2577" t="s">
        <v>139</v>
      </c>
      <c r="H2577" t="s">
        <v>39</v>
      </c>
      <c r="I2577" t="s">
        <v>58</v>
      </c>
      <c r="J2577" t="s">
        <v>50</v>
      </c>
      <c r="K2577">
        <v>4</v>
      </c>
      <c r="L2577" t="s">
        <v>143</v>
      </c>
      <c r="M2577" t="s">
        <v>143</v>
      </c>
      <c r="N2577">
        <v>9</v>
      </c>
      <c r="O2577" t="s">
        <v>40</v>
      </c>
      <c r="P2577" t="s">
        <v>43</v>
      </c>
    </row>
    <row r="2578" spans="1:16" ht="14.5" x14ac:dyDescent="0.35">
      <c r="A2578">
        <v>2577</v>
      </c>
      <c r="B2578">
        <v>20</v>
      </c>
      <c r="C2578" t="s">
        <v>16</v>
      </c>
      <c r="D2578" t="s">
        <v>95</v>
      </c>
      <c r="E2578" t="s">
        <v>18</v>
      </c>
      <c r="F2578">
        <v>40</v>
      </c>
      <c r="G2578" t="s">
        <v>73</v>
      </c>
      <c r="H2578" t="s">
        <v>39</v>
      </c>
      <c r="I2578" t="s">
        <v>58</v>
      </c>
      <c r="J2578" t="s">
        <v>22</v>
      </c>
      <c r="K2578">
        <v>4.2</v>
      </c>
      <c r="L2578" t="s">
        <v>143</v>
      </c>
      <c r="M2578" t="s">
        <v>143</v>
      </c>
      <c r="N2578">
        <v>19</v>
      </c>
      <c r="O2578" t="s">
        <v>77</v>
      </c>
      <c r="P2578" t="s">
        <v>51</v>
      </c>
    </row>
    <row r="2579" spans="1:16" ht="14.5" x14ac:dyDescent="0.35">
      <c r="A2579">
        <v>2578</v>
      </c>
      <c r="B2579">
        <v>52</v>
      </c>
      <c r="C2579" t="s">
        <v>16</v>
      </c>
      <c r="D2579" t="s">
        <v>116</v>
      </c>
      <c r="E2579" t="s">
        <v>18</v>
      </c>
      <c r="F2579">
        <v>39</v>
      </c>
      <c r="G2579" t="s">
        <v>139</v>
      </c>
      <c r="H2579" t="s">
        <v>20</v>
      </c>
      <c r="I2579" t="s">
        <v>85</v>
      </c>
      <c r="J2579" t="s">
        <v>50</v>
      </c>
      <c r="K2579">
        <v>4.5</v>
      </c>
      <c r="L2579" t="s">
        <v>143</v>
      </c>
      <c r="M2579" t="s">
        <v>143</v>
      </c>
      <c r="N2579">
        <v>37</v>
      </c>
      <c r="O2579" t="s">
        <v>66</v>
      </c>
      <c r="P2579" t="s">
        <v>79</v>
      </c>
    </row>
    <row r="2580" spans="1:16" ht="14.5" x14ac:dyDescent="0.35">
      <c r="A2580">
        <v>2579</v>
      </c>
      <c r="B2580">
        <v>54</v>
      </c>
      <c r="C2580" t="s">
        <v>16</v>
      </c>
      <c r="D2580" t="s">
        <v>80</v>
      </c>
      <c r="E2580" t="s">
        <v>60</v>
      </c>
      <c r="F2580">
        <v>48</v>
      </c>
      <c r="G2580" t="s">
        <v>120</v>
      </c>
      <c r="H2580" t="s">
        <v>39</v>
      </c>
      <c r="I2580" t="s">
        <v>65</v>
      </c>
      <c r="J2580" t="s">
        <v>50</v>
      </c>
      <c r="K2580">
        <v>3.9</v>
      </c>
      <c r="L2580" t="s">
        <v>143</v>
      </c>
      <c r="M2580" t="s">
        <v>143</v>
      </c>
      <c r="N2580">
        <v>3</v>
      </c>
      <c r="O2580" t="s">
        <v>29</v>
      </c>
      <c r="P2580" t="s">
        <v>51</v>
      </c>
    </row>
    <row r="2581" spans="1:16" ht="14.5" x14ac:dyDescent="0.35">
      <c r="A2581">
        <v>2580</v>
      </c>
      <c r="B2581">
        <v>65</v>
      </c>
      <c r="C2581" t="s">
        <v>16</v>
      </c>
      <c r="D2581" t="s">
        <v>17</v>
      </c>
      <c r="E2581" t="s">
        <v>18</v>
      </c>
      <c r="F2581">
        <v>20</v>
      </c>
      <c r="G2581" t="s">
        <v>139</v>
      </c>
      <c r="H2581" t="s">
        <v>39</v>
      </c>
      <c r="I2581" t="s">
        <v>65</v>
      </c>
      <c r="J2581" t="s">
        <v>47</v>
      </c>
      <c r="K2581">
        <v>3.7</v>
      </c>
      <c r="L2581" t="s">
        <v>143</v>
      </c>
      <c r="M2581" t="s">
        <v>143</v>
      </c>
      <c r="N2581">
        <v>40</v>
      </c>
      <c r="O2581" t="s">
        <v>24</v>
      </c>
      <c r="P2581" t="s">
        <v>35</v>
      </c>
    </row>
    <row r="2582" spans="1:16" ht="14.5" x14ac:dyDescent="0.35">
      <c r="A2582">
        <v>2581</v>
      </c>
      <c r="B2582">
        <v>43</v>
      </c>
      <c r="C2582" t="s">
        <v>16</v>
      </c>
      <c r="D2582" t="s">
        <v>30</v>
      </c>
      <c r="E2582" t="s">
        <v>18</v>
      </c>
      <c r="F2582">
        <v>29</v>
      </c>
      <c r="G2582" t="s">
        <v>31</v>
      </c>
      <c r="H2582" t="s">
        <v>32</v>
      </c>
      <c r="I2582" t="s">
        <v>42</v>
      </c>
      <c r="J2582" t="s">
        <v>47</v>
      </c>
      <c r="K2582">
        <v>3.6</v>
      </c>
      <c r="L2582" t="s">
        <v>143</v>
      </c>
      <c r="M2582" t="s">
        <v>143</v>
      </c>
      <c r="N2582">
        <v>13</v>
      </c>
      <c r="O2582" t="s">
        <v>66</v>
      </c>
      <c r="P2582" t="s">
        <v>51</v>
      </c>
    </row>
    <row r="2583" spans="1:16" ht="14.5" x14ac:dyDescent="0.35">
      <c r="A2583">
        <v>2582</v>
      </c>
      <c r="B2583">
        <v>57</v>
      </c>
      <c r="C2583" t="s">
        <v>16</v>
      </c>
      <c r="D2583" t="s">
        <v>72</v>
      </c>
      <c r="E2583" t="s">
        <v>18</v>
      </c>
      <c r="F2583">
        <v>81</v>
      </c>
      <c r="G2583" t="s">
        <v>45</v>
      </c>
      <c r="H2583" t="s">
        <v>39</v>
      </c>
      <c r="I2583" t="s">
        <v>71</v>
      </c>
      <c r="J2583" t="s">
        <v>22</v>
      </c>
      <c r="K2583">
        <v>4.7</v>
      </c>
      <c r="L2583" t="s">
        <v>143</v>
      </c>
      <c r="M2583" t="s">
        <v>143</v>
      </c>
      <c r="N2583">
        <v>48</v>
      </c>
      <c r="O2583" t="s">
        <v>34</v>
      </c>
      <c r="P2583" t="s">
        <v>79</v>
      </c>
    </row>
    <row r="2584" spans="1:16" ht="14.5" x14ac:dyDescent="0.35">
      <c r="A2584">
        <v>2583</v>
      </c>
      <c r="B2584">
        <v>19</v>
      </c>
      <c r="C2584" t="s">
        <v>16</v>
      </c>
      <c r="D2584" t="s">
        <v>72</v>
      </c>
      <c r="E2584" t="s">
        <v>18</v>
      </c>
      <c r="F2584">
        <v>98</v>
      </c>
      <c r="G2584" t="s">
        <v>138</v>
      </c>
      <c r="H2584" t="s">
        <v>32</v>
      </c>
      <c r="I2584" t="s">
        <v>117</v>
      </c>
      <c r="J2584" t="s">
        <v>50</v>
      </c>
      <c r="K2584">
        <v>3.6</v>
      </c>
      <c r="L2584" t="s">
        <v>143</v>
      </c>
      <c r="M2584" t="s">
        <v>143</v>
      </c>
      <c r="N2584">
        <v>4</v>
      </c>
      <c r="O2584" t="s">
        <v>24</v>
      </c>
      <c r="P2584" t="s">
        <v>88</v>
      </c>
    </row>
    <row r="2585" spans="1:16" ht="14.5" x14ac:dyDescent="0.35">
      <c r="A2585">
        <v>2584</v>
      </c>
      <c r="B2585">
        <v>69</v>
      </c>
      <c r="C2585" t="s">
        <v>16</v>
      </c>
      <c r="D2585" t="s">
        <v>30</v>
      </c>
      <c r="E2585" t="s">
        <v>18</v>
      </c>
      <c r="F2585">
        <v>93</v>
      </c>
      <c r="G2585" t="s">
        <v>92</v>
      </c>
      <c r="H2585" t="s">
        <v>39</v>
      </c>
      <c r="I2585" t="s">
        <v>84</v>
      </c>
      <c r="J2585" t="s">
        <v>50</v>
      </c>
      <c r="K2585">
        <v>2.5</v>
      </c>
      <c r="L2585" t="s">
        <v>143</v>
      </c>
      <c r="M2585" t="s">
        <v>143</v>
      </c>
      <c r="N2585">
        <v>9</v>
      </c>
      <c r="O2585" t="s">
        <v>29</v>
      </c>
      <c r="P2585" t="s">
        <v>35</v>
      </c>
    </row>
    <row r="2586" spans="1:16" ht="14.5" x14ac:dyDescent="0.35">
      <c r="A2586">
        <v>2585</v>
      </c>
      <c r="B2586">
        <v>26</v>
      </c>
      <c r="C2586" t="s">
        <v>16</v>
      </c>
      <c r="D2586" t="s">
        <v>116</v>
      </c>
      <c r="E2586" t="s">
        <v>18</v>
      </c>
      <c r="F2586">
        <v>30</v>
      </c>
      <c r="G2586" t="s">
        <v>94</v>
      </c>
      <c r="H2586" t="s">
        <v>20</v>
      </c>
      <c r="I2586" t="s">
        <v>135</v>
      </c>
      <c r="J2586" t="s">
        <v>47</v>
      </c>
      <c r="K2586">
        <v>2.9</v>
      </c>
      <c r="L2586" t="s">
        <v>143</v>
      </c>
      <c r="M2586" t="s">
        <v>143</v>
      </c>
      <c r="N2586">
        <v>26</v>
      </c>
      <c r="O2586" t="s">
        <v>66</v>
      </c>
      <c r="P2586" t="s">
        <v>67</v>
      </c>
    </row>
    <row r="2587" spans="1:16" ht="14.5" x14ac:dyDescent="0.35">
      <c r="A2587">
        <v>2586</v>
      </c>
      <c r="B2587">
        <v>57</v>
      </c>
      <c r="C2587" t="s">
        <v>16</v>
      </c>
      <c r="D2587" t="s">
        <v>80</v>
      </c>
      <c r="E2587" t="s">
        <v>60</v>
      </c>
      <c r="F2587">
        <v>37</v>
      </c>
      <c r="G2587" t="s">
        <v>141</v>
      </c>
      <c r="H2587" t="s">
        <v>20</v>
      </c>
      <c r="I2587" t="s">
        <v>28</v>
      </c>
      <c r="J2587" t="s">
        <v>50</v>
      </c>
      <c r="K2587">
        <v>4.4000000000000004</v>
      </c>
      <c r="L2587" t="s">
        <v>143</v>
      </c>
      <c r="M2587" t="s">
        <v>143</v>
      </c>
      <c r="N2587">
        <v>19</v>
      </c>
      <c r="O2587" t="s">
        <v>77</v>
      </c>
      <c r="P2587" t="s">
        <v>35</v>
      </c>
    </row>
    <row r="2588" spans="1:16" ht="14.5" x14ac:dyDescent="0.35">
      <c r="A2588">
        <v>2587</v>
      </c>
      <c r="B2588">
        <v>20</v>
      </c>
      <c r="C2588" t="s">
        <v>16</v>
      </c>
      <c r="D2588" t="s">
        <v>55</v>
      </c>
      <c r="E2588" t="s">
        <v>56</v>
      </c>
      <c r="F2588">
        <v>28</v>
      </c>
      <c r="G2588" t="s">
        <v>27</v>
      </c>
      <c r="H2588" t="s">
        <v>20</v>
      </c>
      <c r="I2588" t="s">
        <v>125</v>
      </c>
      <c r="J2588" t="s">
        <v>22</v>
      </c>
      <c r="K2588">
        <v>4.5999999999999996</v>
      </c>
      <c r="L2588" t="s">
        <v>143</v>
      </c>
      <c r="M2588" t="s">
        <v>143</v>
      </c>
      <c r="N2588">
        <v>1</v>
      </c>
      <c r="O2588" t="s">
        <v>34</v>
      </c>
      <c r="P2588" t="s">
        <v>88</v>
      </c>
    </row>
    <row r="2589" spans="1:16" ht="14.5" x14ac:dyDescent="0.35">
      <c r="A2589">
        <v>2588</v>
      </c>
      <c r="B2589">
        <v>55</v>
      </c>
      <c r="C2589" t="s">
        <v>16</v>
      </c>
      <c r="D2589" t="s">
        <v>110</v>
      </c>
      <c r="E2589" t="s">
        <v>60</v>
      </c>
      <c r="F2589">
        <v>29</v>
      </c>
      <c r="G2589" t="s">
        <v>130</v>
      </c>
      <c r="H2589" t="s">
        <v>39</v>
      </c>
      <c r="I2589" t="s">
        <v>65</v>
      </c>
      <c r="J2589" t="s">
        <v>22</v>
      </c>
      <c r="K2589">
        <v>3.7</v>
      </c>
      <c r="L2589" t="s">
        <v>143</v>
      </c>
      <c r="M2589" t="s">
        <v>143</v>
      </c>
      <c r="N2589">
        <v>29</v>
      </c>
      <c r="O2589" t="s">
        <v>40</v>
      </c>
      <c r="P2589" t="s">
        <v>88</v>
      </c>
    </row>
    <row r="2590" spans="1:16" ht="14.5" x14ac:dyDescent="0.35">
      <c r="A2590">
        <v>2589</v>
      </c>
      <c r="B2590">
        <v>44</v>
      </c>
      <c r="C2590" t="s">
        <v>16</v>
      </c>
      <c r="D2590" t="s">
        <v>123</v>
      </c>
      <c r="E2590" t="s">
        <v>60</v>
      </c>
      <c r="F2590">
        <v>49</v>
      </c>
      <c r="G2590" t="s">
        <v>70</v>
      </c>
      <c r="H2590" t="s">
        <v>39</v>
      </c>
      <c r="I2590" t="s">
        <v>91</v>
      </c>
      <c r="J2590" t="s">
        <v>47</v>
      </c>
      <c r="K2590">
        <v>3.2</v>
      </c>
      <c r="L2590" t="s">
        <v>143</v>
      </c>
      <c r="M2590" t="s">
        <v>143</v>
      </c>
      <c r="N2590">
        <v>38</v>
      </c>
      <c r="O2590" t="s">
        <v>24</v>
      </c>
      <c r="P2590" t="s">
        <v>67</v>
      </c>
    </row>
    <row r="2591" spans="1:16" ht="14.5" x14ac:dyDescent="0.35">
      <c r="A2591">
        <v>2590</v>
      </c>
      <c r="B2591">
        <v>52</v>
      </c>
      <c r="C2591" t="s">
        <v>16</v>
      </c>
      <c r="D2591" t="s">
        <v>86</v>
      </c>
      <c r="E2591" t="s">
        <v>18</v>
      </c>
      <c r="F2591">
        <v>53</v>
      </c>
      <c r="G2591" t="s">
        <v>105</v>
      </c>
      <c r="H2591" t="s">
        <v>39</v>
      </c>
      <c r="I2591" t="s">
        <v>58</v>
      </c>
      <c r="J2591" t="s">
        <v>22</v>
      </c>
      <c r="K2591">
        <v>4.9000000000000004</v>
      </c>
      <c r="L2591" t="s">
        <v>143</v>
      </c>
      <c r="M2591" t="s">
        <v>143</v>
      </c>
      <c r="N2591">
        <v>31</v>
      </c>
      <c r="O2591" t="s">
        <v>40</v>
      </c>
      <c r="P2591" t="s">
        <v>43</v>
      </c>
    </row>
    <row r="2592" spans="1:16" ht="14.5" x14ac:dyDescent="0.35">
      <c r="A2592">
        <v>2591</v>
      </c>
      <c r="B2592">
        <v>57</v>
      </c>
      <c r="C2592" t="s">
        <v>16</v>
      </c>
      <c r="D2592" t="s">
        <v>134</v>
      </c>
      <c r="E2592" t="s">
        <v>60</v>
      </c>
      <c r="F2592">
        <v>66</v>
      </c>
      <c r="G2592" t="s">
        <v>90</v>
      </c>
      <c r="H2592" t="s">
        <v>39</v>
      </c>
      <c r="I2592" t="s">
        <v>42</v>
      </c>
      <c r="J2592" t="s">
        <v>47</v>
      </c>
      <c r="K2592">
        <v>5</v>
      </c>
      <c r="L2592" t="s">
        <v>143</v>
      </c>
      <c r="M2592" t="s">
        <v>143</v>
      </c>
      <c r="N2592">
        <v>35</v>
      </c>
      <c r="O2592" t="s">
        <v>24</v>
      </c>
      <c r="P2592" t="s">
        <v>43</v>
      </c>
    </row>
    <row r="2593" spans="1:16" ht="14.5" x14ac:dyDescent="0.35">
      <c r="A2593">
        <v>2592</v>
      </c>
      <c r="B2593">
        <v>40</v>
      </c>
      <c r="C2593" t="s">
        <v>16</v>
      </c>
      <c r="D2593" t="s">
        <v>93</v>
      </c>
      <c r="E2593" t="s">
        <v>56</v>
      </c>
      <c r="F2593">
        <v>61</v>
      </c>
      <c r="G2593" t="s">
        <v>121</v>
      </c>
      <c r="H2593" t="s">
        <v>32</v>
      </c>
      <c r="I2593" t="s">
        <v>69</v>
      </c>
      <c r="J2593" t="s">
        <v>33</v>
      </c>
      <c r="K2593">
        <v>3.3</v>
      </c>
      <c r="L2593" t="s">
        <v>143</v>
      </c>
      <c r="M2593" t="s">
        <v>143</v>
      </c>
      <c r="N2593">
        <v>40</v>
      </c>
      <c r="O2593" t="s">
        <v>29</v>
      </c>
      <c r="P2593" t="s">
        <v>51</v>
      </c>
    </row>
    <row r="2594" spans="1:16" ht="14.5" x14ac:dyDescent="0.35">
      <c r="A2594">
        <v>2593</v>
      </c>
      <c r="B2594">
        <v>23</v>
      </c>
      <c r="C2594" t="s">
        <v>16</v>
      </c>
      <c r="D2594" t="s">
        <v>52</v>
      </c>
      <c r="E2594" t="s">
        <v>18</v>
      </c>
      <c r="F2594">
        <v>23</v>
      </c>
      <c r="G2594" t="s">
        <v>137</v>
      </c>
      <c r="H2594" t="s">
        <v>83</v>
      </c>
      <c r="I2594" t="s">
        <v>91</v>
      </c>
      <c r="J2594" t="s">
        <v>47</v>
      </c>
      <c r="K2594">
        <v>4.4000000000000004</v>
      </c>
      <c r="L2594" t="s">
        <v>143</v>
      </c>
      <c r="M2594" t="s">
        <v>143</v>
      </c>
      <c r="N2594">
        <v>13</v>
      </c>
      <c r="O2594" t="s">
        <v>24</v>
      </c>
      <c r="P2594" t="s">
        <v>51</v>
      </c>
    </row>
    <row r="2595" spans="1:16" ht="14.5" x14ac:dyDescent="0.35">
      <c r="A2595">
        <v>2594</v>
      </c>
      <c r="B2595">
        <v>36</v>
      </c>
      <c r="C2595" t="s">
        <v>16</v>
      </c>
      <c r="D2595" t="s">
        <v>86</v>
      </c>
      <c r="E2595" t="s">
        <v>18</v>
      </c>
      <c r="F2595">
        <v>36</v>
      </c>
      <c r="G2595" t="s">
        <v>103</v>
      </c>
      <c r="H2595" t="s">
        <v>32</v>
      </c>
      <c r="I2595" t="s">
        <v>117</v>
      </c>
      <c r="J2595" t="s">
        <v>50</v>
      </c>
      <c r="K2595">
        <v>4.7</v>
      </c>
      <c r="L2595" t="s">
        <v>143</v>
      </c>
      <c r="M2595" t="s">
        <v>143</v>
      </c>
      <c r="N2595">
        <v>9</v>
      </c>
      <c r="O2595" t="s">
        <v>66</v>
      </c>
      <c r="P2595" t="s">
        <v>88</v>
      </c>
    </row>
    <row r="2596" spans="1:16" ht="14.5" x14ac:dyDescent="0.35">
      <c r="A2596">
        <v>2595</v>
      </c>
      <c r="B2596">
        <v>59</v>
      </c>
      <c r="C2596" t="s">
        <v>16</v>
      </c>
      <c r="D2596" t="s">
        <v>78</v>
      </c>
      <c r="E2596" t="s">
        <v>18</v>
      </c>
      <c r="F2596">
        <v>81</v>
      </c>
      <c r="G2596" t="s">
        <v>49</v>
      </c>
      <c r="H2596" t="s">
        <v>20</v>
      </c>
      <c r="I2596" t="s">
        <v>117</v>
      </c>
      <c r="J2596" t="s">
        <v>50</v>
      </c>
      <c r="K2596">
        <v>3.6</v>
      </c>
      <c r="L2596" t="s">
        <v>143</v>
      </c>
      <c r="M2596" t="s">
        <v>143</v>
      </c>
      <c r="N2596">
        <v>25</v>
      </c>
      <c r="O2596" t="s">
        <v>29</v>
      </c>
      <c r="P2596" t="s">
        <v>88</v>
      </c>
    </row>
    <row r="2597" spans="1:16" ht="14.5" x14ac:dyDescent="0.35">
      <c r="A2597">
        <v>2596</v>
      </c>
      <c r="B2597">
        <v>29</v>
      </c>
      <c r="C2597" t="s">
        <v>16</v>
      </c>
      <c r="D2597" t="s">
        <v>17</v>
      </c>
      <c r="E2597" t="s">
        <v>18</v>
      </c>
      <c r="F2597">
        <v>56</v>
      </c>
      <c r="G2597" t="s">
        <v>137</v>
      </c>
      <c r="H2597" t="s">
        <v>83</v>
      </c>
      <c r="I2597" t="s">
        <v>28</v>
      </c>
      <c r="J2597" t="s">
        <v>47</v>
      </c>
      <c r="K2597">
        <v>3.2</v>
      </c>
      <c r="L2597" t="s">
        <v>143</v>
      </c>
      <c r="M2597" t="s">
        <v>143</v>
      </c>
      <c r="N2597">
        <v>3</v>
      </c>
      <c r="O2597" t="s">
        <v>66</v>
      </c>
      <c r="P2597" t="s">
        <v>67</v>
      </c>
    </row>
    <row r="2598" spans="1:16" ht="14.5" x14ac:dyDescent="0.35">
      <c r="A2598">
        <v>2597</v>
      </c>
      <c r="B2598">
        <v>63</v>
      </c>
      <c r="C2598" t="s">
        <v>16</v>
      </c>
      <c r="D2598" t="s">
        <v>48</v>
      </c>
      <c r="E2598" t="s">
        <v>18</v>
      </c>
      <c r="F2598">
        <v>78</v>
      </c>
      <c r="G2598" t="s">
        <v>53</v>
      </c>
      <c r="H2598" t="s">
        <v>20</v>
      </c>
      <c r="I2598" t="s">
        <v>85</v>
      </c>
      <c r="J2598" t="s">
        <v>33</v>
      </c>
      <c r="K2598">
        <v>3</v>
      </c>
      <c r="L2598" t="s">
        <v>143</v>
      </c>
      <c r="M2598" t="s">
        <v>143</v>
      </c>
      <c r="N2598">
        <v>35</v>
      </c>
      <c r="O2598" t="s">
        <v>34</v>
      </c>
      <c r="P2598" t="s">
        <v>79</v>
      </c>
    </row>
    <row r="2599" spans="1:16" ht="14.5" x14ac:dyDescent="0.35">
      <c r="A2599">
        <v>2598</v>
      </c>
      <c r="B2599">
        <v>60</v>
      </c>
      <c r="C2599" t="s">
        <v>16</v>
      </c>
      <c r="D2599" t="s">
        <v>97</v>
      </c>
      <c r="E2599" t="s">
        <v>60</v>
      </c>
      <c r="F2599">
        <v>25</v>
      </c>
      <c r="G2599" t="s">
        <v>81</v>
      </c>
      <c r="H2599" t="s">
        <v>83</v>
      </c>
      <c r="I2599" t="s">
        <v>76</v>
      </c>
      <c r="J2599" t="s">
        <v>47</v>
      </c>
      <c r="K2599">
        <v>4.4000000000000004</v>
      </c>
      <c r="L2599" t="s">
        <v>143</v>
      </c>
      <c r="M2599" t="s">
        <v>143</v>
      </c>
      <c r="N2599">
        <v>13</v>
      </c>
      <c r="O2599" t="s">
        <v>24</v>
      </c>
      <c r="P2599" t="s">
        <v>67</v>
      </c>
    </row>
    <row r="2600" spans="1:16" ht="14.5" x14ac:dyDescent="0.35">
      <c r="A2600">
        <v>2599</v>
      </c>
      <c r="B2600">
        <v>64</v>
      </c>
      <c r="C2600" t="s">
        <v>16</v>
      </c>
      <c r="D2600" t="s">
        <v>123</v>
      </c>
      <c r="E2600" t="s">
        <v>60</v>
      </c>
      <c r="F2600">
        <v>86</v>
      </c>
      <c r="G2600" t="s">
        <v>98</v>
      </c>
      <c r="H2600" t="s">
        <v>83</v>
      </c>
      <c r="I2600" t="s">
        <v>69</v>
      </c>
      <c r="J2600" t="s">
        <v>50</v>
      </c>
      <c r="K2600">
        <v>3.3</v>
      </c>
      <c r="L2600" t="s">
        <v>143</v>
      </c>
      <c r="M2600" t="s">
        <v>143</v>
      </c>
      <c r="N2600">
        <v>31</v>
      </c>
      <c r="O2600" t="s">
        <v>77</v>
      </c>
      <c r="P2600" t="s">
        <v>43</v>
      </c>
    </row>
    <row r="2601" spans="1:16" ht="14.5" x14ac:dyDescent="0.35">
      <c r="A2601">
        <v>2600</v>
      </c>
      <c r="B2601">
        <v>63</v>
      </c>
      <c r="C2601" t="s">
        <v>16</v>
      </c>
      <c r="D2601" t="s">
        <v>97</v>
      </c>
      <c r="E2601" t="s">
        <v>60</v>
      </c>
      <c r="F2601">
        <v>99</v>
      </c>
      <c r="G2601" t="s">
        <v>120</v>
      </c>
      <c r="H2601" t="s">
        <v>39</v>
      </c>
      <c r="I2601" t="s">
        <v>71</v>
      </c>
      <c r="J2601" t="s">
        <v>22</v>
      </c>
      <c r="K2601">
        <v>3.4</v>
      </c>
      <c r="L2601" t="s">
        <v>143</v>
      </c>
      <c r="M2601" t="s">
        <v>143</v>
      </c>
      <c r="N2601">
        <v>48</v>
      </c>
      <c r="O2601" t="s">
        <v>34</v>
      </c>
      <c r="P2601" t="s">
        <v>79</v>
      </c>
    </row>
    <row r="2602" spans="1:16" ht="14.5" x14ac:dyDescent="0.35">
      <c r="A2602">
        <v>2601</v>
      </c>
      <c r="B2602">
        <v>21</v>
      </c>
      <c r="C2602" t="s">
        <v>16</v>
      </c>
      <c r="D2602" t="s">
        <v>124</v>
      </c>
      <c r="E2602" t="s">
        <v>60</v>
      </c>
      <c r="F2602">
        <v>83</v>
      </c>
      <c r="G2602" t="s">
        <v>75</v>
      </c>
      <c r="H2602" t="s">
        <v>39</v>
      </c>
      <c r="I2602" t="s">
        <v>21</v>
      </c>
      <c r="J2602" t="s">
        <v>50</v>
      </c>
      <c r="K2602">
        <v>3.9</v>
      </c>
      <c r="L2602" t="s">
        <v>143</v>
      </c>
      <c r="M2602" t="s">
        <v>143</v>
      </c>
      <c r="N2602">
        <v>6</v>
      </c>
      <c r="O2602" t="s">
        <v>66</v>
      </c>
      <c r="P2602" t="s">
        <v>67</v>
      </c>
    </row>
    <row r="2603" spans="1:16" ht="14.5" x14ac:dyDescent="0.35">
      <c r="A2603">
        <v>2602</v>
      </c>
      <c r="B2603">
        <v>61</v>
      </c>
      <c r="C2603" t="s">
        <v>16</v>
      </c>
      <c r="D2603" t="s">
        <v>72</v>
      </c>
      <c r="E2603" t="s">
        <v>18</v>
      </c>
      <c r="F2603">
        <v>33</v>
      </c>
      <c r="G2603" t="s">
        <v>82</v>
      </c>
      <c r="H2603" t="s">
        <v>20</v>
      </c>
      <c r="I2603" t="s">
        <v>112</v>
      </c>
      <c r="J2603" t="s">
        <v>22</v>
      </c>
      <c r="K2603">
        <v>2.9</v>
      </c>
      <c r="L2603" t="s">
        <v>143</v>
      </c>
      <c r="M2603" t="s">
        <v>143</v>
      </c>
      <c r="N2603">
        <v>43</v>
      </c>
      <c r="O2603" t="s">
        <v>29</v>
      </c>
      <c r="P2603" t="s">
        <v>79</v>
      </c>
    </row>
    <row r="2604" spans="1:16" ht="14.5" x14ac:dyDescent="0.35">
      <c r="A2604">
        <v>2603</v>
      </c>
      <c r="B2604">
        <v>65</v>
      </c>
      <c r="C2604" t="s">
        <v>16</v>
      </c>
      <c r="D2604" t="s">
        <v>55</v>
      </c>
      <c r="E2604" t="s">
        <v>56</v>
      </c>
      <c r="F2604">
        <v>44</v>
      </c>
      <c r="G2604" t="s">
        <v>122</v>
      </c>
      <c r="H2604" t="s">
        <v>39</v>
      </c>
      <c r="I2604" t="s">
        <v>85</v>
      </c>
      <c r="J2604" t="s">
        <v>50</v>
      </c>
      <c r="K2604">
        <v>2.9</v>
      </c>
      <c r="L2604" t="s">
        <v>143</v>
      </c>
      <c r="M2604" t="s">
        <v>143</v>
      </c>
      <c r="N2604">
        <v>1</v>
      </c>
      <c r="O2604" t="s">
        <v>24</v>
      </c>
      <c r="P2604" t="s">
        <v>51</v>
      </c>
    </row>
    <row r="2605" spans="1:16" ht="14.5" x14ac:dyDescent="0.35">
      <c r="A2605">
        <v>2604</v>
      </c>
      <c r="B2605">
        <v>69</v>
      </c>
      <c r="C2605" t="s">
        <v>16</v>
      </c>
      <c r="D2605" t="s">
        <v>72</v>
      </c>
      <c r="E2605" t="s">
        <v>18</v>
      </c>
      <c r="F2605">
        <v>58</v>
      </c>
      <c r="G2605" t="s">
        <v>140</v>
      </c>
      <c r="H2605" t="s">
        <v>39</v>
      </c>
      <c r="I2605" t="s">
        <v>76</v>
      </c>
      <c r="J2605" t="s">
        <v>33</v>
      </c>
      <c r="K2605">
        <v>2.7</v>
      </c>
      <c r="L2605" t="s">
        <v>143</v>
      </c>
      <c r="M2605" t="s">
        <v>143</v>
      </c>
      <c r="N2605">
        <v>8</v>
      </c>
      <c r="O2605" t="s">
        <v>29</v>
      </c>
      <c r="P2605" t="s">
        <v>43</v>
      </c>
    </row>
    <row r="2606" spans="1:16" ht="14.5" x14ac:dyDescent="0.35">
      <c r="A2606">
        <v>2605</v>
      </c>
      <c r="B2606">
        <v>47</v>
      </c>
      <c r="C2606" t="s">
        <v>16</v>
      </c>
      <c r="D2606" t="s">
        <v>26</v>
      </c>
      <c r="E2606" t="s">
        <v>18</v>
      </c>
      <c r="F2606">
        <v>54</v>
      </c>
      <c r="G2606" t="s">
        <v>103</v>
      </c>
      <c r="H2606" t="s">
        <v>39</v>
      </c>
      <c r="I2606" t="s">
        <v>109</v>
      </c>
      <c r="J2606" t="s">
        <v>33</v>
      </c>
      <c r="K2606">
        <v>3.4</v>
      </c>
      <c r="L2606" t="s">
        <v>143</v>
      </c>
      <c r="M2606" t="s">
        <v>143</v>
      </c>
      <c r="N2606">
        <v>6</v>
      </c>
      <c r="O2606" t="s">
        <v>77</v>
      </c>
      <c r="P2606" t="s">
        <v>35</v>
      </c>
    </row>
    <row r="2607" spans="1:16" ht="14.5" x14ac:dyDescent="0.35">
      <c r="A2607">
        <v>2606</v>
      </c>
      <c r="B2607">
        <v>41</v>
      </c>
      <c r="C2607" t="s">
        <v>16</v>
      </c>
      <c r="D2607" t="s">
        <v>95</v>
      </c>
      <c r="E2607" t="s">
        <v>18</v>
      </c>
      <c r="F2607">
        <v>93</v>
      </c>
      <c r="G2607" t="s">
        <v>98</v>
      </c>
      <c r="H2607" t="s">
        <v>39</v>
      </c>
      <c r="I2607" t="s">
        <v>46</v>
      </c>
      <c r="J2607" t="s">
        <v>33</v>
      </c>
      <c r="K2607">
        <v>3.7</v>
      </c>
      <c r="L2607" t="s">
        <v>143</v>
      </c>
      <c r="M2607" t="s">
        <v>143</v>
      </c>
      <c r="N2607">
        <v>32</v>
      </c>
      <c r="O2607" t="s">
        <v>24</v>
      </c>
      <c r="P2607" t="s">
        <v>25</v>
      </c>
    </row>
    <row r="2608" spans="1:16" ht="14.5" x14ac:dyDescent="0.35">
      <c r="A2608">
        <v>2607</v>
      </c>
      <c r="B2608">
        <v>68</v>
      </c>
      <c r="C2608" t="s">
        <v>16</v>
      </c>
      <c r="D2608" t="s">
        <v>63</v>
      </c>
      <c r="E2608" t="s">
        <v>37</v>
      </c>
      <c r="F2608">
        <v>98</v>
      </c>
      <c r="G2608" t="s">
        <v>98</v>
      </c>
      <c r="H2608" t="s">
        <v>20</v>
      </c>
      <c r="I2608" t="s">
        <v>42</v>
      </c>
      <c r="J2608" t="s">
        <v>33</v>
      </c>
      <c r="K2608">
        <v>4.7</v>
      </c>
      <c r="L2608" t="s">
        <v>143</v>
      </c>
      <c r="M2608" t="s">
        <v>143</v>
      </c>
      <c r="N2608">
        <v>46</v>
      </c>
      <c r="O2608" t="s">
        <v>66</v>
      </c>
      <c r="P2608" t="s">
        <v>67</v>
      </c>
    </row>
    <row r="2609" spans="1:16" ht="14.5" x14ac:dyDescent="0.35">
      <c r="A2609">
        <v>2608</v>
      </c>
      <c r="B2609">
        <v>41</v>
      </c>
      <c r="C2609" t="s">
        <v>16</v>
      </c>
      <c r="D2609" t="s">
        <v>63</v>
      </c>
      <c r="E2609" t="s">
        <v>37</v>
      </c>
      <c r="F2609">
        <v>36</v>
      </c>
      <c r="G2609" t="s">
        <v>92</v>
      </c>
      <c r="H2609" t="s">
        <v>83</v>
      </c>
      <c r="I2609" t="s">
        <v>76</v>
      </c>
      <c r="J2609" t="s">
        <v>33</v>
      </c>
      <c r="K2609">
        <v>3.1</v>
      </c>
      <c r="L2609" t="s">
        <v>143</v>
      </c>
      <c r="M2609" t="s">
        <v>143</v>
      </c>
      <c r="N2609">
        <v>38</v>
      </c>
      <c r="O2609" t="s">
        <v>40</v>
      </c>
      <c r="P2609" t="s">
        <v>88</v>
      </c>
    </row>
    <row r="2610" spans="1:16" ht="14.5" x14ac:dyDescent="0.35">
      <c r="A2610">
        <v>2609</v>
      </c>
      <c r="B2610">
        <v>42</v>
      </c>
      <c r="C2610" t="s">
        <v>16</v>
      </c>
      <c r="D2610" t="s">
        <v>93</v>
      </c>
      <c r="E2610" t="s">
        <v>56</v>
      </c>
      <c r="F2610">
        <v>68</v>
      </c>
      <c r="G2610" t="s">
        <v>82</v>
      </c>
      <c r="H2610" t="s">
        <v>20</v>
      </c>
      <c r="I2610" t="s">
        <v>112</v>
      </c>
      <c r="J2610" t="s">
        <v>50</v>
      </c>
      <c r="K2610">
        <v>4.2</v>
      </c>
      <c r="L2610" t="s">
        <v>143</v>
      </c>
      <c r="M2610" t="s">
        <v>143</v>
      </c>
      <c r="N2610">
        <v>48</v>
      </c>
      <c r="O2610" t="s">
        <v>34</v>
      </c>
      <c r="P2610" t="s">
        <v>25</v>
      </c>
    </row>
    <row r="2611" spans="1:16" ht="14.5" x14ac:dyDescent="0.35">
      <c r="A2611">
        <v>2610</v>
      </c>
      <c r="B2611">
        <v>66</v>
      </c>
      <c r="C2611" t="s">
        <v>16</v>
      </c>
      <c r="D2611" t="s">
        <v>123</v>
      </c>
      <c r="E2611" t="s">
        <v>60</v>
      </c>
      <c r="F2611">
        <v>95</v>
      </c>
      <c r="G2611" t="s">
        <v>64</v>
      </c>
      <c r="H2611" t="s">
        <v>39</v>
      </c>
      <c r="I2611" t="s">
        <v>85</v>
      </c>
      <c r="J2611" t="s">
        <v>47</v>
      </c>
      <c r="K2611">
        <v>3</v>
      </c>
      <c r="L2611" t="s">
        <v>143</v>
      </c>
      <c r="M2611" t="s">
        <v>143</v>
      </c>
      <c r="N2611">
        <v>18</v>
      </c>
      <c r="O2611" t="s">
        <v>77</v>
      </c>
      <c r="P2611" t="s">
        <v>67</v>
      </c>
    </row>
    <row r="2612" spans="1:16" ht="14.5" x14ac:dyDescent="0.35">
      <c r="A2612">
        <v>2611</v>
      </c>
      <c r="B2612">
        <v>66</v>
      </c>
      <c r="C2612" t="s">
        <v>16</v>
      </c>
      <c r="D2612" t="s">
        <v>30</v>
      </c>
      <c r="E2612" t="s">
        <v>18</v>
      </c>
      <c r="F2612">
        <v>93</v>
      </c>
      <c r="G2612" t="s">
        <v>57</v>
      </c>
      <c r="H2612" t="s">
        <v>39</v>
      </c>
      <c r="I2612" t="s">
        <v>74</v>
      </c>
      <c r="J2612" t="s">
        <v>33</v>
      </c>
      <c r="K2612">
        <v>3.1</v>
      </c>
      <c r="L2612" t="s">
        <v>143</v>
      </c>
      <c r="M2612" t="s">
        <v>143</v>
      </c>
      <c r="N2612">
        <v>25</v>
      </c>
      <c r="O2612" t="s">
        <v>29</v>
      </c>
      <c r="P2612" t="s">
        <v>51</v>
      </c>
    </row>
    <row r="2613" spans="1:16" ht="14.5" x14ac:dyDescent="0.35">
      <c r="A2613">
        <v>2612</v>
      </c>
      <c r="B2613">
        <v>33</v>
      </c>
      <c r="C2613" t="s">
        <v>16</v>
      </c>
      <c r="D2613" t="s">
        <v>93</v>
      </c>
      <c r="E2613" t="s">
        <v>56</v>
      </c>
      <c r="F2613">
        <v>99</v>
      </c>
      <c r="G2613" t="s">
        <v>142</v>
      </c>
      <c r="H2613" t="s">
        <v>20</v>
      </c>
      <c r="I2613" t="s">
        <v>28</v>
      </c>
      <c r="J2613" t="s">
        <v>50</v>
      </c>
      <c r="K2613">
        <v>4.2</v>
      </c>
      <c r="L2613" t="s">
        <v>143</v>
      </c>
      <c r="M2613" t="s">
        <v>143</v>
      </c>
      <c r="N2613">
        <v>4</v>
      </c>
      <c r="O2613" t="s">
        <v>29</v>
      </c>
      <c r="P2613" t="s">
        <v>25</v>
      </c>
    </row>
    <row r="2614" spans="1:16" ht="14.5" x14ac:dyDescent="0.35">
      <c r="A2614">
        <v>2613</v>
      </c>
      <c r="B2614">
        <v>55</v>
      </c>
      <c r="C2614" t="s">
        <v>16</v>
      </c>
      <c r="D2614" t="s">
        <v>80</v>
      </c>
      <c r="E2614" t="s">
        <v>60</v>
      </c>
      <c r="F2614">
        <v>22</v>
      </c>
      <c r="G2614" t="s">
        <v>53</v>
      </c>
      <c r="H2614" t="s">
        <v>39</v>
      </c>
      <c r="I2614" t="s">
        <v>42</v>
      </c>
      <c r="J2614" t="s">
        <v>22</v>
      </c>
      <c r="K2614">
        <v>3.8</v>
      </c>
      <c r="L2614" t="s">
        <v>143</v>
      </c>
      <c r="M2614" t="s">
        <v>143</v>
      </c>
      <c r="N2614">
        <v>27</v>
      </c>
      <c r="O2614" t="s">
        <v>24</v>
      </c>
      <c r="P2614" t="s">
        <v>51</v>
      </c>
    </row>
    <row r="2615" spans="1:16" ht="14.5" x14ac:dyDescent="0.35">
      <c r="A2615">
        <v>2614</v>
      </c>
      <c r="B2615">
        <v>58</v>
      </c>
      <c r="C2615" t="s">
        <v>16</v>
      </c>
      <c r="D2615" t="s">
        <v>134</v>
      </c>
      <c r="E2615" t="s">
        <v>60</v>
      </c>
      <c r="F2615">
        <v>88</v>
      </c>
      <c r="G2615" t="s">
        <v>138</v>
      </c>
      <c r="H2615" t="s">
        <v>39</v>
      </c>
      <c r="I2615" t="s">
        <v>71</v>
      </c>
      <c r="J2615" t="s">
        <v>50</v>
      </c>
      <c r="K2615">
        <v>2.9</v>
      </c>
      <c r="L2615" t="s">
        <v>143</v>
      </c>
      <c r="M2615" t="s">
        <v>143</v>
      </c>
      <c r="N2615">
        <v>14</v>
      </c>
      <c r="O2615" t="s">
        <v>66</v>
      </c>
      <c r="P2615" t="s">
        <v>79</v>
      </c>
    </row>
    <row r="2616" spans="1:16" ht="14.5" x14ac:dyDescent="0.35">
      <c r="A2616">
        <v>2615</v>
      </c>
      <c r="B2616">
        <v>18</v>
      </c>
      <c r="C2616" t="s">
        <v>16</v>
      </c>
      <c r="D2616" t="s">
        <v>93</v>
      </c>
      <c r="E2616" t="s">
        <v>56</v>
      </c>
      <c r="F2616">
        <v>65</v>
      </c>
      <c r="G2616" t="s">
        <v>105</v>
      </c>
      <c r="H2616" t="s">
        <v>39</v>
      </c>
      <c r="I2616" t="s">
        <v>42</v>
      </c>
      <c r="J2616" t="s">
        <v>33</v>
      </c>
      <c r="K2616">
        <v>4.2</v>
      </c>
      <c r="L2616" t="s">
        <v>143</v>
      </c>
      <c r="M2616" t="s">
        <v>143</v>
      </c>
      <c r="N2616">
        <v>36</v>
      </c>
      <c r="O2616" t="s">
        <v>66</v>
      </c>
      <c r="P2616" t="s">
        <v>25</v>
      </c>
    </row>
    <row r="2617" spans="1:16" ht="14.5" x14ac:dyDescent="0.35">
      <c r="A2617">
        <v>2616</v>
      </c>
      <c r="B2617">
        <v>49</v>
      </c>
      <c r="C2617" t="s">
        <v>16</v>
      </c>
      <c r="D2617" t="s">
        <v>104</v>
      </c>
      <c r="E2617" t="s">
        <v>18</v>
      </c>
      <c r="F2617">
        <v>62</v>
      </c>
      <c r="G2617" t="s">
        <v>108</v>
      </c>
      <c r="H2617" t="s">
        <v>39</v>
      </c>
      <c r="I2617" t="s">
        <v>28</v>
      </c>
      <c r="J2617" t="s">
        <v>50</v>
      </c>
      <c r="K2617">
        <v>3.1</v>
      </c>
      <c r="L2617" t="s">
        <v>143</v>
      </c>
      <c r="M2617" t="s">
        <v>143</v>
      </c>
      <c r="N2617">
        <v>6</v>
      </c>
      <c r="O2617" t="s">
        <v>77</v>
      </c>
      <c r="P2617" t="s">
        <v>51</v>
      </c>
    </row>
    <row r="2618" spans="1:16" ht="14.5" x14ac:dyDescent="0.35">
      <c r="A2618">
        <v>2617</v>
      </c>
      <c r="B2618">
        <v>61</v>
      </c>
      <c r="C2618" t="s">
        <v>16</v>
      </c>
      <c r="D2618" t="s">
        <v>36</v>
      </c>
      <c r="E2618" t="s">
        <v>37</v>
      </c>
      <c r="F2618">
        <v>55</v>
      </c>
      <c r="G2618" t="s">
        <v>133</v>
      </c>
      <c r="H2618" t="s">
        <v>83</v>
      </c>
      <c r="I2618" t="s">
        <v>65</v>
      </c>
      <c r="J2618" t="s">
        <v>33</v>
      </c>
      <c r="K2618">
        <v>3.6</v>
      </c>
      <c r="L2618" t="s">
        <v>143</v>
      </c>
      <c r="M2618" t="s">
        <v>143</v>
      </c>
      <c r="N2618">
        <v>46</v>
      </c>
      <c r="O2618" t="s">
        <v>29</v>
      </c>
      <c r="P2618" t="s">
        <v>43</v>
      </c>
    </row>
    <row r="2619" spans="1:16" ht="14.5" x14ac:dyDescent="0.35">
      <c r="A2619">
        <v>2618</v>
      </c>
      <c r="B2619">
        <v>31</v>
      </c>
      <c r="C2619" t="s">
        <v>16</v>
      </c>
      <c r="D2619" t="s">
        <v>52</v>
      </c>
      <c r="E2619" t="s">
        <v>18</v>
      </c>
      <c r="F2619">
        <v>97</v>
      </c>
      <c r="G2619" t="s">
        <v>126</v>
      </c>
      <c r="H2619" t="s">
        <v>32</v>
      </c>
      <c r="I2619" t="s">
        <v>28</v>
      </c>
      <c r="J2619" t="s">
        <v>33</v>
      </c>
      <c r="K2619">
        <v>4.8</v>
      </c>
      <c r="L2619" t="s">
        <v>143</v>
      </c>
      <c r="M2619" t="s">
        <v>143</v>
      </c>
      <c r="N2619">
        <v>29</v>
      </c>
      <c r="O2619" t="s">
        <v>66</v>
      </c>
      <c r="P2619" t="s">
        <v>43</v>
      </c>
    </row>
    <row r="2620" spans="1:16" ht="14.5" x14ac:dyDescent="0.35">
      <c r="A2620">
        <v>2619</v>
      </c>
      <c r="B2620">
        <v>70</v>
      </c>
      <c r="C2620" t="s">
        <v>16</v>
      </c>
      <c r="D2620" t="s">
        <v>59</v>
      </c>
      <c r="E2620" t="s">
        <v>60</v>
      </c>
      <c r="F2620">
        <v>77</v>
      </c>
      <c r="G2620" t="s">
        <v>53</v>
      </c>
      <c r="H2620" t="s">
        <v>20</v>
      </c>
      <c r="I2620" t="s">
        <v>101</v>
      </c>
      <c r="J2620" t="s">
        <v>50</v>
      </c>
      <c r="K2620">
        <v>4.0999999999999996</v>
      </c>
      <c r="L2620" t="s">
        <v>143</v>
      </c>
      <c r="M2620" t="s">
        <v>143</v>
      </c>
      <c r="N2620">
        <v>12</v>
      </c>
      <c r="O2620" t="s">
        <v>24</v>
      </c>
      <c r="P2620" t="s">
        <v>79</v>
      </c>
    </row>
    <row r="2621" spans="1:16" ht="14.5" x14ac:dyDescent="0.35">
      <c r="A2621">
        <v>2620</v>
      </c>
      <c r="B2621">
        <v>68</v>
      </c>
      <c r="C2621" t="s">
        <v>16</v>
      </c>
      <c r="D2621" t="s">
        <v>86</v>
      </c>
      <c r="E2621" t="s">
        <v>18</v>
      </c>
      <c r="F2621">
        <v>40</v>
      </c>
      <c r="G2621" t="s">
        <v>130</v>
      </c>
      <c r="H2621" t="s">
        <v>20</v>
      </c>
      <c r="I2621" t="s">
        <v>117</v>
      </c>
      <c r="J2621" t="s">
        <v>22</v>
      </c>
      <c r="K2621">
        <v>3.9</v>
      </c>
      <c r="L2621" t="s">
        <v>143</v>
      </c>
      <c r="M2621" t="s">
        <v>143</v>
      </c>
      <c r="N2621">
        <v>47</v>
      </c>
      <c r="O2621" t="s">
        <v>34</v>
      </c>
      <c r="P2621" t="s">
        <v>35</v>
      </c>
    </row>
    <row r="2622" spans="1:16" ht="14.5" x14ac:dyDescent="0.35">
      <c r="A2622">
        <v>2621</v>
      </c>
      <c r="B2622">
        <v>27</v>
      </c>
      <c r="C2622" t="s">
        <v>16</v>
      </c>
      <c r="D2622" t="s">
        <v>17</v>
      </c>
      <c r="E2622" t="s">
        <v>18</v>
      </c>
      <c r="F2622">
        <v>23</v>
      </c>
      <c r="G2622" t="s">
        <v>114</v>
      </c>
      <c r="H2622" t="s">
        <v>32</v>
      </c>
      <c r="I2622" t="s">
        <v>84</v>
      </c>
      <c r="J2622" t="s">
        <v>22</v>
      </c>
      <c r="K2622">
        <v>3</v>
      </c>
      <c r="L2622" t="s">
        <v>143</v>
      </c>
      <c r="M2622" t="s">
        <v>143</v>
      </c>
      <c r="N2622">
        <v>28</v>
      </c>
      <c r="O2622" t="s">
        <v>77</v>
      </c>
      <c r="P2622" t="s">
        <v>43</v>
      </c>
    </row>
    <row r="2623" spans="1:16" ht="14.5" x14ac:dyDescent="0.35">
      <c r="A2623">
        <v>2622</v>
      </c>
      <c r="B2623">
        <v>48</v>
      </c>
      <c r="C2623" t="s">
        <v>16</v>
      </c>
      <c r="D2623" t="s">
        <v>63</v>
      </c>
      <c r="E2623" t="s">
        <v>37</v>
      </c>
      <c r="F2623">
        <v>46</v>
      </c>
      <c r="G2623" t="s">
        <v>27</v>
      </c>
      <c r="H2623" t="s">
        <v>39</v>
      </c>
      <c r="I2623" t="s">
        <v>109</v>
      </c>
      <c r="J2623" t="s">
        <v>22</v>
      </c>
      <c r="K2623">
        <v>3</v>
      </c>
      <c r="L2623" t="s">
        <v>143</v>
      </c>
      <c r="M2623" t="s">
        <v>143</v>
      </c>
      <c r="N2623">
        <v>21</v>
      </c>
      <c r="O2623" t="s">
        <v>66</v>
      </c>
      <c r="P2623" t="s">
        <v>43</v>
      </c>
    </row>
    <row r="2624" spans="1:16" ht="14.5" x14ac:dyDescent="0.35">
      <c r="A2624">
        <v>2623</v>
      </c>
      <c r="B2624">
        <v>63</v>
      </c>
      <c r="C2624" t="s">
        <v>16</v>
      </c>
      <c r="D2624" t="s">
        <v>123</v>
      </c>
      <c r="E2624" t="s">
        <v>60</v>
      </c>
      <c r="F2624">
        <v>75</v>
      </c>
      <c r="G2624" t="s">
        <v>73</v>
      </c>
      <c r="H2624" t="s">
        <v>39</v>
      </c>
      <c r="I2624" t="s">
        <v>125</v>
      </c>
      <c r="J2624" t="s">
        <v>33</v>
      </c>
      <c r="K2624">
        <v>4.9000000000000004</v>
      </c>
      <c r="L2624" t="s">
        <v>143</v>
      </c>
      <c r="M2624" t="s">
        <v>143</v>
      </c>
      <c r="N2624">
        <v>15</v>
      </c>
      <c r="O2624" t="s">
        <v>34</v>
      </c>
      <c r="P2624" t="s">
        <v>43</v>
      </c>
    </row>
    <row r="2625" spans="1:16" ht="14.5" x14ac:dyDescent="0.35">
      <c r="A2625">
        <v>2624</v>
      </c>
      <c r="B2625">
        <v>49</v>
      </c>
      <c r="C2625" t="s">
        <v>16</v>
      </c>
      <c r="D2625" t="s">
        <v>63</v>
      </c>
      <c r="E2625" t="s">
        <v>37</v>
      </c>
      <c r="F2625">
        <v>76</v>
      </c>
      <c r="G2625" t="s">
        <v>31</v>
      </c>
      <c r="H2625" t="s">
        <v>39</v>
      </c>
      <c r="I2625" t="s">
        <v>71</v>
      </c>
      <c r="J2625" t="s">
        <v>50</v>
      </c>
      <c r="K2625">
        <v>4.8</v>
      </c>
      <c r="L2625" t="s">
        <v>143</v>
      </c>
      <c r="M2625" t="s">
        <v>143</v>
      </c>
      <c r="N2625">
        <v>38</v>
      </c>
      <c r="O2625" t="s">
        <v>29</v>
      </c>
      <c r="P2625" t="s">
        <v>43</v>
      </c>
    </row>
    <row r="2626" spans="1:16" ht="14.5" x14ac:dyDescent="0.35">
      <c r="A2626">
        <v>2625</v>
      </c>
      <c r="B2626">
        <v>19</v>
      </c>
      <c r="C2626" t="s">
        <v>16</v>
      </c>
      <c r="D2626" t="s">
        <v>72</v>
      </c>
      <c r="E2626" t="s">
        <v>18</v>
      </c>
      <c r="F2626">
        <v>59</v>
      </c>
      <c r="G2626" t="s">
        <v>138</v>
      </c>
      <c r="H2626" t="s">
        <v>39</v>
      </c>
      <c r="I2626" t="s">
        <v>117</v>
      </c>
      <c r="J2626" t="s">
        <v>47</v>
      </c>
      <c r="K2626">
        <v>3.3</v>
      </c>
      <c r="L2626" t="s">
        <v>143</v>
      </c>
      <c r="M2626" t="s">
        <v>143</v>
      </c>
      <c r="N2626">
        <v>19</v>
      </c>
      <c r="O2626" t="s">
        <v>34</v>
      </c>
      <c r="P2626" t="s">
        <v>43</v>
      </c>
    </row>
    <row r="2627" spans="1:16" ht="14.5" x14ac:dyDescent="0.35">
      <c r="A2627">
        <v>2626</v>
      </c>
      <c r="B2627">
        <v>30</v>
      </c>
      <c r="C2627" t="s">
        <v>16</v>
      </c>
      <c r="D2627" t="s">
        <v>78</v>
      </c>
      <c r="E2627" t="s">
        <v>18</v>
      </c>
      <c r="F2627">
        <v>51</v>
      </c>
      <c r="G2627" t="s">
        <v>103</v>
      </c>
      <c r="H2627" t="s">
        <v>20</v>
      </c>
      <c r="I2627" t="s">
        <v>100</v>
      </c>
      <c r="J2627" t="s">
        <v>47</v>
      </c>
      <c r="K2627">
        <v>2.7</v>
      </c>
      <c r="L2627" t="s">
        <v>143</v>
      </c>
      <c r="M2627" t="s">
        <v>143</v>
      </c>
      <c r="N2627">
        <v>31</v>
      </c>
      <c r="O2627" t="s">
        <v>34</v>
      </c>
      <c r="P2627" t="s">
        <v>35</v>
      </c>
    </row>
    <row r="2628" spans="1:16" ht="14.5" x14ac:dyDescent="0.35">
      <c r="A2628">
        <v>2627</v>
      </c>
      <c r="B2628">
        <v>50</v>
      </c>
      <c r="C2628" t="s">
        <v>16</v>
      </c>
      <c r="D2628" t="s">
        <v>93</v>
      </c>
      <c r="E2628" t="s">
        <v>56</v>
      </c>
      <c r="F2628">
        <v>46</v>
      </c>
      <c r="G2628" t="s">
        <v>38</v>
      </c>
      <c r="H2628" t="s">
        <v>83</v>
      </c>
      <c r="I2628" t="s">
        <v>58</v>
      </c>
      <c r="J2628" t="s">
        <v>50</v>
      </c>
      <c r="K2628">
        <v>4.2</v>
      </c>
      <c r="L2628" t="s">
        <v>143</v>
      </c>
      <c r="M2628" t="s">
        <v>143</v>
      </c>
      <c r="N2628">
        <v>30</v>
      </c>
      <c r="O2628" t="s">
        <v>34</v>
      </c>
      <c r="P2628" t="s">
        <v>88</v>
      </c>
    </row>
    <row r="2629" spans="1:16" ht="14.5" x14ac:dyDescent="0.35">
      <c r="A2629">
        <v>2628</v>
      </c>
      <c r="B2629">
        <v>66</v>
      </c>
      <c r="C2629" t="s">
        <v>16</v>
      </c>
      <c r="D2629" t="s">
        <v>48</v>
      </c>
      <c r="E2629" t="s">
        <v>18</v>
      </c>
      <c r="F2629">
        <v>26</v>
      </c>
      <c r="G2629" t="s">
        <v>61</v>
      </c>
      <c r="H2629" t="s">
        <v>20</v>
      </c>
      <c r="I2629" t="s">
        <v>58</v>
      </c>
      <c r="J2629" t="s">
        <v>50</v>
      </c>
      <c r="K2629">
        <v>3.6</v>
      </c>
      <c r="L2629" t="s">
        <v>143</v>
      </c>
      <c r="M2629" t="s">
        <v>143</v>
      </c>
      <c r="N2629">
        <v>40</v>
      </c>
      <c r="O2629" t="s">
        <v>66</v>
      </c>
      <c r="P2629" t="s">
        <v>51</v>
      </c>
    </row>
    <row r="2630" spans="1:16" ht="14.5" x14ac:dyDescent="0.35">
      <c r="A2630">
        <v>2629</v>
      </c>
      <c r="B2630">
        <v>25</v>
      </c>
      <c r="C2630" t="s">
        <v>16</v>
      </c>
      <c r="D2630" t="s">
        <v>95</v>
      </c>
      <c r="E2630" t="s">
        <v>18</v>
      </c>
      <c r="F2630">
        <v>51</v>
      </c>
      <c r="G2630" t="s">
        <v>45</v>
      </c>
      <c r="H2630" t="s">
        <v>39</v>
      </c>
      <c r="I2630" t="s">
        <v>58</v>
      </c>
      <c r="J2630" t="s">
        <v>47</v>
      </c>
      <c r="K2630">
        <v>3.8</v>
      </c>
      <c r="L2630" t="s">
        <v>143</v>
      </c>
      <c r="M2630" t="s">
        <v>143</v>
      </c>
      <c r="N2630">
        <v>42</v>
      </c>
      <c r="O2630" t="s">
        <v>34</v>
      </c>
      <c r="P2630" t="s">
        <v>67</v>
      </c>
    </row>
    <row r="2631" spans="1:16" ht="14.5" x14ac:dyDescent="0.35">
      <c r="A2631">
        <v>2630</v>
      </c>
      <c r="B2631">
        <v>61</v>
      </c>
      <c r="C2631" t="s">
        <v>16</v>
      </c>
      <c r="D2631" t="s">
        <v>110</v>
      </c>
      <c r="E2631" t="s">
        <v>60</v>
      </c>
      <c r="F2631">
        <v>44</v>
      </c>
      <c r="G2631" t="s">
        <v>73</v>
      </c>
      <c r="H2631" t="s">
        <v>39</v>
      </c>
      <c r="I2631" t="s">
        <v>91</v>
      </c>
      <c r="J2631" t="s">
        <v>22</v>
      </c>
      <c r="K2631">
        <v>3.8</v>
      </c>
      <c r="L2631" t="s">
        <v>143</v>
      </c>
      <c r="M2631" t="s">
        <v>143</v>
      </c>
      <c r="N2631">
        <v>25</v>
      </c>
      <c r="O2631" t="s">
        <v>24</v>
      </c>
      <c r="P2631" t="s">
        <v>43</v>
      </c>
    </row>
    <row r="2632" spans="1:16" ht="14.5" x14ac:dyDescent="0.35">
      <c r="A2632">
        <v>2631</v>
      </c>
      <c r="B2632">
        <v>29</v>
      </c>
      <c r="C2632" t="s">
        <v>16</v>
      </c>
      <c r="D2632" t="s">
        <v>78</v>
      </c>
      <c r="E2632" t="s">
        <v>18</v>
      </c>
      <c r="F2632">
        <v>82</v>
      </c>
      <c r="G2632" t="s">
        <v>27</v>
      </c>
      <c r="H2632" t="s">
        <v>32</v>
      </c>
      <c r="I2632" t="s">
        <v>62</v>
      </c>
      <c r="J2632" t="s">
        <v>33</v>
      </c>
      <c r="K2632">
        <v>4.2</v>
      </c>
      <c r="L2632" t="s">
        <v>143</v>
      </c>
      <c r="M2632" t="s">
        <v>143</v>
      </c>
      <c r="N2632">
        <v>20</v>
      </c>
      <c r="O2632" t="s">
        <v>29</v>
      </c>
      <c r="P2632" t="s">
        <v>51</v>
      </c>
    </row>
    <row r="2633" spans="1:16" ht="14.5" x14ac:dyDescent="0.35">
      <c r="A2633">
        <v>2632</v>
      </c>
      <c r="B2633">
        <v>53</v>
      </c>
      <c r="C2633" t="s">
        <v>16</v>
      </c>
      <c r="D2633" t="s">
        <v>78</v>
      </c>
      <c r="E2633" t="s">
        <v>18</v>
      </c>
      <c r="F2633">
        <v>44</v>
      </c>
      <c r="G2633" t="s">
        <v>130</v>
      </c>
      <c r="H2633" t="s">
        <v>32</v>
      </c>
      <c r="I2633" t="s">
        <v>74</v>
      </c>
      <c r="J2633" t="s">
        <v>47</v>
      </c>
      <c r="K2633">
        <v>2.7</v>
      </c>
      <c r="L2633" t="s">
        <v>143</v>
      </c>
      <c r="M2633" t="s">
        <v>143</v>
      </c>
      <c r="N2633">
        <v>3</v>
      </c>
      <c r="O2633" t="s">
        <v>29</v>
      </c>
      <c r="P2633" t="s">
        <v>35</v>
      </c>
    </row>
    <row r="2634" spans="1:16" ht="14.5" x14ac:dyDescent="0.35">
      <c r="A2634">
        <v>2633</v>
      </c>
      <c r="B2634">
        <v>24</v>
      </c>
      <c r="C2634" t="s">
        <v>16</v>
      </c>
      <c r="D2634" t="s">
        <v>110</v>
      </c>
      <c r="E2634" t="s">
        <v>60</v>
      </c>
      <c r="F2634">
        <v>27</v>
      </c>
      <c r="G2634" t="s">
        <v>111</v>
      </c>
      <c r="H2634" t="s">
        <v>39</v>
      </c>
      <c r="I2634" t="s">
        <v>85</v>
      </c>
      <c r="J2634" t="s">
        <v>50</v>
      </c>
      <c r="K2634">
        <v>5</v>
      </c>
      <c r="L2634" t="s">
        <v>143</v>
      </c>
      <c r="M2634" t="s">
        <v>143</v>
      </c>
      <c r="N2634">
        <v>14</v>
      </c>
      <c r="O2634" t="s">
        <v>29</v>
      </c>
      <c r="P2634" t="s">
        <v>43</v>
      </c>
    </row>
    <row r="2635" spans="1:16" ht="14.5" x14ac:dyDescent="0.35">
      <c r="A2635">
        <v>2634</v>
      </c>
      <c r="B2635">
        <v>51</v>
      </c>
      <c r="C2635" t="s">
        <v>16</v>
      </c>
      <c r="D2635" t="s">
        <v>80</v>
      </c>
      <c r="E2635" t="s">
        <v>60</v>
      </c>
      <c r="F2635">
        <v>90</v>
      </c>
      <c r="G2635" t="s">
        <v>111</v>
      </c>
      <c r="H2635" t="s">
        <v>39</v>
      </c>
      <c r="I2635" t="s">
        <v>65</v>
      </c>
      <c r="J2635" t="s">
        <v>50</v>
      </c>
      <c r="K2635">
        <v>4.7</v>
      </c>
      <c r="L2635" t="s">
        <v>143</v>
      </c>
      <c r="M2635" t="s">
        <v>143</v>
      </c>
      <c r="N2635">
        <v>32</v>
      </c>
      <c r="O2635" t="s">
        <v>34</v>
      </c>
      <c r="P2635" t="s">
        <v>25</v>
      </c>
    </row>
    <row r="2636" spans="1:16" ht="14.5" x14ac:dyDescent="0.35">
      <c r="A2636">
        <v>2635</v>
      </c>
      <c r="B2636">
        <v>26</v>
      </c>
      <c r="C2636" t="s">
        <v>16</v>
      </c>
      <c r="D2636" t="s">
        <v>36</v>
      </c>
      <c r="E2636" t="s">
        <v>37</v>
      </c>
      <c r="F2636">
        <v>58</v>
      </c>
      <c r="G2636" t="s">
        <v>89</v>
      </c>
      <c r="H2636" t="s">
        <v>32</v>
      </c>
      <c r="I2636" t="s">
        <v>85</v>
      </c>
      <c r="J2636" t="s">
        <v>47</v>
      </c>
      <c r="K2636">
        <v>3.2</v>
      </c>
      <c r="L2636" t="s">
        <v>143</v>
      </c>
      <c r="M2636" t="s">
        <v>143</v>
      </c>
      <c r="N2636">
        <v>20</v>
      </c>
      <c r="O2636" t="s">
        <v>40</v>
      </c>
      <c r="P2636" t="s">
        <v>88</v>
      </c>
    </row>
    <row r="2637" spans="1:16" ht="14.5" x14ac:dyDescent="0.35">
      <c r="A2637">
        <v>2636</v>
      </c>
      <c r="B2637">
        <v>59</v>
      </c>
      <c r="C2637" t="s">
        <v>16</v>
      </c>
      <c r="D2637" t="s">
        <v>95</v>
      </c>
      <c r="E2637" t="s">
        <v>18</v>
      </c>
      <c r="F2637">
        <v>80</v>
      </c>
      <c r="G2637" t="s">
        <v>103</v>
      </c>
      <c r="H2637" t="s">
        <v>83</v>
      </c>
      <c r="I2637" t="s">
        <v>91</v>
      </c>
      <c r="J2637" t="s">
        <v>33</v>
      </c>
      <c r="K2637">
        <v>2.9</v>
      </c>
      <c r="L2637" t="s">
        <v>143</v>
      </c>
      <c r="M2637" t="s">
        <v>143</v>
      </c>
      <c r="N2637">
        <v>34</v>
      </c>
      <c r="O2637" t="s">
        <v>40</v>
      </c>
      <c r="P2637" t="s">
        <v>25</v>
      </c>
    </row>
    <row r="2638" spans="1:16" ht="14.5" x14ac:dyDescent="0.35">
      <c r="A2638">
        <v>2637</v>
      </c>
      <c r="B2638">
        <v>41</v>
      </c>
      <c r="C2638" t="s">
        <v>16</v>
      </c>
      <c r="D2638" t="s">
        <v>93</v>
      </c>
      <c r="E2638" t="s">
        <v>56</v>
      </c>
      <c r="F2638">
        <v>40</v>
      </c>
      <c r="G2638" t="s">
        <v>131</v>
      </c>
      <c r="H2638" t="s">
        <v>32</v>
      </c>
      <c r="I2638" t="s">
        <v>127</v>
      </c>
      <c r="J2638" t="s">
        <v>22</v>
      </c>
      <c r="K2638">
        <v>4.2</v>
      </c>
      <c r="L2638" t="s">
        <v>143</v>
      </c>
      <c r="M2638" t="s">
        <v>143</v>
      </c>
      <c r="N2638">
        <v>6</v>
      </c>
      <c r="O2638" t="s">
        <v>24</v>
      </c>
      <c r="P2638" t="s">
        <v>43</v>
      </c>
    </row>
    <row r="2639" spans="1:16" ht="14.5" x14ac:dyDescent="0.35">
      <c r="A2639">
        <v>2638</v>
      </c>
      <c r="B2639">
        <v>20</v>
      </c>
      <c r="C2639" t="s">
        <v>16</v>
      </c>
      <c r="D2639" t="s">
        <v>86</v>
      </c>
      <c r="E2639" t="s">
        <v>18</v>
      </c>
      <c r="F2639">
        <v>23</v>
      </c>
      <c r="G2639" t="s">
        <v>81</v>
      </c>
      <c r="H2639" t="s">
        <v>39</v>
      </c>
      <c r="I2639" t="s">
        <v>127</v>
      </c>
      <c r="J2639" t="s">
        <v>33</v>
      </c>
      <c r="K2639">
        <v>3.7</v>
      </c>
      <c r="L2639" t="s">
        <v>143</v>
      </c>
      <c r="M2639" t="s">
        <v>143</v>
      </c>
      <c r="N2639">
        <v>2</v>
      </c>
      <c r="O2639" t="s">
        <v>40</v>
      </c>
      <c r="P2639" t="s">
        <v>43</v>
      </c>
    </row>
    <row r="2640" spans="1:16" ht="14.5" x14ac:dyDescent="0.35">
      <c r="A2640">
        <v>2639</v>
      </c>
      <c r="B2640">
        <v>22</v>
      </c>
      <c r="C2640" t="s">
        <v>16</v>
      </c>
      <c r="D2640" t="s">
        <v>48</v>
      </c>
      <c r="E2640" t="s">
        <v>18</v>
      </c>
      <c r="F2640">
        <v>34</v>
      </c>
      <c r="G2640" t="s">
        <v>68</v>
      </c>
      <c r="H2640" t="s">
        <v>32</v>
      </c>
      <c r="I2640" t="s">
        <v>85</v>
      </c>
      <c r="J2640" t="s">
        <v>33</v>
      </c>
      <c r="K2640">
        <v>4.2</v>
      </c>
      <c r="L2640" t="s">
        <v>143</v>
      </c>
      <c r="M2640" t="s">
        <v>143</v>
      </c>
      <c r="N2640">
        <v>35</v>
      </c>
      <c r="O2640" t="s">
        <v>34</v>
      </c>
      <c r="P2640" t="s">
        <v>43</v>
      </c>
    </row>
    <row r="2641" spans="1:16" ht="14.5" x14ac:dyDescent="0.35">
      <c r="A2641">
        <v>2640</v>
      </c>
      <c r="B2641">
        <v>18</v>
      </c>
      <c r="C2641" t="s">
        <v>16</v>
      </c>
      <c r="D2641" t="s">
        <v>17</v>
      </c>
      <c r="E2641" t="s">
        <v>18</v>
      </c>
      <c r="F2641">
        <v>35</v>
      </c>
      <c r="G2641" t="s">
        <v>73</v>
      </c>
      <c r="H2641" t="s">
        <v>83</v>
      </c>
      <c r="I2641" t="s">
        <v>62</v>
      </c>
      <c r="J2641" t="s">
        <v>22</v>
      </c>
      <c r="K2641">
        <v>2.6</v>
      </c>
      <c r="L2641" t="s">
        <v>143</v>
      </c>
      <c r="M2641" t="s">
        <v>143</v>
      </c>
      <c r="N2641">
        <v>33</v>
      </c>
      <c r="O2641" t="s">
        <v>77</v>
      </c>
      <c r="P2641" t="s">
        <v>51</v>
      </c>
    </row>
    <row r="2642" spans="1:16" ht="14.5" x14ac:dyDescent="0.35">
      <c r="A2642">
        <v>2641</v>
      </c>
      <c r="B2642">
        <v>30</v>
      </c>
      <c r="C2642" t="s">
        <v>16</v>
      </c>
      <c r="D2642" t="s">
        <v>78</v>
      </c>
      <c r="E2642" t="s">
        <v>18</v>
      </c>
      <c r="F2642">
        <v>75</v>
      </c>
      <c r="G2642" t="s">
        <v>107</v>
      </c>
      <c r="H2642" t="s">
        <v>20</v>
      </c>
      <c r="I2642" t="s">
        <v>69</v>
      </c>
      <c r="J2642" t="s">
        <v>47</v>
      </c>
      <c r="K2642">
        <v>4</v>
      </c>
      <c r="L2642" t="s">
        <v>143</v>
      </c>
      <c r="M2642" t="s">
        <v>143</v>
      </c>
      <c r="N2642">
        <v>45</v>
      </c>
      <c r="O2642" t="s">
        <v>24</v>
      </c>
      <c r="P2642" t="s">
        <v>67</v>
      </c>
    </row>
    <row r="2643" spans="1:16" ht="14.5" x14ac:dyDescent="0.35">
      <c r="A2643">
        <v>2642</v>
      </c>
      <c r="B2643">
        <v>25</v>
      </c>
      <c r="C2643" t="s">
        <v>16</v>
      </c>
      <c r="D2643" t="s">
        <v>80</v>
      </c>
      <c r="E2643" t="s">
        <v>60</v>
      </c>
      <c r="F2643">
        <v>60</v>
      </c>
      <c r="G2643" t="s">
        <v>120</v>
      </c>
      <c r="H2643" t="s">
        <v>83</v>
      </c>
      <c r="I2643" t="s">
        <v>69</v>
      </c>
      <c r="J2643" t="s">
        <v>22</v>
      </c>
      <c r="K2643">
        <v>2.7</v>
      </c>
      <c r="L2643" t="s">
        <v>143</v>
      </c>
      <c r="M2643" t="s">
        <v>143</v>
      </c>
      <c r="N2643">
        <v>20</v>
      </c>
      <c r="O2643" t="s">
        <v>66</v>
      </c>
      <c r="P2643" t="s">
        <v>88</v>
      </c>
    </row>
    <row r="2644" spans="1:16" ht="14.5" x14ac:dyDescent="0.35">
      <c r="A2644">
        <v>2643</v>
      </c>
      <c r="B2644">
        <v>39</v>
      </c>
      <c r="C2644" t="s">
        <v>16</v>
      </c>
      <c r="D2644" t="s">
        <v>124</v>
      </c>
      <c r="E2644" t="s">
        <v>60</v>
      </c>
      <c r="F2644">
        <v>87</v>
      </c>
      <c r="G2644" t="s">
        <v>137</v>
      </c>
      <c r="H2644" t="s">
        <v>20</v>
      </c>
      <c r="I2644" t="s">
        <v>91</v>
      </c>
      <c r="J2644" t="s">
        <v>47</v>
      </c>
      <c r="K2644">
        <v>4</v>
      </c>
      <c r="L2644" t="s">
        <v>143</v>
      </c>
      <c r="M2644" t="s">
        <v>143</v>
      </c>
      <c r="N2644">
        <v>48</v>
      </c>
      <c r="O2644" t="s">
        <v>66</v>
      </c>
      <c r="P2644" t="s">
        <v>43</v>
      </c>
    </row>
    <row r="2645" spans="1:16" ht="14.5" x14ac:dyDescent="0.35">
      <c r="A2645">
        <v>2644</v>
      </c>
      <c r="B2645">
        <v>49</v>
      </c>
      <c r="C2645" t="s">
        <v>16</v>
      </c>
      <c r="D2645" t="s">
        <v>134</v>
      </c>
      <c r="E2645" t="s">
        <v>60</v>
      </c>
      <c r="F2645">
        <v>41</v>
      </c>
      <c r="G2645" t="s">
        <v>119</v>
      </c>
      <c r="H2645" t="s">
        <v>32</v>
      </c>
      <c r="I2645" t="s">
        <v>58</v>
      </c>
      <c r="J2645" t="s">
        <v>33</v>
      </c>
      <c r="K2645">
        <v>2.9</v>
      </c>
      <c r="L2645" t="s">
        <v>143</v>
      </c>
      <c r="M2645" t="s">
        <v>143</v>
      </c>
      <c r="N2645">
        <v>37</v>
      </c>
      <c r="O2645" t="s">
        <v>29</v>
      </c>
      <c r="P2645" t="s">
        <v>79</v>
      </c>
    </row>
    <row r="2646" spans="1:16" ht="14.5" x14ac:dyDescent="0.35">
      <c r="A2646">
        <v>2645</v>
      </c>
      <c r="B2646">
        <v>25</v>
      </c>
      <c r="C2646" t="s">
        <v>16</v>
      </c>
      <c r="D2646" t="s">
        <v>86</v>
      </c>
      <c r="E2646" t="s">
        <v>18</v>
      </c>
      <c r="F2646">
        <v>83</v>
      </c>
      <c r="G2646" t="s">
        <v>121</v>
      </c>
      <c r="H2646" t="s">
        <v>39</v>
      </c>
      <c r="I2646" t="s">
        <v>42</v>
      </c>
      <c r="J2646" t="s">
        <v>33</v>
      </c>
      <c r="K2646">
        <v>3.3</v>
      </c>
      <c r="L2646" t="s">
        <v>143</v>
      </c>
      <c r="M2646" t="s">
        <v>143</v>
      </c>
      <c r="N2646">
        <v>4</v>
      </c>
      <c r="O2646" t="s">
        <v>66</v>
      </c>
      <c r="P2646" t="s">
        <v>88</v>
      </c>
    </row>
    <row r="2647" spans="1:16" ht="14.5" x14ac:dyDescent="0.35">
      <c r="A2647">
        <v>2646</v>
      </c>
      <c r="B2647">
        <v>23</v>
      </c>
      <c r="C2647" t="s">
        <v>16</v>
      </c>
      <c r="D2647" t="s">
        <v>110</v>
      </c>
      <c r="E2647" t="s">
        <v>60</v>
      </c>
      <c r="F2647">
        <v>81</v>
      </c>
      <c r="G2647" t="s">
        <v>53</v>
      </c>
      <c r="H2647" t="s">
        <v>20</v>
      </c>
      <c r="I2647" t="s">
        <v>69</v>
      </c>
      <c r="J2647" t="s">
        <v>33</v>
      </c>
      <c r="K2647">
        <v>4</v>
      </c>
      <c r="L2647" t="s">
        <v>143</v>
      </c>
      <c r="M2647" t="s">
        <v>143</v>
      </c>
      <c r="N2647">
        <v>24</v>
      </c>
      <c r="O2647" t="s">
        <v>66</v>
      </c>
      <c r="P2647" t="s">
        <v>67</v>
      </c>
    </row>
    <row r="2648" spans="1:16" ht="14.5" x14ac:dyDescent="0.35">
      <c r="A2648">
        <v>2647</v>
      </c>
      <c r="B2648">
        <v>33</v>
      </c>
      <c r="C2648" t="s">
        <v>16</v>
      </c>
      <c r="D2648" t="s">
        <v>104</v>
      </c>
      <c r="E2648" t="s">
        <v>18</v>
      </c>
      <c r="F2648">
        <v>56</v>
      </c>
      <c r="G2648" t="s">
        <v>121</v>
      </c>
      <c r="H2648" t="s">
        <v>32</v>
      </c>
      <c r="I2648" t="s">
        <v>84</v>
      </c>
      <c r="J2648" t="s">
        <v>47</v>
      </c>
      <c r="K2648">
        <v>3.9</v>
      </c>
      <c r="L2648" t="s">
        <v>143</v>
      </c>
      <c r="M2648" t="s">
        <v>143</v>
      </c>
      <c r="N2648">
        <v>4</v>
      </c>
      <c r="O2648" t="s">
        <v>77</v>
      </c>
      <c r="P2648" t="s">
        <v>88</v>
      </c>
    </row>
    <row r="2649" spans="1:16" ht="14.5" x14ac:dyDescent="0.35">
      <c r="A2649">
        <v>2648</v>
      </c>
      <c r="B2649">
        <v>60</v>
      </c>
      <c r="C2649" t="s">
        <v>16</v>
      </c>
      <c r="D2649" t="s">
        <v>63</v>
      </c>
      <c r="E2649" t="s">
        <v>37</v>
      </c>
      <c r="F2649">
        <v>58</v>
      </c>
      <c r="G2649" t="s">
        <v>122</v>
      </c>
      <c r="H2649" t="s">
        <v>39</v>
      </c>
      <c r="I2649" t="s">
        <v>99</v>
      </c>
      <c r="J2649" t="s">
        <v>47</v>
      </c>
      <c r="K2649">
        <v>3.3</v>
      </c>
      <c r="L2649" t="s">
        <v>143</v>
      </c>
      <c r="M2649" t="s">
        <v>143</v>
      </c>
      <c r="N2649">
        <v>25</v>
      </c>
      <c r="O2649" t="s">
        <v>77</v>
      </c>
      <c r="P2649" t="s">
        <v>43</v>
      </c>
    </row>
    <row r="2650" spans="1:16" ht="14.5" x14ac:dyDescent="0.35">
      <c r="A2650">
        <v>2649</v>
      </c>
      <c r="B2650">
        <v>51</v>
      </c>
      <c r="C2650" t="s">
        <v>16</v>
      </c>
      <c r="D2650" t="s">
        <v>86</v>
      </c>
      <c r="E2650" t="s">
        <v>18</v>
      </c>
      <c r="F2650">
        <v>84</v>
      </c>
      <c r="G2650" t="s">
        <v>106</v>
      </c>
      <c r="H2650" t="s">
        <v>39</v>
      </c>
      <c r="I2650" t="s">
        <v>21</v>
      </c>
      <c r="J2650" t="s">
        <v>33</v>
      </c>
      <c r="K2650">
        <v>3.9</v>
      </c>
      <c r="L2650" t="s">
        <v>143</v>
      </c>
      <c r="M2650" t="s">
        <v>143</v>
      </c>
      <c r="N2650">
        <v>14</v>
      </c>
      <c r="O2650" t="s">
        <v>40</v>
      </c>
      <c r="P2650" t="s">
        <v>67</v>
      </c>
    </row>
    <row r="2651" spans="1:16" ht="14.5" x14ac:dyDescent="0.35">
      <c r="A2651">
        <v>2650</v>
      </c>
      <c r="B2651">
        <v>23</v>
      </c>
      <c r="C2651" t="s">
        <v>16</v>
      </c>
      <c r="D2651" t="s">
        <v>134</v>
      </c>
      <c r="E2651" t="s">
        <v>60</v>
      </c>
      <c r="F2651">
        <v>21</v>
      </c>
      <c r="G2651" t="s">
        <v>139</v>
      </c>
      <c r="H2651" t="s">
        <v>39</v>
      </c>
      <c r="I2651" t="s">
        <v>127</v>
      </c>
      <c r="J2651" t="s">
        <v>50</v>
      </c>
      <c r="K2651">
        <v>3.9</v>
      </c>
      <c r="L2651" t="s">
        <v>143</v>
      </c>
      <c r="M2651" t="s">
        <v>143</v>
      </c>
      <c r="N2651">
        <v>14</v>
      </c>
      <c r="O2651" t="s">
        <v>66</v>
      </c>
      <c r="P2651" t="s">
        <v>25</v>
      </c>
    </row>
    <row r="2652" spans="1:16" ht="14.5" x14ac:dyDescent="0.35">
      <c r="A2652">
        <v>2651</v>
      </c>
      <c r="B2652">
        <v>20</v>
      </c>
      <c r="C2652" t="s">
        <v>16</v>
      </c>
      <c r="D2652" t="s">
        <v>116</v>
      </c>
      <c r="E2652" t="s">
        <v>18</v>
      </c>
      <c r="F2652">
        <v>35</v>
      </c>
      <c r="G2652" t="s">
        <v>41</v>
      </c>
      <c r="H2652" t="s">
        <v>20</v>
      </c>
      <c r="I2652" t="s">
        <v>28</v>
      </c>
      <c r="J2652" t="s">
        <v>47</v>
      </c>
      <c r="K2652">
        <v>4.2</v>
      </c>
      <c r="L2652" t="s">
        <v>143</v>
      </c>
      <c r="M2652" t="s">
        <v>143</v>
      </c>
      <c r="N2652">
        <v>46</v>
      </c>
      <c r="O2652" t="s">
        <v>34</v>
      </c>
      <c r="P2652" t="s">
        <v>88</v>
      </c>
    </row>
    <row r="2653" spans="1:16" ht="14.5" x14ac:dyDescent="0.35">
      <c r="A2653">
        <v>2652</v>
      </c>
      <c r="B2653">
        <v>51</v>
      </c>
      <c r="C2653" t="s">
        <v>16</v>
      </c>
      <c r="D2653" t="s">
        <v>44</v>
      </c>
      <c r="E2653" t="s">
        <v>37</v>
      </c>
      <c r="F2653">
        <v>43</v>
      </c>
      <c r="G2653" t="s">
        <v>113</v>
      </c>
      <c r="H2653" t="s">
        <v>39</v>
      </c>
      <c r="I2653" t="s">
        <v>100</v>
      </c>
      <c r="J2653" t="s">
        <v>47</v>
      </c>
      <c r="K2653">
        <v>4.5999999999999996</v>
      </c>
      <c r="L2653" t="s">
        <v>143</v>
      </c>
      <c r="M2653" t="s">
        <v>143</v>
      </c>
      <c r="N2653">
        <v>27</v>
      </c>
      <c r="O2653" t="s">
        <v>40</v>
      </c>
      <c r="P2653" t="s">
        <v>51</v>
      </c>
    </row>
    <row r="2654" spans="1:16" ht="14.5" x14ac:dyDescent="0.35">
      <c r="A2654">
        <v>2653</v>
      </c>
      <c r="B2654">
        <v>23</v>
      </c>
      <c r="C2654" t="s">
        <v>144</v>
      </c>
      <c r="D2654" t="s">
        <v>52</v>
      </c>
      <c r="E2654" t="s">
        <v>18</v>
      </c>
      <c r="F2654">
        <v>20</v>
      </c>
      <c r="G2654" t="s">
        <v>119</v>
      </c>
      <c r="H2654" t="s">
        <v>20</v>
      </c>
      <c r="I2654" t="s">
        <v>100</v>
      </c>
      <c r="J2654" t="s">
        <v>47</v>
      </c>
      <c r="K2654">
        <v>3.3</v>
      </c>
      <c r="L2654" t="s">
        <v>143</v>
      </c>
      <c r="M2654" t="s">
        <v>143</v>
      </c>
      <c r="N2654">
        <v>46</v>
      </c>
      <c r="O2654" t="s">
        <v>34</v>
      </c>
      <c r="P2654" t="s">
        <v>79</v>
      </c>
    </row>
    <row r="2655" spans="1:16" ht="14.5" x14ac:dyDescent="0.35">
      <c r="A2655">
        <v>2654</v>
      </c>
      <c r="B2655">
        <v>67</v>
      </c>
      <c r="C2655" t="s">
        <v>144</v>
      </c>
      <c r="D2655" t="s">
        <v>17</v>
      </c>
      <c r="E2655" t="s">
        <v>18</v>
      </c>
      <c r="F2655">
        <v>36</v>
      </c>
      <c r="G2655" t="s">
        <v>141</v>
      </c>
      <c r="H2655" t="s">
        <v>20</v>
      </c>
      <c r="I2655" t="s">
        <v>84</v>
      </c>
      <c r="J2655" t="s">
        <v>50</v>
      </c>
      <c r="K2655">
        <v>4.8</v>
      </c>
      <c r="L2655" t="s">
        <v>143</v>
      </c>
      <c r="M2655" t="s">
        <v>143</v>
      </c>
      <c r="N2655">
        <v>24</v>
      </c>
      <c r="O2655" t="s">
        <v>24</v>
      </c>
      <c r="P2655" t="s">
        <v>88</v>
      </c>
    </row>
    <row r="2656" spans="1:16" ht="14.5" x14ac:dyDescent="0.35">
      <c r="A2656">
        <v>2655</v>
      </c>
      <c r="B2656">
        <v>23</v>
      </c>
      <c r="C2656" t="s">
        <v>144</v>
      </c>
      <c r="D2656" t="s">
        <v>55</v>
      </c>
      <c r="E2656" t="s">
        <v>56</v>
      </c>
      <c r="F2656">
        <v>70</v>
      </c>
      <c r="G2656" t="s">
        <v>126</v>
      </c>
      <c r="H2656" t="s">
        <v>32</v>
      </c>
      <c r="I2656" t="s">
        <v>62</v>
      </c>
      <c r="J2656" t="s">
        <v>50</v>
      </c>
      <c r="K2656">
        <v>4.0999999999999996</v>
      </c>
      <c r="L2656" t="s">
        <v>143</v>
      </c>
      <c r="M2656" t="s">
        <v>143</v>
      </c>
      <c r="N2656">
        <v>4</v>
      </c>
      <c r="O2656" t="s">
        <v>40</v>
      </c>
      <c r="P2656" t="s">
        <v>43</v>
      </c>
    </row>
    <row r="2657" spans="1:16" ht="14.5" x14ac:dyDescent="0.35">
      <c r="A2657">
        <v>2656</v>
      </c>
      <c r="B2657">
        <v>26</v>
      </c>
      <c r="C2657" t="s">
        <v>144</v>
      </c>
      <c r="D2657" t="s">
        <v>80</v>
      </c>
      <c r="E2657" t="s">
        <v>60</v>
      </c>
      <c r="F2657">
        <v>83</v>
      </c>
      <c r="G2657" t="s">
        <v>45</v>
      </c>
      <c r="H2657" t="s">
        <v>39</v>
      </c>
      <c r="I2657" t="s">
        <v>21</v>
      </c>
      <c r="J2657" t="s">
        <v>47</v>
      </c>
      <c r="K2657">
        <v>3.4</v>
      </c>
      <c r="L2657" t="s">
        <v>143</v>
      </c>
      <c r="M2657" t="s">
        <v>143</v>
      </c>
      <c r="N2657">
        <v>2</v>
      </c>
      <c r="O2657" t="s">
        <v>34</v>
      </c>
      <c r="P2657" t="s">
        <v>25</v>
      </c>
    </row>
    <row r="2658" spans="1:16" ht="14.5" x14ac:dyDescent="0.35">
      <c r="A2658">
        <v>2657</v>
      </c>
      <c r="B2658">
        <v>52</v>
      </c>
      <c r="C2658" t="s">
        <v>144</v>
      </c>
      <c r="D2658" t="s">
        <v>52</v>
      </c>
      <c r="E2658" t="s">
        <v>18</v>
      </c>
      <c r="F2658">
        <v>76</v>
      </c>
      <c r="G2658" t="s">
        <v>107</v>
      </c>
      <c r="H2658" t="s">
        <v>20</v>
      </c>
      <c r="I2658" t="s">
        <v>125</v>
      </c>
      <c r="J2658" t="s">
        <v>22</v>
      </c>
      <c r="K2658">
        <v>3.6</v>
      </c>
      <c r="L2658" t="s">
        <v>143</v>
      </c>
      <c r="M2658" t="s">
        <v>143</v>
      </c>
      <c r="N2658">
        <v>29</v>
      </c>
      <c r="O2658" t="s">
        <v>66</v>
      </c>
      <c r="P2658" t="s">
        <v>25</v>
      </c>
    </row>
    <row r="2659" spans="1:16" ht="14.5" x14ac:dyDescent="0.35">
      <c r="A2659">
        <v>2658</v>
      </c>
      <c r="B2659">
        <v>52</v>
      </c>
      <c r="C2659" t="s">
        <v>144</v>
      </c>
      <c r="D2659" t="s">
        <v>72</v>
      </c>
      <c r="E2659" t="s">
        <v>18</v>
      </c>
      <c r="F2659">
        <v>81</v>
      </c>
      <c r="G2659" t="s">
        <v>96</v>
      </c>
      <c r="H2659" t="s">
        <v>39</v>
      </c>
      <c r="I2659" t="s">
        <v>62</v>
      </c>
      <c r="J2659" t="s">
        <v>47</v>
      </c>
      <c r="K2659">
        <v>2.7</v>
      </c>
      <c r="L2659" t="s">
        <v>143</v>
      </c>
      <c r="M2659" t="s">
        <v>143</v>
      </c>
      <c r="N2659">
        <v>7</v>
      </c>
      <c r="O2659" t="s">
        <v>34</v>
      </c>
      <c r="P2659" t="s">
        <v>25</v>
      </c>
    </row>
    <row r="2660" spans="1:16" ht="14.5" x14ac:dyDescent="0.35">
      <c r="A2660">
        <v>2659</v>
      </c>
      <c r="B2660">
        <v>52</v>
      </c>
      <c r="C2660" t="s">
        <v>144</v>
      </c>
      <c r="D2660" t="s">
        <v>59</v>
      </c>
      <c r="E2660" t="s">
        <v>60</v>
      </c>
      <c r="F2660">
        <v>47</v>
      </c>
      <c r="G2660" t="s">
        <v>114</v>
      </c>
      <c r="H2660" t="s">
        <v>83</v>
      </c>
      <c r="I2660" t="s">
        <v>117</v>
      </c>
      <c r="J2660" t="s">
        <v>47</v>
      </c>
      <c r="K2660">
        <v>3.2</v>
      </c>
      <c r="L2660" t="s">
        <v>143</v>
      </c>
      <c r="M2660" t="s">
        <v>143</v>
      </c>
      <c r="N2660">
        <v>39</v>
      </c>
      <c r="O2660" t="s">
        <v>40</v>
      </c>
      <c r="P2660" t="s">
        <v>79</v>
      </c>
    </row>
    <row r="2661" spans="1:16" ht="14.5" x14ac:dyDescent="0.35">
      <c r="A2661">
        <v>2660</v>
      </c>
      <c r="B2661">
        <v>35</v>
      </c>
      <c r="C2661" t="s">
        <v>144</v>
      </c>
      <c r="D2661" t="s">
        <v>128</v>
      </c>
      <c r="E2661" t="s">
        <v>37</v>
      </c>
      <c r="F2661">
        <v>35</v>
      </c>
      <c r="G2661" t="s">
        <v>102</v>
      </c>
      <c r="H2661" t="s">
        <v>20</v>
      </c>
      <c r="I2661" t="s">
        <v>21</v>
      </c>
      <c r="J2661" t="s">
        <v>47</v>
      </c>
      <c r="K2661">
        <v>4.4000000000000004</v>
      </c>
      <c r="L2661" t="s">
        <v>143</v>
      </c>
      <c r="M2661" t="s">
        <v>143</v>
      </c>
      <c r="N2661">
        <v>46</v>
      </c>
      <c r="O2661" t="s">
        <v>34</v>
      </c>
      <c r="P2661" t="s">
        <v>25</v>
      </c>
    </row>
    <row r="2662" spans="1:16" ht="14.5" x14ac:dyDescent="0.35">
      <c r="A2662">
        <v>2661</v>
      </c>
      <c r="B2662">
        <v>24</v>
      </c>
      <c r="C2662" t="s">
        <v>144</v>
      </c>
      <c r="D2662" t="s">
        <v>86</v>
      </c>
      <c r="E2662" t="s">
        <v>18</v>
      </c>
      <c r="F2662">
        <v>85</v>
      </c>
      <c r="G2662" t="s">
        <v>122</v>
      </c>
      <c r="H2662" t="s">
        <v>20</v>
      </c>
      <c r="I2662" t="s">
        <v>125</v>
      </c>
      <c r="J2662" t="s">
        <v>33</v>
      </c>
      <c r="K2662">
        <v>4.9000000000000004</v>
      </c>
      <c r="L2662" t="s">
        <v>143</v>
      </c>
      <c r="M2662" t="s">
        <v>143</v>
      </c>
      <c r="N2662">
        <v>44</v>
      </c>
      <c r="O2662" t="s">
        <v>24</v>
      </c>
      <c r="P2662" t="s">
        <v>43</v>
      </c>
    </row>
    <row r="2663" spans="1:16" ht="14.5" x14ac:dyDescent="0.35">
      <c r="A2663">
        <v>2662</v>
      </c>
      <c r="B2663">
        <v>43</v>
      </c>
      <c r="C2663" t="s">
        <v>144</v>
      </c>
      <c r="D2663" t="s">
        <v>128</v>
      </c>
      <c r="E2663" t="s">
        <v>37</v>
      </c>
      <c r="F2663">
        <v>96</v>
      </c>
      <c r="G2663" t="s">
        <v>142</v>
      </c>
      <c r="H2663" t="s">
        <v>83</v>
      </c>
      <c r="I2663" t="s">
        <v>69</v>
      </c>
      <c r="J2663" t="s">
        <v>50</v>
      </c>
      <c r="K2663">
        <v>4.8</v>
      </c>
      <c r="L2663" t="s">
        <v>143</v>
      </c>
      <c r="M2663" t="s">
        <v>143</v>
      </c>
      <c r="N2663">
        <v>20</v>
      </c>
      <c r="O2663" t="s">
        <v>66</v>
      </c>
      <c r="P2663" t="s">
        <v>43</v>
      </c>
    </row>
    <row r="2664" spans="1:16" ht="14.5" x14ac:dyDescent="0.35">
      <c r="A2664">
        <v>2663</v>
      </c>
      <c r="B2664">
        <v>25</v>
      </c>
      <c r="C2664" t="s">
        <v>144</v>
      </c>
      <c r="D2664" t="s">
        <v>78</v>
      </c>
      <c r="E2664" t="s">
        <v>18</v>
      </c>
      <c r="F2664">
        <v>98</v>
      </c>
      <c r="G2664" t="s">
        <v>136</v>
      </c>
      <c r="H2664" t="s">
        <v>39</v>
      </c>
      <c r="I2664" t="s">
        <v>100</v>
      </c>
      <c r="J2664" t="s">
        <v>47</v>
      </c>
      <c r="K2664">
        <v>2.8</v>
      </c>
      <c r="L2664" t="s">
        <v>143</v>
      </c>
      <c r="M2664" t="s">
        <v>143</v>
      </c>
      <c r="N2664">
        <v>44</v>
      </c>
      <c r="O2664" t="s">
        <v>40</v>
      </c>
      <c r="P2664" t="s">
        <v>25</v>
      </c>
    </row>
    <row r="2665" spans="1:16" ht="14.5" x14ac:dyDescent="0.35">
      <c r="A2665">
        <v>2664</v>
      </c>
      <c r="B2665">
        <v>46</v>
      </c>
      <c r="C2665" t="s">
        <v>144</v>
      </c>
      <c r="D2665" t="s">
        <v>44</v>
      </c>
      <c r="E2665" t="s">
        <v>37</v>
      </c>
      <c r="F2665">
        <v>52</v>
      </c>
      <c r="G2665" t="s">
        <v>141</v>
      </c>
      <c r="H2665" t="s">
        <v>20</v>
      </c>
      <c r="I2665" t="s">
        <v>58</v>
      </c>
      <c r="J2665" t="s">
        <v>50</v>
      </c>
      <c r="K2665">
        <v>2.9</v>
      </c>
      <c r="L2665" t="s">
        <v>143</v>
      </c>
      <c r="M2665" t="s">
        <v>143</v>
      </c>
      <c r="N2665">
        <v>23</v>
      </c>
      <c r="O2665" t="s">
        <v>66</v>
      </c>
      <c r="P2665" t="s">
        <v>43</v>
      </c>
    </row>
    <row r="2666" spans="1:16" ht="14.5" x14ac:dyDescent="0.35">
      <c r="A2666">
        <v>2665</v>
      </c>
      <c r="B2666">
        <v>22</v>
      </c>
      <c r="C2666" t="s">
        <v>144</v>
      </c>
      <c r="D2666" t="s">
        <v>97</v>
      </c>
      <c r="E2666" t="s">
        <v>60</v>
      </c>
      <c r="F2666">
        <v>84</v>
      </c>
      <c r="G2666" t="s">
        <v>106</v>
      </c>
      <c r="H2666" t="s">
        <v>20</v>
      </c>
      <c r="I2666" t="s">
        <v>58</v>
      </c>
      <c r="J2666" t="s">
        <v>22</v>
      </c>
      <c r="K2666">
        <v>3.2</v>
      </c>
      <c r="L2666" t="s">
        <v>143</v>
      </c>
      <c r="M2666" t="s">
        <v>143</v>
      </c>
      <c r="N2666">
        <v>37</v>
      </c>
      <c r="O2666" t="s">
        <v>40</v>
      </c>
      <c r="P2666" t="s">
        <v>35</v>
      </c>
    </row>
    <row r="2667" spans="1:16" ht="14.5" x14ac:dyDescent="0.35">
      <c r="A2667">
        <v>2666</v>
      </c>
      <c r="B2667">
        <v>70</v>
      </c>
      <c r="C2667" t="s">
        <v>144</v>
      </c>
      <c r="D2667" t="s">
        <v>104</v>
      </c>
      <c r="E2667" t="s">
        <v>18</v>
      </c>
      <c r="F2667">
        <v>71</v>
      </c>
      <c r="G2667" t="s">
        <v>53</v>
      </c>
      <c r="H2667" t="s">
        <v>20</v>
      </c>
      <c r="I2667" t="s">
        <v>99</v>
      </c>
      <c r="J2667" t="s">
        <v>22</v>
      </c>
      <c r="K2667">
        <v>3.5</v>
      </c>
      <c r="L2667" t="s">
        <v>143</v>
      </c>
      <c r="M2667" t="s">
        <v>143</v>
      </c>
      <c r="N2667">
        <v>4</v>
      </c>
      <c r="O2667" t="s">
        <v>24</v>
      </c>
      <c r="P2667" t="s">
        <v>35</v>
      </c>
    </row>
    <row r="2668" spans="1:16" ht="14.5" x14ac:dyDescent="0.35">
      <c r="A2668">
        <v>2667</v>
      </c>
      <c r="B2668">
        <v>49</v>
      </c>
      <c r="C2668" t="s">
        <v>144</v>
      </c>
      <c r="D2668" t="s">
        <v>36</v>
      </c>
      <c r="E2668" t="s">
        <v>37</v>
      </c>
      <c r="F2668">
        <v>95</v>
      </c>
      <c r="G2668" t="s">
        <v>114</v>
      </c>
      <c r="H2668" t="s">
        <v>32</v>
      </c>
      <c r="I2668" t="s">
        <v>101</v>
      </c>
      <c r="J2668" t="s">
        <v>22</v>
      </c>
      <c r="K2668">
        <v>4.0999999999999996</v>
      </c>
      <c r="L2668" t="s">
        <v>143</v>
      </c>
      <c r="M2668" t="s">
        <v>143</v>
      </c>
      <c r="N2668">
        <v>14</v>
      </c>
      <c r="O2668" t="s">
        <v>24</v>
      </c>
      <c r="P2668" t="s">
        <v>25</v>
      </c>
    </row>
    <row r="2669" spans="1:16" ht="14.5" x14ac:dyDescent="0.35">
      <c r="A2669">
        <v>2668</v>
      </c>
      <c r="B2669">
        <v>48</v>
      </c>
      <c r="C2669" t="s">
        <v>144</v>
      </c>
      <c r="D2669" t="s">
        <v>128</v>
      </c>
      <c r="E2669" t="s">
        <v>37</v>
      </c>
      <c r="F2669">
        <v>47</v>
      </c>
      <c r="G2669" t="s">
        <v>119</v>
      </c>
      <c r="H2669" t="s">
        <v>39</v>
      </c>
      <c r="I2669" t="s">
        <v>112</v>
      </c>
      <c r="J2669" t="s">
        <v>47</v>
      </c>
      <c r="K2669">
        <v>4.0999999999999996</v>
      </c>
      <c r="L2669" t="s">
        <v>143</v>
      </c>
      <c r="M2669" t="s">
        <v>143</v>
      </c>
      <c r="N2669">
        <v>31</v>
      </c>
      <c r="O2669" t="s">
        <v>29</v>
      </c>
      <c r="P2669" t="s">
        <v>25</v>
      </c>
    </row>
    <row r="2670" spans="1:16" ht="14.5" x14ac:dyDescent="0.35">
      <c r="A2670">
        <v>2669</v>
      </c>
      <c r="B2670">
        <v>59</v>
      </c>
      <c r="C2670" t="s">
        <v>144</v>
      </c>
      <c r="D2670" t="s">
        <v>55</v>
      </c>
      <c r="E2670" t="s">
        <v>56</v>
      </c>
      <c r="F2670">
        <v>75</v>
      </c>
      <c r="G2670" t="s">
        <v>96</v>
      </c>
      <c r="H2670" t="s">
        <v>39</v>
      </c>
      <c r="I2670" t="s">
        <v>85</v>
      </c>
      <c r="J2670" t="s">
        <v>47</v>
      </c>
      <c r="K2670">
        <v>4.8</v>
      </c>
      <c r="L2670" t="s">
        <v>143</v>
      </c>
      <c r="M2670" t="s">
        <v>143</v>
      </c>
      <c r="N2670">
        <v>9</v>
      </c>
      <c r="O2670" t="s">
        <v>40</v>
      </c>
      <c r="P2670" t="s">
        <v>51</v>
      </c>
    </row>
    <row r="2671" spans="1:16" ht="14.5" x14ac:dyDescent="0.35">
      <c r="A2671">
        <v>2670</v>
      </c>
      <c r="B2671">
        <v>39</v>
      </c>
      <c r="C2671" t="s">
        <v>144</v>
      </c>
      <c r="D2671" t="s">
        <v>124</v>
      </c>
      <c r="E2671" t="s">
        <v>60</v>
      </c>
      <c r="F2671">
        <v>28</v>
      </c>
      <c r="G2671" t="s">
        <v>106</v>
      </c>
      <c r="H2671" t="s">
        <v>20</v>
      </c>
      <c r="I2671" t="s">
        <v>76</v>
      </c>
      <c r="J2671" t="s">
        <v>33</v>
      </c>
      <c r="K2671">
        <v>2.8</v>
      </c>
      <c r="L2671" t="s">
        <v>143</v>
      </c>
      <c r="M2671" t="s">
        <v>143</v>
      </c>
      <c r="N2671">
        <v>31</v>
      </c>
      <c r="O2671" t="s">
        <v>34</v>
      </c>
      <c r="P2671" t="s">
        <v>35</v>
      </c>
    </row>
    <row r="2672" spans="1:16" ht="14.5" x14ac:dyDescent="0.35">
      <c r="A2672">
        <v>2671</v>
      </c>
      <c r="B2672">
        <v>30</v>
      </c>
      <c r="C2672" t="s">
        <v>144</v>
      </c>
      <c r="D2672" t="s">
        <v>80</v>
      </c>
      <c r="E2672" t="s">
        <v>60</v>
      </c>
      <c r="F2672">
        <v>44</v>
      </c>
      <c r="G2672" t="s">
        <v>129</v>
      </c>
      <c r="H2672" t="s">
        <v>39</v>
      </c>
      <c r="I2672" t="s">
        <v>125</v>
      </c>
      <c r="J2672" t="s">
        <v>50</v>
      </c>
      <c r="K2672">
        <v>4.7</v>
      </c>
      <c r="L2672" t="s">
        <v>143</v>
      </c>
      <c r="M2672" t="s">
        <v>143</v>
      </c>
      <c r="N2672">
        <v>26</v>
      </c>
      <c r="O2672" t="s">
        <v>66</v>
      </c>
      <c r="P2672" t="s">
        <v>67</v>
      </c>
    </row>
    <row r="2673" spans="1:16" ht="14.5" x14ac:dyDescent="0.35">
      <c r="A2673">
        <v>2672</v>
      </c>
      <c r="B2673">
        <v>37</v>
      </c>
      <c r="C2673" t="s">
        <v>144</v>
      </c>
      <c r="D2673" t="s">
        <v>36</v>
      </c>
      <c r="E2673" t="s">
        <v>37</v>
      </c>
      <c r="F2673">
        <v>64</v>
      </c>
      <c r="G2673" t="s">
        <v>81</v>
      </c>
      <c r="H2673" t="s">
        <v>83</v>
      </c>
      <c r="I2673" t="s">
        <v>21</v>
      </c>
      <c r="J2673" t="s">
        <v>22</v>
      </c>
      <c r="K2673">
        <v>4.8</v>
      </c>
      <c r="L2673" t="s">
        <v>143</v>
      </c>
      <c r="M2673" t="s">
        <v>143</v>
      </c>
      <c r="N2673">
        <v>41</v>
      </c>
      <c r="O2673" t="s">
        <v>40</v>
      </c>
      <c r="P2673" t="s">
        <v>88</v>
      </c>
    </row>
    <row r="2674" spans="1:16" ht="14.5" x14ac:dyDescent="0.35">
      <c r="A2674">
        <v>2673</v>
      </c>
      <c r="B2674">
        <v>56</v>
      </c>
      <c r="C2674" t="s">
        <v>144</v>
      </c>
      <c r="D2674" t="s">
        <v>128</v>
      </c>
      <c r="E2674" t="s">
        <v>37</v>
      </c>
      <c r="F2674">
        <v>28</v>
      </c>
      <c r="G2674" t="s">
        <v>57</v>
      </c>
      <c r="H2674" t="s">
        <v>39</v>
      </c>
      <c r="I2674" t="s">
        <v>28</v>
      </c>
      <c r="J2674" t="s">
        <v>33</v>
      </c>
      <c r="K2674">
        <v>2.9</v>
      </c>
      <c r="L2674" t="s">
        <v>143</v>
      </c>
      <c r="M2674" t="s">
        <v>143</v>
      </c>
      <c r="N2674">
        <v>13</v>
      </c>
      <c r="O2674" t="s">
        <v>29</v>
      </c>
      <c r="P2674" t="s">
        <v>43</v>
      </c>
    </row>
    <row r="2675" spans="1:16" ht="14.5" x14ac:dyDescent="0.35">
      <c r="A2675">
        <v>2674</v>
      </c>
      <c r="B2675">
        <v>67</v>
      </c>
      <c r="C2675" t="s">
        <v>144</v>
      </c>
      <c r="D2675" t="s">
        <v>95</v>
      </c>
      <c r="E2675" t="s">
        <v>18</v>
      </c>
      <c r="F2675">
        <v>21</v>
      </c>
      <c r="G2675" t="s">
        <v>98</v>
      </c>
      <c r="H2675" t="s">
        <v>39</v>
      </c>
      <c r="I2675" t="s">
        <v>69</v>
      </c>
      <c r="J2675" t="s">
        <v>47</v>
      </c>
      <c r="K2675">
        <v>2.6</v>
      </c>
      <c r="L2675" t="s">
        <v>143</v>
      </c>
      <c r="M2675" t="s">
        <v>143</v>
      </c>
      <c r="N2675">
        <v>4</v>
      </c>
      <c r="O2675" t="s">
        <v>29</v>
      </c>
      <c r="P2675" t="s">
        <v>79</v>
      </c>
    </row>
    <row r="2676" spans="1:16" ht="14.5" x14ac:dyDescent="0.35">
      <c r="A2676">
        <v>2675</v>
      </c>
      <c r="B2676">
        <v>40</v>
      </c>
      <c r="C2676" t="s">
        <v>144</v>
      </c>
      <c r="D2676" t="s">
        <v>115</v>
      </c>
      <c r="E2676" t="s">
        <v>60</v>
      </c>
      <c r="F2676">
        <v>41</v>
      </c>
      <c r="G2676" t="s">
        <v>94</v>
      </c>
      <c r="H2676" t="s">
        <v>32</v>
      </c>
      <c r="I2676" t="s">
        <v>54</v>
      </c>
      <c r="J2676" t="s">
        <v>50</v>
      </c>
      <c r="K2676">
        <v>3.3</v>
      </c>
      <c r="L2676" t="s">
        <v>143</v>
      </c>
      <c r="M2676" t="s">
        <v>143</v>
      </c>
      <c r="N2676">
        <v>15</v>
      </c>
      <c r="O2676" t="s">
        <v>29</v>
      </c>
      <c r="P2676" t="s">
        <v>88</v>
      </c>
    </row>
    <row r="2677" spans="1:16" ht="14.5" x14ac:dyDescent="0.35">
      <c r="A2677">
        <v>2676</v>
      </c>
      <c r="B2677">
        <v>24</v>
      </c>
      <c r="C2677" t="s">
        <v>144</v>
      </c>
      <c r="D2677" t="s">
        <v>52</v>
      </c>
      <c r="E2677" t="s">
        <v>18</v>
      </c>
      <c r="F2677">
        <v>38</v>
      </c>
      <c r="G2677" t="s">
        <v>132</v>
      </c>
      <c r="H2677" t="s">
        <v>39</v>
      </c>
      <c r="I2677" t="s">
        <v>91</v>
      </c>
      <c r="J2677" t="s">
        <v>22</v>
      </c>
      <c r="K2677">
        <v>3.4</v>
      </c>
      <c r="L2677" t="s">
        <v>143</v>
      </c>
      <c r="M2677" t="s">
        <v>143</v>
      </c>
      <c r="N2677">
        <v>38</v>
      </c>
      <c r="O2677" t="s">
        <v>29</v>
      </c>
      <c r="P2677" t="s">
        <v>67</v>
      </c>
    </row>
    <row r="2678" spans="1:16" ht="14.5" x14ac:dyDescent="0.35">
      <c r="A2678">
        <v>2677</v>
      </c>
      <c r="B2678">
        <v>43</v>
      </c>
      <c r="C2678" t="s">
        <v>144</v>
      </c>
      <c r="D2678" t="s">
        <v>123</v>
      </c>
      <c r="E2678" t="s">
        <v>60</v>
      </c>
      <c r="F2678">
        <v>77</v>
      </c>
      <c r="G2678" t="s">
        <v>19</v>
      </c>
      <c r="H2678" t="s">
        <v>39</v>
      </c>
      <c r="I2678" t="s">
        <v>28</v>
      </c>
      <c r="J2678" t="s">
        <v>33</v>
      </c>
      <c r="K2678">
        <v>3.6</v>
      </c>
      <c r="L2678" t="s">
        <v>143</v>
      </c>
      <c r="M2678" t="s">
        <v>143</v>
      </c>
      <c r="N2678">
        <v>3</v>
      </c>
      <c r="O2678" t="s">
        <v>29</v>
      </c>
      <c r="P2678" t="s">
        <v>25</v>
      </c>
    </row>
    <row r="2679" spans="1:16" ht="14.5" x14ac:dyDescent="0.35">
      <c r="A2679">
        <v>2678</v>
      </c>
      <c r="B2679">
        <v>45</v>
      </c>
      <c r="C2679" t="s">
        <v>144</v>
      </c>
      <c r="D2679" t="s">
        <v>52</v>
      </c>
      <c r="E2679" t="s">
        <v>18</v>
      </c>
      <c r="F2679">
        <v>43</v>
      </c>
      <c r="G2679" t="s">
        <v>130</v>
      </c>
      <c r="H2679" t="s">
        <v>20</v>
      </c>
      <c r="I2679" t="s">
        <v>69</v>
      </c>
      <c r="J2679" t="s">
        <v>33</v>
      </c>
      <c r="K2679">
        <v>3.8</v>
      </c>
      <c r="L2679" t="s">
        <v>143</v>
      </c>
      <c r="M2679" t="s">
        <v>143</v>
      </c>
      <c r="N2679">
        <v>6</v>
      </c>
      <c r="O2679" t="s">
        <v>40</v>
      </c>
      <c r="P2679" t="s">
        <v>88</v>
      </c>
    </row>
    <row r="2680" spans="1:16" ht="14.5" x14ac:dyDescent="0.35">
      <c r="A2680">
        <v>2679</v>
      </c>
      <c r="B2680">
        <v>33</v>
      </c>
      <c r="C2680" t="s">
        <v>144</v>
      </c>
      <c r="D2680" t="s">
        <v>124</v>
      </c>
      <c r="E2680" t="s">
        <v>60</v>
      </c>
      <c r="F2680">
        <v>91</v>
      </c>
      <c r="G2680" t="s">
        <v>49</v>
      </c>
      <c r="H2680" t="s">
        <v>39</v>
      </c>
      <c r="I2680" t="s">
        <v>127</v>
      </c>
      <c r="J2680" t="s">
        <v>33</v>
      </c>
      <c r="K2680">
        <v>3.4</v>
      </c>
      <c r="L2680" t="s">
        <v>143</v>
      </c>
      <c r="M2680" t="s">
        <v>143</v>
      </c>
      <c r="N2680">
        <v>34</v>
      </c>
      <c r="O2680" t="s">
        <v>34</v>
      </c>
      <c r="P2680" t="s">
        <v>67</v>
      </c>
    </row>
    <row r="2681" spans="1:16" ht="14.5" x14ac:dyDescent="0.35">
      <c r="A2681">
        <v>2680</v>
      </c>
      <c r="B2681">
        <v>53</v>
      </c>
      <c r="C2681" t="s">
        <v>144</v>
      </c>
      <c r="D2681" t="s">
        <v>52</v>
      </c>
      <c r="E2681" t="s">
        <v>18</v>
      </c>
      <c r="F2681">
        <v>68</v>
      </c>
      <c r="G2681" t="s">
        <v>49</v>
      </c>
      <c r="H2681" t="s">
        <v>32</v>
      </c>
      <c r="I2681" t="s">
        <v>125</v>
      </c>
      <c r="J2681" t="s">
        <v>33</v>
      </c>
      <c r="K2681">
        <v>3.8</v>
      </c>
      <c r="L2681" t="s">
        <v>143</v>
      </c>
      <c r="M2681" t="s">
        <v>143</v>
      </c>
      <c r="N2681">
        <v>7</v>
      </c>
      <c r="O2681" t="s">
        <v>77</v>
      </c>
      <c r="P2681" t="s">
        <v>51</v>
      </c>
    </row>
    <row r="2682" spans="1:16" ht="14.5" x14ac:dyDescent="0.35">
      <c r="A2682">
        <v>2681</v>
      </c>
      <c r="B2682">
        <v>44</v>
      </c>
      <c r="C2682" t="s">
        <v>144</v>
      </c>
      <c r="D2682" t="s">
        <v>116</v>
      </c>
      <c r="E2682" t="s">
        <v>18</v>
      </c>
      <c r="F2682">
        <v>37</v>
      </c>
      <c r="G2682" t="s">
        <v>136</v>
      </c>
      <c r="H2682" t="s">
        <v>20</v>
      </c>
      <c r="I2682" t="s">
        <v>117</v>
      </c>
      <c r="J2682" t="s">
        <v>50</v>
      </c>
      <c r="K2682">
        <v>3.3</v>
      </c>
      <c r="L2682" t="s">
        <v>143</v>
      </c>
      <c r="M2682" t="s">
        <v>143</v>
      </c>
      <c r="N2682">
        <v>21</v>
      </c>
      <c r="O2682" t="s">
        <v>24</v>
      </c>
      <c r="P2682" t="s">
        <v>43</v>
      </c>
    </row>
    <row r="2683" spans="1:16" ht="14.5" x14ac:dyDescent="0.35">
      <c r="A2683">
        <v>2682</v>
      </c>
      <c r="B2683">
        <v>23</v>
      </c>
      <c r="C2683" t="s">
        <v>144</v>
      </c>
      <c r="D2683" t="s">
        <v>63</v>
      </c>
      <c r="E2683" t="s">
        <v>37</v>
      </c>
      <c r="F2683">
        <v>23</v>
      </c>
      <c r="G2683" t="s">
        <v>31</v>
      </c>
      <c r="H2683" t="s">
        <v>20</v>
      </c>
      <c r="I2683" t="s">
        <v>69</v>
      </c>
      <c r="J2683" t="s">
        <v>47</v>
      </c>
      <c r="K2683">
        <v>4.8</v>
      </c>
      <c r="L2683" t="s">
        <v>143</v>
      </c>
      <c r="M2683" t="s">
        <v>143</v>
      </c>
      <c r="N2683">
        <v>17</v>
      </c>
      <c r="O2683" t="s">
        <v>77</v>
      </c>
      <c r="P2683" t="s">
        <v>79</v>
      </c>
    </row>
    <row r="2684" spans="1:16" ht="14.5" x14ac:dyDescent="0.35">
      <c r="A2684">
        <v>2683</v>
      </c>
      <c r="B2684">
        <v>59</v>
      </c>
      <c r="C2684" t="s">
        <v>144</v>
      </c>
      <c r="D2684" t="s">
        <v>44</v>
      </c>
      <c r="E2684" t="s">
        <v>37</v>
      </c>
      <c r="F2684">
        <v>65</v>
      </c>
      <c r="G2684" t="s">
        <v>89</v>
      </c>
      <c r="H2684" t="s">
        <v>20</v>
      </c>
      <c r="I2684" t="s">
        <v>28</v>
      </c>
      <c r="J2684" t="s">
        <v>22</v>
      </c>
      <c r="K2684">
        <v>3.9</v>
      </c>
      <c r="L2684" t="s">
        <v>143</v>
      </c>
      <c r="M2684" t="s">
        <v>143</v>
      </c>
      <c r="N2684">
        <v>5</v>
      </c>
      <c r="O2684" t="s">
        <v>24</v>
      </c>
      <c r="P2684" t="s">
        <v>88</v>
      </c>
    </row>
    <row r="2685" spans="1:16" ht="14.5" x14ac:dyDescent="0.35">
      <c r="A2685">
        <v>2684</v>
      </c>
      <c r="B2685">
        <v>68</v>
      </c>
      <c r="C2685" t="s">
        <v>144</v>
      </c>
      <c r="D2685" t="s">
        <v>123</v>
      </c>
      <c r="E2685" t="s">
        <v>60</v>
      </c>
      <c r="F2685">
        <v>30</v>
      </c>
      <c r="G2685" t="s">
        <v>49</v>
      </c>
      <c r="H2685" t="s">
        <v>39</v>
      </c>
      <c r="I2685" t="s">
        <v>117</v>
      </c>
      <c r="J2685" t="s">
        <v>47</v>
      </c>
      <c r="K2685">
        <v>4.2</v>
      </c>
      <c r="L2685" t="s">
        <v>143</v>
      </c>
      <c r="M2685" t="s">
        <v>143</v>
      </c>
      <c r="N2685">
        <v>21</v>
      </c>
      <c r="O2685" t="s">
        <v>29</v>
      </c>
      <c r="P2685" t="s">
        <v>25</v>
      </c>
    </row>
    <row r="2686" spans="1:16" ht="14.5" x14ac:dyDescent="0.35">
      <c r="A2686">
        <v>2685</v>
      </c>
      <c r="B2686">
        <v>46</v>
      </c>
      <c r="C2686" t="s">
        <v>144</v>
      </c>
      <c r="D2686" t="s">
        <v>72</v>
      </c>
      <c r="E2686" t="s">
        <v>18</v>
      </c>
      <c r="F2686">
        <v>45</v>
      </c>
      <c r="G2686" t="s">
        <v>140</v>
      </c>
      <c r="H2686" t="s">
        <v>39</v>
      </c>
      <c r="I2686" t="s">
        <v>21</v>
      </c>
      <c r="J2686" t="s">
        <v>47</v>
      </c>
      <c r="K2686">
        <v>4.7</v>
      </c>
      <c r="L2686" t="s">
        <v>143</v>
      </c>
      <c r="M2686" t="s">
        <v>143</v>
      </c>
      <c r="N2686">
        <v>42</v>
      </c>
      <c r="O2686" t="s">
        <v>34</v>
      </c>
      <c r="P2686" t="s">
        <v>67</v>
      </c>
    </row>
    <row r="2687" spans="1:16" ht="14.5" x14ac:dyDescent="0.35">
      <c r="A2687">
        <v>2686</v>
      </c>
      <c r="B2687">
        <v>56</v>
      </c>
      <c r="C2687" t="s">
        <v>144</v>
      </c>
      <c r="D2687" t="s">
        <v>128</v>
      </c>
      <c r="E2687" t="s">
        <v>37</v>
      </c>
      <c r="F2687">
        <v>25</v>
      </c>
      <c r="G2687" t="s">
        <v>132</v>
      </c>
      <c r="H2687" t="s">
        <v>39</v>
      </c>
      <c r="I2687" t="s">
        <v>21</v>
      </c>
      <c r="J2687" t="s">
        <v>22</v>
      </c>
      <c r="K2687">
        <v>2.7</v>
      </c>
      <c r="L2687" t="s">
        <v>143</v>
      </c>
      <c r="M2687" t="s">
        <v>143</v>
      </c>
      <c r="N2687">
        <v>49</v>
      </c>
      <c r="O2687" t="s">
        <v>34</v>
      </c>
      <c r="P2687" t="s">
        <v>51</v>
      </c>
    </row>
    <row r="2688" spans="1:16" ht="14.5" x14ac:dyDescent="0.35">
      <c r="A2688">
        <v>2687</v>
      </c>
      <c r="B2688">
        <v>40</v>
      </c>
      <c r="C2688" t="s">
        <v>144</v>
      </c>
      <c r="D2688" t="s">
        <v>116</v>
      </c>
      <c r="E2688" t="s">
        <v>18</v>
      </c>
      <c r="F2688">
        <v>72</v>
      </c>
      <c r="G2688" t="s">
        <v>133</v>
      </c>
      <c r="H2688" t="s">
        <v>39</v>
      </c>
      <c r="I2688" t="s">
        <v>85</v>
      </c>
      <c r="J2688" t="s">
        <v>22</v>
      </c>
      <c r="K2688">
        <v>3.8</v>
      </c>
      <c r="L2688" t="s">
        <v>143</v>
      </c>
      <c r="M2688" t="s">
        <v>143</v>
      </c>
      <c r="N2688">
        <v>33</v>
      </c>
      <c r="O2688" t="s">
        <v>29</v>
      </c>
      <c r="P2688" t="s">
        <v>25</v>
      </c>
    </row>
    <row r="2689" spans="1:16" ht="14.5" x14ac:dyDescent="0.35">
      <c r="A2689">
        <v>2688</v>
      </c>
      <c r="B2689">
        <v>61</v>
      </c>
      <c r="C2689" t="s">
        <v>144</v>
      </c>
      <c r="D2689" t="s">
        <v>72</v>
      </c>
      <c r="E2689" t="s">
        <v>18</v>
      </c>
      <c r="F2689">
        <v>75</v>
      </c>
      <c r="G2689" t="s">
        <v>70</v>
      </c>
      <c r="H2689" t="s">
        <v>39</v>
      </c>
      <c r="I2689" t="s">
        <v>46</v>
      </c>
      <c r="J2689" t="s">
        <v>50</v>
      </c>
      <c r="K2689">
        <v>3.6</v>
      </c>
      <c r="L2689" t="s">
        <v>143</v>
      </c>
      <c r="M2689" t="s">
        <v>143</v>
      </c>
      <c r="N2689">
        <v>12</v>
      </c>
      <c r="O2689" t="s">
        <v>77</v>
      </c>
      <c r="P2689" t="s">
        <v>67</v>
      </c>
    </row>
    <row r="2690" spans="1:16" ht="14.5" x14ac:dyDescent="0.35">
      <c r="A2690">
        <v>2689</v>
      </c>
      <c r="B2690">
        <v>53</v>
      </c>
      <c r="C2690" t="s">
        <v>144</v>
      </c>
      <c r="D2690" t="s">
        <v>59</v>
      </c>
      <c r="E2690" t="s">
        <v>60</v>
      </c>
      <c r="F2690">
        <v>63</v>
      </c>
      <c r="G2690" t="s">
        <v>57</v>
      </c>
      <c r="H2690" t="s">
        <v>83</v>
      </c>
      <c r="I2690" t="s">
        <v>42</v>
      </c>
      <c r="J2690" t="s">
        <v>33</v>
      </c>
      <c r="K2690">
        <v>2.9</v>
      </c>
      <c r="L2690" t="s">
        <v>143</v>
      </c>
      <c r="M2690" t="s">
        <v>143</v>
      </c>
      <c r="N2690">
        <v>18</v>
      </c>
      <c r="O2690" t="s">
        <v>34</v>
      </c>
      <c r="P2690" t="s">
        <v>88</v>
      </c>
    </row>
    <row r="2691" spans="1:16" ht="14.5" x14ac:dyDescent="0.35">
      <c r="A2691">
        <v>2690</v>
      </c>
      <c r="B2691">
        <v>29</v>
      </c>
      <c r="C2691" t="s">
        <v>144</v>
      </c>
      <c r="D2691" t="s">
        <v>17</v>
      </c>
      <c r="E2691" t="s">
        <v>18</v>
      </c>
      <c r="F2691">
        <v>35</v>
      </c>
      <c r="G2691" t="s">
        <v>45</v>
      </c>
      <c r="H2691" t="s">
        <v>39</v>
      </c>
      <c r="I2691" t="s">
        <v>112</v>
      </c>
      <c r="J2691" t="s">
        <v>50</v>
      </c>
      <c r="K2691">
        <v>3.9</v>
      </c>
      <c r="L2691" t="s">
        <v>143</v>
      </c>
      <c r="M2691" t="s">
        <v>143</v>
      </c>
      <c r="N2691">
        <v>47</v>
      </c>
      <c r="O2691" t="s">
        <v>40</v>
      </c>
      <c r="P2691" t="s">
        <v>51</v>
      </c>
    </row>
    <row r="2692" spans="1:16" ht="14.5" x14ac:dyDescent="0.35">
      <c r="A2692">
        <v>2691</v>
      </c>
      <c r="B2692">
        <v>44</v>
      </c>
      <c r="C2692" t="s">
        <v>144</v>
      </c>
      <c r="D2692" t="s">
        <v>124</v>
      </c>
      <c r="E2692" t="s">
        <v>60</v>
      </c>
      <c r="F2692">
        <v>32</v>
      </c>
      <c r="G2692" t="s">
        <v>121</v>
      </c>
      <c r="H2692" t="s">
        <v>20</v>
      </c>
      <c r="I2692" t="s">
        <v>125</v>
      </c>
      <c r="J2692" t="s">
        <v>47</v>
      </c>
      <c r="K2692">
        <v>4.7</v>
      </c>
      <c r="L2692" t="s">
        <v>143</v>
      </c>
      <c r="M2692" t="s">
        <v>143</v>
      </c>
      <c r="N2692">
        <v>18</v>
      </c>
      <c r="O2692" t="s">
        <v>66</v>
      </c>
      <c r="P2692" t="s">
        <v>35</v>
      </c>
    </row>
    <row r="2693" spans="1:16" ht="14.5" x14ac:dyDescent="0.35">
      <c r="A2693">
        <v>2692</v>
      </c>
      <c r="B2693">
        <v>43</v>
      </c>
      <c r="C2693" t="s">
        <v>144</v>
      </c>
      <c r="D2693" t="s">
        <v>86</v>
      </c>
      <c r="E2693" t="s">
        <v>18</v>
      </c>
      <c r="F2693">
        <v>25</v>
      </c>
      <c r="G2693" t="s">
        <v>136</v>
      </c>
      <c r="H2693" t="s">
        <v>20</v>
      </c>
      <c r="I2693" t="s">
        <v>135</v>
      </c>
      <c r="J2693" t="s">
        <v>22</v>
      </c>
      <c r="K2693">
        <v>3.3</v>
      </c>
      <c r="L2693" t="s">
        <v>143</v>
      </c>
      <c r="M2693" t="s">
        <v>143</v>
      </c>
      <c r="N2693">
        <v>48</v>
      </c>
      <c r="O2693" t="s">
        <v>29</v>
      </c>
      <c r="P2693" t="s">
        <v>79</v>
      </c>
    </row>
    <row r="2694" spans="1:16" ht="14.5" x14ac:dyDescent="0.35">
      <c r="A2694">
        <v>2693</v>
      </c>
      <c r="B2694">
        <v>40</v>
      </c>
      <c r="C2694" t="s">
        <v>144</v>
      </c>
      <c r="D2694" t="s">
        <v>44</v>
      </c>
      <c r="E2694" t="s">
        <v>37</v>
      </c>
      <c r="F2694">
        <v>90</v>
      </c>
      <c r="G2694" t="s">
        <v>140</v>
      </c>
      <c r="H2694" t="s">
        <v>83</v>
      </c>
      <c r="I2694" t="s">
        <v>74</v>
      </c>
      <c r="J2694" t="s">
        <v>33</v>
      </c>
      <c r="K2694">
        <v>4.2</v>
      </c>
      <c r="L2694" t="s">
        <v>143</v>
      </c>
      <c r="M2694" t="s">
        <v>143</v>
      </c>
      <c r="N2694">
        <v>18</v>
      </c>
      <c r="O2694" t="s">
        <v>77</v>
      </c>
      <c r="P2694" t="s">
        <v>88</v>
      </c>
    </row>
    <row r="2695" spans="1:16" ht="14.5" x14ac:dyDescent="0.35">
      <c r="A2695">
        <v>2694</v>
      </c>
      <c r="B2695">
        <v>55</v>
      </c>
      <c r="C2695" t="s">
        <v>144</v>
      </c>
      <c r="D2695" t="s">
        <v>128</v>
      </c>
      <c r="E2695" t="s">
        <v>37</v>
      </c>
      <c r="F2695">
        <v>70</v>
      </c>
      <c r="G2695" t="s">
        <v>68</v>
      </c>
      <c r="H2695" t="s">
        <v>20</v>
      </c>
      <c r="I2695" t="s">
        <v>84</v>
      </c>
      <c r="J2695" t="s">
        <v>47</v>
      </c>
      <c r="K2695">
        <v>2.6</v>
      </c>
      <c r="L2695" t="s">
        <v>143</v>
      </c>
      <c r="M2695" t="s">
        <v>143</v>
      </c>
      <c r="N2695">
        <v>46</v>
      </c>
      <c r="O2695" t="s">
        <v>29</v>
      </c>
      <c r="P2695" t="s">
        <v>51</v>
      </c>
    </row>
    <row r="2696" spans="1:16" ht="14.5" x14ac:dyDescent="0.35">
      <c r="A2696">
        <v>2695</v>
      </c>
      <c r="B2696">
        <v>66</v>
      </c>
      <c r="C2696" t="s">
        <v>144</v>
      </c>
      <c r="D2696" t="s">
        <v>80</v>
      </c>
      <c r="E2696" t="s">
        <v>60</v>
      </c>
      <c r="F2696">
        <v>27</v>
      </c>
      <c r="G2696" t="s">
        <v>53</v>
      </c>
      <c r="H2696" t="s">
        <v>39</v>
      </c>
      <c r="I2696" t="s">
        <v>69</v>
      </c>
      <c r="J2696" t="s">
        <v>33</v>
      </c>
      <c r="K2696">
        <v>4.9000000000000004</v>
      </c>
      <c r="L2696" t="s">
        <v>143</v>
      </c>
      <c r="M2696" t="s">
        <v>143</v>
      </c>
      <c r="N2696">
        <v>34</v>
      </c>
      <c r="O2696" t="s">
        <v>34</v>
      </c>
      <c r="P2696" t="s">
        <v>88</v>
      </c>
    </row>
    <row r="2697" spans="1:16" ht="14.5" x14ac:dyDescent="0.35">
      <c r="A2697">
        <v>2696</v>
      </c>
      <c r="B2697">
        <v>50</v>
      </c>
      <c r="C2697" t="s">
        <v>144</v>
      </c>
      <c r="D2697" t="s">
        <v>115</v>
      </c>
      <c r="E2697" t="s">
        <v>60</v>
      </c>
      <c r="F2697">
        <v>92</v>
      </c>
      <c r="G2697" t="s">
        <v>113</v>
      </c>
      <c r="H2697" t="s">
        <v>39</v>
      </c>
      <c r="I2697" t="s">
        <v>112</v>
      </c>
      <c r="J2697" t="s">
        <v>50</v>
      </c>
      <c r="K2697">
        <v>3.6</v>
      </c>
      <c r="L2697" t="s">
        <v>143</v>
      </c>
      <c r="M2697" t="s">
        <v>143</v>
      </c>
      <c r="N2697">
        <v>10</v>
      </c>
      <c r="O2697" t="s">
        <v>40</v>
      </c>
      <c r="P2697" t="s">
        <v>67</v>
      </c>
    </row>
    <row r="2698" spans="1:16" ht="14.5" x14ac:dyDescent="0.35">
      <c r="A2698">
        <v>2697</v>
      </c>
      <c r="B2698">
        <v>57</v>
      </c>
      <c r="C2698" t="s">
        <v>144</v>
      </c>
      <c r="D2698" t="s">
        <v>55</v>
      </c>
      <c r="E2698" t="s">
        <v>56</v>
      </c>
      <c r="F2698">
        <v>20</v>
      </c>
      <c r="G2698" t="s">
        <v>138</v>
      </c>
      <c r="H2698" t="s">
        <v>39</v>
      </c>
      <c r="I2698" t="s">
        <v>46</v>
      </c>
      <c r="J2698" t="s">
        <v>33</v>
      </c>
      <c r="K2698">
        <v>4.7</v>
      </c>
      <c r="L2698" t="s">
        <v>143</v>
      </c>
      <c r="M2698" t="s">
        <v>143</v>
      </c>
      <c r="N2698">
        <v>12</v>
      </c>
      <c r="O2698" t="s">
        <v>77</v>
      </c>
      <c r="P2698" t="s">
        <v>79</v>
      </c>
    </row>
    <row r="2699" spans="1:16" ht="14.5" x14ac:dyDescent="0.35">
      <c r="A2699">
        <v>2698</v>
      </c>
      <c r="B2699">
        <v>42</v>
      </c>
      <c r="C2699" t="s">
        <v>144</v>
      </c>
      <c r="D2699" t="s">
        <v>93</v>
      </c>
      <c r="E2699" t="s">
        <v>56</v>
      </c>
      <c r="F2699">
        <v>52</v>
      </c>
      <c r="G2699" t="s">
        <v>70</v>
      </c>
      <c r="H2699" t="s">
        <v>20</v>
      </c>
      <c r="I2699" t="s">
        <v>99</v>
      </c>
      <c r="J2699" t="s">
        <v>22</v>
      </c>
      <c r="K2699">
        <v>3.2</v>
      </c>
      <c r="L2699" t="s">
        <v>143</v>
      </c>
      <c r="M2699" t="s">
        <v>143</v>
      </c>
      <c r="N2699">
        <v>36</v>
      </c>
      <c r="O2699" t="s">
        <v>66</v>
      </c>
      <c r="P2699" t="s">
        <v>51</v>
      </c>
    </row>
    <row r="2700" spans="1:16" ht="14.5" x14ac:dyDescent="0.35">
      <c r="A2700">
        <v>2699</v>
      </c>
      <c r="B2700">
        <v>55</v>
      </c>
      <c r="C2700" t="s">
        <v>144</v>
      </c>
      <c r="D2700" t="s">
        <v>95</v>
      </c>
      <c r="E2700" t="s">
        <v>18</v>
      </c>
      <c r="F2700">
        <v>57</v>
      </c>
      <c r="G2700" t="s">
        <v>132</v>
      </c>
      <c r="H2700" t="s">
        <v>39</v>
      </c>
      <c r="I2700" t="s">
        <v>127</v>
      </c>
      <c r="J2700" t="s">
        <v>47</v>
      </c>
      <c r="K2700">
        <v>3.6</v>
      </c>
      <c r="L2700" t="s">
        <v>143</v>
      </c>
      <c r="M2700" t="s">
        <v>143</v>
      </c>
      <c r="N2700">
        <v>34</v>
      </c>
      <c r="O2700" t="s">
        <v>24</v>
      </c>
      <c r="P2700" t="s">
        <v>51</v>
      </c>
    </row>
    <row r="2701" spans="1:16" ht="14.5" x14ac:dyDescent="0.35">
      <c r="A2701">
        <v>2700</v>
      </c>
      <c r="B2701">
        <v>25</v>
      </c>
      <c r="C2701" t="s">
        <v>144</v>
      </c>
      <c r="D2701" t="s">
        <v>128</v>
      </c>
      <c r="E2701" t="s">
        <v>37</v>
      </c>
      <c r="F2701">
        <v>96</v>
      </c>
      <c r="G2701" t="s">
        <v>131</v>
      </c>
      <c r="H2701" t="s">
        <v>39</v>
      </c>
      <c r="I2701" t="s">
        <v>74</v>
      </c>
      <c r="J2701" t="s">
        <v>50</v>
      </c>
      <c r="K2701">
        <v>3.6</v>
      </c>
      <c r="L2701" t="s">
        <v>143</v>
      </c>
      <c r="M2701" t="s">
        <v>143</v>
      </c>
      <c r="N2701">
        <v>49</v>
      </c>
      <c r="O2701" t="s">
        <v>77</v>
      </c>
      <c r="P2701" t="s">
        <v>43</v>
      </c>
    </row>
    <row r="2702" spans="1:16" ht="14.5" x14ac:dyDescent="0.35">
      <c r="A2702">
        <v>2701</v>
      </c>
      <c r="B2702">
        <v>22</v>
      </c>
      <c r="C2702" t="s">
        <v>144</v>
      </c>
      <c r="D2702" t="s">
        <v>104</v>
      </c>
      <c r="E2702" t="s">
        <v>18</v>
      </c>
      <c r="F2702">
        <v>68</v>
      </c>
      <c r="G2702" t="s">
        <v>90</v>
      </c>
      <c r="H2702" t="s">
        <v>83</v>
      </c>
      <c r="I2702" t="s">
        <v>69</v>
      </c>
      <c r="J2702" t="s">
        <v>22</v>
      </c>
      <c r="K2702">
        <v>3.2</v>
      </c>
      <c r="L2702" t="s">
        <v>143</v>
      </c>
      <c r="M2702" t="s">
        <v>143</v>
      </c>
      <c r="N2702">
        <v>36</v>
      </c>
      <c r="O2702" t="s">
        <v>29</v>
      </c>
      <c r="P2702" t="s">
        <v>35</v>
      </c>
    </row>
    <row r="2703" spans="1:16" ht="14.5" x14ac:dyDescent="0.35">
      <c r="A2703">
        <v>2702</v>
      </c>
      <c r="B2703">
        <v>49</v>
      </c>
      <c r="C2703" t="s">
        <v>144</v>
      </c>
      <c r="D2703" t="s">
        <v>26</v>
      </c>
      <c r="E2703" t="s">
        <v>18</v>
      </c>
      <c r="F2703">
        <v>30</v>
      </c>
      <c r="G2703" t="s">
        <v>126</v>
      </c>
      <c r="H2703" t="s">
        <v>20</v>
      </c>
      <c r="I2703" t="s">
        <v>58</v>
      </c>
      <c r="J2703" t="s">
        <v>47</v>
      </c>
      <c r="K2703">
        <v>2.8</v>
      </c>
      <c r="L2703" t="s">
        <v>143</v>
      </c>
      <c r="M2703" t="s">
        <v>143</v>
      </c>
      <c r="N2703">
        <v>18</v>
      </c>
      <c r="O2703" t="s">
        <v>66</v>
      </c>
      <c r="P2703" t="s">
        <v>25</v>
      </c>
    </row>
    <row r="2704" spans="1:16" ht="14.5" x14ac:dyDescent="0.35">
      <c r="A2704">
        <v>2703</v>
      </c>
      <c r="B2704">
        <v>70</v>
      </c>
      <c r="C2704" t="s">
        <v>144</v>
      </c>
      <c r="D2704" t="s">
        <v>63</v>
      </c>
      <c r="E2704" t="s">
        <v>37</v>
      </c>
      <c r="F2704">
        <v>37</v>
      </c>
      <c r="G2704" t="s">
        <v>96</v>
      </c>
      <c r="H2704" t="s">
        <v>20</v>
      </c>
      <c r="I2704" t="s">
        <v>21</v>
      </c>
      <c r="J2704" t="s">
        <v>50</v>
      </c>
      <c r="K2704">
        <v>4</v>
      </c>
      <c r="L2704" t="s">
        <v>143</v>
      </c>
      <c r="M2704" t="s">
        <v>143</v>
      </c>
      <c r="N2704">
        <v>39</v>
      </c>
      <c r="O2704" t="s">
        <v>77</v>
      </c>
      <c r="P2704" t="s">
        <v>25</v>
      </c>
    </row>
    <row r="2705" spans="1:16" ht="14.5" x14ac:dyDescent="0.35">
      <c r="A2705">
        <v>2704</v>
      </c>
      <c r="B2705">
        <v>56</v>
      </c>
      <c r="C2705" t="s">
        <v>144</v>
      </c>
      <c r="D2705" t="s">
        <v>110</v>
      </c>
      <c r="E2705" t="s">
        <v>60</v>
      </c>
      <c r="F2705">
        <v>42</v>
      </c>
      <c r="G2705" t="s">
        <v>113</v>
      </c>
      <c r="H2705" t="s">
        <v>83</v>
      </c>
      <c r="I2705" t="s">
        <v>69</v>
      </c>
      <c r="J2705" t="s">
        <v>22</v>
      </c>
      <c r="K2705">
        <v>4.4000000000000004</v>
      </c>
      <c r="L2705" t="s">
        <v>143</v>
      </c>
      <c r="M2705" t="s">
        <v>143</v>
      </c>
      <c r="N2705">
        <v>34</v>
      </c>
      <c r="O2705" t="s">
        <v>40</v>
      </c>
      <c r="P2705" t="s">
        <v>35</v>
      </c>
    </row>
    <row r="2706" spans="1:16" ht="14.5" x14ac:dyDescent="0.35">
      <c r="A2706">
        <v>2705</v>
      </c>
      <c r="B2706">
        <v>52</v>
      </c>
      <c r="C2706" t="s">
        <v>144</v>
      </c>
      <c r="D2706" t="s">
        <v>72</v>
      </c>
      <c r="E2706" t="s">
        <v>18</v>
      </c>
      <c r="F2706">
        <v>54</v>
      </c>
      <c r="G2706" t="s">
        <v>113</v>
      </c>
      <c r="H2706" t="s">
        <v>20</v>
      </c>
      <c r="I2706" t="s">
        <v>109</v>
      </c>
      <c r="J2706" t="s">
        <v>33</v>
      </c>
      <c r="K2706">
        <v>3.4</v>
      </c>
      <c r="L2706" t="s">
        <v>143</v>
      </c>
      <c r="M2706" t="s">
        <v>143</v>
      </c>
      <c r="N2706">
        <v>35</v>
      </c>
      <c r="O2706" t="s">
        <v>77</v>
      </c>
      <c r="P2706" t="s">
        <v>35</v>
      </c>
    </row>
    <row r="2707" spans="1:16" ht="14.5" x14ac:dyDescent="0.35">
      <c r="A2707">
        <v>2706</v>
      </c>
      <c r="B2707">
        <v>65</v>
      </c>
      <c r="C2707" t="s">
        <v>144</v>
      </c>
      <c r="D2707" t="s">
        <v>93</v>
      </c>
      <c r="E2707" t="s">
        <v>56</v>
      </c>
      <c r="F2707">
        <v>81</v>
      </c>
      <c r="G2707" t="s">
        <v>140</v>
      </c>
      <c r="H2707" t="s">
        <v>32</v>
      </c>
      <c r="I2707" t="s">
        <v>42</v>
      </c>
      <c r="J2707" t="s">
        <v>33</v>
      </c>
      <c r="K2707">
        <v>5</v>
      </c>
      <c r="L2707" t="s">
        <v>143</v>
      </c>
      <c r="M2707" t="s">
        <v>143</v>
      </c>
      <c r="N2707">
        <v>1</v>
      </c>
      <c r="O2707" t="s">
        <v>34</v>
      </c>
      <c r="P2707" t="s">
        <v>67</v>
      </c>
    </row>
    <row r="2708" spans="1:16" ht="14.5" x14ac:dyDescent="0.35">
      <c r="A2708">
        <v>2707</v>
      </c>
      <c r="B2708">
        <v>24</v>
      </c>
      <c r="C2708" t="s">
        <v>144</v>
      </c>
      <c r="D2708" t="s">
        <v>63</v>
      </c>
      <c r="E2708" t="s">
        <v>37</v>
      </c>
      <c r="F2708">
        <v>40</v>
      </c>
      <c r="G2708" t="s">
        <v>81</v>
      </c>
      <c r="H2708" t="s">
        <v>32</v>
      </c>
      <c r="I2708" t="s">
        <v>135</v>
      </c>
      <c r="J2708" t="s">
        <v>33</v>
      </c>
      <c r="K2708">
        <v>3.1</v>
      </c>
      <c r="L2708" t="s">
        <v>143</v>
      </c>
      <c r="M2708" t="s">
        <v>143</v>
      </c>
      <c r="N2708">
        <v>48</v>
      </c>
      <c r="O2708" t="s">
        <v>77</v>
      </c>
      <c r="P2708" t="s">
        <v>51</v>
      </c>
    </row>
    <row r="2709" spans="1:16" ht="14.5" x14ac:dyDescent="0.35">
      <c r="A2709">
        <v>2708</v>
      </c>
      <c r="B2709">
        <v>32</v>
      </c>
      <c r="C2709" t="s">
        <v>144</v>
      </c>
      <c r="D2709" t="s">
        <v>123</v>
      </c>
      <c r="E2709" t="s">
        <v>60</v>
      </c>
      <c r="F2709">
        <v>88</v>
      </c>
      <c r="G2709" t="s">
        <v>136</v>
      </c>
      <c r="H2709" t="s">
        <v>39</v>
      </c>
      <c r="I2709" t="s">
        <v>62</v>
      </c>
      <c r="J2709" t="s">
        <v>50</v>
      </c>
      <c r="K2709">
        <v>4.2</v>
      </c>
      <c r="L2709" t="s">
        <v>143</v>
      </c>
      <c r="M2709" t="s">
        <v>143</v>
      </c>
      <c r="N2709">
        <v>19</v>
      </c>
      <c r="O2709" t="s">
        <v>29</v>
      </c>
      <c r="P2709" t="s">
        <v>35</v>
      </c>
    </row>
    <row r="2710" spans="1:16" ht="14.5" x14ac:dyDescent="0.35">
      <c r="A2710">
        <v>2709</v>
      </c>
      <c r="B2710">
        <v>57</v>
      </c>
      <c r="C2710" t="s">
        <v>144</v>
      </c>
      <c r="D2710" t="s">
        <v>72</v>
      </c>
      <c r="E2710" t="s">
        <v>18</v>
      </c>
      <c r="F2710">
        <v>94</v>
      </c>
      <c r="G2710" t="s">
        <v>81</v>
      </c>
      <c r="H2710" t="s">
        <v>39</v>
      </c>
      <c r="I2710" t="s">
        <v>76</v>
      </c>
      <c r="J2710" t="s">
        <v>47</v>
      </c>
      <c r="K2710">
        <v>3.3</v>
      </c>
      <c r="L2710" t="s">
        <v>143</v>
      </c>
      <c r="M2710" t="s">
        <v>143</v>
      </c>
      <c r="N2710">
        <v>44</v>
      </c>
      <c r="O2710" t="s">
        <v>77</v>
      </c>
      <c r="P2710" t="s">
        <v>35</v>
      </c>
    </row>
    <row r="2711" spans="1:16" ht="14.5" x14ac:dyDescent="0.35">
      <c r="A2711">
        <v>2710</v>
      </c>
      <c r="B2711">
        <v>35</v>
      </c>
      <c r="C2711" t="s">
        <v>144</v>
      </c>
      <c r="D2711" t="s">
        <v>48</v>
      </c>
      <c r="E2711" t="s">
        <v>18</v>
      </c>
      <c r="F2711">
        <v>54</v>
      </c>
      <c r="G2711" t="s">
        <v>106</v>
      </c>
      <c r="H2711" t="s">
        <v>32</v>
      </c>
      <c r="I2711" t="s">
        <v>100</v>
      </c>
      <c r="J2711" t="s">
        <v>22</v>
      </c>
      <c r="K2711">
        <v>2.9</v>
      </c>
      <c r="L2711" t="s">
        <v>143</v>
      </c>
      <c r="M2711" t="s">
        <v>143</v>
      </c>
      <c r="N2711">
        <v>9</v>
      </c>
      <c r="O2711" t="s">
        <v>34</v>
      </c>
      <c r="P2711" t="s">
        <v>67</v>
      </c>
    </row>
    <row r="2712" spans="1:16" ht="14.5" x14ac:dyDescent="0.35">
      <c r="A2712">
        <v>2711</v>
      </c>
      <c r="B2712">
        <v>69</v>
      </c>
      <c r="C2712" t="s">
        <v>144</v>
      </c>
      <c r="D2712" t="s">
        <v>93</v>
      </c>
      <c r="E2712" t="s">
        <v>56</v>
      </c>
      <c r="F2712">
        <v>51</v>
      </c>
      <c r="G2712" t="s">
        <v>141</v>
      </c>
      <c r="H2712" t="s">
        <v>20</v>
      </c>
      <c r="I2712" t="s">
        <v>65</v>
      </c>
      <c r="J2712" t="s">
        <v>47</v>
      </c>
      <c r="K2712">
        <v>4.7</v>
      </c>
      <c r="L2712" t="s">
        <v>143</v>
      </c>
      <c r="M2712" t="s">
        <v>143</v>
      </c>
      <c r="N2712">
        <v>3</v>
      </c>
      <c r="O2712" t="s">
        <v>66</v>
      </c>
      <c r="P2712" t="s">
        <v>25</v>
      </c>
    </row>
    <row r="2713" spans="1:16" ht="14.5" x14ac:dyDescent="0.35">
      <c r="A2713">
        <v>2712</v>
      </c>
      <c r="B2713">
        <v>30</v>
      </c>
      <c r="C2713" t="s">
        <v>144</v>
      </c>
      <c r="D2713" t="s">
        <v>80</v>
      </c>
      <c r="E2713" t="s">
        <v>60</v>
      </c>
      <c r="F2713">
        <v>22</v>
      </c>
      <c r="G2713" t="s">
        <v>136</v>
      </c>
      <c r="H2713" t="s">
        <v>20</v>
      </c>
      <c r="I2713" t="s">
        <v>99</v>
      </c>
      <c r="J2713" t="s">
        <v>33</v>
      </c>
      <c r="K2713">
        <v>4</v>
      </c>
      <c r="L2713" t="s">
        <v>143</v>
      </c>
      <c r="M2713" t="s">
        <v>143</v>
      </c>
      <c r="N2713">
        <v>50</v>
      </c>
      <c r="O2713" t="s">
        <v>24</v>
      </c>
      <c r="P2713" t="s">
        <v>79</v>
      </c>
    </row>
    <row r="2714" spans="1:16" ht="14.5" x14ac:dyDescent="0.35">
      <c r="A2714">
        <v>2713</v>
      </c>
      <c r="B2714">
        <v>37</v>
      </c>
      <c r="C2714" t="s">
        <v>144</v>
      </c>
      <c r="D2714" t="s">
        <v>93</v>
      </c>
      <c r="E2714" t="s">
        <v>56</v>
      </c>
      <c r="F2714">
        <v>95</v>
      </c>
      <c r="G2714" t="s">
        <v>105</v>
      </c>
      <c r="H2714" t="s">
        <v>20</v>
      </c>
      <c r="I2714" t="s">
        <v>101</v>
      </c>
      <c r="J2714" t="s">
        <v>50</v>
      </c>
      <c r="K2714">
        <v>4.5999999999999996</v>
      </c>
      <c r="L2714" t="s">
        <v>143</v>
      </c>
      <c r="M2714" t="s">
        <v>143</v>
      </c>
      <c r="N2714">
        <v>7</v>
      </c>
      <c r="O2714" t="s">
        <v>77</v>
      </c>
      <c r="P2714" t="s">
        <v>51</v>
      </c>
    </row>
    <row r="2715" spans="1:16" ht="14.5" x14ac:dyDescent="0.35">
      <c r="A2715">
        <v>2714</v>
      </c>
      <c r="B2715">
        <v>19</v>
      </c>
      <c r="C2715" t="s">
        <v>144</v>
      </c>
      <c r="D2715" t="s">
        <v>55</v>
      </c>
      <c r="E2715" t="s">
        <v>56</v>
      </c>
      <c r="F2715">
        <v>57</v>
      </c>
      <c r="G2715" t="s">
        <v>82</v>
      </c>
      <c r="H2715" t="s">
        <v>39</v>
      </c>
      <c r="I2715" t="s">
        <v>127</v>
      </c>
      <c r="J2715" t="s">
        <v>50</v>
      </c>
      <c r="K2715">
        <v>3.8</v>
      </c>
      <c r="L2715" t="s">
        <v>143</v>
      </c>
      <c r="M2715" t="s">
        <v>143</v>
      </c>
      <c r="N2715">
        <v>20</v>
      </c>
      <c r="O2715" t="s">
        <v>77</v>
      </c>
      <c r="P2715" t="s">
        <v>43</v>
      </c>
    </row>
    <row r="2716" spans="1:16" ht="14.5" x14ac:dyDescent="0.35">
      <c r="A2716">
        <v>2715</v>
      </c>
      <c r="B2716">
        <v>53</v>
      </c>
      <c r="C2716" t="s">
        <v>144</v>
      </c>
      <c r="D2716" t="s">
        <v>26</v>
      </c>
      <c r="E2716" t="s">
        <v>18</v>
      </c>
      <c r="F2716">
        <v>45</v>
      </c>
      <c r="G2716" t="s">
        <v>137</v>
      </c>
      <c r="H2716" t="s">
        <v>32</v>
      </c>
      <c r="I2716" t="s">
        <v>69</v>
      </c>
      <c r="J2716" t="s">
        <v>22</v>
      </c>
      <c r="K2716">
        <v>3.6</v>
      </c>
      <c r="L2716" t="s">
        <v>143</v>
      </c>
      <c r="M2716" t="s">
        <v>143</v>
      </c>
      <c r="N2716">
        <v>16</v>
      </c>
      <c r="O2716" t="s">
        <v>34</v>
      </c>
      <c r="P2716" t="s">
        <v>67</v>
      </c>
    </row>
    <row r="2717" spans="1:16" ht="14.5" x14ac:dyDescent="0.35">
      <c r="A2717">
        <v>2716</v>
      </c>
      <c r="B2717">
        <v>25</v>
      </c>
      <c r="C2717" t="s">
        <v>144</v>
      </c>
      <c r="D2717" t="s">
        <v>44</v>
      </c>
      <c r="E2717" t="s">
        <v>37</v>
      </c>
      <c r="F2717">
        <v>92</v>
      </c>
      <c r="G2717" t="s">
        <v>82</v>
      </c>
      <c r="H2717" t="s">
        <v>83</v>
      </c>
      <c r="I2717" t="s">
        <v>62</v>
      </c>
      <c r="J2717" t="s">
        <v>22</v>
      </c>
      <c r="K2717">
        <v>4.0999999999999996</v>
      </c>
      <c r="L2717" t="s">
        <v>143</v>
      </c>
      <c r="M2717" t="s">
        <v>143</v>
      </c>
      <c r="N2717">
        <v>29</v>
      </c>
      <c r="O2717" t="s">
        <v>40</v>
      </c>
      <c r="P2717" t="s">
        <v>25</v>
      </c>
    </row>
    <row r="2718" spans="1:16" ht="14.5" x14ac:dyDescent="0.35">
      <c r="A2718">
        <v>2717</v>
      </c>
      <c r="B2718">
        <v>47</v>
      </c>
      <c r="C2718" t="s">
        <v>144</v>
      </c>
      <c r="D2718" t="s">
        <v>63</v>
      </c>
      <c r="E2718" t="s">
        <v>37</v>
      </c>
      <c r="F2718">
        <v>40</v>
      </c>
      <c r="G2718" t="s">
        <v>103</v>
      </c>
      <c r="H2718" t="s">
        <v>20</v>
      </c>
      <c r="I2718" t="s">
        <v>85</v>
      </c>
      <c r="J2718" t="s">
        <v>33</v>
      </c>
      <c r="K2718">
        <v>2.7</v>
      </c>
      <c r="L2718" t="s">
        <v>143</v>
      </c>
      <c r="M2718" t="s">
        <v>143</v>
      </c>
      <c r="N2718">
        <v>21</v>
      </c>
      <c r="O2718" t="s">
        <v>77</v>
      </c>
      <c r="P2718" t="s">
        <v>35</v>
      </c>
    </row>
    <row r="2719" spans="1:16" ht="14.5" x14ac:dyDescent="0.35">
      <c r="A2719">
        <v>2718</v>
      </c>
      <c r="B2719">
        <v>18</v>
      </c>
      <c r="C2719" t="s">
        <v>144</v>
      </c>
      <c r="D2719" t="s">
        <v>80</v>
      </c>
      <c r="E2719" t="s">
        <v>60</v>
      </c>
      <c r="F2719">
        <v>62</v>
      </c>
      <c r="G2719" t="s">
        <v>136</v>
      </c>
      <c r="H2719" t="s">
        <v>83</v>
      </c>
      <c r="I2719" t="s">
        <v>109</v>
      </c>
      <c r="J2719" t="s">
        <v>22</v>
      </c>
      <c r="K2719">
        <v>4.3</v>
      </c>
      <c r="L2719" t="s">
        <v>143</v>
      </c>
      <c r="M2719" t="s">
        <v>143</v>
      </c>
      <c r="N2719">
        <v>19</v>
      </c>
      <c r="O2719" t="s">
        <v>34</v>
      </c>
      <c r="P2719" t="s">
        <v>88</v>
      </c>
    </row>
    <row r="2720" spans="1:16" ht="14.5" x14ac:dyDescent="0.35">
      <c r="A2720">
        <v>2719</v>
      </c>
      <c r="B2720">
        <v>22</v>
      </c>
      <c r="C2720" t="s">
        <v>144</v>
      </c>
      <c r="D2720" t="s">
        <v>52</v>
      </c>
      <c r="E2720" t="s">
        <v>18</v>
      </c>
      <c r="F2720">
        <v>90</v>
      </c>
      <c r="G2720" t="s">
        <v>132</v>
      </c>
      <c r="H2720" t="s">
        <v>39</v>
      </c>
      <c r="I2720" t="s">
        <v>91</v>
      </c>
      <c r="J2720" t="s">
        <v>22</v>
      </c>
      <c r="K2720">
        <v>4.9000000000000004</v>
      </c>
      <c r="L2720" t="s">
        <v>143</v>
      </c>
      <c r="M2720" t="s">
        <v>143</v>
      </c>
      <c r="N2720">
        <v>10</v>
      </c>
      <c r="O2720" t="s">
        <v>24</v>
      </c>
      <c r="P2720" t="s">
        <v>67</v>
      </c>
    </row>
    <row r="2721" spans="1:16" ht="14.5" x14ac:dyDescent="0.35">
      <c r="A2721">
        <v>2720</v>
      </c>
      <c r="B2721">
        <v>69</v>
      </c>
      <c r="C2721" t="s">
        <v>144</v>
      </c>
      <c r="D2721" t="s">
        <v>95</v>
      </c>
      <c r="E2721" t="s">
        <v>18</v>
      </c>
      <c r="F2721">
        <v>82</v>
      </c>
      <c r="G2721" t="s">
        <v>53</v>
      </c>
      <c r="H2721" t="s">
        <v>32</v>
      </c>
      <c r="I2721" t="s">
        <v>91</v>
      </c>
      <c r="J2721" t="s">
        <v>50</v>
      </c>
      <c r="K2721">
        <v>4.2</v>
      </c>
      <c r="L2721" t="s">
        <v>143</v>
      </c>
      <c r="M2721" t="s">
        <v>143</v>
      </c>
      <c r="N2721">
        <v>4</v>
      </c>
      <c r="O2721" t="s">
        <v>66</v>
      </c>
      <c r="P2721" t="s">
        <v>79</v>
      </c>
    </row>
    <row r="2722" spans="1:16" ht="14.5" x14ac:dyDescent="0.35">
      <c r="A2722">
        <v>2721</v>
      </c>
      <c r="B2722">
        <v>55</v>
      </c>
      <c r="C2722" t="s">
        <v>144</v>
      </c>
      <c r="D2722" t="s">
        <v>110</v>
      </c>
      <c r="E2722" t="s">
        <v>60</v>
      </c>
      <c r="F2722">
        <v>52</v>
      </c>
      <c r="G2722" t="s">
        <v>119</v>
      </c>
      <c r="H2722" t="s">
        <v>39</v>
      </c>
      <c r="I2722" t="s">
        <v>91</v>
      </c>
      <c r="J2722" t="s">
        <v>33</v>
      </c>
      <c r="K2722">
        <v>2.8</v>
      </c>
      <c r="L2722" t="s">
        <v>143</v>
      </c>
      <c r="M2722" t="s">
        <v>143</v>
      </c>
      <c r="N2722">
        <v>45</v>
      </c>
      <c r="O2722" t="s">
        <v>66</v>
      </c>
      <c r="P2722" t="s">
        <v>51</v>
      </c>
    </row>
    <row r="2723" spans="1:16" ht="14.5" x14ac:dyDescent="0.35">
      <c r="A2723">
        <v>2722</v>
      </c>
      <c r="B2723">
        <v>19</v>
      </c>
      <c r="C2723" t="s">
        <v>144</v>
      </c>
      <c r="D2723" t="s">
        <v>36</v>
      </c>
      <c r="E2723" t="s">
        <v>37</v>
      </c>
      <c r="F2723">
        <v>70</v>
      </c>
      <c r="G2723" t="s">
        <v>139</v>
      </c>
      <c r="H2723" t="s">
        <v>32</v>
      </c>
      <c r="I2723" t="s">
        <v>76</v>
      </c>
      <c r="J2723" t="s">
        <v>33</v>
      </c>
      <c r="K2723">
        <v>4.9000000000000004</v>
      </c>
      <c r="L2723" t="s">
        <v>143</v>
      </c>
      <c r="M2723" t="s">
        <v>143</v>
      </c>
      <c r="N2723">
        <v>17</v>
      </c>
      <c r="O2723" t="s">
        <v>40</v>
      </c>
      <c r="P2723" t="s">
        <v>25</v>
      </c>
    </row>
    <row r="2724" spans="1:16" ht="14.5" x14ac:dyDescent="0.35">
      <c r="A2724">
        <v>2723</v>
      </c>
      <c r="B2724">
        <v>23</v>
      </c>
      <c r="C2724" t="s">
        <v>144</v>
      </c>
      <c r="D2724" t="s">
        <v>115</v>
      </c>
      <c r="E2724" t="s">
        <v>60</v>
      </c>
      <c r="F2724">
        <v>83</v>
      </c>
      <c r="G2724" t="s">
        <v>27</v>
      </c>
      <c r="H2724" t="s">
        <v>39</v>
      </c>
      <c r="I2724" t="s">
        <v>87</v>
      </c>
      <c r="J2724" t="s">
        <v>33</v>
      </c>
      <c r="K2724">
        <v>2.8</v>
      </c>
      <c r="L2724" t="s">
        <v>143</v>
      </c>
      <c r="M2724" t="s">
        <v>143</v>
      </c>
      <c r="N2724">
        <v>22</v>
      </c>
      <c r="O2724" t="s">
        <v>40</v>
      </c>
      <c r="P2724" t="s">
        <v>25</v>
      </c>
    </row>
    <row r="2725" spans="1:16" ht="14.5" x14ac:dyDescent="0.35">
      <c r="A2725">
        <v>2724</v>
      </c>
      <c r="B2725">
        <v>54</v>
      </c>
      <c r="C2725" t="s">
        <v>144</v>
      </c>
      <c r="D2725" t="s">
        <v>63</v>
      </c>
      <c r="E2725" t="s">
        <v>37</v>
      </c>
      <c r="F2725">
        <v>49</v>
      </c>
      <c r="G2725" t="s">
        <v>96</v>
      </c>
      <c r="H2725" t="s">
        <v>83</v>
      </c>
      <c r="I2725" t="s">
        <v>101</v>
      </c>
      <c r="J2725" t="s">
        <v>47</v>
      </c>
      <c r="K2725">
        <v>2.9</v>
      </c>
      <c r="L2725" t="s">
        <v>143</v>
      </c>
      <c r="M2725" t="s">
        <v>143</v>
      </c>
      <c r="N2725">
        <v>3</v>
      </c>
      <c r="O2725" t="s">
        <v>40</v>
      </c>
      <c r="P2725" t="s">
        <v>88</v>
      </c>
    </row>
    <row r="2726" spans="1:16" ht="14.5" x14ac:dyDescent="0.35">
      <c r="A2726">
        <v>2725</v>
      </c>
      <c r="B2726">
        <v>52</v>
      </c>
      <c r="C2726" t="s">
        <v>144</v>
      </c>
      <c r="D2726" t="s">
        <v>44</v>
      </c>
      <c r="E2726" t="s">
        <v>37</v>
      </c>
      <c r="F2726">
        <v>91</v>
      </c>
      <c r="G2726" t="s">
        <v>61</v>
      </c>
      <c r="H2726" t="s">
        <v>39</v>
      </c>
      <c r="I2726" t="s">
        <v>101</v>
      </c>
      <c r="J2726" t="s">
        <v>33</v>
      </c>
      <c r="K2726">
        <v>2.5</v>
      </c>
      <c r="L2726" t="s">
        <v>143</v>
      </c>
      <c r="M2726" t="s">
        <v>143</v>
      </c>
      <c r="N2726">
        <v>11</v>
      </c>
      <c r="O2726" t="s">
        <v>77</v>
      </c>
      <c r="P2726" t="s">
        <v>25</v>
      </c>
    </row>
    <row r="2727" spans="1:16" ht="14.5" x14ac:dyDescent="0.35">
      <c r="A2727">
        <v>2726</v>
      </c>
      <c r="B2727">
        <v>64</v>
      </c>
      <c r="C2727" t="s">
        <v>144</v>
      </c>
      <c r="D2727" t="s">
        <v>123</v>
      </c>
      <c r="E2727" t="s">
        <v>60</v>
      </c>
      <c r="F2727">
        <v>99</v>
      </c>
      <c r="G2727" t="s">
        <v>82</v>
      </c>
      <c r="H2727" t="s">
        <v>32</v>
      </c>
      <c r="I2727" t="s">
        <v>74</v>
      </c>
      <c r="J2727" t="s">
        <v>47</v>
      </c>
      <c r="K2727">
        <v>2.7</v>
      </c>
      <c r="L2727" t="s">
        <v>143</v>
      </c>
      <c r="M2727" t="s">
        <v>143</v>
      </c>
      <c r="N2727">
        <v>4</v>
      </c>
      <c r="O2727" t="s">
        <v>77</v>
      </c>
      <c r="P2727" t="s">
        <v>43</v>
      </c>
    </row>
    <row r="2728" spans="1:16" ht="14.5" x14ac:dyDescent="0.35">
      <c r="A2728">
        <v>2727</v>
      </c>
      <c r="B2728">
        <v>33</v>
      </c>
      <c r="C2728" t="s">
        <v>144</v>
      </c>
      <c r="D2728" t="s">
        <v>124</v>
      </c>
      <c r="E2728" t="s">
        <v>60</v>
      </c>
      <c r="F2728">
        <v>92</v>
      </c>
      <c r="G2728" t="s">
        <v>142</v>
      </c>
      <c r="H2728" t="s">
        <v>20</v>
      </c>
      <c r="I2728" t="s">
        <v>135</v>
      </c>
      <c r="J2728" t="s">
        <v>22</v>
      </c>
      <c r="K2728">
        <v>3.3</v>
      </c>
      <c r="L2728" t="s">
        <v>143</v>
      </c>
      <c r="M2728" t="s">
        <v>143</v>
      </c>
      <c r="N2728">
        <v>11</v>
      </c>
      <c r="O2728" t="s">
        <v>40</v>
      </c>
      <c r="P2728" t="s">
        <v>67</v>
      </c>
    </row>
    <row r="2729" spans="1:16" ht="14.5" x14ac:dyDescent="0.35">
      <c r="A2729">
        <v>2728</v>
      </c>
      <c r="B2729">
        <v>40</v>
      </c>
      <c r="C2729" t="s">
        <v>144</v>
      </c>
      <c r="D2729" t="s">
        <v>48</v>
      </c>
      <c r="E2729" t="s">
        <v>18</v>
      </c>
      <c r="F2729">
        <v>87</v>
      </c>
      <c r="G2729" t="s">
        <v>103</v>
      </c>
      <c r="H2729" t="s">
        <v>20</v>
      </c>
      <c r="I2729" t="s">
        <v>54</v>
      </c>
      <c r="J2729" t="s">
        <v>22</v>
      </c>
      <c r="K2729">
        <v>3.7</v>
      </c>
      <c r="L2729" t="s">
        <v>143</v>
      </c>
      <c r="M2729" t="s">
        <v>143</v>
      </c>
      <c r="N2729">
        <v>47</v>
      </c>
      <c r="O2729" t="s">
        <v>34</v>
      </c>
      <c r="P2729" t="s">
        <v>25</v>
      </c>
    </row>
    <row r="2730" spans="1:16" ht="14.5" x14ac:dyDescent="0.35">
      <c r="A2730">
        <v>2729</v>
      </c>
      <c r="B2730">
        <v>26</v>
      </c>
      <c r="C2730" t="s">
        <v>144</v>
      </c>
      <c r="D2730" t="s">
        <v>78</v>
      </c>
      <c r="E2730" t="s">
        <v>18</v>
      </c>
      <c r="F2730">
        <v>28</v>
      </c>
      <c r="G2730" t="s">
        <v>94</v>
      </c>
      <c r="H2730" t="s">
        <v>39</v>
      </c>
      <c r="I2730" t="s">
        <v>62</v>
      </c>
      <c r="J2730" t="s">
        <v>22</v>
      </c>
      <c r="K2730">
        <v>4</v>
      </c>
      <c r="L2730" t="s">
        <v>143</v>
      </c>
      <c r="M2730" t="s">
        <v>143</v>
      </c>
      <c r="N2730">
        <v>17</v>
      </c>
      <c r="O2730" t="s">
        <v>77</v>
      </c>
      <c r="P2730" t="s">
        <v>35</v>
      </c>
    </row>
    <row r="2731" spans="1:16" ht="14.5" x14ac:dyDescent="0.35">
      <c r="A2731">
        <v>2730</v>
      </c>
      <c r="B2731">
        <v>31</v>
      </c>
      <c r="C2731" t="s">
        <v>144</v>
      </c>
      <c r="D2731" t="s">
        <v>134</v>
      </c>
      <c r="E2731" t="s">
        <v>60</v>
      </c>
      <c r="F2731">
        <v>71</v>
      </c>
      <c r="G2731" t="s">
        <v>49</v>
      </c>
      <c r="H2731" t="s">
        <v>32</v>
      </c>
      <c r="I2731" t="s">
        <v>74</v>
      </c>
      <c r="J2731" t="s">
        <v>47</v>
      </c>
      <c r="K2731">
        <v>4.0999999999999996</v>
      </c>
      <c r="L2731" t="s">
        <v>143</v>
      </c>
      <c r="M2731" t="s">
        <v>143</v>
      </c>
      <c r="N2731">
        <v>32</v>
      </c>
      <c r="O2731" t="s">
        <v>34</v>
      </c>
      <c r="P2731" t="s">
        <v>79</v>
      </c>
    </row>
    <row r="2732" spans="1:16" ht="14.5" x14ac:dyDescent="0.35">
      <c r="A2732">
        <v>2731</v>
      </c>
      <c r="B2732">
        <v>23</v>
      </c>
      <c r="C2732" t="s">
        <v>144</v>
      </c>
      <c r="D2732" t="s">
        <v>134</v>
      </c>
      <c r="E2732" t="s">
        <v>60</v>
      </c>
      <c r="F2732">
        <v>32</v>
      </c>
      <c r="G2732" t="s">
        <v>141</v>
      </c>
      <c r="H2732" t="s">
        <v>39</v>
      </c>
      <c r="I2732" t="s">
        <v>76</v>
      </c>
      <c r="J2732" t="s">
        <v>22</v>
      </c>
      <c r="K2732">
        <v>4.0999999999999996</v>
      </c>
      <c r="L2732" t="s">
        <v>143</v>
      </c>
      <c r="M2732" t="s">
        <v>143</v>
      </c>
      <c r="N2732">
        <v>37</v>
      </c>
      <c r="O2732" t="s">
        <v>66</v>
      </c>
      <c r="P2732" t="s">
        <v>43</v>
      </c>
    </row>
    <row r="2733" spans="1:16" ht="14.5" x14ac:dyDescent="0.35">
      <c r="A2733">
        <v>2732</v>
      </c>
      <c r="B2733">
        <v>52</v>
      </c>
      <c r="C2733" t="s">
        <v>144</v>
      </c>
      <c r="D2733" t="s">
        <v>59</v>
      </c>
      <c r="E2733" t="s">
        <v>60</v>
      </c>
      <c r="F2733">
        <v>33</v>
      </c>
      <c r="G2733" t="s">
        <v>141</v>
      </c>
      <c r="H2733" t="s">
        <v>39</v>
      </c>
      <c r="I2733" t="s">
        <v>99</v>
      </c>
      <c r="J2733" t="s">
        <v>47</v>
      </c>
      <c r="K2733">
        <v>2.5</v>
      </c>
      <c r="L2733" t="s">
        <v>143</v>
      </c>
      <c r="M2733" t="s">
        <v>143</v>
      </c>
      <c r="N2733">
        <v>44</v>
      </c>
      <c r="O2733" t="s">
        <v>66</v>
      </c>
      <c r="P2733" t="s">
        <v>51</v>
      </c>
    </row>
    <row r="2734" spans="1:16" ht="14.5" x14ac:dyDescent="0.35">
      <c r="A2734">
        <v>2733</v>
      </c>
      <c r="B2734">
        <v>21</v>
      </c>
      <c r="C2734" t="s">
        <v>144</v>
      </c>
      <c r="D2734" t="s">
        <v>116</v>
      </c>
      <c r="E2734" t="s">
        <v>18</v>
      </c>
      <c r="F2734">
        <v>75</v>
      </c>
      <c r="G2734" t="s">
        <v>70</v>
      </c>
      <c r="H2734" t="s">
        <v>20</v>
      </c>
      <c r="I2734" t="s">
        <v>112</v>
      </c>
      <c r="J2734" t="s">
        <v>22</v>
      </c>
      <c r="K2734">
        <v>4.2</v>
      </c>
      <c r="L2734" t="s">
        <v>143</v>
      </c>
      <c r="M2734" t="s">
        <v>143</v>
      </c>
      <c r="N2734">
        <v>27</v>
      </c>
      <c r="O2734" t="s">
        <v>77</v>
      </c>
      <c r="P2734" t="s">
        <v>88</v>
      </c>
    </row>
    <row r="2735" spans="1:16" ht="14.5" x14ac:dyDescent="0.35">
      <c r="A2735">
        <v>2734</v>
      </c>
      <c r="B2735">
        <v>31</v>
      </c>
      <c r="C2735" t="s">
        <v>144</v>
      </c>
      <c r="D2735" t="s">
        <v>123</v>
      </c>
      <c r="E2735" t="s">
        <v>60</v>
      </c>
      <c r="F2735">
        <v>83</v>
      </c>
      <c r="G2735" t="s">
        <v>89</v>
      </c>
      <c r="H2735" t="s">
        <v>39</v>
      </c>
      <c r="I2735" t="s">
        <v>127</v>
      </c>
      <c r="J2735" t="s">
        <v>47</v>
      </c>
      <c r="K2735">
        <v>4.7</v>
      </c>
      <c r="L2735" t="s">
        <v>143</v>
      </c>
      <c r="M2735" t="s">
        <v>143</v>
      </c>
      <c r="N2735">
        <v>46</v>
      </c>
      <c r="O2735" t="s">
        <v>40</v>
      </c>
      <c r="P2735" t="s">
        <v>43</v>
      </c>
    </row>
    <row r="2736" spans="1:16" ht="14.5" x14ac:dyDescent="0.35">
      <c r="A2736">
        <v>2735</v>
      </c>
      <c r="B2736">
        <v>63</v>
      </c>
      <c r="C2736" t="s">
        <v>144</v>
      </c>
      <c r="D2736" t="s">
        <v>30</v>
      </c>
      <c r="E2736" t="s">
        <v>18</v>
      </c>
      <c r="F2736">
        <v>93</v>
      </c>
      <c r="G2736" t="s">
        <v>75</v>
      </c>
      <c r="H2736" t="s">
        <v>83</v>
      </c>
      <c r="I2736" t="s">
        <v>125</v>
      </c>
      <c r="J2736" t="s">
        <v>47</v>
      </c>
      <c r="K2736">
        <v>2.7</v>
      </c>
      <c r="L2736" t="s">
        <v>143</v>
      </c>
      <c r="M2736" t="s">
        <v>143</v>
      </c>
      <c r="N2736">
        <v>13</v>
      </c>
      <c r="O2736" t="s">
        <v>29</v>
      </c>
      <c r="P2736" t="s">
        <v>67</v>
      </c>
    </row>
    <row r="2737" spans="1:16" ht="14.5" x14ac:dyDescent="0.35">
      <c r="A2737">
        <v>2736</v>
      </c>
      <c r="B2737">
        <v>46</v>
      </c>
      <c r="C2737" t="s">
        <v>144</v>
      </c>
      <c r="D2737" t="s">
        <v>78</v>
      </c>
      <c r="E2737" t="s">
        <v>18</v>
      </c>
      <c r="F2737">
        <v>29</v>
      </c>
      <c r="G2737" t="s">
        <v>90</v>
      </c>
      <c r="H2737" t="s">
        <v>39</v>
      </c>
      <c r="I2737" t="s">
        <v>125</v>
      </c>
      <c r="J2737" t="s">
        <v>33</v>
      </c>
      <c r="K2737">
        <v>3</v>
      </c>
      <c r="L2737" t="s">
        <v>143</v>
      </c>
      <c r="M2737" t="s">
        <v>143</v>
      </c>
      <c r="N2737">
        <v>2</v>
      </c>
      <c r="O2737" t="s">
        <v>40</v>
      </c>
      <c r="P2737" t="s">
        <v>67</v>
      </c>
    </row>
    <row r="2738" spans="1:16" ht="14.5" x14ac:dyDescent="0.35">
      <c r="A2738">
        <v>2737</v>
      </c>
      <c r="B2738">
        <v>44</v>
      </c>
      <c r="C2738" t="s">
        <v>144</v>
      </c>
      <c r="D2738" t="s">
        <v>95</v>
      </c>
      <c r="E2738" t="s">
        <v>18</v>
      </c>
      <c r="F2738">
        <v>25</v>
      </c>
      <c r="G2738" t="s">
        <v>49</v>
      </c>
      <c r="H2738" t="s">
        <v>39</v>
      </c>
      <c r="I2738" t="s">
        <v>62</v>
      </c>
      <c r="J2738" t="s">
        <v>33</v>
      </c>
      <c r="K2738">
        <v>4.8</v>
      </c>
      <c r="L2738" t="s">
        <v>143</v>
      </c>
      <c r="M2738" t="s">
        <v>143</v>
      </c>
      <c r="N2738">
        <v>45</v>
      </c>
      <c r="O2738" t="s">
        <v>34</v>
      </c>
      <c r="P2738" t="s">
        <v>43</v>
      </c>
    </row>
    <row r="2739" spans="1:16" ht="14.5" x14ac:dyDescent="0.35">
      <c r="A2739">
        <v>2738</v>
      </c>
      <c r="B2739">
        <v>57</v>
      </c>
      <c r="C2739" t="s">
        <v>144</v>
      </c>
      <c r="D2739" t="s">
        <v>97</v>
      </c>
      <c r="E2739" t="s">
        <v>60</v>
      </c>
      <c r="F2739">
        <v>76</v>
      </c>
      <c r="G2739" t="s">
        <v>89</v>
      </c>
      <c r="H2739" t="s">
        <v>32</v>
      </c>
      <c r="I2739" t="s">
        <v>117</v>
      </c>
      <c r="J2739" t="s">
        <v>33</v>
      </c>
      <c r="K2739">
        <v>4.4000000000000004</v>
      </c>
      <c r="L2739" t="s">
        <v>143</v>
      </c>
      <c r="M2739" t="s">
        <v>143</v>
      </c>
      <c r="N2739">
        <v>35</v>
      </c>
      <c r="O2739" t="s">
        <v>29</v>
      </c>
      <c r="P2739" t="s">
        <v>88</v>
      </c>
    </row>
    <row r="2740" spans="1:16" ht="14.5" x14ac:dyDescent="0.35">
      <c r="A2740">
        <v>2739</v>
      </c>
      <c r="B2740">
        <v>50</v>
      </c>
      <c r="C2740" t="s">
        <v>144</v>
      </c>
      <c r="D2740" t="s">
        <v>44</v>
      </c>
      <c r="E2740" t="s">
        <v>37</v>
      </c>
      <c r="F2740">
        <v>81</v>
      </c>
      <c r="G2740" t="s">
        <v>114</v>
      </c>
      <c r="H2740" t="s">
        <v>39</v>
      </c>
      <c r="I2740" t="s">
        <v>54</v>
      </c>
      <c r="J2740" t="s">
        <v>47</v>
      </c>
      <c r="K2740">
        <v>4.3</v>
      </c>
      <c r="L2740" t="s">
        <v>143</v>
      </c>
      <c r="M2740" t="s">
        <v>143</v>
      </c>
      <c r="N2740">
        <v>39</v>
      </c>
      <c r="O2740" t="s">
        <v>24</v>
      </c>
      <c r="P2740" t="s">
        <v>88</v>
      </c>
    </row>
    <row r="2741" spans="1:16" ht="14.5" x14ac:dyDescent="0.35">
      <c r="A2741">
        <v>2740</v>
      </c>
      <c r="B2741">
        <v>33</v>
      </c>
      <c r="C2741" t="s">
        <v>144</v>
      </c>
      <c r="D2741" t="s">
        <v>48</v>
      </c>
      <c r="E2741" t="s">
        <v>18</v>
      </c>
      <c r="F2741">
        <v>80</v>
      </c>
      <c r="G2741" t="s">
        <v>111</v>
      </c>
      <c r="H2741" t="s">
        <v>83</v>
      </c>
      <c r="I2741" t="s">
        <v>135</v>
      </c>
      <c r="J2741" t="s">
        <v>22</v>
      </c>
      <c r="K2741">
        <v>2.5</v>
      </c>
      <c r="L2741" t="s">
        <v>143</v>
      </c>
      <c r="M2741" t="s">
        <v>143</v>
      </c>
      <c r="N2741">
        <v>39</v>
      </c>
      <c r="O2741" t="s">
        <v>34</v>
      </c>
      <c r="P2741" t="s">
        <v>88</v>
      </c>
    </row>
    <row r="2742" spans="1:16" ht="14.5" x14ac:dyDescent="0.35">
      <c r="A2742">
        <v>2741</v>
      </c>
      <c r="B2742">
        <v>19</v>
      </c>
      <c r="C2742" t="s">
        <v>144</v>
      </c>
      <c r="D2742" t="s">
        <v>80</v>
      </c>
      <c r="E2742" t="s">
        <v>60</v>
      </c>
      <c r="F2742">
        <v>70</v>
      </c>
      <c r="G2742" t="s">
        <v>129</v>
      </c>
      <c r="H2742" t="s">
        <v>39</v>
      </c>
      <c r="I2742" t="s">
        <v>84</v>
      </c>
      <c r="J2742" t="s">
        <v>47</v>
      </c>
      <c r="K2742">
        <v>4.9000000000000004</v>
      </c>
      <c r="L2742" t="s">
        <v>143</v>
      </c>
      <c r="M2742" t="s">
        <v>143</v>
      </c>
      <c r="N2742">
        <v>34</v>
      </c>
      <c r="O2742" t="s">
        <v>66</v>
      </c>
      <c r="P2742" t="s">
        <v>25</v>
      </c>
    </row>
    <row r="2743" spans="1:16" ht="14.5" x14ac:dyDescent="0.35">
      <c r="A2743">
        <v>2742</v>
      </c>
      <c r="B2743">
        <v>68</v>
      </c>
      <c r="C2743" t="s">
        <v>144</v>
      </c>
      <c r="D2743" t="s">
        <v>72</v>
      </c>
      <c r="E2743" t="s">
        <v>18</v>
      </c>
      <c r="F2743">
        <v>81</v>
      </c>
      <c r="G2743" t="s">
        <v>27</v>
      </c>
      <c r="H2743" t="s">
        <v>20</v>
      </c>
      <c r="I2743" t="s">
        <v>125</v>
      </c>
      <c r="J2743" t="s">
        <v>50</v>
      </c>
      <c r="K2743">
        <v>4.9000000000000004</v>
      </c>
      <c r="L2743" t="s">
        <v>143</v>
      </c>
      <c r="M2743" t="s">
        <v>143</v>
      </c>
      <c r="N2743">
        <v>41</v>
      </c>
      <c r="O2743" t="s">
        <v>24</v>
      </c>
      <c r="P2743" t="s">
        <v>79</v>
      </c>
    </row>
    <row r="2744" spans="1:16" ht="14.5" x14ac:dyDescent="0.35">
      <c r="A2744">
        <v>2743</v>
      </c>
      <c r="B2744">
        <v>27</v>
      </c>
      <c r="C2744" t="s">
        <v>144</v>
      </c>
      <c r="D2744" t="s">
        <v>63</v>
      </c>
      <c r="E2744" t="s">
        <v>37</v>
      </c>
      <c r="F2744">
        <v>86</v>
      </c>
      <c r="G2744" t="s">
        <v>96</v>
      </c>
      <c r="H2744" t="s">
        <v>39</v>
      </c>
      <c r="I2744" t="s">
        <v>85</v>
      </c>
      <c r="J2744" t="s">
        <v>33</v>
      </c>
      <c r="K2744">
        <v>3.9</v>
      </c>
      <c r="L2744" t="s">
        <v>143</v>
      </c>
      <c r="M2744" t="s">
        <v>143</v>
      </c>
      <c r="N2744">
        <v>47</v>
      </c>
      <c r="O2744" t="s">
        <v>77</v>
      </c>
      <c r="P2744" t="s">
        <v>43</v>
      </c>
    </row>
    <row r="2745" spans="1:16" ht="14.5" x14ac:dyDescent="0.35">
      <c r="A2745">
        <v>2744</v>
      </c>
      <c r="B2745">
        <v>61</v>
      </c>
      <c r="C2745" t="s">
        <v>144</v>
      </c>
      <c r="D2745" t="s">
        <v>124</v>
      </c>
      <c r="E2745" t="s">
        <v>60</v>
      </c>
      <c r="F2745">
        <v>94</v>
      </c>
      <c r="G2745" t="s">
        <v>118</v>
      </c>
      <c r="H2745" t="s">
        <v>32</v>
      </c>
      <c r="I2745" t="s">
        <v>109</v>
      </c>
      <c r="J2745" t="s">
        <v>50</v>
      </c>
      <c r="K2745">
        <v>4.0999999999999996</v>
      </c>
      <c r="L2745" t="s">
        <v>143</v>
      </c>
      <c r="M2745" t="s">
        <v>143</v>
      </c>
      <c r="N2745">
        <v>17</v>
      </c>
      <c r="O2745" t="s">
        <v>24</v>
      </c>
      <c r="P2745" t="s">
        <v>51</v>
      </c>
    </row>
    <row r="2746" spans="1:16" ht="14.5" x14ac:dyDescent="0.35">
      <c r="A2746">
        <v>2745</v>
      </c>
      <c r="B2746">
        <v>38</v>
      </c>
      <c r="C2746" t="s">
        <v>144</v>
      </c>
      <c r="D2746" t="s">
        <v>48</v>
      </c>
      <c r="E2746" t="s">
        <v>18</v>
      </c>
      <c r="F2746">
        <v>66</v>
      </c>
      <c r="G2746" t="s">
        <v>45</v>
      </c>
      <c r="H2746" t="s">
        <v>39</v>
      </c>
      <c r="I2746" t="s">
        <v>58</v>
      </c>
      <c r="J2746" t="s">
        <v>22</v>
      </c>
      <c r="K2746">
        <v>3.3</v>
      </c>
      <c r="L2746" t="s">
        <v>143</v>
      </c>
      <c r="M2746" t="s">
        <v>143</v>
      </c>
      <c r="N2746">
        <v>40</v>
      </c>
      <c r="O2746" t="s">
        <v>34</v>
      </c>
      <c r="P2746" t="s">
        <v>79</v>
      </c>
    </row>
    <row r="2747" spans="1:16" ht="14.5" x14ac:dyDescent="0.35">
      <c r="A2747">
        <v>2746</v>
      </c>
      <c r="B2747">
        <v>28</v>
      </c>
      <c r="C2747" t="s">
        <v>144</v>
      </c>
      <c r="D2747" t="s">
        <v>128</v>
      </c>
      <c r="E2747" t="s">
        <v>37</v>
      </c>
      <c r="F2747">
        <v>98</v>
      </c>
      <c r="G2747" t="s">
        <v>142</v>
      </c>
      <c r="H2747" t="s">
        <v>39</v>
      </c>
      <c r="I2747" t="s">
        <v>127</v>
      </c>
      <c r="J2747" t="s">
        <v>47</v>
      </c>
      <c r="K2747">
        <v>4.0999999999999996</v>
      </c>
      <c r="L2747" t="s">
        <v>143</v>
      </c>
      <c r="M2747" t="s">
        <v>143</v>
      </c>
      <c r="N2747">
        <v>44</v>
      </c>
      <c r="O2747" t="s">
        <v>40</v>
      </c>
      <c r="P2747" t="s">
        <v>67</v>
      </c>
    </row>
    <row r="2748" spans="1:16" ht="14.5" x14ac:dyDescent="0.35">
      <c r="A2748">
        <v>2747</v>
      </c>
      <c r="B2748">
        <v>39</v>
      </c>
      <c r="C2748" t="s">
        <v>144</v>
      </c>
      <c r="D2748" t="s">
        <v>95</v>
      </c>
      <c r="E2748" t="s">
        <v>18</v>
      </c>
      <c r="F2748">
        <v>25</v>
      </c>
      <c r="G2748" t="s">
        <v>114</v>
      </c>
      <c r="H2748" t="s">
        <v>39</v>
      </c>
      <c r="I2748" t="s">
        <v>112</v>
      </c>
      <c r="J2748" t="s">
        <v>50</v>
      </c>
      <c r="K2748">
        <v>3.7</v>
      </c>
      <c r="L2748" t="s">
        <v>143</v>
      </c>
      <c r="M2748" t="s">
        <v>143</v>
      </c>
      <c r="N2748">
        <v>21</v>
      </c>
      <c r="O2748" t="s">
        <v>40</v>
      </c>
      <c r="P2748" t="s">
        <v>88</v>
      </c>
    </row>
    <row r="2749" spans="1:16" ht="14.5" x14ac:dyDescent="0.35">
      <c r="A2749">
        <v>2748</v>
      </c>
      <c r="B2749">
        <v>18</v>
      </c>
      <c r="C2749" t="s">
        <v>144</v>
      </c>
      <c r="D2749" t="s">
        <v>30</v>
      </c>
      <c r="E2749" t="s">
        <v>18</v>
      </c>
      <c r="F2749">
        <v>62</v>
      </c>
      <c r="G2749" t="s">
        <v>57</v>
      </c>
      <c r="H2749" t="s">
        <v>39</v>
      </c>
      <c r="I2749" t="s">
        <v>76</v>
      </c>
      <c r="J2749" t="s">
        <v>22</v>
      </c>
      <c r="K2749">
        <v>3.1</v>
      </c>
      <c r="L2749" t="s">
        <v>143</v>
      </c>
      <c r="M2749" t="s">
        <v>143</v>
      </c>
      <c r="N2749">
        <v>21</v>
      </c>
      <c r="O2749" t="s">
        <v>34</v>
      </c>
      <c r="P2749" t="s">
        <v>88</v>
      </c>
    </row>
    <row r="2750" spans="1:16" ht="14.5" x14ac:dyDescent="0.35">
      <c r="A2750">
        <v>2749</v>
      </c>
      <c r="B2750">
        <v>24</v>
      </c>
      <c r="C2750" t="s">
        <v>144</v>
      </c>
      <c r="D2750" t="s">
        <v>93</v>
      </c>
      <c r="E2750" t="s">
        <v>56</v>
      </c>
      <c r="F2750">
        <v>98</v>
      </c>
      <c r="G2750" t="s">
        <v>132</v>
      </c>
      <c r="H2750" t="s">
        <v>20</v>
      </c>
      <c r="I2750" t="s">
        <v>42</v>
      </c>
      <c r="J2750" t="s">
        <v>33</v>
      </c>
      <c r="K2750">
        <v>3</v>
      </c>
      <c r="L2750" t="s">
        <v>143</v>
      </c>
      <c r="M2750" t="s">
        <v>143</v>
      </c>
      <c r="N2750">
        <v>16</v>
      </c>
      <c r="O2750" t="s">
        <v>24</v>
      </c>
      <c r="P2750" t="s">
        <v>43</v>
      </c>
    </row>
    <row r="2751" spans="1:16" ht="14.5" x14ac:dyDescent="0.35">
      <c r="A2751">
        <v>2750</v>
      </c>
      <c r="B2751">
        <v>64</v>
      </c>
      <c r="C2751" t="s">
        <v>144</v>
      </c>
      <c r="D2751" t="s">
        <v>93</v>
      </c>
      <c r="E2751" t="s">
        <v>56</v>
      </c>
      <c r="F2751">
        <v>53</v>
      </c>
      <c r="G2751" t="s">
        <v>120</v>
      </c>
      <c r="H2751" t="s">
        <v>39</v>
      </c>
      <c r="I2751" t="s">
        <v>100</v>
      </c>
      <c r="J2751" t="s">
        <v>33</v>
      </c>
      <c r="K2751">
        <v>3.4</v>
      </c>
      <c r="L2751" t="s">
        <v>143</v>
      </c>
      <c r="M2751" t="s">
        <v>143</v>
      </c>
      <c r="N2751">
        <v>15</v>
      </c>
      <c r="O2751" t="s">
        <v>66</v>
      </c>
      <c r="P2751" t="s">
        <v>43</v>
      </c>
    </row>
    <row r="2752" spans="1:16" ht="14.5" x14ac:dyDescent="0.35">
      <c r="A2752">
        <v>2751</v>
      </c>
      <c r="B2752">
        <v>51</v>
      </c>
      <c r="C2752" t="s">
        <v>144</v>
      </c>
      <c r="D2752" t="s">
        <v>36</v>
      </c>
      <c r="E2752" t="s">
        <v>37</v>
      </c>
      <c r="F2752">
        <v>66</v>
      </c>
      <c r="G2752" t="s">
        <v>111</v>
      </c>
      <c r="H2752" t="s">
        <v>20</v>
      </c>
      <c r="I2752" t="s">
        <v>62</v>
      </c>
      <c r="J2752" t="s">
        <v>33</v>
      </c>
      <c r="K2752">
        <v>2.7</v>
      </c>
      <c r="L2752" t="s">
        <v>143</v>
      </c>
      <c r="M2752" t="s">
        <v>143</v>
      </c>
      <c r="N2752">
        <v>26</v>
      </c>
      <c r="O2752" t="s">
        <v>40</v>
      </c>
      <c r="P2752" t="s">
        <v>88</v>
      </c>
    </row>
    <row r="2753" spans="1:16" ht="14.5" x14ac:dyDescent="0.35">
      <c r="A2753">
        <v>2752</v>
      </c>
      <c r="B2753">
        <v>27</v>
      </c>
      <c r="C2753" t="s">
        <v>144</v>
      </c>
      <c r="D2753" t="s">
        <v>72</v>
      </c>
      <c r="E2753" t="s">
        <v>18</v>
      </c>
      <c r="F2753">
        <v>52</v>
      </c>
      <c r="G2753" t="s">
        <v>139</v>
      </c>
      <c r="H2753" t="s">
        <v>32</v>
      </c>
      <c r="I2753" t="s">
        <v>117</v>
      </c>
      <c r="J2753" t="s">
        <v>50</v>
      </c>
      <c r="K2753">
        <v>3.1</v>
      </c>
      <c r="L2753" t="s">
        <v>143</v>
      </c>
      <c r="M2753" t="s">
        <v>143</v>
      </c>
      <c r="N2753">
        <v>50</v>
      </c>
      <c r="O2753" t="s">
        <v>24</v>
      </c>
      <c r="P2753" t="s">
        <v>79</v>
      </c>
    </row>
    <row r="2754" spans="1:16" ht="14.5" x14ac:dyDescent="0.35">
      <c r="A2754">
        <v>2753</v>
      </c>
      <c r="B2754">
        <v>48</v>
      </c>
      <c r="C2754" t="s">
        <v>144</v>
      </c>
      <c r="D2754" t="s">
        <v>26</v>
      </c>
      <c r="E2754" t="s">
        <v>18</v>
      </c>
      <c r="F2754">
        <v>64</v>
      </c>
      <c r="G2754" t="s">
        <v>103</v>
      </c>
      <c r="H2754" t="s">
        <v>32</v>
      </c>
      <c r="I2754" t="s">
        <v>91</v>
      </c>
      <c r="J2754" t="s">
        <v>22</v>
      </c>
      <c r="K2754">
        <v>4</v>
      </c>
      <c r="L2754" t="s">
        <v>143</v>
      </c>
      <c r="M2754" t="s">
        <v>143</v>
      </c>
      <c r="N2754">
        <v>30</v>
      </c>
      <c r="O2754" t="s">
        <v>24</v>
      </c>
      <c r="P2754" t="s">
        <v>67</v>
      </c>
    </row>
    <row r="2755" spans="1:16" ht="14.5" x14ac:dyDescent="0.35">
      <c r="A2755">
        <v>2754</v>
      </c>
      <c r="B2755">
        <v>69</v>
      </c>
      <c r="C2755" t="s">
        <v>144</v>
      </c>
      <c r="D2755" t="s">
        <v>134</v>
      </c>
      <c r="E2755" t="s">
        <v>60</v>
      </c>
      <c r="F2755">
        <v>59</v>
      </c>
      <c r="G2755" t="s">
        <v>38</v>
      </c>
      <c r="H2755" t="s">
        <v>39</v>
      </c>
      <c r="I2755" t="s">
        <v>109</v>
      </c>
      <c r="J2755" t="s">
        <v>33</v>
      </c>
      <c r="K2755">
        <v>3.6</v>
      </c>
      <c r="L2755" t="s">
        <v>143</v>
      </c>
      <c r="M2755" t="s">
        <v>143</v>
      </c>
      <c r="N2755">
        <v>48</v>
      </c>
      <c r="O2755" t="s">
        <v>40</v>
      </c>
      <c r="P2755" t="s">
        <v>51</v>
      </c>
    </row>
    <row r="2756" spans="1:16" ht="14.5" x14ac:dyDescent="0.35">
      <c r="A2756">
        <v>2755</v>
      </c>
      <c r="B2756">
        <v>59</v>
      </c>
      <c r="C2756" t="s">
        <v>144</v>
      </c>
      <c r="D2756" t="s">
        <v>80</v>
      </c>
      <c r="E2756" t="s">
        <v>60</v>
      </c>
      <c r="F2756">
        <v>61</v>
      </c>
      <c r="G2756" t="s">
        <v>118</v>
      </c>
      <c r="H2756" t="s">
        <v>20</v>
      </c>
      <c r="I2756" t="s">
        <v>71</v>
      </c>
      <c r="J2756" t="s">
        <v>47</v>
      </c>
      <c r="K2756">
        <v>3.6</v>
      </c>
      <c r="L2756" t="s">
        <v>143</v>
      </c>
      <c r="M2756" t="s">
        <v>143</v>
      </c>
      <c r="N2756">
        <v>21</v>
      </c>
      <c r="O2756" t="s">
        <v>24</v>
      </c>
      <c r="P2756" t="s">
        <v>67</v>
      </c>
    </row>
    <row r="2757" spans="1:16" ht="14.5" x14ac:dyDescent="0.35">
      <c r="A2757">
        <v>2756</v>
      </c>
      <c r="B2757">
        <v>59</v>
      </c>
      <c r="C2757" t="s">
        <v>144</v>
      </c>
      <c r="D2757" t="s">
        <v>124</v>
      </c>
      <c r="E2757" t="s">
        <v>60</v>
      </c>
      <c r="F2757">
        <v>97</v>
      </c>
      <c r="G2757" t="s">
        <v>98</v>
      </c>
      <c r="H2757" t="s">
        <v>39</v>
      </c>
      <c r="I2757" t="s">
        <v>117</v>
      </c>
      <c r="J2757" t="s">
        <v>22</v>
      </c>
      <c r="K2757">
        <v>3.3</v>
      </c>
      <c r="L2757" t="s">
        <v>143</v>
      </c>
      <c r="M2757" t="s">
        <v>143</v>
      </c>
      <c r="N2757">
        <v>18</v>
      </c>
      <c r="O2757" t="s">
        <v>34</v>
      </c>
      <c r="P2757" t="s">
        <v>43</v>
      </c>
    </row>
    <row r="2758" spans="1:16" ht="14.5" x14ac:dyDescent="0.35">
      <c r="A2758">
        <v>2757</v>
      </c>
      <c r="B2758">
        <v>42</v>
      </c>
      <c r="C2758" t="s">
        <v>144</v>
      </c>
      <c r="D2758" t="s">
        <v>115</v>
      </c>
      <c r="E2758" t="s">
        <v>60</v>
      </c>
      <c r="F2758">
        <v>23</v>
      </c>
      <c r="G2758" t="s">
        <v>139</v>
      </c>
      <c r="H2758" t="s">
        <v>20</v>
      </c>
      <c r="I2758" t="s">
        <v>74</v>
      </c>
      <c r="J2758" t="s">
        <v>22</v>
      </c>
      <c r="K2758">
        <v>4.0999999999999996</v>
      </c>
      <c r="L2758" t="s">
        <v>143</v>
      </c>
      <c r="M2758" t="s">
        <v>143</v>
      </c>
      <c r="N2758">
        <v>41</v>
      </c>
      <c r="O2758" t="s">
        <v>40</v>
      </c>
      <c r="P2758" t="s">
        <v>79</v>
      </c>
    </row>
    <row r="2759" spans="1:16" ht="14.5" x14ac:dyDescent="0.35">
      <c r="A2759">
        <v>2758</v>
      </c>
      <c r="B2759">
        <v>39</v>
      </c>
      <c r="C2759" t="s">
        <v>144</v>
      </c>
      <c r="D2759" t="s">
        <v>115</v>
      </c>
      <c r="E2759" t="s">
        <v>60</v>
      </c>
      <c r="F2759">
        <v>98</v>
      </c>
      <c r="G2759" t="s">
        <v>70</v>
      </c>
      <c r="H2759" t="s">
        <v>83</v>
      </c>
      <c r="I2759" t="s">
        <v>101</v>
      </c>
      <c r="J2759" t="s">
        <v>50</v>
      </c>
      <c r="K2759">
        <v>4.3</v>
      </c>
      <c r="L2759" t="s">
        <v>143</v>
      </c>
      <c r="M2759" t="s">
        <v>143</v>
      </c>
      <c r="N2759">
        <v>11</v>
      </c>
      <c r="O2759" t="s">
        <v>24</v>
      </c>
      <c r="P2759" t="s">
        <v>79</v>
      </c>
    </row>
    <row r="2760" spans="1:16" ht="14.5" x14ac:dyDescent="0.35">
      <c r="A2760">
        <v>2759</v>
      </c>
      <c r="B2760">
        <v>32</v>
      </c>
      <c r="C2760" t="s">
        <v>144</v>
      </c>
      <c r="D2760" t="s">
        <v>17</v>
      </c>
      <c r="E2760" t="s">
        <v>18</v>
      </c>
      <c r="F2760">
        <v>98</v>
      </c>
      <c r="G2760" t="s">
        <v>106</v>
      </c>
      <c r="H2760" t="s">
        <v>39</v>
      </c>
      <c r="I2760" t="s">
        <v>65</v>
      </c>
      <c r="J2760" t="s">
        <v>47</v>
      </c>
      <c r="K2760">
        <v>3.2</v>
      </c>
      <c r="L2760" t="s">
        <v>143</v>
      </c>
      <c r="M2760" t="s">
        <v>143</v>
      </c>
      <c r="N2760">
        <v>8</v>
      </c>
      <c r="O2760" t="s">
        <v>66</v>
      </c>
      <c r="P2760" t="s">
        <v>67</v>
      </c>
    </row>
    <row r="2761" spans="1:16" ht="14.5" x14ac:dyDescent="0.35">
      <c r="A2761">
        <v>2760</v>
      </c>
      <c r="B2761">
        <v>68</v>
      </c>
      <c r="C2761" t="s">
        <v>144</v>
      </c>
      <c r="D2761" t="s">
        <v>63</v>
      </c>
      <c r="E2761" t="s">
        <v>37</v>
      </c>
      <c r="F2761">
        <v>59</v>
      </c>
      <c r="G2761" t="s">
        <v>140</v>
      </c>
      <c r="H2761" t="s">
        <v>39</v>
      </c>
      <c r="I2761" t="s">
        <v>42</v>
      </c>
      <c r="J2761" t="s">
        <v>47</v>
      </c>
      <c r="K2761">
        <v>3.9</v>
      </c>
      <c r="L2761" t="s">
        <v>143</v>
      </c>
      <c r="M2761" t="s">
        <v>143</v>
      </c>
      <c r="N2761">
        <v>42</v>
      </c>
      <c r="O2761" t="s">
        <v>29</v>
      </c>
      <c r="P2761" t="s">
        <v>88</v>
      </c>
    </row>
    <row r="2762" spans="1:16" ht="14.5" x14ac:dyDescent="0.35">
      <c r="A2762">
        <v>2761</v>
      </c>
      <c r="B2762">
        <v>41</v>
      </c>
      <c r="C2762" t="s">
        <v>144</v>
      </c>
      <c r="D2762" t="s">
        <v>78</v>
      </c>
      <c r="E2762" t="s">
        <v>18</v>
      </c>
      <c r="F2762">
        <v>82</v>
      </c>
      <c r="G2762" t="s">
        <v>111</v>
      </c>
      <c r="H2762" t="s">
        <v>32</v>
      </c>
      <c r="I2762" t="s">
        <v>74</v>
      </c>
      <c r="J2762" t="s">
        <v>50</v>
      </c>
      <c r="K2762">
        <v>5</v>
      </c>
      <c r="L2762" t="s">
        <v>143</v>
      </c>
      <c r="M2762" t="s">
        <v>143</v>
      </c>
      <c r="N2762">
        <v>41</v>
      </c>
      <c r="O2762" t="s">
        <v>34</v>
      </c>
      <c r="P2762" t="s">
        <v>67</v>
      </c>
    </row>
    <row r="2763" spans="1:16" ht="14.5" x14ac:dyDescent="0.35">
      <c r="A2763">
        <v>2762</v>
      </c>
      <c r="B2763">
        <v>31</v>
      </c>
      <c r="C2763" t="s">
        <v>144</v>
      </c>
      <c r="D2763" t="s">
        <v>44</v>
      </c>
      <c r="E2763" t="s">
        <v>37</v>
      </c>
      <c r="F2763">
        <v>82</v>
      </c>
      <c r="G2763" t="s">
        <v>142</v>
      </c>
      <c r="H2763" t="s">
        <v>39</v>
      </c>
      <c r="I2763" t="s">
        <v>65</v>
      </c>
      <c r="J2763" t="s">
        <v>50</v>
      </c>
      <c r="K2763">
        <v>3.4</v>
      </c>
      <c r="L2763" t="s">
        <v>143</v>
      </c>
      <c r="M2763" t="s">
        <v>143</v>
      </c>
      <c r="N2763">
        <v>3</v>
      </c>
      <c r="O2763" t="s">
        <v>34</v>
      </c>
      <c r="P2763" t="s">
        <v>88</v>
      </c>
    </row>
    <row r="2764" spans="1:16" ht="14.5" x14ac:dyDescent="0.35">
      <c r="A2764">
        <v>2763</v>
      </c>
      <c r="B2764">
        <v>58</v>
      </c>
      <c r="C2764" t="s">
        <v>144</v>
      </c>
      <c r="D2764" t="s">
        <v>104</v>
      </c>
      <c r="E2764" t="s">
        <v>18</v>
      </c>
      <c r="F2764">
        <v>41</v>
      </c>
      <c r="G2764" t="s">
        <v>133</v>
      </c>
      <c r="H2764" t="s">
        <v>39</v>
      </c>
      <c r="I2764" t="s">
        <v>54</v>
      </c>
      <c r="J2764" t="s">
        <v>50</v>
      </c>
      <c r="K2764">
        <v>3.8</v>
      </c>
      <c r="L2764" t="s">
        <v>143</v>
      </c>
      <c r="M2764" t="s">
        <v>143</v>
      </c>
      <c r="N2764">
        <v>10</v>
      </c>
      <c r="O2764" t="s">
        <v>77</v>
      </c>
      <c r="P2764" t="s">
        <v>88</v>
      </c>
    </row>
    <row r="2765" spans="1:16" ht="14.5" x14ac:dyDescent="0.35">
      <c r="A2765">
        <v>2764</v>
      </c>
      <c r="B2765">
        <v>28</v>
      </c>
      <c r="C2765" t="s">
        <v>144</v>
      </c>
      <c r="D2765" t="s">
        <v>59</v>
      </c>
      <c r="E2765" t="s">
        <v>60</v>
      </c>
      <c r="F2765">
        <v>52</v>
      </c>
      <c r="G2765" t="s">
        <v>57</v>
      </c>
      <c r="H2765" t="s">
        <v>39</v>
      </c>
      <c r="I2765" t="s">
        <v>87</v>
      </c>
      <c r="J2765" t="s">
        <v>50</v>
      </c>
      <c r="K2765">
        <v>2.9</v>
      </c>
      <c r="L2765" t="s">
        <v>143</v>
      </c>
      <c r="M2765" t="s">
        <v>143</v>
      </c>
      <c r="N2765">
        <v>35</v>
      </c>
      <c r="O2765" t="s">
        <v>24</v>
      </c>
      <c r="P2765" t="s">
        <v>51</v>
      </c>
    </row>
    <row r="2766" spans="1:16" ht="14.5" x14ac:dyDescent="0.35">
      <c r="A2766">
        <v>2765</v>
      </c>
      <c r="B2766">
        <v>63</v>
      </c>
      <c r="C2766" t="s">
        <v>144</v>
      </c>
      <c r="D2766" t="s">
        <v>26</v>
      </c>
      <c r="E2766" t="s">
        <v>18</v>
      </c>
      <c r="F2766">
        <v>41</v>
      </c>
      <c r="G2766" t="s">
        <v>108</v>
      </c>
      <c r="H2766" t="s">
        <v>83</v>
      </c>
      <c r="I2766" t="s">
        <v>46</v>
      </c>
      <c r="J2766" t="s">
        <v>33</v>
      </c>
      <c r="K2766">
        <v>2.6</v>
      </c>
      <c r="L2766" t="s">
        <v>143</v>
      </c>
      <c r="M2766" t="s">
        <v>143</v>
      </c>
      <c r="N2766">
        <v>2</v>
      </c>
      <c r="O2766" t="s">
        <v>77</v>
      </c>
      <c r="P2766" t="s">
        <v>35</v>
      </c>
    </row>
    <row r="2767" spans="1:16" ht="14.5" x14ac:dyDescent="0.35">
      <c r="A2767">
        <v>2766</v>
      </c>
      <c r="B2767">
        <v>64</v>
      </c>
      <c r="C2767" t="s">
        <v>144</v>
      </c>
      <c r="D2767" t="s">
        <v>134</v>
      </c>
      <c r="E2767" t="s">
        <v>60</v>
      </c>
      <c r="F2767">
        <v>70</v>
      </c>
      <c r="G2767" t="s">
        <v>103</v>
      </c>
      <c r="H2767" t="s">
        <v>39</v>
      </c>
      <c r="I2767" t="s">
        <v>65</v>
      </c>
      <c r="J2767" t="s">
        <v>47</v>
      </c>
      <c r="K2767">
        <v>4.3</v>
      </c>
      <c r="L2767" t="s">
        <v>143</v>
      </c>
      <c r="M2767" t="s">
        <v>143</v>
      </c>
      <c r="N2767">
        <v>24</v>
      </c>
      <c r="O2767" t="s">
        <v>34</v>
      </c>
      <c r="P2767" t="s">
        <v>51</v>
      </c>
    </row>
    <row r="2768" spans="1:16" ht="14.5" x14ac:dyDescent="0.35">
      <c r="A2768">
        <v>2767</v>
      </c>
      <c r="B2768">
        <v>66</v>
      </c>
      <c r="C2768" t="s">
        <v>144</v>
      </c>
      <c r="D2768" t="s">
        <v>72</v>
      </c>
      <c r="E2768" t="s">
        <v>18</v>
      </c>
      <c r="F2768">
        <v>91</v>
      </c>
      <c r="G2768" t="s">
        <v>113</v>
      </c>
      <c r="H2768" t="s">
        <v>39</v>
      </c>
      <c r="I2768" t="s">
        <v>100</v>
      </c>
      <c r="J2768" t="s">
        <v>22</v>
      </c>
      <c r="K2768">
        <v>2.8</v>
      </c>
      <c r="L2768" t="s">
        <v>143</v>
      </c>
      <c r="M2768" t="s">
        <v>143</v>
      </c>
      <c r="N2768">
        <v>47</v>
      </c>
      <c r="O2768" t="s">
        <v>34</v>
      </c>
      <c r="P2768" t="s">
        <v>79</v>
      </c>
    </row>
    <row r="2769" spans="1:16" ht="14.5" x14ac:dyDescent="0.35">
      <c r="A2769">
        <v>2768</v>
      </c>
      <c r="B2769">
        <v>31</v>
      </c>
      <c r="C2769" t="s">
        <v>144</v>
      </c>
      <c r="D2769" t="s">
        <v>72</v>
      </c>
      <c r="E2769" t="s">
        <v>18</v>
      </c>
      <c r="F2769">
        <v>95</v>
      </c>
      <c r="G2769" t="s">
        <v>137</v>
      </c>
      <c r="H2769" t="s">
        <v>39</v>
      </c>
      <c r="I2769" t="s">
        <v>87</v>
      </c>
      <c r="J2769" t="s">
        <v>33</v>
      </c>
      <c r="K2769">
        <v>4.5</v>
      </c>
      <c r="L2769" t="s">
        <v>143</v>
      </c>
      <c r="M2769" t="s">
        <v>143</v>
      </c>
      <c r="N2769">
        <v>31</v>
      </c>
      <c r="O2769" t="s">
        <v>29</v>
      </c>
      <c r="P2769" t="s">
        <v>79</v>
      </c>
    </row>
    <row r="2770" spans="1:16" ht="14.5" x14ac:dyDescent="0.35">
      <c r="A2770">
        <v>2769</v>
      </c>
      <c r="B2770">
        <v>55</v>
      </c>
      <c r="C2770" t="s">
        <v>144</v>
      </c>
      <c r="D2770" t="s">
        <v>17</v>
      </c>
      <c r="E2770" t="s">
        <v>18</v>
      </c>
      <c r="F2770">
        <v>25</v>
      </c>
      <c r="G2770" t="s">
        <v>102</v>
      </c>
      <c r="H2770" t="s">
        <v>39</v>
      </c>
      <c r="I2770" t="s">
        <v>109</v>
      </c>
      <c r="J2770" t="s">
        <v>33</v>
      </c>
      <c r="K2770">
        <v>3.8</v>
      </c>
      <c r="L2770" t="s">
        <v>143</v>
      </c>
      <c r="M2770" t="s">
        <v>143</v>
      </c>
      <c r="N2770">
        <v>28</v>
      </c>
      <c r="O2770" t="s">
        <v>40</v>
      </c>
      <c r="P2770" t="s">
        <v>67</v>
      </c>
    </row>
    <row r="2771" spans="1:16" ht="14.5" x14ac:dyDescent="0.35">
      <c r="A2771">
        <v>2770</v>
      </c>
      <c r="B2771">
        <v>32</v>
      </c>
      <c r="C2771" t="s">
        <v>144</v>
      </c>
      <c r="D2771" t="s">
        <v>48</v>
      </c>
      <c r="E2771" t="s">
        <v>18</v>
      </c>
      <c r="F2771">
        <v>89</v>
      </c>
      <c r="G2771" t="s">
        <v>92</v>
      </c>
      <c r="H2771" t="s">
        <v>20</v>
      </c>
      <c r="I2771" t="s">
        <v>84</v>
      </c>
      <c r="J2771" t="s">
        <v>50</v>
      </c>
      <c r="K2771">
        <v>3</v>
      </c>
      <c r="L2771" t="s">
        <v>143</v>
      </c>
      <c r="M2771" t="s">
        <v>143</v>
      </c>
      <c r="N2771">
        <v>13</v>
      </c>
      <c r="O2771" t="s">
        <v>29</v>
      </c>
      <c r="P2771" t="s">
        <v>35</v>
      </c>
    </row>
    <row r="2772" spans="1:16" ht="14.5" x14ac:dyDescent="0.35">
      <c r="A2772">
        <v>2771</v>
      </c>
      <c r="B2772">
        <v>50</v>
      </c>
      <c r="C2772" t="s">
        <v>144</v>
      </c>
      <c r="D2772" t="s">
        <v>128</v>
      </c>
      <c r="E2772" t="s">
        <v>37</v>
      </c>
      <c r="F2772">
        <v>44</v>
      </c>
      <c r="G2772" t="s">
        <v>136</v>
      </c>
      <c r="H2772" t="s">
        <v>32</v>
      </c>
      <c r="I2772" t="s">
        <v>135</v>
      </c>
      <c r="J2772" t="s">
        <v>50</v>
      </c>
      <c r="K2772">
        <v>3.3</v>
      </c>
      <c r="L2772" t="s">
        <v>143</v>
      </c>
      <c r="M2772" t="s">
        <v>143</v>
      </c>
      <c r="N2772">
        <v>22</v>
      </c>
      <c r="O2772" t="s">
        <v>66</v>
      </c>
      <c r="P2772" t="s">
        <v>51</v>
      </c>
    </row>
    <row r="2773" spans="1:16" ht="14.5" x14ac:dyDescent="0.35">
      <c r="A2773">
        <v>2772</v>
      </c>
      <c r="B2773">
        <v>58</v>
      </c>
      <c r="C2773" t="s">
        <v>144</v>
      </c>
      <c r="D2773" t="s">
        <v>93</v>
      </c>
      <c r="E2773" t="s">
        <v>56</v>
      </c>
      <c r="F2773">
        <v>52</v>
      </c>
      <c r="G2773" t="s">
        <v>119</v>
      </c>
      <c r="H2773" t="s">
        <v>32</v>
      </c>
      <c r="I2773" t="s">
        <v>109</v>
      </c>
      <c r="J2773" t="s">
        <v>47</v>
      </c>
      <c r="K2773">
        <v>3.1</v>
      </c>
      <c r="L2773" t="s">
        <v>143</v>
      </c>
      <c r="M2773" t="s">
        <v>143</v>
      </c>
      <c r="N2773">
        <v>12</v>
      </c>
      <c r="O2773" t="s">
        <v>66</v>
      </c>
      <c r="P2773" t="s">
        <v>25</v>
      </c>
    </row>
    <row r="2774" spans="1:16" ht="14.5" x14ac:dyDescent="0.35">
      <c r="A2774">
        <v>2773</v>
      </c>
      <c r="B2774">
        <v>18</v>
      </c>
      <c r="C2774" t="s">
        <v>144</v>
      </c>
      <c r="D2774" t="s">
        <v>123</v>
      </c>
      <c r="E2774" t="s">
        <v>60</v>
      </c>
      <c r="F2774">
        <v>94</v>
      </c>
      <c r="G2774" t="s">
        <v>129</v>
      </c>
      <c r="H2774" t="s">
        <v>20</v>
      </c>
      <c r="I2774" t="s">
        <v>135</v>
      </c>
      <c r="J2774" t="s">
        <v>33</v>
      </c>
      <c r="K2774">
        <v>3.5</v>
      </c>
      <c r="L2774" t="s">
        <v>143</v>
      </c>
      <c r="M2774" t="s">
        <v>143</v>
      </c>
      <c r="N2774">
        <v>10</v>
      </c>
      <c r="O2774" t="s">
        <v>66</v>
      </c>
      <c r="P2774" t="s">
        <v>88</v>
      </c>
    </row>
    <row r="2775" spans="1:16" ht="14.5" x14ac:dyDescent="0.35">
      <c r="A2775">
        <v>2774</v>
      </c>
      <c r="B2775">
        <v>39</v>
      </c>
      <c r="C2775" t="s">
        <v>144</v>
      </c>
      <c r="D2775" t="s">
        <v>86</v>
      </c>
      <c r="E2775" t="s">
        <v>18</v>
      </c>
      <c r="F2775">
        <v>98</v>
      </c>
      <c r="G2775" t="s">
        <v>108</v>
      </c>
      <c r="H2775" t="s">
        <v>32</v>
      </c>
      <c r="I2775" t="s">
        <v>28</v>
      </c>
      <c r="J2775" t="s">
        <v>33</v>
      </c>
      <c r="K2775">
        <v>4.5999999999999996</v>
      </c>
      <c r="L2775" t="s">
        <v>143</v>
      </c>
      <c r="M2775" t="s">
        <v>143</v>
      </c>
      <c r="N2775">
        <v>45</v>
      </c>
      <c r="O2775" t="s">
        <v>66</v>
      </c>
      <c r="P2775" t="s">
        <v>51</v>
      </c>
    </row>
    <row r="2776" spans="1:16" ht="14.5" x14ac:dyDescent="0.35">
      <c r="A2776">
        <v>2775</v>
      </c>
      <c r="B2776">
        <v>56</v>
      </c>
      <c r="C2776" t="s">
        <v>144</v>
      </c>
      <c r="D2776" t="s">
        <v>128</v>
      </c>
      <c r="E2776" t="s">
        <v>37</v>
      </c>
      <c r="F2776">
        <v>40</v>
      </c>
      <c r="G2776" t="s">
        <v>92</v>
      </c>
      <c r="H2776" t="s">
        <v>20</v>
      </c>
      <c r="I2776" t="s">
        <v>125</v>
      </c>
      <c r="J2776" t="s">
        <v>50</v>
      </c>
      <c r="K2776">
        <v>4.0999999999999996</v>
      </c>
      <c r="L2776" t="s">
        <v>143</v>
      </c>
      <c r="M2776" t="s">
        <v>143</v>
      </c>
      <c r="N2776">
        <v>42</v>
      </c>
      <c r="O2776" t="s">
        <v>34</v>
      </c>
      <c r="P2776" t="s">
        <v>51</v>
      </c>
    </row>
    <row r="2777" spans="1:16" ht="14.5" x14ac:dyDescent="0.35">
      <c r="A2777">
        <v>2776</v>
      </c>
      <c r="B2777">
        <v>37</v>
      </c>
      <c r="C2777" t="s">
        <v>144</v>
      </c>
      <c r="D2777" t="s">
        <v>116</v>
      </c>
      <c r="E2777" t="s">
        <v>18</v>
      </c>
      <c r="F2777">
        <v>25</v>
      </c>
      <c r="G2777" t="s">
        <v>49</v>
      </c>
      <c r="H2777" t="s">
        <v>20</v>
      </c>
      <c r="I2777" t="s">
        <v>99</v>
      </c>
      <c r="J2777" t="s">
        <v>50</v>
      </c>
      <c r="K2777">
        <v>3.6</v>
      </c>
      <c r="L2777" t="s">
        <v>143</v>
      </c>
      <c r="M2777" t="s">
        <v>143</v>
      </c>
      <c r="N2777">
        <v>16</v>
      </c>
      <c r="O2777" t="s">
        <v>77</v>
      </c>
      <c r="P2777" t="s">
        <v>35</v>
      </c>
    </row>
    <row r="2778" spans="1:16" ht="14.5" x14ac:dyDescent="0.35">
      <c r="A2778">
        <v>2777</v>
      </c>
      <c r="B2778">
        <v>46</v>
      </c>
      <c r="C2778" t="s">
        <v>144</v>
      </c>
      <c r="D2778" t="s">
        <v>110</v>
      </c>
      <c r="E2778" t="s">
        <v>60</v>
      </c>
      <c r="F2778">
        <v>62</v>
      </c>
      <c r="G2778" t="s">
        <v>45</v>
      </c>
      <c r="H2778" t="s">
        <v>20</v>
      </c>
      <c r="I2778" t="s">
        <v>87</v>
      </c>
      <c r="J2778" t="s">
        <v>50</v>
      </c>
      <c r="K2778">
        <v>2.9</v>
      </c>
      <c r="L2778" t="s">
        <v>143</v>
      </c>
      <c r="M2778" t="s">
        <v>143</v>
      </c>
      <c r="N2778">
        <v>6</v>
      </c>
      <c r="O2778" t="s">
        <v>66</v>
      </c>
      <c r="P2778" t="s">
        <v>43</v>
      </c>
    </row>
    <row r="2779" spans="1:16" ht="14.5" x14ac:dyDescent="0.35">
      <c r="A2779">
        <v>2778</v>
      </c>
      <c r="B2779">
        <v>52</v>
      </c>
      <c r="C2779" t="s">
        <v>144</v>
      </c>
      <c r="D2779" t="s">
        <v>17</v>
      </c>
      <c r="E2779" t="s">
        <v>18</v>
      </c>
      <c r="F2779">
        <v>24</v>
      </c>
      <c r="G2779" t="s">
        <v>126</v>
      </c>
      <c r="H2779" t="s">
        <v>39</v>
      </c>
      <c r="I2779" t="s">
        <v>127</v>
      </c>
      <c r="J2779" t="s">
        <v>50</v>
      </c>
      <c r="K2779">
        <v>4.8</v>
      </c>
      <c r="L2779" t="s">
        <v>143</v>
      </c>
      <c r="M2779" t="s">
        <v>143</v>
      </c>
      <c r="N2779">
        <v>28</v>
      </c>
      <c r="O2779" t="s">
        <v>34</v>
      </c>
      <c r="P2779" t="s">
        <v>88</v>
      </c>
    </row>
    <row r="2780" spans="1:16" ht="14.5" x14ac:dyDescent="0.35">
      <c r="A2780">
        <v>2779</v>
      </c>
      <c r="B2780">
        <v>70</v>
      </c>
      <c r="C2780" t="s">
        <v>144</v>
      </c>
      <c r="D2780" t="s">
        <v>124</v>
      </c>
      <c r="E2780" t="s">
        <v>60</v>
      </c>
      <c r="F2780">
        <v>57</v>
      </c>
      <c r="G2780" t="s">
        <v>129</v>
      </c>
      <c r="H2780" t="s">
        <v>20</v>
      </c>
      <c r="I2780" t="s">
        <v>125</v>
      </c>
      <c r="J2780" t="s">
        <v>33</v>
      </c>
      <c r="K2780">
        <v>3.2</v>
      </c>
      <c r="L2780" t="s">
        <v>143</v>
      </c>
      <c r="M2780" t="s">
        <v>143</v>
      </c>
      <c r="N2780">
        <v>24</v>
      </c>
      <c r="O2780" t="s">
        <v>34</v>
      </c>
      <c r="P2780" t="s">
        <v>67</v>
      </c>
    </row>
    <row r="2781" spans="1:16" ht="14.5" x14ac:dyDescent="0.35">
      <c r="A2781">
        <v>2780</v>
      </c>
      <c r="B2781">
        <v>61</v>
      </c>
      <c r="C2781" t="s">
        <v>144</v>
      </c>
      <c r="D2781" t="s">
        <v>80</v>
      </c>
      <c r="E2781" t="s">
        <v>60</v>
      </c>
      <c r="F2781">
        <v>66</v>
      </c>
      <c r="G2781" t="s">
        <v>49</v>
      </c>
      <c r="H2781" t="s">
        <v>20</v>
      </c>
      <c r="I2781" t="s">
        <v>135</v>
      </c>
      <c r="J2781" t="s">
        <v>22</v>
      </c>
      <c r="K2781">
        <v>4.3</v>
      </c>
      <c r="L2781" t="s">
        <v>143</v>
      </c>
      <c r="M2781" t="s">
        <v>143</v>
      </c>
      <c r="N2781">
        <v>14</v>
      </c>
      <c r="O2781" t="s">
        <v>34</v>
      </c>
      <c r="P2781" t="s">
        <v>25</v>
      </c>
    </row>
    <row r="2782" spans="1:16" ht="14.5" x14ac:dyDescent="0.35">
      <c r="A2782">
        <v>2781</v>
      </c>
      <c r="B2782">
        <v>33</v>
      </c>
      <c r="C2782" t="s">
        <v>144</v>
      </c>
      <c r="D2782" t="s">
        <v>128</v>
      </c>
      <c r="E2782" t="s">
        <v>37</v>
      </c>
      <c r="F2782">
        <v>70</v>
      </c>
      <c r="G2782" t="s">
        <v>114</v>
      </c>
      <c r="H2782" t="s">
        <v>39</v>
      </c>
      <c r="I2782" t="s">
        <v>54</v>
      </c>
      <c r="J2782" t="s">
        <v>22</v>
      </c>
      <c r="K2782">
        <v>4.0999999999999996</v>
      </c>
      <c r="L2782" t="s">
        <v>143</v>
      </c>
      <c r="M2782" t="s">
        <v>143</v>
      </c>
      <c r="N2782">
        <v>29</v>
      </c>
      <c r="O2782" t="s">
        <v>40</v>
      </c>
      <c r="P2782" t="s">
        <v>25</v>
      </c>
    </row>
    <row r="2783" spans="1:16" ht="14.5" x14ac:dyDescent="0.35">
      <c r="A2783">
        <v>2782</v>
      </c>
      <c r="B2783">
        <v>65</v>
      </c>
      <c r="C2783" t="s">
        <v>144</v>
      </c>
      <c r="D2783" t="s">
        <v>36</v>
      </c>
      <c r="E2783" t="s">
        <v>37</v>
      </c>
      <c r="F2783">
        <v>39</v>
      </c>
      <c r="G2783" t="s">
        <v>82</v>
      </c>
      <c r="H2783" t="s">
        <v>39</v>
      </c>
      <c r="I2783" t="s">
        <v>135</v>
      </c>
      <c r="J2783" t="s">
        <v>33</v>
      </c>
      <c r="K2783">
        <v>4.5999999999999996</v>
      </c>
      <c r="L2783" t="s">
        <v>143</v>
      </c>
      <c r="M2783" t="s">
        <v>143</v>
      </c>
      <c r="N2783">
        <v>33</v>
      </c>
      <c r="O2783" t="s">
        <v>40</v>
      </c>
      <c r="P2783" t="s">
        <v>35</v>
      </c>
    </row>
    <row r="2784" spans="1:16" ht="14.5" x14ac:dyDescent="0.35">
      <c r="A2784">
        <v>2783</v>
      </c>
      <c r="B2784">
        <v>41</v>
      </c>
      <c r="C2784" t="s">
        <v>144</v>
      </c>
      <c r="D2784" t="s">
        <v>134</v>
      </c>
      <c r="E2784" t="s">
        <v>60</v>
      </c>
      <c r="F2784">
        <v>34</v>
      </c>
      <c r="G2784" t="s">
        <v>126</v>
      </c>
      <c r="H2784" t="s">
        <v>32</v>
      </c>
      <c r="I2784" t="s">
        <v>100</v>
      </c>
      <c r="J2784" t="s">
        <v>33</v>
      </c>
      <c r="K2784">
        <v>3.8</v>
      </c>
      <c r="L2784" t="s">
        <v>143</v>
      </c>
      <c r="M2784" t="s">
        <v>143</v>
      </c>
      <c r="N2784">
        <v>30</v>
      </c>
      <c r="O2784" t="s">
        <v>40</v>
      </c>
      <c r="P2784" t="s">
        <v>43</v>
      </c>
    </row>
    <row r="2785" spans="1:16" ht="14.5" x14ac:dyDescent="0.35">
      <c r="A2785">
        <v>2784</v>
      </c>
      <c r="B2785">
        <v>19</v>
      </c>
      <c r="C2785" t="s">
        <v>144</v>
      </c>
      <c r="D2785" t="s">
        <v>78</v>
      </c>
      <c r="E2785" t="s">
        <v>18</v>
      </c>
      <c r="F2785">
        <v>38</v>
      </c>
      <c r="G2785" t="s">
        <v>132</v>
      </c>
      <c r="H2785" t="s">
        <v>39</v>
      </c>
      <c r="I2785" t="s">
        <v>58</v>
      </c>
      <c r="J2785" t="s">
        <v>33</v>
      </c>
      <c r="K2785">
        <v>4.5</v>
      </c>
      <c r="L2785" t="s">
        <v>143</v>
      </c>
      <c r="M2785" t="s">
        <v>143</v>
      </c>
      <c r="N2785">
        <v>26</v>
      </c>
      <c r="O2785" t="s">
        <v>34</v>
      </c>
      <c r="P2785" t="s">
        <v>51</v>
      </c>
    </row>
    <row r="2786" spans="1:16" ht="14.5" x14ac:dyDescent="0.35">
      <c r="A2786">
        <v>2785</v>
      </c>
      <c r="B2786">
        <v>33</v>
      </c>
      <c r="C2786" t="s">
        <v>144</v>
      </c>
      <c r="D2786" t="s">
        <v>78</v>
      </c>
      <c r="E2786" t="s">
        <v>18</v>
      </c>
      <c r="F2786">
        <v>70</v>
      </c>
      <c r="G2786" t="s">
        <v>126</v>
      </c>
      <c r="H2786" t="s">
        <v>39</v>
      </c>
      <c r="I2786" t="s">
        <v>85</v>
      </c>
      <c r="J2786" t="s">
        <v>22</v>
      </c>
      <c r="K2786">
        <v>3.1</v>
      </c>
      <c r="L2786" t="s">
        <v>143</v>
      </c>
      <c r="M2786" t="s">
        <v>143</v>
      </c>
      <c r="N2786">
        <v>12</v>
      </c>
      <c r="O2786" t="s">
        <v>40</v>
      </c>
      <c r="P2786" t="s">
        <v>88</v>
      </c>
    </row>
    <row r="2787" spans="1:16" ht="14.5" x14ac:dyDescent="0.35">
      <c r="A2787">
        <v>2786</v>
      </c>
      <c r="B2787">
        <v>53</v>
      </c>
      <c r="C2787" t="s">
        <v>144</v>
      </c>
      <c r="D2787" t="s">
        <v>17</v>
      </c>
      <c r="E2787" t="s">
        <v>18</v>
      </c>
      <c r="F2787">
        <v>80</v>
      </c>
      <c r="G2787" t="s">
        <v>53</v>
      </c>
      <c r="H2787" t="s">
        <v>32</v>
      </c>
      <c r="I2787" t="s">
        <v>87</v>
      </c>
      <c r="J2787" t="s">
        <v>47</v>
      </c>
      <c r="K2787">
        <v>2.9</v>
      </c>
      <c r="L2787" t="s">
        <v>143</v>
      </c>
      <c r="M2787" t="s">
        <v>143</v>
      </c>
      <c r="N2787">
        <v>13</v>
      </c>
      <c r="O2787" t="s">
        <v>66</v>
      </c>
      <c r="P2787" t="s">
        <v>79</v>
      </c>
    </row>
    <row r="2788" spans="1:16" ht="14.5" x14ac:dyDescent="0.35">
      <c r="A2788">
        <v>2787</v>
      </c>
      <c r="B2788">
        <v>54</v>
      </c>
      <c r="C2788" t="s">
        <v>144</v>
      </c>
      <c r="D2788" t="s">
        <v>59</v>
      </c>
      <c r="E2788" t="s">
        <v>60</v>
      </c>
      <c r="F2788">
        <v>51</v>
      </c>
      <c r="G2788" t="s">
        <v>103</v>
      </c>
      <c r="H2788" t="s">
        <v>39</v>
      </c>
      <c r="I2788" t="s">
        <v>74</v>
      </c>
      <c r="J2788" t="s">
        <v>33</v>
      </c>
      <c r="K2788">
        <v>3.8</v>
      </c>
      <c r="L2788" t="s">
        <v>143</v>
      </c>
      <c r="M2788" t="s">
        <v>143</v>
      </c>
      <c r="N2788">
        <v>41</v>
      </c>
      <c r="O2788" t="s">
        <v>77</v>
      </c>
      <c r="P2788" t="s">
        <v>88</v>
      </c>
    </row>
    <row r="2789" spans="1:16" ht="14.5" x14ac:dyDescent="0.35">
      <c r="A2789">
        <v>2788</v>
      </c>
      <c r="B2789">
        <v>36</v>
      </c>
      <c r="C2789" t="s">
        <v>144</v>
      </c>
      <c r="D2789" t="s">
        <v>128</v>
      </c>
      <c r="E2789" t="s">
        <v>37</v>
      </c>
      <c r="F2789">
        <v>79</v>
      </c>
      <c r="G2789" t="s">
        <v>57</v>
      </c>
      <c r="H2789" t="s">
        <v>83</v>
      </c>
      <c r="I2789" t="s">
        <v>62</v>
      </c>
      <c r="J2789" t="s">
        <v>33</v>
      </c>
      <c r="K2789">
        <v>4.0999999999999996</v>
      </c>
      <c r="L2789" t="s">
        <v>143</v>
      </c>
      <c r="M2789" t="s">
        <v>143</v>
      </c>
      <c r="N2789">
        <v>4</v>
      </c>
      <c r="O2789" t="s">
        <v>24</v>
      </c>
      <c r="P2789" t="s">
        <v>25</v>
      </c>
    </row>
    <row r="2790" spans="1:16" ht="14.5" x14ac:dyDescent="0.35">
      <c r="A2790">
        <v>2789</v>
      </c>
      <c r="B2790">
        <v>56</v>
      </c>
      <c r="C2790" t="s">
        <v>144</v>
      </c>
      <c r="D2790" t="s">
        <v>128</v>
      </c>
      <c r="E2790" t="s">
        <v>37</v>
      </c>
      <c r="F2790">
        <v>92</v>
      </c>
      <c r="G2790" t="s">
        <v>38</v>
      </c>
      <c r="H2790" t="s">
        <v>39</v>
      </c>
      <c r="I2790" t="s">
        <v>69</v>
      </c>
      <c r="J2790" t="s">
        <v>47</v>
      </c>
      <c r="K2790">
        <v>3.1</v>
      </c>
      <c r="L2790" t="s">
        <v>143</v>
      </c>
      <c r="M2790" t="s">
        <v>143</v>
      </c>
      <c r="N2790">
        <v>2</v>
      </c>
      <c r="O2790" t="s">
        <v>34</v>
      </c>
      <c r="P2790" t="s">
        <v>43</v>
      </c>
    </row>
    <row r="2791" spans="1:16" ht="14.5" x14ac:dyDescent="0.35">
      <c r="A2791">
        <v>2790</v>
      </c>
      <c r="B2791">
        <v>28</v>
      </c>
      <c r="C2791" t="s">
        <v>144</v>
      </c>
      <c r="D2791" t="s">
        <v>26</v>
      </c>
      <c r="E2791" t="s">
        <v>18</v>
      </c>
      <c r="F2791">
        <v>85</v>
      </c>
      <c r="G2791" t="s">
        <v>89</v>
      </c>
      <c r="H2791" t="s">
        <v>20</v>
      </c>
      <c r="I2791" t="s">
        <v>112</v>
      </c>
      <c r="J2791" t="s">
        <v>50</v>
      </c>
      <c r="K2791">
        <v>5</v>
      </c>
      <c r="L2791" t="s">
        <v>143</v>
      </c>
      <c r="M2791" t="s">
        <v>143</v>
      </c>
      <c r="N2791">
        <v>28</v>
      </c>
      <c r="O2791" t="s">
        <v>34</v>
      </c>
      <c r="P2791" t="s">
        <v>67</v>
      </c>
    </row>
    <row r="2792" spans="1:16" ht="14.5" x14ac:dyDescent="0.35">
      <c r="A2792">
        <v>2791</v>
      </c>
      <c r="B2792">
        <v>34</v>
      </c>
      <c r="C2792" t="s">
        <v>144</v>
      </c>
      <c r="D2792" t="s">
        <v>116</v>
      </c>
      <c r="E2792" t="s">
        <v>18</v>
      </c>
      <c r="F2792">
        <v>63</v>
      </c>
      <c r="G2792" t="s">
        <v>27</v>
      </c>
      <c r="H2792" t="s">
        <v>39</v>
      </c>
      <c r="I2792" t="s">
        <v>85</v>
      </c>
      <c r="J2792" t="s">
        <v>33</v>
      </c>
      <c r="K2792">
        <v>4.5</v>
      </c>
      <c r="L2792" t="s">
        <v>143</v>
      </c>
      <c r="M2792" t="s">
        <v>143</v>
      </c>
      <c r="N2792">
        <v>24</v>
      </c>
      <c r="O2792" t="s">
        <v>77</v>
      </c>
      <c r="P2792" t="s">
        <v>43</v>
      </c>
    </row>
    <row r="2793" spans="1:16" ht="14.5" x14ac:dyDescent="0.35">
      <c r="A2793">
        <v>2792</v>
      </c>
      <c r="B2793">
        <v>43</v>
      </c>
      <c r="C2793" t="s">
        <v>144</v>
      </c>
      <c r="D2793" t="s">
        <v>134</v>
      </c>
      <c r="E2793" t="s">
        <v>60</v>
      </c>
      <c r="F2793">
        <v>60</v>
      </c>
      <c r="G2793" t="s">
        <v>137</v>
      </c>
      <c r="H2793" t="s">
        <v>39</v>
      </c>
      <c r="I2793" t="s">
        <v>125</v>
      </c>
      <c r="J2793" t="s">
        <v>50</v>
      </c>
      <c r="K2793">
        <v>2.8</v>
      </c>
      <c r="L2793" t="s">
        <v>143</v>
      </c>
      <c r="M2793" t="s">
        <v>143</v>
      </c>
      <c r="N2793">
        <v>14</v>
      </c>
      <c r="O2793" t="s">
        <v>24</v>
      </c>
      <c r="P2793" t="s">
        <v>25</v>
      </c>
    </row>
    <row r="2794" spans="1:16" ht="14.5" x14ac:dyDescent="0.35">
      <c r="A2794">
        <v>2793</v>
      </c>
      <c r="B2794">
        <v>54</v>
      </c>
      <c r="C2794" t="s">
        <v>144</v>
      </c>
      <c r="D2794" t="s">
        <v>52</v>
      </c>
      <c r="E2794" t="s">
        <v>18</v>
      </c>
      <c r="F2794">
        <v>44</v>
      </c>
      <c r="G2794" t="s">
        <v>19</v>
      </c>
      <c r="H2794" t="s">
        <v>20</v>
      </c>
      <c r="I2794" t="s">
        <v>74</v>
      </c>
      <c r="J2794" t="s">
        <v>22</v>
      </c>
      <c r="K2794">
        <v>3.2</v>
      </c>
      <c r="L2794" t="s">
        <v>143</v>
      </c>
      <c r="M2794" t="s">
        <v>143</v>
      </c>
      <c r="N2794">
        <v>11</v>
      </c>
      <c r="O2794" t="s">
        <v>34</v>
      </c>
      <c r="P2794" t="s">
        <v>35</v>
      </c>
    </row>
    <row r="2795" spans="1:16" ht="14.5" x14ac:dyDescent="0.35">
      <c r="A2795">
        <v>2794</v>
      </c>
      <c r="B2795">
        <v>37</v>
      </c>
      <c r="C2795" t="s">
        <v>144</v>
      </c>
      <c r="D2795" t="s">
        <v>128</v>
      </c>
      <c r="E2795" t="s">
        <v>37</v>
      </c>
      <c r="F2795">
        <v>57</v>
      </c>
      <c r="G2795" t="s">
        <v>31</v>
      </c>
      <c r="H2795" t="s">
        <v>39</v>
      </c>
      <c r="I2795" t="s">
        <v>58</v>
      </c>
      <c r="J2795" t="s">
        <v>33</v>
      </c>
      <c r="K2795">
        <v>3.1</v>
      </c>
      <c r="L2795" t="s">
        <v>143</v>
      </c>
      <c r="M2795" t="s">
        <v>143</v>
      </c>
      <c r="N2795">
        <v>27</v>
      </c>
      <c r="O2795" t="s">
        <v>77</v>
      </c>
      <c r="P2795" t="s">
        <v>67</v>
      </c>
    </row>
    <row r="2796" spans="1:16" ht="14.5" x14ac:dyDescent="0.35">
      <c r="A2796">
        <v>2795</v>
      </c>
      <c r="B2796">
        <v>33</v>
      </c>
      <c r="C2796" t="s">
        <v>144</v>
      </c>
      <c r="D2796" t="s">
        <v>93</v>
      </c>
      <c r="E2796" t="s">
        <v>56</v>
      </c>
      <c r="F2796">
        <v>24</v>
      </c>
      <c r="G2796" t="s">
        <v>75</v>
      </c>
      <c r="H2796" t="s">
        <v>39</v>
      </c>
      <c r="I2796" t="s">
        <v>71</v>
      </c>
      <c r="J2796" t="s">
        <v>50</v>
      </c>
      <c r="K2796">
        <v>3.3</v>
      </c>
      <c r="L2796" t="s">
        <v>143</v>
      </c>
      <c r="M2796" t="s">
        <v>143</v>
      </c>
      <c r="N2796">
        <v>7</v>
      </c>
      <c r="O2796" t="s">
        <v>29</v>
      </c>
      <c r="P2796" t="s">
        <v>25</v>
      </c>
    </row>
    <row r="2797" spans="1:16" ht="14.5" x14ac:dyDescent="0.35">
      <c r="A2797">
        <v>2796</v>
      </c>
      <c r="B2797">
        <v>33</v>
      </c>
      <c r="C2797" t="s">
        <v>144</v>
      </c>
      <c r="D2797" t="s">
        <v>110</v>
      </c>
      <c r="E2797" t="s">
        <v>60</v>
      </c>
      <c r="F2797">
        <v>35</v>
      </c>
      <c r="G2797" t="s">
        <v>136</v>
      </c>
      <c r="H2797" t="s">
        <v>39</v>
      </c>
      <c r="I2797" t="s">
        <v>127</v>
      </c>
      <c r="J2797" t="s">
        <v>22</v>
      </c>
      <c r="K2797">
        <v>3.4</v>
      </c>
      <c r="L2797" t="s">
        <v>143</v>
      </c>
      <c r="M2797" t="s">
        <v>143</v>
      </c>
      <c r="N2797">
        <v>49</v>
      </c>
      <c r="O2797" t="s">
        <v>40</v>
      </c>
      <c r="P2797" t="s">
        <v>43</v>
      </c>
    </row>
    <row r="2798" spans="1:16" ht="14.5" x14ac:dyDescent="0.35">
      <c r="A2798">
        <v>2797</v>
      </c>
      <c r="B2798">
        <v>55</v>
      </c>
      <c r="C2798" t="s">
        <v>144</v>
      </c>
      <c r="D2798" t="s">
        <v>93</v>
      </c>
      <c r="E2798" t="s">
        <v>56</v>
      </c>
      <c r="F2798">
        <v>73</v>
      </c>
      <c r="G2798" t="s">
        <v>92</v>
      </c>
      <c r="H2798" t="s">
        <v>39</v>
      </c>
      <c r="I2798" t="s">
        <v>99</v>
      </c>
      <c r="J2798" t="s">
        <v>22</v>
      </c>
      <c r="K2798">
        <v>3.8</v>
      </c>
      <c r="L2798" t="s">
        <v>143</v>
      </c>
      <c r="M2798" t="s">
        <v>143</v>
      </c>
      <c r="N2798">
        <v>21</v>
      </c>
      <c r="O2798" t="s">
        <v>29</v>
      </c>
      <c r="P2798" t="s">
        <v>43</v>
      </c>
    </row>
    <row r="2799" spans="1:16" ht="14.5" x14ac:dyDescent="0.35">
      <c r="A2799">
        <v>2798</v>
      </c>
      <c r="B2799">
        <v>63</v>
      </c>
      <c r="C2799" t="s">
        <v>144</v>
      </c>
      <c r="D2799" t="s">
        <v>97</v>
      </c>
      <c r="E2799" t="s">
        <v>60</v>
      </c>
      <c r="F2799">
        <v>42</v>
      </c>
      <c r="G2799" t="s">
        <v>92</v>
      </c>
      <c r="H2799" t="s">
        <v>39</v>
      </c>
      <c r="I2799" t="s">
        <v>87</v>
      </c>
      <c r="J2799" t="s">
        <v>22</v>
      </c>
      <c r="K2799">
        <v>3.5</v>
      </c>
      <c r="L2799" t="s">
        <v>143</v>
      </c>
      <c r="M2799" t="s">
        <v>143</v>
      </c>
      <c r="N2799">
        <v>10</v>
      </c>
      <c r="O2799" t="s">
        <v>24</v>
      </c>
      <c r="P2799" t="s">
        <v>88</v>
      </c>
    </row>
    <row r="2800" spans="1:16" ht="14.5" x14ac:dyDescent="0.35">
      <c r="A2800">
        <v>2799</v>
      </c>
      <c r="B2800">
        <v>52</v>
      </c>
      <c r="C2800" t="s">
        <v>144</v>
      </c>
      <c r="D2800" t="s">
        <v>95</v>
      </c>
      <c r="E2800" t="s">
        <v>18</v>
      </c>
      <c r="F2800">
        <v>20</v>
      </c>
      <c r="G2800" t="s">
        <v>38</v>
      </c>
      <c r="H2800" t="s">
        <v>83</v>
      </c>
      <c r="I2800" t="s">
        <v>99</v>
      </c>
      <c r="J2800" t="s">
        <v>22</v>
      </c>
      <c r="K2800">
        <v>4.8</v>
      </c>
      <c r="L2800" t="s">
        <v>143</v>
      </c>
      <c r="M2800" t="s">
        <v>143</v>
      </c>
      <c r="N2800">
        <v>37</v>
      </c>
      <c r="O2800" t="s">
        <v>40</v>
      </c>
      <c r="P2800" t="s">
        <v>35</v>
      </c>
    </row>
    <row r="2801" spans="1:16" ht="14.5" x14ac:dyDescent="0.35">
      <c r="A2801">
        <v>2800</v>
      </c>
      <c r="B2801">
        <v>23</v>
      </c>
      <c r="C2801" t="s">
        <v>144</v>
      </c>
      <c r="D2801" t="s">
        <v>104</v>
      </c>
      <c r="E2801" t="s">
        <v>18</v>
      </c>
      <c r="F2801">
        <v>89</v>
      </c>
      <c r="G2801" t="s">
        <v>27</v>
      </c>
      <c r="H2801" t="s">
        <v>20</v>
      </c>
      <c r="I2801" t="s">
        <v>62</v>
      </c>
      <c r="J2801" t="s">
        <v>33</v>
      </c>
      <c r="K2801">
        <v>3.9</v>
      </c>
      <c r="L2801" t="s">
        <v>143</v>
      </c>
      <c r="M2801" t="s">
        <v>143</v>
      </c>
      <c r="N2801">
        <v>9</v>
      </c>
      <c r="O2801" t="s">
        <v>66</v>
      </c>
      <c r="P2801" t="s">
        <v>88</v>
      </c>
    </row>
    <row r="2802" spans="1:16" ht="14.5" x14ac:dyDescent="0.35">
      <c r="A2802">
        <v>2801</v>
      </c>
      <c r="B2802">
        <v>70</v>
      </c>
      <c r="C2802" t="s">
        <v>144</v>
      </c>
      <c r="D2802" t="s">
        <v>48</v>
      </c>
      <c r="E2802" t="s">
        <v>18</v>
      </c>
      <c r="F2802">
        <v>76</v>
      </c>
      <c r="G2802" t="s">
        <v>64</v>
      </c>
      <c r="H2802" t="s">
        <v>20</v>
      </c>
      <c r="I2802" t="s">
        <v>74</v>
      </c>
      <c r="J2802" t="s">
        <v>50</v>
      </c>
      <c r="K2802">
        <v>3.4</v>
      </c>
      <c r="L2802" t="s">
        <v>143</v>
      </c>
      <c r="M2802" t="s">
        <v>143</v>
      </c>
      <c r="N2802">
        <v>14</v>
      </c>
      <c r="O2802" t="s">
        <v>29</v>
      </c>
      <c r="P2802" t="s">
        <v>67</v>
      </c>
    </row>
    <row r="2803" spans="1:16" ht="14.5" x14ac:dyDescent="0.35">
      <c r="A2803">
        <v>2802</v>
      </c>
      <c r="B2803">
        <v>64</v>
      </c>
      <c r="C2803" t="s">
        <v>144</v>
      </c>
      <c r="D2803" t="s">
        <v>48</v>
      </c>
      <c r="E2803" t="s">
        <v>18</v>
      </c>
      <c r="F2803">
        <v>56</v>
      </c>
      <c r="G2803" t="s">
        <v>121</v>
      </c>
      <c r="H2803" t="s">
        <v>39</v>
      </c>
      <c r="I2803" t="s">
        <v>117</v>
      </c>
      <c r="J2803" t="s">
        <v>22</v>
      </c>
      <c r="K2803">
        <v>2.6</v>
      </c>
      <c r="L2803" t="s">
        <v>143</v>
      </c>
      <c r="M2803" t="s">
        <v>143</v>
      </c>
      <c r="N2803">
        <v>30</v>
      </c>
      <c r="O2803" t="s">
        <v>40</v>
      </c>
      <c r="P2803" t="s">
        <v>43</v>
      </c>
    </row>
    <row r="2804" spans="1:16" ht="14.5" x14ac:dyDescent="0.35">
      <c r="A2804">
        <v>2803</v>
      </c>
      <c r="B2804">
        <v>22</v>
      </c>
      <c r="C2804" t="s">
        <v>144</v>
      </c>
      <c r="D2804" t="s">
        <v>55</v>
      </c>
      <c r="E2804" t="s">
        <v>56</v>
      </c>
      <c r="F2804">
        <v>100</v>
      </c>
      <c r="G2804" t="s">
        <v>68</v>
      </c>
      <c r="H2804" t="s">
        <v>20</v>
      </c>
      <c r="I2804" t="s">
        <v>99</v>
      </c>
      <c r="J2804" t="s">
        <v>50</v>
      </c>
      <c r="K2804">
        <v>3.1</v>
      </c>
      <c r="L2804" t="s">
        <v>143</v>
      </c>
      <c r="M2804" t="s">
        <v>143</v>
      </c>
      <c r="N2804">
        <v>42</v>
      </c>
      <c r="O2804" t="s">
        <v>34</v>
      </c>
      <c r="P2804" t="s">
        <v>25</v>
      </c>
    </row>
    <row r="2805" spans="1:16" ht="14.5" x14ac:dyDescent="0.35">
      <c r="A2805">
        <v>2804</v>
      </c>
      <c r="B2805">
        <v>46</v>
      </c>
      <c r="C2805" t="s">
        <v>144</v>
      </c>
      <c r="D2805" t="s">
        <v>104</v>
      </c>
      <c r="E2805" t="s">
        <v>18</v>
      </c>
      <c r="F2805">
        <v>44</v>
      </c>
      <c r="G2805" t="s">
        <v>126</v>
      </c>
      <c r="H2805" t="s">
        <v>39</v>
      </c>
      <c r="I2805" t="s">
        <v>74</v>
      </c>
      <c r="J2805" t="s">
        <v>22</v>
      </c>
      <c r="K2805">
        <v>3.3</v>
      </c>
      <c r="L2805" t="s">
        <v>143</v>
      </c>
      <c r="M2805" t="s">
        <v>143</v>
      </c>
      <c r="N2805">
        <v>31</v>
      </c>
      <c r="O2805" t="s">
        <v>66</v>
      </c>
      <c r="P2805" t="s">
        <v>79</v>
      </c>
    </row>
    <row r="2806" spans="1:16" ht="14.5" x14ac:dyDescent="0.35">
      <c r="A2806">
        <v>2805</v>
      </c>
      <c r="B2806">
        <v>65</v>
      </c>
      <c r="C2806" t="s">
        <v>144</v>
      </c>
      <c r="D2806" t="s">
        <v>95</v>
      </c>
      <c r="E2806" t="s">
        <v>18</v>
      </c>
      <c r="F2806">
        <v>76</v>
      </c>
      <c r="G2806" t="s">
        <v>122</v>
      </c>
      <c r="H2806" t="s">
        <v>39</v>
      </c>
      <c r="I2806" t="s">
        <v>100</v>
      </c>
      <c r="J2806" t="s">
        <v>33</v>
      </c>
      <c r="K2806">
        <v>2.8</v>
      </c>
      <c r="L2806" t="s">
        <v>143</v>
      </c>
      <c r="M2806" t="s">
        <v>143</v>
      </c>
      <c r="N2806">
        <v>48</v>
      </c>
      <c r="O2806" t="s">
        <v>66</v>
      </c>
      <c r="P2806" t="s">
        <v>88</v>
      </c>
    </row>
    <row r="2807" spans="1:16" ht="14.5" x14ac:dyDescent="0.35">
      <c r="A2807">
        <v>2806</v>
      </c>
      <c r="B2807">
        <v>18</v>
      </c>
      <c r="C2807" t="s">
        <v>144</v>
      </c>
      <c r="D2807" t="s">
        <v>80</v>
      </c>
      <c r="E2807" t="s">
        <v>60</v>
      </c>
      <c r="F2807">
        <v>97</v>
      </c>
      <c r="G2807" t="s">
        <v>98</v>
      </c>
      <c r="H2807" t="s">
        <v>32</v>
      </c>
      <c r="I2807" t="s">
        <v>85</v>
      </c>
      <c r="J2807" t="s">
        <v>50</v>
      </c>
      <c r="K2807">
        <v>4.3</v>
      </c>
      <c r="L2807" t="s">
        <v>143</v>
      </c>
      <c r="M2807" t="s">
        <v>143</v>
      </c>
      <c r="N2807">
        <v>48</v>
      </c>
      <c r="O2807" t="s">
        <v>29</v>
      </c>
      <c r="P2807" t="s">
        <v>51</v>
      </c>
    </row>
    <row r="2808" spans="1:16" ht="14.5" x14ac:dyDescent="0.35">
      <c r="A2808">
        <v>2807</v>
      </c>
      <c r="B2808">
        <v>45</v>
      </c>
      <c r="C2808" t="s">
        <v>144</v>
      </c>
      <c r="D2808" t="s">
        <v>17</v>
      </c>
      <c r="E2808" t="s">
        <v>18</v>
      </c>
      <c r="F2808">
        <v>39</v>
      </c>
      <c r="G2808" t="s">
        <v>122</v>
      </c>
      <c r="H2808" t="s">
        <v>20</v>
      </c>
      <c r="I2808" t="s">
        <v>65</v>
      </c>
      <c r="J2808" t="s">
        <v>33</v>
      </c>
      <c r="K2808">
        <v>2.7</v>
      </c>
      <c r="L2808" t="s">
        <v>143</v>
      </c>
      <c r="M2808" t="s">
        <v>143</v>
      </c>
      <c r="N2808">
        <v>50</v>
      </c>
      <c r="O2808" t="s">
        <v>34</v>
      </c>
      <c r="P2808" t="s">
        <v>43</v>
      </c>
    </row>
    <row r="2809" spans="1:16" ht="14.5" x14ac:dyDescent="0.35">
      <c r="A2809">
        <v>2808</v>
      </c>
      <c r="B2809">
        <v>56</v>
      </c>
      <c r="C2809" t="s">
        <v>144</v>
      </c>
      <c r="D2809" t="s">
        <v>95</v>
      </c>
      <c r="E2809" t="s">
        <v>18</v>
      </c>
      <c r="F2809">
        <v>100</v>
      </c>
      <c r="G2809" t="s">
        <v>119</v>
      </c>
      <c r="H2809" t="s">
        <v>39</v>
      </c>
      <c r="I2809" t="s">
        <v>54</v>
      </c>
      <c r="J2809" t="s">
        <v>33</v>
      </c>
      <c r="K2809">
        <v>4.4000000000000004</v>
      </c>
      <c r="L2809" t="s">
        <v>143</v>
      </c>
      <c r="M2809" t="s">
        <v>143</v>
      </c>
      <c r="N2809">
        <v>10</v>
      </c>
      <c r="O2809" t="s">
        <v>77</v>
      </c>
      <c r="P2809" t="s">
        <v>25</v>
      </c>
    </row>
    <row r="2810" spans="1:16" ht="14.5" x14ac:dyDescent="0.35">
      <c r="A2810">
        <v>2809</v>
      </c>
      <c r="B2810">
        <v>49</v>
      </c>
      <c r="C2810" t="s">
        <v>144</v>
      </c>
      <c r="D2810" t="s">
        <v>78</v>
      </c>
      <c r="E2810" t="s">
        <v>18</v>
      </c>
      <c r="F2810">
        <v>62</v>
      </c>
      <c r="G2810" t="s">
        <v>113</v>
      </c>
      <c r="H2810" t="s">
        <v>39</v>
      </c>
      <c r="I2810" t="s">
        <v>109</v>
      </c>
      <c r="J2810" t="s">
        <v>33</v>
      </c>
      <c r="K2810">
        <v>3.9</v>
      </c>
      <c r="L2810" t="s">
        <v>143</v>
      </c>
      <c r="M2810" t="s">
        <v>143</v>
      </c>
      <c r="N2810">
        <v>45</v>
      </c>
      <c r="O2810" t="s">
        <v>40</v>
      </c>
      <c r="P2810" t="s">
        <v>88</v>
      </c>
    </row>
    <row r="2811" spans="1:16" ht="14.5" x14ac:dyDescent="0.35">
      <c r="A2811">
        <v>2810</v>
      </c>
      <c r="B2811">
        <v>66</v>
      </c>
      <c r="C2811" t="s">
        <v>144</v>
      </c>
      <c r="D2811" t="s">
        <v>52</v>
      </c>
      <c r="E2811" t="s">
        <v>18</v>
      </c>
      <c r="F2811">
        <v>98</v>
      </c>
      <c r="G2811" t="s">
        <v>64</v>
      </c>
      <c r="H2811" t="s">
        <v>83</v>
      </c>
      <c r="I2811" t="s">
        <v>76</v>
      </c>
      <c r="J2811" t="s">
        <v>47</v>
      </c>
      <c r="K2811">
        <v>3</v>
      </c>
      <c r="L2811" t="s">
        <v>143</v>
      </c>
      <c r="M2811" t="s">
        <v>143</v>
      </c>
      <c r="N2811">
        <v>27</v>
      </c>
      <c r="O2811" t="s">
        <v>77</v>
      </c>
      <c r="P2811" t="s">
        <v>51</v>
      </c>
    </row>
    <row r="2812" spans="1:16" ht="14.5" x14ac:dyDescent="0.35">
      <c r="A2812">
        <v>2811</v>
      </c>
      <c r="B2812">
        <v>27</v>
      </c>
      <c r="C2812" t="s">
        <v>144</v>
      </c>
      <c r="D2812" t="s">
        <v>30</v>
      </c>
      <c r="E2812" t="s">
        <v>18</v>
      </c>
      <c r="F2812">
        <v>31</v>
      </c>
      <c r="G2812" t="s">
        <v>108</v>
      </c>
      <c r="H2812" t="s">
        <v>39</v>
      </c>
      <c r="I2812" t="s">
        <v>65</v>
      </c>
      <c r="J2812" t="s">
        <v>47</v>
      </c>
      <c r="K2812">
        <v>4</v>
      </c>
      <c r="L2812" t="s">
        <v>143</v>
      </c>
      <c r="M2812" t="s">
        <v>143</v>
      </c>
      <c r="N2812">
        <v>10</v>
      </c>
      <c r="O2812" t="s">
        <v>77</v>
      </c>
      <c r="P2812" t="s">
        <v>25</v>
      </c>
    </row>
    <row r="2813" spans="1:16" ht="14.5" x14ac:dyDescent="0.35">
      <c r="A2813">
        <v>2812</v>
      </c>
      <c r="B2813">
        <v>69</v>
      </c>
      <c r="C2813" t="s">
        <v>144</v>
      </c>
      <c r="D2813" t="s">
        <v>93</v>
      </c>
      <c r="E2813" t="s">
        <v>56</v>
      </c>
      <c r="F2813">
        <v>89</v>
      </c>
      <c r="G2813" t="s">
        <v>114</v>
      </c>
      <c r="H2813" t="s">
        <v>39</v>
      </c>
      <c r="I2813" t="s">
        <v>135</v>
      </c>
      <c r="J2813" t="s">
        <v>50</v>
      </c>
      <c r="K2813">
        <v>3.7</v>
      </c>
      <c r="L2813" t="s">
        <v>143</v>
      </c>
      <c r="M2813" t="s">
        <v>143</v>
      </c>
      <c r="N2813">
        <v>19</v>
      </c>
      <c r="O2813" t="s">
        <v>34</v>
      </c>
      <c r="P2813" t="s">
        <v>51</v>
      </c>
    </row>
    <row r="2814" spans="1:16" ht="14.5" x14ac:dyDescent="0.35">
      <c r="A2814">
        <v>2813</v>
      </c>
      <c r="B2814">
        <v>66</v>
      </c>
      <c r="C2814" t="s">
        <v>144</v>
      </c>
      <c r="D2814" t="s">
        <v>95</v>
      </c>
      <c r="E2814" t="s">
        <v>18</v>
      </c>
      <c r="F2814">
        <v>91</v>
      </c>
      <c r="G2814" t="s">
        <v>105</v>
      </c>
      <c r="H2814" t="s">
        <v>83</v>
      </c>
      <c r="I2814" t="s">
        <v>127</v>
      </c>
      <c r="J2814" t="s">
        <v>50</v>
      </c>
      <c r="K2814">
        <v>3.8</v>
      </c>
      <c r="L2814" t="s">
        <v>143</v>
      </c>
      <c r="M2814" t="s">
        <v>143</v>
      </c>
      <c r="N2814">
        <v>1</v>
      </c>
      <c r="O2814" t="s">
        <v>34</v>
      </c>
      <c r="P2814" t="s">
        <v>88</v>
      </c>
    </row>
    <row r="2815" spans="1:16" ht="14.5" x14ac:dyDescent="0.35">
      <c r="A2815">
        <v>2814</v>
      </c>
      <c r="B2815">
        <v>45</v>
      </c>
      <c r="C2815" t="s">
        <v>144</v>
      </c>
      <c r="D2815" t="s">
        <v>48</v>
      </c>
      <c r="E2815" t="s">
        <v>18</v>
      </c>
      <c r="F2815">
        <v>50</v>
      </c>
      <c r="G2815" t="s">
        <v>120</v>
      </c>
      <c r="H2815" t="s">
        <v>32</v>
      </c>
      <c r="I2815" t="s">
        <v>28</v>
      </c>
      <c r="J2815" t="s">
        <v>47</v>
      </c>
      <c r="K2815">
        <v>3.3</v>
      </c>
      <c r="L2815" t="s">
        <v>143</v>
      </c>
      <c r="M2815" t="s">
        <v>143</v>
      </c>
      <c r="N2815">
        <v>39</v>
      </c>
      <c r="O2815" t="s">
        <v>77</v>
      </c>
      <c r="P2815" t="s">
        <v>51</v>
      </c>
    </row>
    <row r="2816" spans="1:16" ht="14.5" x14ac:dyDescent="0.35">
      <c r="A2816">
        <v>2815</v>
      </c>
      <c r="B2816">
        <v>31</v>
      </c>
      <c r="C2816" t="s">
        <v>144</v>
      </c>
      <c r="D2816" t="s">
        <v>104</v>
      </c>
      <c r="E2816" t="s">
        <v>18</v>
      </c>
      <c r="F2816">
        <v>32</v>
      </c>
      <c r="G2816" t="s">
        <v>139</v>
      </c>
      <c r="H2816" t="s">
        <v>20</v>
      </c>
      <c r="I2816" t="s">
        <v>71</v>
      </c>
      <c r="J2816" t="s">
        <v>22</v>
      </c>
      <c r="K2816">
        <v>3.6</v>
      </c>
      <c r="L2816" t="s">
        <v>143</v>
      </c>
      <c r="M2816" t="s">
        <v>143</v>
      </c>
      <c r="N2816">
        <v>14</v>
      </c>
      <c r="O2816" t="s">
        <v>66</v>
      </c>
      <c r="P2816" t="s">
        <v>79</v>
      </c>
    </row>
    <row r="2817" spans="1:16" ht="14.5" x14ac:dyDescent="0.35">
      <c r="A2817">
        <v>2816</v>
      </c>
      <c r="B2817">
        <v>33</v>
      </c>
      <c r="C2817" t="s">
        <v>144</v>
      </c>
      <c r="D2817" t="s">
        <v>17</v>
      </c>
      <c r="E2817" t="s">
        <v>18</v>
      </c>
      <c r="F2817">
        <v>67</v>
      </c>
      <c r="G2817" t="s">
        <v>126</v>
      </c>
      <c r="H2817" t="s">
        <v>20</v>
      </c>
      <c r="I2817" t="s">
        <v>85</v>
      </c>
      <c r="J2817" t="s">
        <v>50</v>
      </c>
      <c r="K2817">
        <v>3.9</v>
      </c>
      <c r="L2817" t="s">
        <v>143</v>
      </c>
      <c r="M2817" t="s">
        <v>143</v>
      </c>
      <c r="N2817">
        <v>40</v>
      </c>
      <c r="O2817" t="s">
        <v>24</v>
      </c>
      <c r="P2817" t="s">
        <v>88</v>
      </c>
    </row>
    <row r="2818" spans="1:16" ht="14.5" x14ac:dyDescent="0.35">
      <c r="A2818">
        <v>2817</v>
      </c>
      <c r="B2818">
        <v>43</v>
      </c>
      <c r="C2818" t="s">
        <v>144</v>
      </c>
      <c r="D2818" t="s">
        <v>78</v>
      </c>
      <c r="E2818" t="s">
        <v>18</v>
      </c>
      <c r="F2818">
        <v>28</v>
      </c>
      <c r="G2818" t="s">
        <v>119</v>
      </c>
      <c r="H2818" t="s">
        <v>39</v>
      </c>
      <c r="I2818" t="s">
        <v>85</v>
      </c>
      <c r="J2818" t="s">
        <v>33</v>
      </c>
      <c r="K2818">
        <v>3.5</v>
      </c>
      <c r="L2818" t="s">
        <v>143</v>
      </c>
      <c r="M2818" t="s">
        <v>143</v>
      </c>
      <c r="N2818">
        <v>45</v>
      </c>
      <c r="O2818" t="s">
        <v>24</v>
      </c>
      <c r="P2818" t="s">
        <v>35</v>
      </c>
    </row>
    <row r="2819" spans="1:16" ht="14.5" x14ac:dyDescent="0.35">
      <c r="A2819">
        <v>2818</v>
      </c>
      <c r="B2819">
        <v>25</v>
      </c>
      <c r="C2819" t="s">
        <v>144</v>
      </c>
      <c r="D2819" t="s">
        <v>123</v>
      </c>
      <c r="E2819" t="s">
        <v>60</v>
      </c>
      <c r="F2819">
        <v>65</v>
      </c>
      <c r="G2819" t="s">
        <v>122</v>
      </c>
      <c r="H2819" t="s">
        <v>83</v>
      </c>
      <c r="I2819" t="s">
        <v>125</v>
      </c>
      <c r="J2819" t="s">
        <v>22</v>
      </c>
      <c r="K2819">
        <v>3.4</v>
      </c>
      <c r="L2819" t="s">
        <v>143</v>
      </c>
      <c r="M2819" t="s">
        <v>143</v>
      </c>
      <c r="N2819">
        <v>6</v>
      </c>
      <c r="O2819" t="s">
        <v>24</v>
      </c>
      <c r="P2819" t="s">
        <v>35</v>
      </c>
    </row>
    <row r="2820" spans="1:16" ht="14.5" x14ac:dyDescent="0.35">
      <c r="A2820">
        <v>2819</v>
      </c>
      <c r="B2820">
        <v>46</v>
      </c>
      <c r="C2820" t="s">
        <v>144</v>
      </c>
      <c r="D2820" t="s">
        <v>52</v>
      </c>
      <c r="E2820" t="s">
        <v>18</v>
      </c>
      <c r="F2820">
        <v>73</v>
      </c>
      <c r="G2820" t="s">
        <v>90</v>
      </c>
      <c r="H2820" t="s">
        <v>39</v>
      </c>
      <c r="I2820" t="s">
        <v>42</v>
      </c>
      <c r="J2820" t="s">
        <v>50</v>
      </c>
      <c r="K2820">
        <v>4.7</v>
      </c>
      <c r="L2820" t="s">
        <v>143</v>
      </c>
      <c r="M2820" t="s">
        <v>143</v>
      </c>
      <c r="N2820">
        <v>12</v>
      </c>
      <c r="O2820" t="s">
        <v>77</v>
      </c>
      <c r="P2820" t="s">
        <v>43</v>
      </c>
    </row>
    <row r="2821" spans="1:16" ht="14.5" x14ac:dyDescent="0.35">
      <c r="A2821">
        <v>2820</v>
      </c>
      <c r="B2821">
        <v>67</v>
      </c>
      <c r="C2821" t="s">
        <v>144</v>
      </c>
      <c r="D2821" t="s">
        <v>48</v>
      </c>
      <c r="E2821" t="s">
        <v>18</v>
      </c>
      <c r="F2821">
        <v>27</v>
      </c>
      <c r="G2821" t="s">
        <v>133</v>
      </c>
      <c r="H2821" t="s">
        <v>20</v>
      </c>
      <c r="I2821" t="s">
        <v>84</v>
      </c>
      <c r="J2821" t="s">
        <v>33</v>
      </c>
      <c r="K2821">
        <v>3</v>
      </c>
      <c r="L2821" t="s">
        <v>143</v>
      </c>
      <c r="M2821" t="s">
        <v>143</v>
      </c>
      <c r="N2821">
        <v>19</v>
      </c>
      <c r="O2821" t="s">
        <v>29</v>
      </c>
      <c r="P2821" t="s">
        <v>79</v>
      </c>
    </row>
    <row r="2822" spans="1:16" ht="14.5" x14ac:dyDescent="0.35">
      <c r="A2822">
        <v>2821</v>
      </c>
      <c r="B2822">
        <v>26</v>
      </c>
      <c r="C2822" t="s">
        <v>144</v>
      </c>
      <c r="D2822" t="s">
        <v>123</v>
      </c>
      <c r="E2822" t="s">
        <v>60</v>
      </c>
      <c r="F2822">
        <v>89</v>
      </c>
      <c r="G2822" t="s">
        <v>120</v>
      </c>
      <c r="H2822" t="s">
        <v>20</v>
      </c>
      <c r="I2822" t="s">
        <v>125</v>
      </c>
      <c r="J2822" t="s">
        <v>47</v>
      </c>
      <c r="K2822">
        <v>3.9</v>
      </c>
      <c r="L2822" t="s">
        <v>143</v>
      </c>
      <c r="M2822" t="s">
        <v>143</v>
      </c>
      <c r="N2822">
        <v>5</v>
      </c>
      <c r="O2822" t="s">
        <v>29</v>
      </c>
      <c r="P2822" t="s">
        <v>67</v>
      </c>
    </row>
    <row r="2823" spans="1:16" ht="14.5" x14ac:dyDescent="0.35">
      <c r="A2823">
        <v>2822</v>
      </c>
      <c r="B2823">
        <v>35</v>
      </c>
      <c r="C2823" t="s">
        <v>144</v>
      </c>
      <c r="D2823" t="s">
        <v>63</v>
      </c>
      <c r="E2823" t="s">
        <v>37</v>
      </c>
      <c r="F2823">
        <v>72</v>
      </c>
      <c r="G2823" t="s">
        <v>133</v>
      </c>
      <c r="H2823" t="s">
        <v>20</v>
      </c>
      <c r="I2823" t="s">
        <v>69</v>
      </c>
      <c r="J2823" t="s">
        <v>47</v>
      </c>
      <c r="K2823">
        <v>4.5</v>
      </c>
      <c r="L2823" t="s">
        <v>143</v>
      </c>
      <c r="M2823" t="s">
        <v>143</v>
      </c>
      <c r="N2823">
        <v>37</v>
      </c>
      <c r="O2823" t="s">
        <v>24</v>
      </c>
      <c r="P2823" t="s">
        <v>79</v>
      </c>
    </row>
    <row r="2824" spans="1:16" ht="14.5" x14ac:dyDescent="0.35">
      <c r="A2824">
        <v>2823</v>
      </c>
      <c r="B2824">
        <v>61</v>
      </c>
      <c r="C2824" t="s">
        <v>144</v>
      </c>
      <c r="D2824" t="s">
        <v>78</v>
      </c>
      <c r="E2824" t="s">
        <v>18</v>
      </c>
      <c r="F2824">
        <v>37</v>
      </c>
      <c r="G2824" t="s">
        <v>118</v>
      </c>
      <c r="H2824" t="s">
        <v>32</v>
      </c>
      <c r="I2824" t="s">
        <v>101</v>
      </c>
      <c r="J2824" t="s">
        <v>50</v>
      </c>
      <c r="K2824">
        <v>4.0999999999999996</v>
      </c>
      <c r="L2824" t="s">
        <v>143</v>
      </c>
      <c r="M2824" t="s">
        <v>143</v>
      </c>
      <c r="N2824">
        <v>33</v>
      </c>
      <c r="O2824" t="s">
        <v>40</v>
      </c>
      <c r="P2824" t="s">
        <v>51</v>
      </c>
    </row>
    <row r="2825" spans="1:16" ht="14.5" x14ac:dyDescent="0.35">
      <c r="A2825">
        <v>2824</v>
      </c>
      <c r="B2825">
        <v>26</v>
      </c>
      <c r="C2825" t="s">
        <v>144</v>
      </c>
      <c r="D2825" t="s">
        <v>72</v>
      </c>
      <c r="E2825" t="s">
        <v>18</v>
      </c>
      <c r="F2825">
        <v>63</v>
      </c>
      <c r="G2825" t="s">
        <v>131</v>
      </c>
      <c r="H2825" t="s">
        <v>39</v>
      </c>
      <c r="I2825" t="s">
        <v>69</v>
      </c>
      <c r="J2825" t="s">
        <v>47</v>
      </c>
      <c r="K2825">
        <v>4.5</v>
      </c>
      <c r="L2825" t="s">
        <v>143</v>
      </c>
      <c r="M2825" t="s">
        <v>143</v>
      </c>
      <c r="N2825">
        <v>47</v>
      </c>
      <c r="O2825" t="s">
        <v>77</v>
      </c>
      <c r="P2825" t="s">
        <v>67</v>
      </c>
    </row>
    <row r="2826" spans="1:16" ht="14.5" x14ac:dyDescent="0.35">
      <c r="A2826">
        <v>2825</v>
      </c>
      <c r="B2826">
        <v>39</v>
      </c>
      <c r="C2826" t="s">
        <v>144</v>
      </c>
      <c r="D2826" t="s">
        <v>115</v>
      </c>
      <c r="E2826" t="s">
        <v>60</v>
      </c>
      <c r="F2826">
        <v>90</v>
      </c>
      <c r="G2826" t="s">
        <v>131</v>
      </c>
      <c r="H2826" t="s">
        <v>39</v>
      </c>
      <c r="I2826" t="s">
        <v>65</v>
      </c>
      <c r="J2826" t="s">
        <v>50</v>
      </c>
      <c r="K2826">
        <v>4</v>
      </c>
      <c r="L2826" t="s">
        <v>143</v>
      </c>
      <c r="M2826" t="s">
        <v>143</v>
      </c>
      <c r="N2826">
        <v>49</v>
      </c>
      <c r="O2826" t="s">
        <v>77</v>
      </c>
      <c r="P2826" t="s">
        <v>51</v>
      </c>
    </row>
    <row r="2827" spans="1:16" ht="14.5" x14ac:dyDescent="0.35">
      <c r="A2827">
        <v>2826</v>
      </c>
      <c r="B2827">
        <v>69</v>
      </c>
      <c r="C2827" t="s">
        <v>144</v>
      </c>
      <c r="D2827" t="s">
        <v>59</v>
      </c>
      <c r="E2827" t="s">
        <v>60</v>
      </c>
      <c r="F2827">
        <v>62</v>
      </c>
      <c r="G2827" t="s">
        <v>89</v>
      </c>
      <c r="H2827" t="s">
        <v>39</v>
      </c>
      <c r="I2827" t="s">
        <v>125</v>
      </c>
      <c r="J2827" t="s">
        <v>22</v>
      </c>
      <c r="K2827">
        <v>4.3</v>
      </c>
      <c r="L2827" t="s">
        <v>143</v>
      </c>
      <c r="M2827" t="s">
        <v>143</v>
      </c>
      <c r="N2827">
        <v>28</v>
      </c>
      <c r="O2827" t="s">
        <v>66</v>
      </c>
      <c r="P2827" t="s">
        <v>43</v>
      </c>
    </row>
    <row r="2828" spans="1:16" ht="14.5" x14ac:dyDescent="0.35">
      <c r="A2828">
        <v>2827</v>
      </c>
      <c r="B2828">
        <v>32</v>
      </c>
      <c r="C2828" t="s">
        <v>144</v>
      </c>
      <c r="D2828" t="s">
        <v>59</v>
      </c>
      <c r="E2828" t="s">
        <v>60</v>
      </c>
      <c r="F2828">
        <v>43</v>
      </c>
      <c r="G2828" t="s">
        <v>94</v>
      </c>
      <c r="H2828" t="s">
        <v>20</v>
      </c>
      <c r="I2828" t="s">
        <v>101</v>
      </c>
      <c r="J2828" t="s">
        <v>50</v>
      </c>
      <c r="K2828">
        <v>3.6</v>
      </c>
      <c r="L2828" t="s">
        <v>143</v>
      </c>
      <c r="M2828" t="s">
        <v>143</v>
      </c>
      <c r="N2828">
        <v>23</v>
      </c>
      <c r="O2828" t="s">
        <v>24</v>
      </c>
      <c r="P2828" t="s">
        <v>43</v>
      </c>
    </row>
    <row r="2829" spans="1:16" ht="14.5" x14ac:dyDescent="0.35">
      <c r="A2829">
        <v>2828</v>
      </c>
      <c r="B2829">
        <v>20</v>
      </c>
      <c r="C2829" t="s">
        <v>144</v>
      </c>
      <c r="D2829" t="s">
        <v>17</v>
      </c>
      <c r="E2829" t="s">
        <v>18</v>
      </c>
      <c r="F2829">
        <v>96</v>
      </c>
      <c r="G2829" t="s">
        <v>141</v>
      </c>
      <c r="H2829" t="s">
        <v>39</v>
      </c>
      <c r="I2829" t="s">
        <v>127</v>
      </c>
      <c r="J2829" t="s">
        <v>50</v>
      </c>
      <c r="K2829">
        <v>3.1</v>
      </c>
      <c r="L2829" t="s">
        <v>143</v>
      </c>
      <c r="M2829" t="s">
        <v>143</v>
      </c>
      <c r="N2829">
        <v>11</v>
      </c>
      <c r="O2829" t="s">
        <v>66</v>
      </c>
      <c r="P2829" t="s">
        <v>67</v>
      </c>
    </row>
    <row r="2830" spans="1:16" ht="14.5" x14ac:dyDescent="0.35">
      <c r="A2830">
        <v>2829</v>
      </c>
      <c r="B2830">
        <v>25</v>
      </c>
      <c r="C2830" t="s">
        <v>144</v>
      </c>
      <c r="D2830" t="s">
        <v>110</v>
      </c>
      <c r="E2830" t="s">
        <v>60</v>
      </c>
      <c r="F2830">
        <v>83</v>
      </c>
      <c r="G2830" t="s">
        <v>113</v>
      </c>
      <c r="H2830" t="s">
        <v>20</v>
      </c>
      <c r="I2830" t="s">
        <v>84</v>
      </c>
      <c r="J2830" t="s">
        <v>50</v>
      </c>
      <c r="K2830">
        <v>2.6</v>
      </c>
      <c r="L2830" t="s">
        <v>143</v>
      </c>
      <c r="M2830" t="s">
        <v>143</v>
      </c>
      <c r="N2830">
        <v>33</v>
      </c>
      <c r="O2830" t="s">
        <v>40</v>
      </c>
      <c r="P2830" t="s">
        <v>51</v>
      </c>
    </row>
    <row r="2831" spans="1:16" ht="14.5" x14ac:dyDescent="0.35">
      <c r="A2831">
        <v>2830</v>
      </c>
      <c r="B2831">
        <v>56</v>
      </c>
      <c r="C2831" t="s">
        <v>144</v>
      </c>
      <c r="D2831" t="s">
        <v>97</v>
      </c>
      <c r="E2831" t="s">
        <v>60</v>
      </c>
      <c r="F2831">
        <v>67</v>
      </c>
      <c r="G2831" t="s">
        <v>108</v>
      </c>
      <c r="H2831" t="s">
        <v>83</v>
      </c>
      <c r="I2831" t="s">
        <v>76</v>
      </c>
      <c r="J2831" t="s">
        <v>50</v>
      </c>
      <c r="K2831">
        <v>3.4</v>
      </c>
      <c r="L2831" t="s">
        <v>143</v>
      </c>
      <c r="M2831" t="s">
        <v>143</v>
      </c>
      <c r="N2831">
        <v>47</v>
      </c>
      <c r="O2831" t="s">
        <v>29</v>
      </c>
      <c r="P2831" t="s">
        <v>35</v>
      </c>
    </row>
    <row r="2832" spans="1:16" ht="14.5" x14ac:dyDescent="0.35">
      <c r="A2832">
        <v>2831</v>
      </c>
      <c r="B2832">
        <v>63</v>
      </c>
      <c r="C2832" t="s">
        <v>144</v>
      </c>
      <c r="D2832" t="s">
        <v>78</v>
      </c>
      <c r="E2832" t="s">
        <v>18</v>
      </c>
      <c r="F2832">
        <v>90</v>
      </c>
      <c r="G2832" t="s">
        <v>41</v>
      </c>
      <c r="H2832" t="s">
        <v>20</v>
      </c>
      <c r="I2832" t="s">
        <v>100</v>
      </c>
      <c r="J2832" t="s">
        <v>33</v>
      </c>
      <c r="K2832">
        <v>2.9</v>
      </c>
      <c r="L2832" t="s">
        <v>143</v>
      </c>
      <c r="M2832" t="s">
        <v>143</v>
      </c>
      <c r="N2832">
        <v>13</v>
      </c>
      <c r="O2832" t="s">
        <v>24</v>
      </c>
      <c r="P2832" t="s">
        <v>88</v>
      </c>
    </row>
    <row r="2833" spans="1:16" ht="14.5" x14ac:dyDescent="0.35">
      <c r="A2833">
        <v>2832</v>
      </c>
      <c r="B2833">
        <v>34</v>
      </c>
      <c r="C2833" t="s">
        <v>144</v>
      </c>
      <c r="D2833" t="s">
        <v>95</v>
      </c>
      <c r="E2833" t="s">
        <v>18</v>
      </c>
      <c r="F2833">
        <v>53</v>
      </c>
      <c r="G2833" t="s">
        <v>132</v>
      </c>
      <c r="H2833" t="s">
        <v>20</v>
      </c>
      <c r="I2833" t="s">
        <v>62</v>
      </c>
      <c r="J2833" t="s">
        <v>22</v>
      </c>
      <c r="K2833">
        <v>5</v>
      </c>
      <c r="L2833" t="s">
        <v>143</v>
      </c>
      <c r="M2833" t="s">
        <v>143</v>
      </c>
      <c r="N2833">
        <v>4</v>
      </c>
      <c r="O2833" t="s">
        <v>34</v>
      </c>
      <c r="P2833" t="s">
        <v>35</v>
      </c>
    </row>
    <row r="2834" spans="1:16" ht="14.5" x14ac:dyDescent="0.35">
      <c r="A2834">
        <v>2833</v>
      </c>
      <c r="B2834">
        <v>29</v>
      </c>
      <c r="C2834" t="s">
        <v>144</v>
      </c>
      <c r="D2834" t="s">
        <v>110</v>
      </c>
      <c r="E2834" t="s">
        <v>60</v>
      </c>
      <c r="F2834">
        <v>37</v>
      </c>
      <c r="G2834" t="s">
        <v>119</v>
      </c>
      <c r="H2834" t="s">
        <v>39</v>
      </c>
      <c r="I2834" t="s">
        <v>127</v>
      </c>
      <c r="J2834" t="s">
        <v>47</v>
      </c>
      <c r="K2834">
        <v>4.5999999999999996</v>
      </c>
      <c r="L2834" t="s">
        <v>143</v>
      </c>
      <c r="M2834" t="s">
        <v>143</v>
      </c>
      <c r="N2834">
        <v>40</v>
      </c>
      <c r="O2834" t="s">
        <v>40</v>
      </c>
      <c r="P2834" t="s">
        <v>51</v>
      </c>
    </row>
    <row r="2835" spans="1:16" ht="14.5" x14ac:dyDescent="0.35">
      <c r="A2835">
        <v>2834</v>
      </c>
      <c r="B2835">
        <v>43</v>
      </c>
      <c r="C2835" t="s">
        <v>144</v>
      </c>
      <c r="D2835" t="s">
        <v>30</v>
      </c>
      <c r="E2835" t="s">
        <v>18</v>
      </c>
      <c r="F2835">
        <v>56</v>
      </c>
      <c r="G2835" t="s">
        <v>64</v>
      </c>
      <c r="H2835" t="s">
        <v>39</v>
      </c>
      <c r="I2835" t="s">
        <v>76</v>
      </c>
      <c r="J2835" t="s">
        <v>50</v>
      </c>
      <c r="K2835">
        <v>3.3</v>
      </c>
      <c r="L2835" t="s">
        <v>143</v>
      </c>
      <c r="M2835" t="s">
        <v>143</v>
      </c>
      <c r="N2835">
        <v>19</v>
      </c>
      <c r="O2835" t="s">
        <v>29</v>
      </c>
      <c r="P2835" t="s">
        <v>79</v>
      </c>
    </row>
    <row r="2836" spans="1:16" ht="14.5" x14ac:dyDescent="0.35">
      <c r="A2836">
        <v>2835</v>
      </c>
      <c r="B2836">
        <v>39</v>
      </c>
      <c r="C2836" t="s">
        <v>144</v>
      </c>
      <c r="D2836" t="s">
        <v>93</v>
      </c>
      <c r="E2836" t="s">
        <v>56</v>
      </c>
      <c r="F2836">
        <v>43</v>
      </c>
      <c r="G2836" t="s">
        <v>96</v>
      </c>
      <c r="H2836" t="s">
        <v>39</v>
      </c>
      <c r="I2836" t="s">
        <v>117</v>
      </c>
      <c r="J2836" t="s">
        <v>50</v>
      </c>
      <c r="K2836">
        <v>2.9</v>
      </c>
      <c r="L2836" t="s">
        <v>143</v>
      </c>
      <c r="M2836" t="s">
        <v>143</v>
      </c>
      <c r="N2836">
        <v>17</v>
      </c>
      <c r="O2836" t="s">
        <v>34</v>
      </c>
      <c r="P2836" t="s">
        <v>35</v>
      </c>
    </row>
    <row r="2837" spans="1:16" ht="14.5" x14ac:dyDescent="0.35">
      <c r="A2837">
        <v>2836</v>
      </c>
      <c r="B2837">
        <v>33</v>
      </c>
      <c r="C2837" t="s">
        <v>144</v>
      </c>
      <c r="D2837" t="s">
        <v>104</v>
      </c>
      <c r="E2837" t="s">
        <v>18</v>
      </c>
      <c r="F2837">
        <v>84</v>
      </c>
      <c r="G2837" t="s">
        <v>120</v>
      </c>
      <c r="H2837" t="s">
        <v>32</v>
      </c>
      <c r="I2837" t="s">
        <v>62</v>
      </c>
      <c r="J2837" t="s">
        <v>22</v>
      </c>
      <c r="K2837">
        <v>4.9000000000000004</v>
      </c>
      <c r="L2837" t="s">
        <v>143</v>
      </c>
      <c r="M2837" t="s">
        <v>143</v>
      </c>
      <c r="N2837">
        <v>7</v>
      </c>
      <c r="O2837" t="s">
        <v>24</v>
      </c>
      <c r="P2837" t="s">
        <v>43</v>
      </c>
    </row>
    <row r="2838" spans="1:16" ht="14.5" x14ac:dyDescent="0.35">
      <c r="A2838">
        <v>2837</v>
      </c>
      <c r="B2838">
        <v>51</v>
      </c>
      <c r="C2838" t="s">
        <v>144</v>
      </c>
      <c r="D2838" t="s">
        <v>86</v>
      </c>
      <c r="E2838" t="s">
        <v>18</v>
      </c>
      <c r="F2838">
        <v>50</v>
      </c>
      <c r="G2838" t="s">
        <v>45</v>
      </c>
      <c r="H2838" t="s">
        <v>39</v>
      </c>
      <c r="I2838" t="s">
        <v>54</v>
      </c>
      <c r="J2838" t="s">
        <v>22</v>
      </c>
      <c r="K2838">
        <v>5</v>
      </c>
      <c r="L2838" t="s">
        <v>143</v>
      </c>
      <c r="M2838" t="s">
        <v>143</v>
      </c>
      <c r="N2838">
        <v>21</v>
      </c>
      <c r="O2838" t="s">
        <v>29</v>
      </c>
      <c r="P2838" t="s">
        <v>67</v>
      </c>
    </row>
    <row r="2839" spans="1:16" ht="14.5" x14ac:dyDescent="0.35">
      <c r="A2839">
        <v>2838</v>
      </c>
      <c r="B2839">
        <v>65</v>
      </c>
      <c r="C2839" t="s">
        <v>144</v>
      </c>
      <c r="D2839" t="s">
        <v>63</v>
      </c>
      <c r="E2839" t="s">
        <v>37</v>
      </c>
      <c r="F2839">
        <v>88</v>
      </c>
      <c r="G2839" t="s">
        <v>81</v>
      </c>
      <c r="H2839" t="s">
        <v>39</v>
      </c>
      <c r="I2839" t="s">
        <v>101</v>
      </c>
      <c r="J2839" t="s">
        <v>47</v>
      </c>
      <c r="K2839">
        <v>4.5</v>
      </c>
      <c r="L2839" t="s">
        <v>143</v>
      </c>
      <c r="M2839" t="s">
        <v>143</v>
      </c>
      <c r="N2839">
        <v>44</v>
      </c>
      <c r="O2839" t="s">
        <v>40</v>
      </c>
      <c r="P2839" t="s">
        <v>35</v>
      </c>
    </row>
    <row r="2840" spans="1:16" ht="14.5" x14ac:dyDescent="0.35">
      <c r="A2840">
        <v>2839</v>
      </c>
      <c r="B2840">
        <v>51</v>
      </c>
      <c r="C2840" t="s">
        <v>144</v>
      </c>
      <c r="D2840" t="s">
        <v>93</v>
      </c>
      <c r="E2840" t="s">
        <v>56</v>
      </c>
      <c r="F2840">
        <v>50</v>
      </c>
      <c r="G2840" t="s">
        <v>27</v>
      </c>
      <c r="H2840" t="s">
        <v>39</v>
      </c>
      <c r="I2840" t="s">
        <v>135</v>
      </c>
      <c r="J2840" t="s">
        <v>50</v>
      </c>
      <c r="K2840">
        <v>3.7</v>
      </c>
      <c r="L2840" t="s">
        <v>143</v>
      </c>
      <c r="M2840" t="s">
        <v>143</v>
      </c>
      <c r="N2840">
        <v>2</v>
      </c>
      <c r="O2840" t="s">
        <v>66</v>
      </c>
      <c r="P2840" t="s">
        <v>35</v>
      </c>
    </row>
    <row r="2841" spans="1:16" ht="14.5" x14ac:dyDescent="0.35">
      <c r="A2841">
        <v>2840</v>
      </c>
      <c r="B2841">
        <v>70</v>
      </c>
      <c r="C2841" t="s">
        <v>144</v>
      </c>
      <c r="D2841" t="s">
        <v>110</v>
      </c>
      <c r="E2841" t="s">
        <v>60</v>
      </c>
      <c r="F2841">
        <v>80</v>
      </c>
      <c r="G2841" t="s">
        <v>138</v>
      </c>
      <c r="H2841" t="s">
        <v>20</v>
      </c>
      <c r="I2841" t="s">
        <v>76</v>
      </c>
      <c r="J2841" t="s">
        <v>47</v>
      </c>
      <c r="K2841">
        <v>2.8</v>
      </c>
      <c r="L2841" t="s">
        <v>143</v>
      </c>
      <c r="M2841" t="s">
        <v>143</v>
      </c>
      <c r="N2841">
        <v>30</v>
      </c>
      <c r="O2841" t="s">
        <v>66</v>
      </c>
      <c r="P2841" t="s">
        <v>79</v>
      </c>
    </row>
    <row r="2842" spans="1:16" ht="14.5" x14ac:dyDescent="0.35">
      <c r="A2842">
        <v>2841</v>
      </c>
      <c r="B2842">
        <v>40</v>
      </c>
      <c r="C2842" t="s">
        <v>144</v>
      </c>
      <c r="D2842" t="s">
        <v>104</v>
      </c>
      <c r="E2842" t="s">
        <v>18</v>
      </c>
      <c r="F2842">
        <v>47</v>
      </c>
      <c r="G2842" t="s">
        <v>57</v>
      </c>
      <c r="H2842" t="s">
        <v>20</v>
      </c>
      <c r="I2842" t="s">
        <v>62</v>
      </c>
      <c r="J2842" t="s">
        <v>33</v>
      </c>
      <c r="K2842">
        <v>3.5</v>
      </c>
      <c r="L2842" t="s">
        <v>143</v>
      </c>
      <c r="M2842" t="s">
        <v>143</v>
      </c>
      <c r="N2842">
        <v>41</v>
      </c>
      <c r="O2842" t="s">
        <v>29</v>
      </c>
      <c r="P2842" t="s">
        <v>43</v>
      </c>
    </row>
    <row r="2843" spans="1:16" ht="14.5" x14ac:dyDescent="0.35">
      <c r="A2843">
        <v>2842</v>
      </c>
      <c r="B2843">
        <v>19</v>
      </c>
      <c r="C2843" t="s">
        <v>144</v>
      </c>
      <c r="D2843" t="s">
        <v>72</v>
      </c>
      <c r="E2843" t="s">
        <v>18</v>
      </c>
      <c r="F2843">
        <v>33</v>
      </c>
      <c r="G2843" t="s">
        <v>114</v>
      </c>
      <c r="H2843" t="s">
        <v>83</v>
      </c>
      <c r="I2843" t="s">
        <v>127</v>
      </c>
      <c r="J2843" t="s">
        <v>22</v>
      </c>
      <c r="K2843">
        <v>3</v>
      </c>
      <c r="L2843" t="s">
        <v>143</v>
      </c>
      <c r="M2843" t="s">
        <v>143</v>
      </c>
      <c r="N2843">
        <v>31</v>
      </c>
      <c r="O2843" t="s">
        <v>29</v>
      </c>
      <c r="P2843" t="s">
        <v>35</v>
      </c>
    </row>
    <row r="2844" spans="1:16" ht="14.5" x14ac:dyDescent="0.35">
      <c r="A2844">
        <v>2843</v>
      </c>
      <c r="B2844">
        <v>28</v>
      </c>
      <c r="C2844" t="s">
        <v>144</v>
      </c>
      <c r="D2844" t="s">
        <v>55</v>
      </c>
      <c r="E2844" t="s">
        <v>56</v>
      </c>
      <c r="F2844">
        <v>100</v>
      </c>
      <c r="G2844" t="s">
        <v>108</v>
      </c>
      <c r="H2844" t="s">
        <v>20</v>
      </c>
      <c r="I2844" t="s">
        <v>87</v>
      </c>
      <c r="J2844" t="s">
        <v>50</v>
      </c>
      <c r="K2844">
        <v>4.3</v>
      </c>
      <c r="L2844" t="s">
        <v>143</v>
      </c>
      <c r="M2844" t="s">
        <v>143</v>
      </c>
      <c r="N2844">
        <v>48</v>
      </c>
      <c r="O2844" t="s">
        <v>77</v>
      </c>
      <c r="P2844" t="s">
        <v>51</v>
      </c>
    </row>
    <row r="2845" spans="1:16" ht="14.5" x14ac:dyDescent="0.35">
      <c r="A2845">
        <v>2844</v>
      </c>
      <c r="B2845">
        <v>51</v>
      </c>
      <c r="C2845" t="s">
        <v>144</v>
      </c>
      <c r="D2845" t="s">
        <v>26</v>
      </c>
      <c r="E2845" t="s">
        <v>18</v>
      </c>
      <c r="F2845">
        <v>26</v>
      </c>
      <c r="G2845" t="s">
        <v>114</v>
      </c>
      <c r="H2845" t="s">
        <v>39</v>
      </c>
      <c r="I2845" t="s">
        <v>46</v>
      </c>
      <c r="J2845" t="s">
        <v>47</v>
      </c>
      <c r="K2845">
        <v>3.6</v>
      </c>
      <c r="L2845" t="s">
        <v>143</v>
      </c>
      <c r="M2845" t="s">
        <v>143</v>
      </c>
      <c r="N2845">
        <v>41</v>
      </c>
      <c r="O2845" t="s">
        <v>24</v>
      </c>
      <c r="P2845" t="s">
        <v>35</v>
      </c>
    </row>
    <row r="2846" spans="1:16" ht="14.5" x14ac:dyDescent="0.35">
      <c r="A2846">
        <v>2845</v>
      </c>
      <c r="B2846">
        <v>32</v>
      </c>
      <c r="C2846" t="s">
        <v>144</v>
      </c>
      <c r="D2846" t="s">
        <v>115</v>
      </c>
      <c r="E2846" t="s">
        <v>60</v>
      </c>
      <c r="F2846">
        <v>79</v>
      </c>
      <c r="G2846" t="s">
        <v>121</v>
      </c>
      <c r="H2846" t="s">
        <v>39</v>
      </c>
      <c r="I2846" t="s">
        <v>117</v>
      </c>
      <c r="J2846" t="s">
        <v>47</v>
      </c>
      <c r="K2846">
        <v>4.4000000000000004</v>
      </c>
      <c r="L2846" t="s">
        <v>143</v>
      </c>
      <c r="M2846" t="s">
        <v>143</v>
      </c>
      <c r="N2846">
        <v>42</v>
      </c>
      <c r="O2846" t="s">
        <v>24</v>
      </c>
      <c r="P2846" t="s">
        <v>43</v>
      </c>
    </row>
    <row r="2847" spans="1:16" ht="14.5" x14ac:dyDescent="0.35">
      <c r="A2847">
        <v>2846</v>
      </c>
      <c r="B2847">
        <v>26</v>
      </c>
      <c r="C2847" t="s">
        <v>144</v>
      </c>
      <c r="D2847" t="s">
        <v>123</v>
      </c>
      <c r="E2847" t="s">
        <v>60</v>
      </c>
      <c r="F2847">
        <v>77</v>
      </c>
      <c r="G2847" t="s">
        <v>138</v>
      </c>
      <c r="H2847" t="s">
        <v>20</v>
      </c>
      <c r="I2847" t="s">
        <v>84</v>
      </c>
      <c r="J2847" t="s">
        <v>47</v>
      </c>
      <c r="K2847">
        <v>4.0999999999999996</v>
      </c>
      <c r="L2847" t="s">
        <v>143</v>
      </c>
      <c r="M2847" t="s">
        <v>143</v>
      </c>
      <c r="N2847">
        <v>39</v>
      </c>
      <c r="O2847" t="s">
        <v>77</v>
      </c>
      <c r="P2847" t="s">
        <v>88</v>
      </c>
    </row>
    <row r="2848" spans="1:16" ht="14.5" x14ac:dyDescent="0.35">
      <c r="A2848">
        <v>2847</v>
      </c>
      <c r="B2848">
        <v>50</v>
      </c>
      <c r="C2848" t="s">
        <v>144</v>
      </c>
      <c r="D2848" t="s">
        <v>116</v>
      </c>
      <c r="E2848" t="s">
        <v>18</v>
      </c>
      <c r="F2848">
        <v>36</v>
      </c>
      <c r="G2848" t="s">
        <v>92</v>
      </c>
      <c r="H2848" t="s">
        <v>83</v>
      </c>
      <c r="I2848" t="s">
        <v>85</v>
      </c>
      <c r="J2848" t="s">
        <v>50</v>
      </c>
      <c r="K2848">
        <v>2.8</v>
      </c>
      <c r="L2848" t="s">
        <v>143</v>
      </c>
      <c r="M2848" t="s">
        <v>143</v>
      </c>
      <c r="N2848">
        <v>15</v>
      </c>
      <c r="O2848" t="s">
        <v>40</v>
      </c>
      <c r="P2848" t="s">
        <v>67</v>
      </c>
    </row>
    <row r="2849" spans="1:16" ht="14.5" x14ac:dyDescent="0.35">
      <c r="A2849">
        <v>2848</v>
      </c>
      <c r="B2849">
        <v>68</v>
      </c>
      <c r="C2849" t="s">
        <v>144</v>
      </c>
      <c r="D2849" t="s">
        <v>97</v>
      </c>
      <c r="E2849" t="s">
        <v>60</v>
      </c>
      <c r="F2849">
        <v>21</v>
      </c>
      <c r="G2849" t="s">
        <v>130</v>
      </c>
      <c r="H2849" t="s">
        <v>20</v>
      </c>
      <c r="I2849" t="s">
        <v>54</v>
      </c>
      <c r="J2849" t="s">
        <v>22</v>
      </c>
      <c r="K2849">
        <v>2.8</v>
      </c>
      <c r="L2849" t="s">
        <v>143</v>
      </c>
      <c r="M2849" t="s">
        <v>143</v>
      </c>
      <c r="N2849">
        <v>3</v>
      </c>
      <c r="O2849" t="s">
        <v>40</v>
      </c>
      <c r="P2849" t="s">
        <v>88</v>
      </c>
    </row>
    <row r="2850" spans="1:16" ht="14.5" x14ac:dyDescent="0.35">
      <c r="A2850">
        <v>2849</v>
      </c>
      <c r="B2850">
        <v>33</v>
      </c>
      <c r="C2850" t="s">
        <v>144</v>
      </c>
      <c r="D2850" t="s">
        <v>128</v>
      </c>
      <c r="E2850" t="s">
        <v>37</v>
      </c>
      <c r="F2850">
        <v>72</v>
      </c>
      <c r="G2850" t="s">
        <v>141</v>
      </c>
      <c r="H2850" t="s">
        <v>20</v>
      </c>
      <c r="I2850" t="s">
        <v>21</v>
      </c>
      <c r="J2850" t="s">
        <v>50</v>
      </c>
      <c r="K2850">
        <v>4.9000000000000004</v>
      </c>
      <c r="L2850" t="s">
        <v>143</v>
      </c>
      <c r="M2850" t="s">
        <v>143</v>
      </c>
      <c r="N2850">
        <v>28</v>
      </c>
      <c r="O2850" t="s">
        <v>66</v>
      </c>
      <c r="P2850" t="s">
        <v>51</v>
      </c>
    </row>
    <row r="2851" spans="1:16" ht="14.5" x14ac:dyDescent="0.35">
      <c r="A2851">
        <v>2850</v>
      </c>
      <c r="B2851">
        <v>56</v>
      </c>
      <c r="C2851" t="s">
        <v>144</v>
      </c>
      <c r="D2851" t="s">
        <v>55</v>
      </c>
      <c r="E2851" t="s">
        <v>56</v>
      </c>
      <c r="F2851">
        <v>25</v>
      </c>
      <c r="G2851" t="s">
        <v>73</v>
      </c>
      <c r="H2851" t="s">
        <v>39</v>
      </c>
      <c r="I2851" t="s">
        <v>71</v>
      </c>
      <c r="J2851" t="s">
        <v>33</v>
      </c>
      <c r="K2851">
        <v>4.0999999999999996</v>
      </c>
      <c r="L2851" t="s">
        <v>143</v>
      </c>
      <c r="M2851" t="s">
        <v>143</v>
      </c>
      <c r="N2851">
        <v>27</v>
      </c>
      <c r="O2851" t="s">
        <v>40</v>
      </c>
      <c r="P2851" t="s">
        <v>67</v>
      </c>
    </row>
    <row r="2852" spans="1:16" ht="14.5" x14ac:dyDescent="0.35">
      <c r="A2852">
        <v>2851</v>
      </c>
      <c r="B2852">
        <v>57</v>
      </c>
      <c r="C2852" t="s">
        <v>144</v>
      </c>
      <c r="D2852" t="s">
        <v>26</v>
      </c>
      <c r="E2852" t="s">
        <v>18</v>
      </c>
      <c r="F2852">
        <v>79</v>
      </c>
      <c r="G2852" t="s">
        <v>136</v>
      </c>
      <c r="H2852" t="s">
        <v>39</v>
      </c>
      <c r="I2852" t="s">
        <v>58</v>
      </c>
      <c r="J2852" t="s">
        <v>33</v>
      </c>
      <c r="K2852">
        <v>3</v>
      </c>
      <c r="L2852" t="s">
        <v>143</v>
      </c>
      <c r="M2852" t="s">
        <v>143</v>
      </c>
      <c r="N2852">
        <v>36</v>
      </c>
      <c r="O2852" t="s">
        <v>77</v>
      </c>
      <c r="P2852" t="s">
        <v>43</v>
      </c>
    </row>
    <row r="2853" spans="1:16" ht="14.5" x14ac:dyDescent="0.35">
      <c r="A2853">
        <v>2852</v>
      </c>
      <c r="B2853">
        <v>58</v>
      </c>
      <c r="C2853" t="s">
        <v>144</v>
      </c>
      <c r="D2853" t="s">
        <v>17</v>
      </c>
      <c r="E2853" t="s">
        <v>18</v>
      </c>
      <c r="F2853">
        <v>73</v>
      </c>
      <c r="G2853" t="s">
        <v>98</v>
      </c>
      <c r="H2853" t="s">
        <v>20</v>
      </c>
      <c r="I2853" t="s">
        <v>76</v>
      </c>
      <c r="J2853" t="s">
        <v>47</v>
      </c>
      <c r="K2853">
        <v>3</v>
      </c>
      <c r="L2853" t="s">
        <v>143</v>
      </c>
      <c r="M2853" t="s">
        <v>143</v>
      </c>
      <c r="N2853">
        <v>42</v>
      </c>
      <c r="O2853" t="s">
        <v>77</v>
      </c>
      <c r="P2853" t="s">
        <v>79</v>
      </c>
    </row>
    <row r="2854" spans="1:16" ht="14.5" x14ac:dyDescent="0.35">
      <c r="A2854">
        <v>2853</v>
      </c>
      <c r="B2854">
        <v>40</v>
      </c>
      <c r="C2854" t="s">
        <v>144</v>
      </c>
      <c r="D2854" t="s">
        <v>124</v>
      </c>
      <c r="E2854" t="s">
        <v>60</v>
      </c>
      <c r="F2854">
        <v>71</v>
      </c>
      <c r="G2854" t="s">
        <v>75</v>
      </c>
      <c r="H2854" t="s">
        <v>39</v>
      </c>
      <c r="I2854" t="s">
        <v>127</v>
      </c>
      <c r="J2854" t="s">
        <v>33</v>
      </c>
      <c r="K2854">
        <v>3</v>
      </c>
      <c r="L2854" t="s">
        <v>143</v>
      </c>
      <c r="M2854" t="s">
        <v>143</v>
      </c>
      <c r="N2854">
        <v>30</v>
      </c>
      <c r="O2854" t="s">
        <v>24</v>
      </c>
      <c r="P2854" t="s">
        <v>35</v>
      </c>
    </row>
    <row r="2855" spans="1:16" ht="14.5" x14ac:dyDescent="0.35">
      <c r="A2855">
        <v>2854</v>
      </c>
      <c r="B2855">
        <v>37</v>
      </c>
      <c r="C2855" t="s">
        <v>144</v>
      </c>
      <c r="D2855" t="s">
        <v>115</v>
      </c>
      <c r="E2855" t="s">
        <v>60</v>
      </c>
      <c r="F2855">
        <v>48</v>
      </c>
      <c r="G2855" t="s">
        <v>129</v>
      </c>
      <c r="H2855" t="s">
        <v>39</v>
      </c>
      <c r="I2855" t="s">
        <v>127</v>
      </c>
      <c r="J2855" t="s">
        <v>22</v>
      </c>
      <c r="K2855">
        <v>3.2</v>
      </c>
      <c r="L2855" t="s">
        <v>143</v>
      </c>
      <c r="M2855" t="s">
        <v>143</v>
      </c>
      <c r="N2855">
        <v>9</v>
      </c>
      <c r="O2855" t="s">
        <v>40</v>
      </c>
      <c r="P2855" t="s">
        <v>35</v>
      </c>
    </row>
    <row r="2856" spans="1:16" ht="14.5" x14ac:dyDescent="0.35">
      <c r="A2856">
        <v>2855</v>
      </c>
      <c r="B2856">
        <v>36</v>
      </c>
      <c r="C2856" t="s">
        <v>144</v>
      </c>
      <c r="D2856" t="s">
        <v>36</v>
      </c>
      <c r="E2856" t="s">
        <v>37</v>
      </c>
      <c r="F2856">
        <v>28</v>
      </c>
      <c r="G2856" t="s">
        <v>70</v>
      </c>
      <c r="H2856" t="s">
        <v>39</v>
      </c>
      <c r="I2856" t="s">
        <v>109</v>
      </c>
      <c r="J2856" t="s">
        <v>50</v>
      </c>
      <c r="K2856">
        <v>2.7</v>
      </c>
      <c r="L2856" t="s">
        <v>143</v>
      </c>
      <c r="M2856" t="s">
        <v>143</v>
      </c>
      <c r="N2856">
        <v>25</v>
      </c>
      <c r="O2856" t="s">
        <v>24</v>
      </c>
      <c r="P2856" t="s">
        <v>79</v>
      </c>
    </row>
    <row r="2857" spans="1:16" ht="14.5" x14ac:dyDescent="0.35">
      <c r="A2857">
        <v>2856</v>
      </c>
      <c r="B2857">
        <v>29</v>
      </c>
      <c r="C2857" t="s">
        <v>144</v>
      </c>
      <c r="D2857" t="s">
        <v>128</v>
      </c>
      <c r="E2857" t="s">
        <v>37</v>
      </c>
      <c r="F2857">
        <v>95</v>
      </c>
      <c r="G2857" t="s">
        <v>82</v>
      </c>
      <c r="H2857" t="s">
        <v>32</v>
      </c>
      <c r="I2857" t="s">
        <v>28</v>
      </c>
      <c r="J2857" t="s">
        <v>22</v>
      </c>
      <c r="K2857">
        <v>3.8</v>
      </c>
      <c r="L2857" t="s">
        <v>143</v>
      </c>
      <c r="M2857" t="s">
        <v>143</v>
      </c>
      <c r="N2857">
        <v>33</v>
      </c>
      <c r="O2857" t="s">
        <v>40</v>
      </c>
      <c r="P2857" t="s">
        <v>51</v>
      </c>
    </row>
    <row r="2858" spans="1:16" ht="14.5" x14ac:dyDescent="0.35">
      <c r="A2858">
        <v>2857</v>
      </c>
      <c r="B2858">
        <v>65</v>
      </c>
      <c r="C2858" t="s">
        <v>144</v>
      </c>
      <c r="D2858" t="s">
        <v>93</v>
      </c>
      <c r="E2858" t="s">
        <v>56</v>
      </c>
      <c r="F2858">
        <v>48</v>
      </c>
      <c r="G2858" t="s">
        <v>137</v>
      </c>
      <c r="H2858" t="s">
        <v>39</v>
      </c>
      <c r="I2858" t="s">
        <v>117</v>
      </c>
      <c r="J2858" t="s">
        <v>22</v>
      </c>
      <c r="K2858">
        <v>3.5</v>
      </c>
      <c r="L2858" t="s">
        <v>143</v>
      </c>
      <c r="M2858" t="s">
        <v>143</v>
      </c>
      <c r="N2858">
        <v>31</v>
      </c>
      <c r="O2858" t="s">
        <v>34</v>
      </c>
      <c r="P2858" t="s">
        <v>79</v>
      </c>
    </row>
    <row r="2859" spans="1:16" ht="14.5" x14ac:dyDescent="0.35">
      <c r="A2859">
        <v>2858</v>
      </c>
      <c r="B2859">
        <v>44</v>
      </c>
      <c r="C2859" t="s">
        <v>144</v>
      </c>
      <c r="D2859" t="s">
        <v>72</v>
      </c>
      <c r="E2859" t="s">
        <v>18</v>
      </c>
      <c r="F2859">
        <v>93</v>
      </c>
      <c r="G2859" t="s">
        <v>131</v>
      </c>
      <c r="H2859" t="s">
        <v>32</v>
      </c>
      <c r="I2859" t="s">
        <v>28</v>
      </c>
      <c r="J2859" t="s">
        <v>33</v>
      </c>
      <c r="K2859">
        <v>3.8</v>
      </c>
      <c r="L2859" t="s">
        <v>143</v>
      </c>
      <c r="M2859" t="s">
        <v>143</v>
      </c>
      <c r="N2859">
        <v>35</v>
      </c>
      <c r="O2859" t="s">
        <v>77</v>
      </c>
      <c r="P2859" t="s">
        <v>79</v>
      </c>
    </row>
    <row r="2860" spans="1:16" ht="14.5" x14ac:dyDescent="0.35">
      <c r="A2860">
        <v>2859</v>
      </c>
      <c r="B2860">
        <v>34</v>
      </c>
      <c r="C2860" t="s">
        <v>144</v>
      </c>
      <c r="D2860" t="s">
        <v>30</v>
      </c>
      <c r="E2860" t="s">
        <v>18</v>
      </c>
      <c r="F2860">
        <v>87</v>
      </c>
      <c r="G2860" t="s">
        <v>119</v>
      </c>
      <c r="H2860" t="s">
        <v>20</v>
      </c>
      <c r="I2860" t="s">
        <v>76</v>
      </c>
      <c r="J2860" t="s">
        <v>47</v>
      </c>
      <c r="K2860">
        <v>3.8</v>
      </c>
      <c r="L2860" t="s">
        <v>143</v>
      </c>
      <c r="M2860" t="s">
        <v>143</v>
      </c>
      <c r="N2860">
        <v>46</v>
      </c>
      <c r="O2860" t="s">
        <v>66</v>
      </c>
      <c r="P2860" t="s">
        <v>79</v>
      </c>
    </row>
    <row r="2861" spans="1:16" ht="14.5" x14ac:dyDescent="0.35">
      <c r="A2861">
        <v>2860</v>
      </c>
      <c r="B2861">
        <v>31</v>
      </c>
      <c r="C2861" t="s">
        <v>144</v>
      </c>
      <c r="D2861" t="s">
        <v>52</v>
      </c>
      <c r="E2861" t="s">
        <v>18</v>
      </c>
      <c r="F2861">
        <v>32</v>
      </c>
      <c r="G2861" t="s">
        <v>131</v>
      </c>
      <c r="H2861" t="s">
        <v>20</v>
      </c>
      <c r="I2861" t="s">
        <v>125</v>
      </c>
      <c r="J2861" t="s">
        <v>50</v>
      </c>
      <c r="K2861">
        <v>3.4</v>
      </c>
      <c r="L2861" t="s">
        <v>143</v>
      </c>
      <c r="M2861" t="s">
        <v>143</v>
      </c>
      <c r="N2861">
        <v>29</v>
      </c>
      <c r="O2861" t="s">
        <v>66</v>
      </c>
      <c r="P2861" t="s">
        <v>43</v>
      </c>
    </row>
    <row r="2862" spans="1:16" ht="14.5" x14ac:dyDescent="0.35">
      <c r="A2862">
        <v>2861</v>
      </c>
      <c r="B2862">
        <v>28</v>
      </c>
      <c r="C2862" t="s">
        <v>144</v>
      </c>
      <c r="D2862" t="s">
        <v>48</v>
      </c>
      <c r="E2862" t="s">
        <v>18</v>
      </c>
      <c r="F2862">
        <v>38</v>
      </c>
      <c r="G2862" t="s">
        <v>38</v>
      </c>
      <c r="H2862" t="s">
        <v>39</v>
      </c>
      <c r="I2862" t="s">
        <v>71</v>
      </c>
      <c r="J2862" t="s">
        <v>33</v>
      </c>
      <c r="K2862">
        <v>2.9</v>
      </c>
      <c r="L2862" t="s">
        <v>143</v>
      </c>
      <c r="M2862" t="s">
        <v>143</v>
      </c>
      <c r="N2862">
        <v>49</v>
      </c>
      <c r="O2862" t="s">
        <v>66</v>
      </c>
      <c r="P2862" t="s">
        <v>35</v>
      </c>
    </row>
    <row r="2863" spans="1:16" ht="14.5" x14ac:dyDescent="0.35">
      <c r="A2863">
        <v>2862</v>
      </c>
      <c r="B2863">
        <v>66</v>
      </c>
      <c r="C2863" t="s">
        <v>144</v>
      </c>
      <c r="D2863" t="s">
        <v>55</v>
      </c>
      <c r="E2863" t="s">
        <v>56</v>
      </c>
      <c r="F2863">
        <v>54</v>
      </c>
      <c r="G2863" t="s">
        <v>119</v>
      </c>
      <c r="H2863" t="s">
        <v>39</v>
      </c>
      <c r="I2863" t="s">
        <v>76</v>
      </c>
      <c r="J2863" t="s">
        <v>50</v>
      </c>
      <c r="K2863">
        <v>3.4</v>
      </c>
      <c r="L2863" t="s">
        <v>143</v>
      </c>
      <c r="M2863" t="s">
        <v>143</v>
      </c>
      <c r="N2863">
        <v>27</v>
      </c>
      <c r="O2863" t="s">
        <v>34</v>
      </c>
      <c r="P2863" t="s">
        <v>79</v>
      </c>
    </row>
    <row r="2864" spans="1:16" ht="14.5" x14ac:dyDescent="0.35">
      <c r="A2864">
        <v>2863</v>
      </c>
      <c r="B2864">
        <v>68</v>
      </c>
      <c r="C2864" t="s">
        <v>144</v>
      </c>
      <c r="D2864" t="s">
        <v>55</v>
      </c>
      <c r="E2864" t="s">
        <v>56</v>
      </c>
      <c r="F2864">
        <v>75</v>
      </c>
      <c r="G2864" t="s">
        <v>68</v>
      </c>
      <c r="H2864" t="s">
        <v>32</v>
      </c>
      <c r="I2864" t="s">
        <v>74</v>
      </c>
      <c r="J2864" t="s">
        <v>47</v>
      </c>
      <c r="K2864">
        <v>4.7</v>
      </c>
      <c r="L2864" t="s">
        <v>143</v>
      </c>
      <c r="M2864" t="s">
        <v>143</v>
      </c>
      <c r="N2864">
        <v>5</v>
      </c>
      <c r="O2864" t="s">
        <v>66</v>
      </c>
      <c r="P2864" t="s">
        <v>88</v>
      </c>
    </row>
    <row r="2865" spans="1:16" ht="14.5" x14ac:dyDescent="0.35">
      <c r="A2865">
        <v>2864</v>
      </c>
      <c r="B2865">
        <v>37</v>
      </c>
      <c r="C2865" t="s">
        <v>144</v>
      </c>
      <c r="D2865" t="s">
        <v>104</v>
      </c>
      <c r="E2865" t="s">
        <v>18</v>
      </c>
      <c r="F2865">
        <v>56</v>
      </c>
      <c r="G2865" t="s">
        <v>130</v>
      </c>
      <c r="H2865" t="s">
        <v>39</v>
      </c>
      <c r="I2865" t="s">
        <v>125</v>
      </c>
      <c r="J2865" t="s">
        <v>50</v>
      </c>
      <c r="K2865">
        <v>3.9</v>
      </c>
      <c r="L2865" t="s">
        <v>143</v>
      </c>
      <c r="M2865" t="s">
        <v>143</v>
      </c>
      <c r="N2865">
        <v>18</v>
      </c>
      <c r="O2865" t="s">
        <v>24</v>
      </c>
      <c r="P2865" t="s">
        <v>79</v>
      </c>
    </row>
    <row r="2866" spans="1:16" ht="14.5" x14ac:dyDescent="0.35">
      <c r="A2866">
        <v>2865</v>
      </c>
      <c r="B2866">
        <v>58</v>
      </c>
      <c r="C2866" t="s">
        <v>144</v>
      </c>
      <c r="D2866" t="s">
        <v>26</v>
      </c>
      <c r="E2866" t="s">
        <v>18</v>
      </c>
      <c r="F2866">
        <v>43</v>
      </c>
      <c r="G2866" t="s">
        <v>106</v>
      </c>
      <c r="H2866" t="s">
        <v>32</v>
      </c>
      <c r="I2866" t="s">
        <v>28</v>
      </c>
      <c r="J2866" t="s">
        <v>50</v>
      </c>
      <c r="K2866">
        <v>3.6</v>
      </c>
      <c r="L2866" t="s">
        <v>143</v>
      </c>
      <c r="M2866" t="s">
        <v>143</v>
      </c>
      <c r="N2866">
        <v>31</v>
      </c>
      <c r="O2866" t="s">
        <v>24</v>
      </c>
      <c r="P2866" t="s">
        <v>35</v>
      </c>
    </row>
    <row r="2867" spans="1:16" ht="14.5" x14ac:dyDescent="0.35">
      <c r="A2867">
        <v>2866</v>
      </c>
      <c r="B2867">
        <v>28</v>
      </c>
      <c r="C2867" t="s">
        <v>144</v>
      </c>
      <c r="D2867" t="s">
        <v>78</v>
      </c>
      <c r="E2867" t="s">
        <v>18</v>
      </c>
      <c r="F2867">
        <v>97</v>
      </c>
      <c r="G2867" t="s">
        <v>90</v>
      </c>
      <c r="H2867" t="s">
        <v>39</v>
      </c>
      <c r="I2867" t="s">
        <v>58</v>
      </c>
      <c r="J2867" t="s">
        <v>50</v>
      </c>
      <c r="K2867">
        <v>3.7</v>
      </c>
      <c r="L2867" t="s">
        <v>143</v>
      </c>
      <c r="M2867" t="s">
        <v>143</v>
      </c>
      <c r="N2867">
        <v>27</v>
      </c>
      <c r="O2867" t="s">
        <v>29</v>
      </c>
      <c r="P2867" t="s">
        <v>25</v>
      </c>
    </row>
    <row r="2868" spans="1:16" ht="14.5" x14ac:dyDescent="0.35">
      <c r="A2868">
        <v>2867</v>
      </c>
      <c r="B2868">
        <v>54</v>
      </c>
      <c r="C2868" t="s">
        <v>144</v>
      </c>
      <c r="D2868" t="s">
        <v>17</v>
      </c>
      <c r="E2868" t="s">
        <v>18</v>
      </c>
      <c r="F2868">
        <v>75</v>
      </c>
      <c r="G2868" t="s">
        <v>130</v>
      </c>
      <c r="H2868" t="s">
        <v>32</v>
      </c>
      <c r="I2868" t="s">
        <v>74</v>
      </c>
      <c r="J2868" t="s">
        <v>47</v>
      </c>
      <c r="K2868">
        <v>3.1</v>
      </c>
      <c r="L2868" t="s">
        <v>143</v>
      </c>
      <c r="M2868" t="s">
        <v>143</v>
      </c>
      <c r="N2868">
        <v>19</v>
      </c>
      <c r="O2868" t="s">
        <v>29</v>
      </c>
      <c r="P2868" t="s">
        <v>43</v>
      </c>
    </row>
    <row r="2869" spans="1:16" ht="14.5" x14ac:dyDescent="0.35">
      <c r="A2869">
        <v>2868</v>
      </c>
      <c r="B2869">
        <v>21</v>
      </c>
      <c r="C2869" t="s">
        <v>144</v>
      </c>
      <c r="D2869" t="s">
        <v>44</v>
      </c>
      <c r="E2869" t="s">
        <v>37</v>
      </c>
      <c r="F2869">
        <v>55</v>
      </c>
      <c r="G2869" t="s">
        <v>103</v>
      </c>
      <c r="H2869" t="s">
        <v>20</v>
      </c>
      <c r="I2869" t="s">
        <v>46</v>
      </c>
      <c r="J2869" t="s">
        <v>47</v>
      </c>
      <c r="K2869">
        <v>4.9000000000000004</v>
      </c>
      <c r="L2869" t="s">
        <v>143</v>
      </c>
      <c r="M2869" t="s">
        <v>143</v>
      </c>
      <c r="N2869">
        <v>33</v>
      </c>
      <c r="O2869" t="s">
        <v>29</v>
      </c>
      <c r="P2869" t="s">
        <v>25</v>
      </c>
    </row>
    <row r="2870" spans="1:16" ht="14.5" x14ac:dyDescent="0.35">
      <c r="A2870">
        <v>2869</v>
      </c>
      <c r="B2870">
        <v>45</v>
      </c>
      <c r="C2870" t="s">
        <v>144</v>
      </c>
      <c r="D2870" t="s">
        <v>123</v>
      </c>
      <c r="E2870" t="s">
        <v>60</v>
      </c>
      <c r="F2870">
        <v>49</v>
      </c>
      <c r="G2870" t="s">
        <v>103</v>
      </c>
      <c r="H2870" t="s">
        <v>39</v>
      </c>
      <c r="I2870" t="s">
        <v>85</v>
      </c>
      <c r="J2870" t="s">
        <v>22</v>
      </c>
      <c r="K2870">
        <v>2.6</v>
      </c>
      <c r="L2870" t="s">
        <v>143</v>
      </c>
      <c r="M2870" t="s">
        <v>143</v>
      </c>
      <c r="N2870">
        <v>42</v>
      </c>
      <c r="O2870" t="s">
        <v>40</v>
      </c>
      <c r="P2870" t="s">
        <v>88</v>
      </c>
    </row>
    <row r="2871" spans="1:16" ht="14.5" x14ac:dyDescent="0.35">
      <c r="A2871">
        <v>2870</v>
      </c>
      <c r="B2871">
        <v>57</v>
      </c>
      <c r="C2871" t="s">
        <v>144</v>
      </c>
      <c r="D2871" t="s">
        <v>116</v>
      </c>
      <c r="E2871" t="s">
        <v>18</v>
      </c>
      <c r="F2871">
        <v>58</v>
      </c>
      <c r="G2871" t="s">
        <v>133</v>
      </c>
      <c r="H2871" t="s">
        <v>39</v>
      </c>
      <c r="I2871" t="s">
        <v>46</v>
      </c>
      <c r="J2871" t="s">
        <v>47</v>
      </c>
      <c r="K2871">
        <v>4.2</v>
      </c>
      <c r="L2871" t="s">
        <v>143</v>
      </c>
      <c r="M2871" t="s">
        <v>143</v>
      </c>
      <c r="N2871">
        <v>16</v>
      </c>
      <c r="O2871" t="s">
        <v>66</v>
      </c>
      <c r="P2871" t="s">
        <v>35</v>
      </c>
    </row>
    <row r="2872" spans="1:16" ht="14.5" x14ac:dyDescent="0.35">
      <c r="A2872">
        <v>2871</v>
      </c>
      <c r="B2872">
        <v>47</v>
      </c>
      <c r="C2872" t="s">
        <v>144</v>
      </c>
      <c r="D2872" t="s">
        <v>97</v>
      </c>
      <c r="E2872" t="s">
        <v>60</v>
      </c>
      <c r="F2872">
        <v>34</v>
      </c>
      <c r="G2872" t="s">
        <v>105</v>
      </c>
      <c r="H2872" t="s">
        <v>39</v>
      </c>
      <c r="I2872" t="s">
        <v>135</v>
      </c>
      <c r="J2872" t="s">
        <v>22</v>
      </c>
      <c r="K2872">
        <v>4.8</v>
      </c>
      <c r="L2872" t="s">
        <v>143</v>
      </c>
      <c r="M2872" t="s">
        <v>143</v>
      </c>
      <c r="N2872">
        <v>49</v>
      </c>
      <c r="O2872" t="s">
        <v>77</v>
      </c>
      <c r="P2872" t="s">
        <v>88</v>
      </c>
    </row>
    <row r="2873" spans="1:16" ht="14.5" x14ac:dyDescent="0.35">
      <c r="A2873">
        <v>2872</v>
      </c>
      <c r="B2873">
        <v>46</v>
      </c>
      <c r="C2873" t="s">
        <v>144</v>
      </c>
      <c r="D2873" t="s">
        <v>52</v>
      </c>
      <c r="E2873" t="s">
        <v>18</v>
      </c>
      <c r="F2873">
        <v>43</v>
      </c>
      <c r="G2873" t="s">
        <v>126</v>
      </c>
      <c r="H2873" t="s">
        <v>32</v>
      </c>
      <c r="I2873" t="s">
        <v>85</v>
      </c>
      <c r="J2873" t="s">
        <v>47</v>
      </c>
      <c r="K2873">
        <v>2.7</v>
      </c>
      <c r="L2873" t="s">
        <v>143</v>
      </c>
      <c r="M2873" t="s">
        <v>143</v>
      </c>
      <c r="N2873">
        <v>40</v>
      </c>
      <c r="O2873" t="s">
        <v>24</v>
      </c>
      <c r="P2873" t="s">
        <v>67</v>
      </c>
    </row>
    <row r="2874" spans="1:16" ht="14.5" x14ac:dyDescent="0.35">
      <c r="A2874">
        <v>2873</v>
      </c>
      <c r="B2874">
        <v>63</v>
      </c>
      <c r="C2874" t="s">
        <v>144</v>
      </c>
      <c r="D2874" t="s">
        <v>97</v>
      </c>
      <c r="E2874" t="s">
        <v>60</v>
      </c>
      <c r="F2874">
        <v>48</v>
      </c>
      <c r="G2874" t="s">
        <v>130</v>
      </c>
      <c r="H2874" t="s">
        <v>20</v>
      </c>
      <c r="I2874" t="s">
        <v>69</v>
      </c>
      <c r="J2874" t="s">
        <v>50</v>
      </c>
      <c r="K2874">
        <v>2.6</v>
      </c>
      <c r="L2874" t="s">
        <v>143</v>
      </c>
      <c r="M2874" t="s">
        <v>143</v>
      </c>
      <c r="N2874">
        <v>5</v>
      </c>
      <c r="O2874" t="s">
        <v>29</v>
      </c>
      <c r="P2874" t="s">
        <v>43</v>
      </c>
    </row>
    <row r="2875" spans="1:16" ht="14.5" x14ac:dyDescent="0.35">
      <c r="A2875">
        <v>2874</v>
      </c>
      <c r="B2875">
        <v>44</v>
      </c>
      <c r="C2875" t="s">
        <v>144</v>
      </c>
      <c r="D2875" t="s">
        <v>26</v>
      </c>
      <c r="E2875" t="s">
        <v>18</v>
      </c>
      <c r="F2875">
        <v>40</v>
      </c>
      <c r="G2875" t="s">
        <v>49</v>
      </c>
      <c r="H2875" t="s">
        <v>39</v>
      </c>
      <c r="I2875" t="s">
        <v>76</v>
      </c>
      <c r="J2875" t="s">
        <v>33</v>
      </c>
      <c r="K2875">
        <v>2.6</v>
      </c>
      <c r="L2875" t="s">
        <v>143</v>
      </c>
      <c r="M2875" t="s">
        <v>143</v>
      </c>
      <c r="N2875">
        <v>8</v>
      </c>
      <c r="O2875" t="s">
        <v>66</v>
      </c>
      <c r="P2875" t="s">
        <v>79</v>
      </c>
    </row>
    <row r="2876" spans="1:16" ht="14.5" x14ac:dyDescent="0.35">
      <c r="A2876">
        <v>2875</v>
      </c>
      <c r="B2876">
        <v>36</v>
      </c>
      <c r="C2876" t="s">
        <v>144</v>
      </c>
      <c r="D2876" t="s">
        <v>48</v>
      </c>
      <c r="E2876" t="s">
        <v>18</v>
      </c>
      <c r="F2876">
        <v>29</v>
      </c>
      <c r="G2876" t="s">
        <v>103</v>
      </c>
      <c r="H2876" t="s">
        <v>20</v>
      </c>
      <c r="I2876" t="s">
        <v>58</v>
      </c>
      <c r="J2876" t="s">
        <v>47</v>
      </c>
      <c r="K2876">
        <v>3.1</v>
      </c>
      <c r="L2876" t="s">
        <v>143</v>
      </c>
      <c r="M2876" t="s">
        <v>143</v>
      </c>
      <c r="N2876">
        <v>2</v>
      </c>
      <c r="O2876" t="s">
        <v>77</v>
      </c>
      <c r="P2876" t="s">
        <v>43</v>
      </c>
    </row>
    <row r="2877" spans="1:16" ht="14.5" x14ac:dyDescent="0.35">
      <c r="A2877">
        <v>2876</v>
      </c>
      <c r="B2877">
        <v>24</v>
      </c>
      <c r="C2877" t="s">
        <v>144</v>
      </c>
      <c r="D2877" t="s">
        <v>86</v>
      </c>
      <c r="E2877" t="s">
        <v>18</v>
      </c>
      <c r="F2877">
        <v>81</v>
      </c>
      <c r="G2877" t="s">
        <v>19</v>
      </c>
      <c r="H2877" t="s">
        <v>39</v>
      </c>
      <c r="I2877" t="s">
        <v>62</v>
      </c>
      <c r="J2877" t="s">
        <v>50</v>
      </c>
      <c r="K2877">
        <v>2.6</v>
      </c>
      <c r="L2877" t="s">
        <v>143</v>
      </c>
      <c r="M2877" t="s">
        <v>143</v>
      </c>
      <c r="N2877">
        <v>14</v>
      </c>
      <c r="O2877" t="s">
        <v>77</v>
      </c>
      <c r="P2877" t="s">
        <v>35</v>
      </c>
    </row>
    <row r="2878" spans="1:16" ht="14.5" x14ac:dyDescent="0.35">
      <c r="A2878">
        <v>2877</v>
      </c>
      <c r="B2878">
        <v>65</v>
      </c>
      <c r="C2878" t="s">
        <v>144</v>
      </c>
      <c r="D2878" t="s">
        <v>95</v>
      </c>
      <c r="E2878" t="s">
        <v>18</v>
      </c>
      <c r="F2878">
        <v>84</v>
      </c>
      <c r="G2878" t="s">
        <v>121</v>
      </c>
      <c r="H2878" t="s">
        <v>39</v>
      </c>
      <c r="I2878" t="s">
        <v>54</v>
      </c>
      <c r="J2878" t="s">
        <v>33</v>
      </c>
      <c r="K2878">
        <v>3.4</v>
      </c>
      <c r="L2878" t="s">
        <v>143</v>
      </c>
      <c r="M2878" t="s">
        <v>143</v>
      </c>
      <c r="N2878">
        <v>5</v>
      </c>
      <c r="O2878" t="s">
        <v>66</v>
      </c>
      <c r="P2878" t="s">
        <v>25</v>
      </c>
    </row>
    <row r="2879" spans="1:16" ht="14.5" x14ac:dyDescent="0.35">
      <c r="A2879">
        <v>2878</v>
      </c>
      <c r="B2879">
        <v>32</v>
      </c>
      <c r="C2879" t="s">
        <v>144</v>
      </c>
      <c r="D2879" t="s">
        <v>116</v>
      </c>
      <c r="E2879" t="s">
        <v>18</v>
      </c>
      <c r="F2879">
        <v>46</v>
      </c>
      <c r="G2879" t="s">
        <v>118</v>
      </c>
      <c r="H2879" t="s">
        <v>39</v>
      </c>
      <c r="I2879" t="s">
        <v>58</v>
      </c>
      <c r="J2879" t="s">
        <v>47</v>
      </c>
      <c r="K2879">
        <v>3.6</v>
      </c>
      <c r="L2879" t="s">
        <v>143</v>
      </c>
      <c r="M2879" t="s">
        <v>143</v>
      </c>
      <c r="N2879">
        <v>34</v>
      </c>
      <c r="O2879" t="s">
        <v>24</v>
      </c>
      <c r="P2879" t="s">
        <v>79</v>
      </c>
    </row>
    <row r="2880" spans="1:16" ht="14.5" x14ac:dyDescent="0.35">
      <c r="A2880">
        <v>2879</v>
      </c>
      <c r="B2880">
        <v>63</v>
      </c>
      <c r="C2880" t="s">
        <v>144</v>
      </c>
      <c r="D2880" t="s">
        <v>72</v>
      </c>
      <c r="E2880" t="s">
        <v>18</v>
      </c>
      <c r="F2880">
        <v>86</v>
      </c>
      <c r="G2880" t="s">
        <v>90</v>
      </c>
      <c r="H2880" t="s">
        <v>20</v>
      </c>
      <c r="I2880" t="s">
        <v>42</v>
      </c>
      <c r="J2880" t="s">
        <v>47</v>
      </c>
      <c r="K2880">
        <v>4.3</v>
      </c>
      <c r="L2880" t="s">
        <v>143</v>
      </c>
      <c r="M2880" t="s">
        <v>143</v>
      </c>
      <c r="N2880">
        <v>13</v>
      </c>
      <c r="O2880" t="s">
        <v>66</v>
      </c>
      <c r="P2880" t="s">
        <v>43</v>
      </c>
    </row>
    <row r="2881" spans="1:16" ht="14.5" x14ac:dyDescent="0.35">
      <c r="A2881">
        <v>2880</v>
      </c>
      <c r="B2881">
        <v>62</v>
      </c>
      <c r="C2881" t="s">
        <v>144</v>
      </c>
      <c r="D2881" t="s">
        <v>17</v>
      </c>
      <c r="E2881" t="s">
        <v>18</v>
      </c>
      <c r="F2881">
        <v>57</v>
      </c>
      <c r="G2881" t="s">
        <v>105</v>
      </c>
      <c r="H2881" t="s">
        <v>83</v>
      </c>
      <c r="I2881" t="s">
        <v>42</v>
      </c>
      <c r="J2881" t="s">
        <v>22</v>
      </c>
      <c r="K2881">
        <v>4.9000000000000004</v>
      </c>
      <c r="L2881" t="s">
        <v>143</v>
      </c>
      <c r="M2881" t="s">
        <v>143</v>
      </c>
      <c r="N2881">
        <v>31</v>
      </c>
      <c r="O2881" t="s">
        <v>24</v>
      </c>
      <c r="P2881" t="s">
        <v>43</v>
      </c>
    </row>
    <row r="2882" spans="1:16" ht="14.5" x14ac:dyDescent="0.35">
      <c r="A2882">
        <v>2881</v>
      </c>
      <c r="B2882">
        <v>19</v>
      </c>
      <c r="C2882" t="s">
        <v>144</v>
      </c>
      <c r="D2882" t="s">
        <v>78</v>
      </c>
      <c r="E2882" t="s">
        <v>18</v>
      </c>
      <c r="F2882">
        <v>61</v>
      </c>
      <c r="G2882" t="s">
        <v>94</v>
      </c>
      <c r="H2882" t="s">
        <v>20</v>
      </c>
      <c r="I2882" t="s">
        <v>109</v>
      </c>
      <c r="J2882" t="s">
        <v>22</v>
      </c>
      <c r="K2882">
        <v>4.8</v>
      </c>
      <c r="L2882" t="s">
        <v>143</v>
      </c>
      <c r="M2882" t="s">
        <v>143</v>
      </c>
      <c r="N2882">
        <v>43</v>
      </c>
      <c r="O2882" t="s">
        <v>40</v>
      </c>
      <c r="P2882" t="s">
        <v>51</v>
      </c>
    </row>
    <row r="2883" spans="1:16" ht="14.5" x14ac:dyDescent="0.35">
      <c r="A2883">
        <v>2882</v>
      </c>
      <c r="B2883">
        <v>38</v>
      </c>
      <c r="C2883" t="s">
        <v>144</v>
      </c>
      <c r="D2883" t="s">
        <v>123</v>
      </c>
      <c r="E2883" t="s">
        <v>60</v>
      </c>
      <c r="F2883">
        <v>90</v>
      </c>
      <c r="G2883" t="s">
        <v>96</v>
      </c>
      <c r="H2883" t="s">
        <v>39</v>
      </c>
      <c r="I2883" t="s">
        <v>100</v>
      </c>
      <c r="J2883" t="s">
        <v>22</v>
      </c>
      <c r="K2883">
        <v>4.2</v>
      </c>
      <c r="L2883" t="s">
        <v>143</v>
      </c>
      <c r="M2883" t="s">
        <v>143</v>
      </c>
      <c r="N2883">
        <v>6</v>
      </c>
      <c r="O2883" t="s">
        <v>66</v>
      </c>
      <c r="P2883" t="s">
        <v>43</v>
      </c>
    </row>
    <row r="2884" spans="1:16" ht="14.5" x14ac:dyDescent="0.35">
      <c r="A2884">
        <v>2883</v>
      </c>
      <c r="B2884">
        <v>59</v>
      </c>
      <c r="C2884" t="s">
        <v>144</v>
      </c>
      <c r="D2884" t="s">
        <v>17</v>
      </c>
      <c r="E2884" t="s">
        <v>18</v>
      </c>
      <c r="F2884">
        <v>51</v>
      </c>
      <c r="G2884" t="s">
        <v>92</v>
      </c>
      <c r="H2884" t="s">
        <v>20</v>
      </c>
      <c r="I2884" t="s">
        <v>71</v>
      </c>
      <c r="J2884" t="s">
        <v>22</v>
      </c>
      <c r="K2884">
        <v>2.6</v>
      </c>
      <c r="L2884" t="s">
        <v>143</v>
      </c>
      <c r="M2884" t="s">
        <v>143</v>
      </c>
      <c r="N2884">
        <v>23</v>
      </c>
      <c r="O2884" t="s">
        <v>34</v>
      </c>
      <c r="P2884" t="s">
        <v>67</v>
      </c>
    </row>
    <row r="2885" spans="1:16" ht="14.5" x14ac:dyDescent="0.35">
      <c r="A2885">
        <v>2884</v>
      </c>
      <c r="B2885">
        <v>22</v>
      </c>
      <c r="C2885" t="s">
        <v>144</v>
      </c>
      <c r="D2885" t="s">
        <v>116</v>
      </c>
      <c r="E2885" t="s">
        <v>18</v>
      </c>
      <c r="F2885">
        <v>48</v>
      </c>
      <c r="G2885" t="s">
        <v>38</v>
      </c>
      <c r="H2885" t="s">
        <v>83</v>
      </c>
      <c r="I2885" t="s">
        <v>58</v>
      </c>
      <c r="J2885" t="s">
        <v>33</v>
      </c>
      <c r="K2885">
        <v>3.2</v>
      </c>
      <c r="L2885" t="s">
        <v>143</v>
      </c>
      <c r="M2885" t="s">
        <v>143</v>
      </c>
      <c r="N2885">
        <v>10</v>
      </c>
      <c r="O2885" t="s">
        <v>40</v>
      </c>
      <c r="P2885" t="s">
        <v>35</v>
      </c>
    </row>
    <row r="2886" spans="1:16" ht="14.5" x14ac:dyDescent="0.35">
      <c r="A2886">
        <v>2885</v>
      </c>
      <c r="B2886">
        <v>55</v>
      </c>
      <c r="C2886" t="s">
        <v>144</v>
      </c>
      <c r="D2886" t="s">
        <v>128</v>
      </c>
      <c r="E2886" t="s">
        <v>37</v>
      </c>
      <c r="F2886">
        <v>50</v>
      </c>
      <c r="G2886" t="s">
        <v>64</v>
      </c>
      <c r="H2886" t="s">
        <v>39</v>
      </c>
      <c r="I2886" t="s">
        <v>65</v>
      </c>
      <c r="J2886" t="s">
        <v>47</v>
      </c>
      <c r="K2886">
        <v>3.4</v>
      </c>
      <c r="L2886" t="s">
        <v>143</v>
      </c>
      <c r="M2886" t="s">
        <v>143</v>
      </c>
      <c r="N2886">
        <v>47</v>
      </c>
      <c r="O2886" t="s">
        <v>34</v>
      </c>
      <c r="P2886" t="s">
        <v>88</v>
      </c>
    </row>
    <row r="2887" spans="1:16" ht="14.5" x14ac:dyDescent="0.35">
      <c r="A2887">
        <v>2886</v>
      </c>
      <c r="B2887">
        <v>29</v>
      </c>
      <c r="C2887" t="s">
        <v>144</v>
      </c>
      <c r="D2887" t="s">
        <v>123</v>
      </c>
      <c r="E2887" t="s">
        <v>60</v>
      </c>
      <c r="F2887">
        <v>82</v>
      </c>
      <c r="G2887" t="s">
        <v>98</v>
      </c>
      <c r="H2887" t="s">
        <v>39</v>
      </c>
      <c r="I2887" t="s">
        <v>125</v>
      </c>
      <c r="J2887" t="s">
        <v>47</v>
      </c>
      <c r="K2887">
        <v>3.5</v>
      </c>
      <c r="L2887" t="s">
        <v>143</v>
      </c>
      <c r="M2887" t="s">
        <v>143</v>
      </c>
      <c r="N2887">
        <v>14</v>
      </c>
      <c r="O2887" t="s">
        <v>34</v>
      </c>
      <c r="P2887" t="s">
        <v>67</v>
      </c>
    </row>
    <row r="2888" spans="1:16" ht="14.5" x14ac:dyDescent="0.35">
      <c r="A2888">
        <v>2887</v>
      </c>
      <c r="B2888">
        <v>42</v>
      </c>
      <c r="C2888" t="s">
        <v>144</v>
      </c>
      <c r="D2888" t="s">
        <v>115</v>
      </c>
      <c r="E2888" t="s">
        <v>60</v>
      </c>
      <c r="F2888">
        <v>33</v>
      </c>
      <c r="G2888" t="s">
        <v>131</v>
      </c>
      <c r="H2888" t="s">
        <v>20</v>
      </c>
      <c r="I2888" t="s">
        <v>135</v>
      </c>
      <c r="J2888" t="s">
        <v>33</v>
      </c>
      <c r="K2888">
        <v>4.2</v>
      </c>
      <c r="L2888" t="s">
        <v>143</v>
      </c>
      <c r="M2888" t="s">
        <v>143</v>
      </c>
      <c r="N2888">
        <v>29</v>
      </c>
      <c r="O2888" t="s">
        <v>40</v>
      </c>
      <c r="P2888" t="s">
        <v>35</v>
      </c>
    </row>
    <row r="2889" spans="1:16" ht="14.5" x14ac:dyDescent="0.35">
      <c r="A2889">
        <v>2888</v>
      </c>
      <c r="B2889">
        <v>23</v>
      </c>
      <c r="C2889" t="s">
        <v>144</v>
      </c>
      <c r="D2889" t="s">
        <v>36</v>
      </c>
      <c r="E2889" t="s">
        <v>37</v>
      </c>
      <c r="F2889">
        <v>28</v>
      </c>
      <c r="G2889" t="s">
        <v>19</v>
      </c>
      <c r="H2889" t="s">
        <v>20</v>
      </c>
      <c r="I2889" t="s">
        <v>135</v>
      </c>
      <c r="J2889" t="s">
        <v>22</v>
      </c>
      <c r="K2889">
        <v>2.8</v>
      </c>
      <c r="L2889" t="s">
        <v>143</v>
      </c>
      <c r="M2889" t="s">
        <v>143</v>
      </c>
      <c r="N2889">
        <v>12</v>
      </c>
      <c r="O2889" t="s">
        <v>29</v>
      </c>
      <c r="P2889" t="s">
        <v>67</v>
      </c>
    </row>
    <row r="2890" spans="1:16" ht="14.5" x14ac:dyDescent="0.35">
      <c r="A2890">
        <v>2889</v>
      </c>
      <c r="B2890">
        <v>70</v>
      </c>
      <c r="C2890" t="s">
        <v>144</v>
      </c>
      <c r="D2890" t="s">
        <v>95</v>
      </c>
      <c r="E2890" t="s">
        <v>18</v>
      </c>
      <c r="F2890">
        <v>42</v>
      </c>
      <c r="G2890" t="s">
        <v>141</v>
      </c>
      <c r="H2890" t="s">
        <v>20</v>
      </c>
      <c r="I2890" t="s">
        <v>87</v>
      </c>
      <c r="J2890" t="s">
        <v>33</v>
      </c>
      <c r="K2890">
        <v>5</v>
      </c>
      <c r="L2890" t="s">
        <v>143</v>
      </c>
      <c r="M2890" t="s">
        <v>143</v>
      </c>
      <c r="N2890">
        <v>25</v>
      </c>
      <c r="O2890" t="s">
        <v>77</v>
      </c>
      <c r="P2890" t="s">
        <v>51</v>
      </c>
    </row>
    <row r="2891" spans="1:16" ht="14.5" x14ac:dyDescent="0.35">
      <c r="A2891">
        <v>2890</v>
      </c>
      <c r="B2891">
        <v>64</v>
      </c>
      <c r="C2891" t="s">
        <v>144</v>
      </c>
      <c r="D2891" t="s">
        <v>80</v>
      </c>
      <c r="E2891" t="s">
        <v>60</v>
      </c>
      <c r="F2891">
        <v>43</v>
      </c>
      <c r="G2891" t="s">
        <v>139</v>
      </c>
      <c r="H2891" t="s">
        <v>39</v>
      </c>
      <c r="I2891" t="s">
        <v>54</v>
      </c>
      <c r="J2891" t="s">
        <v>50</v>
      </c>
      <c r="K2891">
        <v>3.3</v>
      </c>
      <c r="L2891" t="s">
        <v>143</v>
      </c>
      <c r="M2891" t="s">
        <v>143</v>
      </c>
      <c r="N2891">
        <v>21</v>
      </c>
      <c r="O2891" t="s">
        <v>24</v>
      </c>
      <c r="P2891" t="s">
        <v>43</v>
      </c>
    </row>
    <row r="2892" spans="1:16" ht="14.5" x14ac:dyDescent="0.35">
      <c r="A2892">
        <v>2891</v>
      </c>
      <c r="B2892">
        <v>39</v>
      </c>
      <c r="C2892" t="s">
        <v>144</v>
      </c>
      <c r="D2892" t="s">
        <v>30</v>
      </c>
      <c r="E2892" t="s">
        <v>18</v>
      </c>
      <c r="F2892">
        <v>55</v>
      </c>
      <c r="G2892" t="s">
        <v>105</v>
      </c>
      <c r="H2892" t="s">
        <v>39</v>
      </c>
      <c r="I2892" t="s">
        <v>74</v>
      </c>
      <c r="J2892" t="s">
        <v>22</v>
      </c>
      <c r="K2892">
        <v>3.7</v>
      </c>
      <c r="L2892" t="s">
        <v>143</v>
      </c>
      <c r="M2892" t="s">
        <v>143</v>
      </c>
      <c r="N2892">
        <v>23</v>
      </c>
      <c r="O2892" t="s">
        <v>34</v>
      </c>
      <c r="P2892" t="s">
        <v>79</v>
      </c>
    </row>
    <row r="2893" spans="1:16" ht="14.5" x14ac:dyDescent="0.35">
      <c r="A2893">
        <v>2892</v>
      </c>
      <c r="B2893">
        <v>47</v>
      </c>
      <c r="C2893" t="s">
        <v>144</v>
      </c>
      <c r="D2893" t="s">
        <v>104</v>
      </c>
      <c r="E2893" t="s">
        <v>18</v>
      </c>
      <c r="F2893">
        <v>73</v>
      </c>
      <c r="G2893" t="s">
        <v>114</v>
      </c>
      <c r="H2893" t="s">
        <v>83</v>
      </c>
      <c r="I2893" t="s">
        <v>85</v>
      </c>
      <c r="J2893" t="s">
        <v>22</v>
      </c>
      <c r="K2893">
        <v>2.5</v>
      </c>
      <c r="L2893" t="s">
        <v>143</v>
      </c>
      <c r="M2893" t="s">
        <v>143</v>
      </c>
      <c r="N2893">
        <v>10</v>
      </c>
      <c r="O2893" t="s">
        <v>40</v>
      </c>
      <c r="P2893" t="s">
        <v>79</v>
      </c>
    </row>
    <row r="2894" spans="1:16" ht="14.5" x14ac:dyDescent="0.35">
      <c r="A2894">
        <v>2893</v>
      </c>
      <c r="B2894">
        <v>22</v>
      </c>
      <c r="C2894" t="s">
        <v>144</v>
      </c>
      <c r="D2894" t="s">
        <v>72</v>
      </c>
      <c r="E2894" t="s">
        <v>18</v>
      </c>
      <c r="F2894">
        <v>39</v>
      </c>
      <c r="G2894" t="s">
        <v>98</v>
      </c>
      <c r="H2894" t="s">
        <v>39</v>
      </c>
      <c r="I2894" t="s">
        <v>76</v>
      </c>
      <c r="J2894" t="s">
        <v>33</v>
      </c>
      <c r="K2894">
        <v>3.2</v>
      </c>
      <c r="L2894" t="s">
        <v>143</v>
      </c>
      <c r="M2894" t="s">
        <v>143</v>
      </c>
      <c r="N2894">
        <v>47</v>
      </c>
      <c r="O2894" t="s">
        <v>34</v>
      </c>
      <c r="P2894" t="s">
        <v>79</v>
      </c>
    </row>
    <row r="2895" spans="1:16" ht="14.5" x14ac:dyDescent="0.35">
      <c r="A2895">
        <v>2894</v>
      </c>
      <c r="B2895">
        <v>69</v>
      </c>
      <c r="C2895" t="s">
        <v>144</v>
      </c>
      <c r="D2895" t="s">
        <v>124</v>
      </c>
      <c r="E2895" t="s">
        <v>60</v>
      </c>
      <c r="F2895">
        <v>20</v>
      </c>
      <c r="G2895" t="s">
        <v>19</v>
      </c>
      <c r="H2895" t="s">
        <v>32</v>
      </c>
      <c r="I2895" t="s">
        <v>112</v>
      </c>
      <c r="J2895" t="s">
        <v>33</v>
      </c>
      <c r="K2895">
        <v>3.1</v>
      </c>
      <c r="L2895" t="s">
        <v>143</v>
      </c>
      <c r="M2895" t="s">
        <v>143</v>
      </c>
      <c r="N2895">
        <v>44</v>
      </c>
      <c r="O2895" t="s">
        <v>77</v>
      </c>
      <c r="P2895" t="s">
        <v>88</v>
      </c>
    </row>
    <row r="2896" spans="1:16" ht="14.5" x14ac:dyDescent="0.35">
      <c r="A2896">
        <v>2895</v>
      </c>
      <c r="B2896">
        <v>35</v>
      </c>
      <c r="C2896" t="s">
        <v>144</v>
      </c>
      <c r="D2896" t="s">
        <v>97</v>
      </c>
      <c r="E2896" t="s">
        <v>60</v>
      </c>
      <c r="F2896">
        <v>32</v>
      </c>
      <c r="G2896" t="s">
        <v>19</v>
      </c>
      <c r="H2896" t="s">
        <v>32</v>
      </c>
      <c r="I2896" t="s">
        <v>101</v>
      </c>
      <c r="J2896" t="s">
        <v>33</v>
      </c>
      <c r="K2896">
        <v>3.5</v>
      </c>
      <c r="L2896" t="s">
        <v>143</v>
      </c>
      <c r="M2896" t="s">
        <v>143</v>
      </c>
      <c r="N2896">
        <v>41</v>
      </c>
      <c r="O2896" t="s">
        <v>24</v>
      </c>
      <c r="P2896" t="s">
        <v>43</v>
      </c>
    </row>
    <row r="2897" spans="1:16" ht="14.5" x14ac:dyDescent="0.35">
      <c r="A2897">
        <v>2896</v>
      </c>
      <c r="B2897">
        <v>56</v>
      </c>
      <c r="C2897" t="s">
        <v>144</v>
      </c>
      <c r="D2897" t="s">
        <v>95</v>
      </c>
      <c r="E2897" t="s">
        <v>18</v>
      </c>
      <c r="F2897">
        <v>86</v>
      </c>
      <c r="G2897" t="s">
        <v>49</v>
      </c>
      <c r="H2897" t="s">
        <v>20</v>
      </c>
      <c r="I2897" t="s">
        <v>87</v>
      </c>
      <c r="J2897" t="s">
        <v>47</v>
      </c>
      <c r="K2897">
        <v>4.5999999999999996</v>
      </c>
      <c r="L2897" t="s">
        <v>143</v>
      </c>
      <c r="M2897" t="s">
        <v>143</v>
      </c>
      <c r="N2897">
        <v>29</v>
      </c>
      <c r="O2897" t="s">
        <v>66</v>
      </c>
      <c r="P2897" t="s">
        <v>79</v>
      </c>
    </row>
    <row r="2898" spans="1:16" ht="14.5" x14ac:dyDescent="0.35">
      <c r="A2898">
        <v>2897</v>
      </c>
      <c r="B2898">
        <v>30</v>
      </c>
      <c r="C2898" t="s">
        <v>144</v>
      </c>
      <c r="D2898" t="s">
        <v>17</v>
      </c>
      <c r="E2898" t="s">
        <v>18</v>
      </c>
      <c r="F2898">
        <v>91</v>
      </c>
      <c r="G2898" t="s">
        <v>70</v>
      </c>
      <c r="H2898" t="s">
        <v>39</v>
      </c>
      <c r="I2898" t="s">
        <v>58</v>
      </c>
      <c r="J2898" t="s">
        <v>47</v>
      </c>
      <c r="K2898">
        <v>3.3</v>
      </c>
      <c r="L2898" t="s">
        <v>143</v>
      </c>
      <c r="M2898" t="s">
        <v>143</v>
      </c>
      <c r="N2898">
        <v>2</v>
      </c>
      <c r="O2898" t="s">
        <v>24</v>
      </c>
      <c r="P2898" t="s">
        <v>88</v>
      </c>
    </row>
    <row r="2899" spans="1:16" ht="14.5" x14ac:dyDescent="0.35">
      <c r="A2899">
        <v>2898</v>
      </c>
      <c r="B2899">
        <v>43</v>
      </c>
      <c r="C2899" t="s">
        <v>144</v>
      </c>
      <c r="D2899" t="s">
        <v>93</v>
      </c>
      <c r="E2899" t="s">
        <v>56</v>
      </c>
      <c r="F2899">
        <v>59</v>
      </c>
      <c r="G2899" t="s">
        <v>49</v>
      </c>
      <c r="H2899" t="s">
        <v>20</v>
      </c>
      <c r="I2899" t="s">
        <v>74</v>
      </c>
      <c r="J2899" t="s">
        <v>50</v>
      </c>
      <c r="K2899">
        <v>2.5</v>
      </c>
      <c r="L2899" t="s">
        <v>143</v>
      </c>
      <c r="M2899" t="s">
        <v>143</v>
      </c>
      <c r="N2899">
        <v>2</v>
      </c>
      <c r="O2899" t="s">
        <v>29</v>
      </c>
      <c r="P2899" t="s">
        <v>25</v>
      </c>
    </row>
    <row r="2900" spans="1:16" ht="14.5" x14ac:dyDescent="0.35">
      <c r="A2900">
        <v>2899</v>
      </c>
      <c r="B2900">
        <v>23</v>
      </c>
      <c r="C2900" t="s">
        <v>144</v>
      </c>
      <c r="D2900" t="s">
        <v>44</v>
      </c>
      <c r="E2900" t="s">
        <v>37</v>
      </c>
      <c r="F2900">
        <v>33</v>
      </c>
      <c r="G2900" t="s">
        <v>118</v>
      </c>
      <c r="H2900" t="s">
        <v>83</v>
      </c>
      <c r="I2900" t="s">
        <v>91</v>
      </c>
      <c r="J2900" t="s">
        <v>47</v>
      </c>
      <c r="K2900">
        <v>4.5999999999999996</v>
      </c>
      <c r="L2900" t="s">
        <v>143</v>
      </c>
      <c r="M2900" t="s">
        <v>143</v>
      </c>
      <c r="N2900">
        <v>29</v>
      </c>
      <c r="O2900" t="s">
        <v>34</v>
      </c>
      <c r="P2900" t="s">
        <v>43</v>
      </c>
    </row>
    <row r="2901" spans="1:16" ht="14.5" x14ac:dyDescent="0.35">
      <c r="A2901">
        <v>2900</v>
      </c>
      <c r="B2901">
        <v>50</v>
      </c>
      <c r="C2901" t="s">
        <v>144</v>
      </c>
      <c r="D2901" t="s">
        <v>128</v>
      </c>
      <c r="E2901" t="s">
        <v>37</v>
      </c>
      <c r="F2901">
        <v>64</v>
      </c>
      <c r="G2901" t="s">
        <v>136</v>
      </c>
      <c r="H2901" t="s">
        <v>39</v>
      </c>
      <c r="I2901" t="s">
        <v>71</v>
      </c>
      <c r="J2901" t="s">
        <v>33</v>
      </c>
      <c r="K2901">
        <v>4.2</v>
      </c>
      <c r="L2901" t="s">
        <v>143</v>
      </c>
      <c r="M2901" t="s">
        <v>143</v>
      </c>
      <c r="N2901">
        <v>22</v>
      </c>
      <c r="O2901" t="s">
        <v>66</v>
      </c>
      <c r="P2901" t="s">
        <v>25</v>
      </c>
    </row>
    <row r="2902" spans="1:16" ht="14.5" x14ac:dyDescent="0.35">
      <c r="A2902">
        <v>2901</v>
      </c>
      <c r="B2902">
        <v>41</v>
      </c>
      <c r="C2902" t="s">
        <v>144</v>
      </c>
      <c r="D2902" t="s">
        <v>17</v>
      </c>
      <c r="E2902" t="s">
        <v>18</v>
      </c>
      <c r="F2902">
        <v>67</v>
      </c>
      <c r="G2902" t="s">
        <v>119</v>
      </c>
      <c r="H2902" t="s">
        <v>83</v>
      </c>
      <c r="I2902" t="s">
        <v>74</v>
      </c>
      <c r="J2902" t="s">
        <v>22</v>
      </c>
      <c r="K2902">
        <v>4</v>
      </c>
      <c r="L2902" t="s">
        <v>143</v>
      </c>
      <c r="M2902" t="s">
        <v>143</v>
      </c>
      <c r="N2902">
        <v>23</v>
      </c>
      <c r="O2902" t="s">
        <v>29</v>
      </c>
      <c r="P2902" t="s">
        <v>67</v>
      </c>
    </row>
    <row r="2903" spans="1:16" ht="14.5" x14ac:dyDescent="0.35">
      <c r="A2903">
        <v>2902</v>
      </c>
      <c r="B2903">
        <v>41</v>
      </c>
      <c r="C2903" t="s">
        <v>144</v>
      </c>
      <c r="D2903" t="s">
        <v>17</v>
      </c>
      <c r="E2903" t="s">
        <v>18</v>
      </c>
      <c r="F2903">
        <v>43</v>
      </c>
      <c r="G2903" t="s">
        <v>81</v>
      </c>
      <c r="H2903" t="s">
        <v>20</v>
      </c>
      <c r="I2903" t="s">
        <v>69</v>
      </c>
      <c r="J2903" t="s">
        <v>22</v>
      </c>
      <c r="K2903">
        <v>2.6</v>
      </c>
      <c r="L2903" t="s">
        <v>143</v>
      </c>
      <c r="M2903" t="s">
        <v>143</v>
      </c>
      <c r="N2903">
        <v>46</v>
      </c>
      <c r="O2903" t="s">
        <v>34</v>
      </c>
      <c r="P2903" t="s">
        <v>51</v>
      </c>
    </row>
    <row r="2904" spans="1:16" ht="14.5" x14ac:dyDescent="0.35">
      <c r="A2904">
        <v>2903</v>
      </c>
      <c r="B2904">
        <v>27</v>
      </c>
      <c r="C2904" t="s">
        <v>144</v>
      </c>
      <c r="D2904" t="s">
        <v>128</v>
      </c>
      <c r="E2904" t="s">
        <v>37</v>
      </c>
      <c r="F2904">
        <v>32</v>
      </c>
      <c r="G2904" t="s">
        <v>89</v>
      </c>
      <c r="H2904" t="s">
        <v>32</v>
      </c>
      <c r="I2904" t="s">
        <v>112</v>
      </c>
      <c r="J2904" t="s">
        <v>33</v>
      </c>
      <c r="K2904">
        <v>4.5999999999999996</v>
      </c>
      <c r="L2904" t="s">
        <v>143</v>
      </c>
      <c r="M2904" t="s">
        <v>143</v>
      </c>
      <c r="N2904">
        <v>19</v>
      </c>
      <c r="O2904" t="s">
        <v>40</v>
      </c>
      <c r="P2904" t="s">
        <v>67</v>
      </c>
    </row>
    <row r="2905" spans="1:16" ht="14.5" x14ac:dyDescent="0.35">
      <c r="A2905">
        <v>2904</v>
      </c>
      <c r="B2905">
        <v>38</v>
      </c>
      <c r="C2905" t="s">
        <v>144</v>
      </c>
      <c r="D2905" t="s">
        <v>110</v>
      </c>
      <c r="E2905" t="s">
        <v>60</v>
      </c>
      <c r="F2905">
        <v>39</v>
      </c>
      <c r="G2905" t="s">
        <v>70</v>
      </c>
      <c r="H2905" t="s">
        <v>32</v>
      </c>
      <c r="I2905" t="s">
        <v>76</v>
      </c>
      <c r="J2905" t="s">
        <v>33</v>
      </c>
      <c r="K2905">
        <v>3.5</v>
      </c>
      <c r="L2905" t="s">
        <v>143</v>
      </c>
      <c r="M2905" t="s">
        <v>143</v>
      </c>
      <c r="N2905">
        <v>24</v>
      </c>
      <c r="O2905" t="s">
        <v>34</v>
      </c>
      <c r="P2905" t="s">
        <v>88</v>
      </c>
    </row>
    <row r="2906" spans="1:16" ht="14.5" x14ac:dyDescent="0.35">
      <c r="A2906">
        <v>2905</v>
      </c>
      <c r="B2906">
        <v>41</v>
      </c>
      <c r="C2906" t="s">
        <v>144</v>
      </c>
      <c r="D2906" t="s">
        <v>36</v>
      </c>
      <c r="E2906" t="s">
        <v>37</v>
      </c>
      <c r="F2906">
        <v>41</v>
      </c>
      <c r="G2906" t="s">
        <v>137</v>
      </c>
      <c r="H2906" t="s">
        <v>39</v>
      </c>
      <c r="I2906" t="s">
        <v>21</v>
      </c>
      <c r="J2906" t="s">
        <v>33</v>
      </c>
      <c r="K2906">
        <v>4</v>
      </c>
      <c r="L2906" t="s">
        <v>143</v>
      </c>
      <c r="M2906" t="s">
        <v>143</v>
      </c>
      <c r="N2906">
        <v>43</v>
      </c>
      <c r="O2906" t="s">
        <v>24</v>
      </c>
      <c r="P2906" t="s">
        <v>79</v>
      </c>
    </row>
    <row r="2907" spans="1:16" ht="14.5" x14ac:dyDescent="0.35">
      <c r="A2907">
        <v>2906</v>
      </c>
      <c r="B2907">
        <v>58</v>
      </c>
      <c r="C2907" t="s">
        <v>144</v>
      </c>
      <c r="D2907" t="s">
        <v>80</v>
      </c>
      <c r="E2907" t="s">
        <v>60</v>
      </c>
      <c r="F2907">
        <v>53</v>
      </c>
      <c r="G2907" t="s">
        <v>75</v>
      </c>
      <c r="H2907" t="s">
        <v>20</v>
      </c>
      <c r="I2907" t="s">
        <v>85</v>
      </c>
      <c r="J2907" t="s">
        <v>22</v>
      </c>
      <c r="K2907">
        <v>4.8</v>
      </c>
      <c r="L2907" t="s">
        <v>143</v>
      </c>
      <c r="M2907" t="s">
        <v>143</v>
      </c>
      <c r="N2907">
        <v>14</v>
      </c>
      <c r="O2907" t="s">
        <v>77</v>
      </c>
      <c r="P2907" t="s">
        <v>25</v>
      </c>
    </row>
    <row r="2908" spans="1:16" ht="14.5" x14ac:dyDescent="0.35">
      <c r="A2908">
        <v>2907</v>
      </c>
      <c r="B2908">
        <v>58</v>
      </c>
      <c r="C2908" t="s">
        <v>144</v>
      </c>
      <c r="D2908" t="s">
        <v>55</v>
      </c>
      <c r="E2908" t="s">
        <v>56</v>
      </c>
      <c r="F2908">
        <v>27</v>
      </c>
      <c r="G2908" t="s">
        <v>132</v>
      </c>
      <c r="H2908" t="s">
        <v>39</v>
      </c>
      <c r="I2908" t="s">
        <v>117</v>
      </c>
      <c r="J2908" t="s">
        <v>33</v>
      </c>
      <c r="K2908">
        <v>3.9</v>
      </c>
      <c r="L2908" t="s">
        <v>143</v>
      </c>
      <c r="M2908" t="s">
        <v>143</v>
      </c>
      <c r="N2908">
        <v>7</v>
      </c>
      <c r="O2908" t="s">
        <v>24</v>
      </c>
      <c r="P2908" t="s">
        <v>43</v>
      </c>
    </row>
    <row r="2909" spans="1:16" ht="14.5" x14ac:dyDescent="0.35">
      <c r="A2909">
        <v>2908</v>
      </c>
      <c r="B2909">
        <v>19</v>
      </c>
      <c r="C2909" t="s">
        <v>144</v>
      </c>
      <c r="D2909" t="s">
        <v>80</v>
      </c>
      <c r="E2909" t="s">
        <v>60</v>
      </c>
      <c r="F2909">
        <v>82</v>
      </c>
      <c r="G2909" t="s">
        <v>119</v>
      </c>
      <c r="H2909" t="s">
        <v>83</v>
      </c>
      <c r="I2909" t="s">
        <v>84</v>
      </c>
      <c r="J2909" t="s">
        <v>47</v>
      </c>
      <c r="K2909">
        <v>3.7</v>
      </c>
      <c r="L2909" t="s">
        <v>143</v>
      </c>
      <c r="M2909" t="s">
        <v>143</v>
      </c>
      <c r="N2909">
        <v>50</v>
      </c>
      <c r="O2909" t="s">
        <v>40</v>
      </c>
      <c r="P2909" t="s">
        <v>67</v>
      </c>
    </row>
    <row r="2910" spans="1:16" ht="14.5" x14ac:dyDescent="0.35">
      <c r="A2910">
        <v>2909</v>
      </c>
      <c r="B2910">
        <v>43</v>
      </c>
      <c r="C2910" t="s">
        <v>144</v>
      </c>
      <c r="D2910" t="s">
        <v>17</v>
      </c>
      <c r="E2910" t="s">
        <v>18</v>
      </c>
      <c r="F2910">
        <v>87</v>
      </c>
      <c r="G2910" t="s">
        <v>96</v>
      </c>
      <c r="H2910" t="s">
        <v>39</v>
      </c>
      <c r="I2910" t="s">
        <v>109</v>
      </c>
      <c r="J2910" t="s">
        <v>22</v>
      </c>
      <c r="K2910">
        <v>3.1</v>
      </c>
      <c r="L2910" t="s">
        <v>143</v>
      </c>
      <c r="M2910" t="s">
        <v>143</v>
      </c>
      <c r="N2910">
        <v>15</v>
      </c>
      <c r="O2910" t="s">
        <v>77</v>
      </c>
      <c r="P2910" t="s">
        <v>88</v>
      </c>
    </row>
    <row r="2911" spans="1:16" ht="14.5" x14ac:dyDescent="0.35">
      <c r="A2911">
        <v>2910</v>
      </c>
      <c r="B2911">
        <v>27</v>
      </c>
      <c r="C2911" t="s">
        <v>144</v>
      </c>
      <c r="D2911" t="s">
        <v>123</v>
      </c>
      <c r="E2911" t="s">
        <v>60</v>
      </c>
      <c r="F2911">
        <v>78</v>
      </c>
      <c r="G2911" t="s">
        <v>53</v>
      </c>
      <c r="H2911" t="s">
        <v>39</v>
      </c>
      <c r="I2911" t="s">
        <v>117</v>
      </c>
      <c r="J2911" t="s">
        <v>22</v>
      </c>
      <c r="K2911">
        <v>3</v>
      </c>
      <c r="L2911" t="s">
        <v>143</v>
      </c>
      <c r="M2911" t="s">
        <v>143</v>
      </c>
      <c r="N2911">
        <v>40</v>
      </c>
      <c r="O2911" t="s">
        <v>34</v>
      </c>
      <c r="P2911" t="s">
        <v>88</v>
      </c>
    </row>
    <row r="2912" spans="1:16" ht="14.5" x14ac:dyDescent="0.35">
      <c r="A2912">
        <v>2911</v>
      </c>
      <c r="B2912">
        <v>32</v>
      </c>
      <c r="C2912" t="s">
        <v>144</v>
      </c>
      <c r="D2912" t="s">
        <v>124</v>
      </c>
      <c r="E2912" t="s">
        <v>60</v>
      </c>
      <c r="F2912">
        <v>32</v>
      </c>
      <c r="G2912" t="s">
        <v>82</v>
      </c>
      <c r="H2912" t="s">
        <v>39</v>
      </c>
      <c r="I2912" t="s">
        <v>135</v>
      </c>
      <c r="J2912" t="s">
        <v>47</v>
      </c>
      <c r="K2912">
        <v>2.9</v>
      </c>
      <c r="L2912" t="s">
        <v>143</v>
      </c>
      <c r="M2912" t="s">
        <v>143</v>
      </c>
      <c r="N2912">
        <v>41</v>
      </c>
      <c r="O2912" t="s">
        <v>34</v>
      </c>
      <c r="P2912" t="s">
        <v>79</v>
      </c>
    </row>
    <row r="2913" spans="1:16" ht="14.5" x14ac:dyDescent="0.35">
      <c r="A2913">
        <v>2912</v>
      </c>
      <c r="B2913">
        <v>28</v>
      </c>
      <c r="C2913" t="s">
        <v>144</v>
      </c>
      <c r="D2913" t="s">
        <v>116</v>
      </c>
      <c r="E2913" t="s">
        <v>18</v>
      </c>
      <c r="F2913">
        <v>38</v>
      </c>
      <c r="G2913" t="s">
        <v>114</v>
      </c>
      <c r="H2913" t="s">
        <v>83</v>
      </c>
      <c r="I2913" t="s">
        <v>112</v>
      </c>
      <c r="J2913" t="s">
        <v>50</v>
      </c>
      <c r="K2913">
        <v>2.9</v>
      </c>
      <c r="L2913" t="s">
        <v>143</v>
      </c>
      <c r="M2913" t="s">
        <v>143</v>
      </c>
      <c r="N2913">
        <v>34</v>
      </c>
      <c r="O2913" t="s">
        <v>24</v>
      </c>
      <c r="P2913" t="s">
        <v>51</v>
      </c>
    </row>
    <row r="2914" spans="1:16" ht="14.5" x14ac:dyDescent="0.35">
      <c r="A2914">
        <v>2913</v>
      </c>
      <c r="B2914">
        <v>48</v>
      </c>
      <c r="C2914" t="s">
        <v>144</v>
      </c>
      <c r="D2914" t="s">
        <v>63</v>
      </c>
      <c r="E2914" t="s">
        <v>37</v>
      </c>
      <c r="F2914">
        <v>37</v>
      </c>
      <c r="G2914" t="s">
        <v>41</v>
      </c>
      <c r="H2914" t="s">
        <v>39</v>
      </c>
      <c r="I2914" t="s">
        <v>125</v>
      </c>
      <c r="J2914" t="s">
        <v>22</v>
      </c>
      <c r="K2914">
        <v>4</v>
      </c>
      <c r="L2914" t="s">
        <v>143</v>
      </c>
      <c r="M2914" t="s">
        <v>143</v>
      </c>
      <c r="N2914">
        <v>27</v>
      </c>
      <c r="O2914" t="s">
        <v>29</v>
      </c>
      <c r="P2914" t="s">
        <v>67</v>
      </c>
    </row>
    <row r="2915" spans="1:16" ht="14.5" x14ac:dyDescent="0.35">
      <c r="A2915">
        <v>2914</v>
      </c>
      <c r="B2915">
        <v>43</v>
      </c>
      <c r="C2915" t="s">
        <v>144</v>
      </c>
      <c r="D2915" t="s">
        <v>55</v>
      </c>
      <c r="E2915" t="s">
        <v>56</v>
      </c>
      <c r="F2915">
        <v>83</v>
      </c>
      <c r="G2915" t="s">
        <v>45</v>
      </c>
      <c r="H2915" t="s">
        <v>20</v>
      </c>
      <c r="I2915" t="s">
        <v>100</v>
      </c>
      <c r="J2915" t="s">
        <v>22</v>
      </c>
      <c r="K2915">
        <v>3.5</v>
      </c>
      <c r="L2915" t="s">
        <v>143</v>
      </c>
      <c r="M2915" t="s">
        <v>143</v>
      </c>
      <c r="N2915">
        <v>12</v>
      </c>
      <c r="O2915" t="s">
        <v>29</v>
      </c>
      <c r="P2915" t="s">
        <v>88</v>
      </c>
    </row>
    <row r="2916" spans="1:16" ht="14.5" x14ac:dyDescent="0.35">
      <c r="A2916">
        <v>2915</v>
      </c>
      <c r="B2916">
        <v>45</v>
      </c>
      <c r="C2916" t="s">
        <v>144</v>
      </c>
      <c r="D2916" t="s">
        <v>26</v>
      </c>
      <c r="E2916" t="s">
        <v>18</v>
      </c>
      <c r="F2916">
        <v>72</v>
      </c>
      <c r="G2916" t="s">
        <v>129</v>
      </c>
      <c r="H2916" t="s">
        <v>39</v>
      </c>
      <c r="I2916" t="s">
        <v>125</v>
      </c>
      <c r="J2916" t="s">
        <v>50</v>
      </c>
      <c r="K2916">
        <v>3.8</v>
      </c>
      <c r="L2916" t="s">
        <v>143</v>
      </c>
      <c r="M2916" t="s">
        <v>143</v>
      </c>
      <c r="N2916">
        <v>1</v>
      </c>
      <c r="O2916" t="s">
        <v>77</v>
      </c>
      <c r="P2916" t="s">
        <v>67</v>
      </c>
    </row>
    <row r="2917" spans="1:16" ht="14.5" x14ac:dyDescent="0.35">
      <c r="A2917">
        <v>2916</v>
      </c>
      <c r="B2917">
        <v>26</v>
      </c>
      <c r="C2917" t="s">
        <v>144</v>
      </c>
      <c r="D2917" t="s">
        <v>48</v>
      </c>
      <c r="E2917" t="s">
        <v>18</v>
      </c>
      <c r="F2917">
        <v>30</v>
      </c>
      <c r="G2917" t="s">
        <v>41</v>
      </c>
      <c r="H2917" t="s">
        <v>39</v>
      </c>
      <c r="I2917" t="s">
        <v>100</v>
      </c>
      <c r="J2917" t="s">
        <v>50</v>
      </c>
      <c r="K2917">
        <v>4.5</v>
      </c>
      <c r="L2917" t="s">
        <v>143</v>
      </c>
      <c r="M2917" t="s">
        <v>143</v>
      </c>
      <c r="N2917">
        <v>39</v>
      </c>
      <c r="O2917" t="s">
        <v>77</v>
      </c>
      <c r="P2917" t="s">
        <v>67</v>
      </c>
    </row>
    <row r="2918" spans="1:16" ht="14.5" x14ac:dyDescent="0.35">
      <c r="A2918">
        <v>2917</v>
      </c>
      <c r="B2918">
        <v>62</v>
      </c>
      <c r="C2918" t="s">
        <v>144</v>
      </c>
      <c r="D2918" t="s">
        <v>52</v>
      </c>
      <c r="E2918" t="s">
        <v>18</v>
      </c>
      <c r="F2918">
        <v>66</v>
      </c>
      <c r="G2918" t="s">
        <v>92</v>
      </c>
      <c r="H2918" t="s">
        <v>39</v>
      </c>
      <c r="I2918" t="s">
        <v>87</v>
      </c>
      <c r="J2918" t="s">
        <v>22</v>
      </c>
      <c r="K2918">
        <v>2.7</v>
      </c>
      <c r="L2918" t="s">
        <v>143</v>
      </c>
      <c r="M2918" t="s">
        <v>143</v>
      </c>
      <c r="N2918">
        <v>13</v>
      </c>
      <c r="O2918" t="s">
        <v>34</v>
      </c>
      <c r="P2918" t="s">
        <v>67</v>
      </c>
    </row>
    <row r="2919" spans="1:16" ht="14.5" x14ac:dyDescent="0.35">
      <c r="A2919">
        <v>2918</v>
      </c>
      <c r="B2919">
        <v>58</v>
      </c>
      <c r="C2919" t="s">
        <v>144</v>
      </c>
      <c r="D2919" t="s">
        <v>48</v>
      </c>
      <c r="E2919" t="s">
        <v>18</v>
      </c>
      <c r="F2919">
        <v>45</v>
      </c>
      <c r="G2919" t="s">
        <v>103</v>
      </c>
      <c r="H2919" t="s">
        <v>83</v>
      </c>
      <c r="I2919" t="s">
        <v>46</v>
      </c>
      <c r="J2919" t="s">
        <v>22</v>
      </c>
      <c r="K2919">
        <v>2.9</v>
      </c>
      <c r="L2919" t="s">
        <v>143</v>
      </c>
      <c r="M2919" t="s">
        <v>143</v>
      </c>
      <c r="N2919">
        <v>50</v>
      </c>
      <c r="O2919" t="s">
        <v>24</v>
      </c>
      <c r="P2919" t="s">
        <v>43</v>
      </c>
    </row>
    <row r="2920" spans="1:16" ht="14.5" x14ac:dyDescent="0.35">
      <c r="A2920">
        <v>2919</v>
      </c>
      <c r="B2920">
        <v>19</v>
      </c>
      <c r="C2920" t="s">
        <v>144</v>
      </c>
      <c r="D2920" t="s">
        <v>80</v>
      </c>
      <c r="E2920" t="s">
        <v>60</v>
      </c>
      <c r="F2920">
        <v>73</v>
      </c>
      <c r="G2920" t="s">
        <v>75</v>
      </c>
      <c r="H2920" t="s">
        <v>32</v>
      </c>
      <c r="I2920" t="s">
        <v>85</v>
      </c>
      <c r="J2920" t="s">
        <v>50</v>
      </c>
      <c r="K2920">
        <v>4.9000000000000004</v>
      </c>
      <c r="L2920" t="s">
        <v>143</v>
      </c>
      <c r="M2920" t="s">
        <v>143</v>
      </c>
      <c r="N2920">
        <v>36</v>
      </c>
      <c r="O2920" t="s">
        <v>29</v>
      </c>
      <c r="P2920" t="s">
        <v>35</v>
      </c>
    </row>
    <row r="2921" spans="1:16" ht="14.5" x14ac:dyDescent="0.35">
      <c r="A2921">
        <v>2920</v>
      </c>
      <c r="B2921">
        <v>64</v>
      </c>
      <c r="C2921" t="s">
        <v>144</v>
      </c>
      <c r="D2921" t="s">
        <v>63</v>
      </c>
      <c r="E2921" t="s">
        <v>37</v>
      </c>
      <c r="F2921">
        <v>67</v>
      </c>
      <c r="G2921" t="s">
        <v>139</v>
      </c>
      <c r="H2921" t="s">
        <v>20</v>
      </c>
      <c r="I2921" t="s">
        <v>54</v>
      </c>
      <c r="J2921" t="s">
        <v>22</v>
      </c>
      <c r="K2921">
        <v>3.8</v>
      </c>
      <c r="L2921" t="s">
        <v>143</v>
      </c>
      <c r="M2921" t="s">
        <v>143</v>
      </c>
      <c r="N2921">
        <v>31</v>
      </c>
      <c r="O2921" t="s">
        <v>77</v>
      </c>
      <c r="P2921" t="s">
        <v>79</v>
      </c>
    </row>
    <row r="2922" spans="1:16" ht="14.5" x14ac:dyDescent="0.35">
      <c r="A2922">
        <v>2921</v>
      </c>
      <c r="B2922">
        <v>33</v>
      </c>
      <c r="C2922" t="s">
        <v>144</v>
      </c>
      <c r="D2922" t="s">
        <v>80</v>
      </c>
      <c r="E2922" t="s">
        <v>60</v>
      </c>
      <c r="F2922">
        <v>72</v>
      </c>
      <c r="G2922" t="s">
        <v>96</v>
      </c>
      <c r="H2922" t="s">
        <v>83</v>
      </c>
      <c r="I2922" t="s">
        <v>101</v>
      </c>
      <c r="J2922" t="s">
        <v>33</v>
      </c>
      <c r="K2922">
        <v>4.9000000000000004</v>
      </c>
      <c r="L2922" t="s">
        <v>143</v>
      </c>
      <c r="M2922" t="s">
        <v>143</v>
      </c>
      <c r="N2922">
        <v>3</v>
      </c>
      <c r="O2922" t="s">
        <v>77</v>
      </c>
      <c r="P2922" t="s">
        <v>67</v>
      </c>
    </row>
    <row r="2923" spans="1:16" ht="14.5" x14ac:dyDescent="0.35">
      <c r="A2923">
        <v>2922</v>
      </c>
      <c r="B2923">
        <v>20</v>
      </c>
      <c r="C2923" t="s">
        <v>144</v>
      </c>
      <c r="D2923" t="s">
        <v>59</v>
      </c>
      <c r="E2923" t="s">
        <v>60</v>
      </c>
      <c r="F2923">
        <v>24</v>
      </c>
      <c r="G2923" t="s">
        <v>141</v>
      </c>
      <c r="H2923" t="s">
        <v>39</v>
      </c>
      <c r="I2923" t="s">
        <v>100</v>
      </c>
      <c r="J2923" t="s">
        <v>50</v>
      </c>
      <c r="K2923">
        <v>4.5999999999999996</v>
      </c>
      <c r="L2923" t="s">
        <v>143</v>
      </c>
      <c r="M2923" t="s">
        <v>143</v>
      </c>
      <c r="N2923">
        <v>11</v>
      </c>
      <c r="O2923" t="s">
        <v>29</v>
      </c>
      <c r="P2923" t="s">
        <v>25</v>
      </c>
    </row>
    <row r="2924" spans="1:16" ht="14.5" x14ac:dyDescent="0.35">
      <c r="A2924">
        <v>2923</v>
      </c>
      <c r="B2924">
        <v>45</v>
      </c>
      <c r="C2924" t="s">
        <v>144</v>
      </c>
      <c r="D2924" t="s">
        <v>80</v>
      </c>
      <c r="E2924" t="s">
        <v>60</v>
      </c>
      <c r="F2924">
        <v>68</v>
      </c>
      <c r="G2924" t="s">
        <v>19</v>
      </c>
      <c r="H2924" t="s">
        <v>20</v>
      </c>
      <c r="I2924" t="s">
        <v>109</v>
      </c>
      <c r="J2924" t="s">
        <v>22</v>
      </c>
      <c r="K2924">
        <v>3.5</v>
      </c>
      <c r="L2924" t="s">
        <v>143</v>
      </c>
      <c r="M2924" t="s">
        <v>143</v>
      </c>
      <c r="N2924">
        <v>16</v>
      </c>
      <c r="O2924" t="s">
        <v>40</v>
      </c>
      <c r="P2924" t="s">
        <v>51</v>
      </c>
    </row>
    <row r="2925" spans="1:16" ht="14.5" x14ac:dyDescent="0.35">
      <c r="A2925">
        <v>2924</v>
      </c>
      <c r="B2925">
        <v>28</v>
      </c>
      <c r="C2925" t="s">
        <v>144</v>
      </c>
      <c r="D2925" t="s">
        <v>48</v>
      </c>
      <c r="E2925" t="s">
        <v>18</v>
      </c>
      <c r="F2925">
        <v>70</v>
      </c>
      <c r="G2925" t="s">
        <v>129</v>
      </c>
      <c r="H2925" t="s">
        <v>39</v>
      </c>
      <c r="I2925" t="s">
        <v>127</v>
      </c>
      <c r="J2925" t="s">
        <v>33</v>
      </c>
      <c r="K2925">
        <v>4.2</v>
      </c>
      <c r="L2925" t="s">
        <v>143</v>
      </c>
      <c r="M2925" t="s">
        <v>143</v>
      </c>
      <c r="N2925">
        <v>12</v>
      </c>
      <c r="O2925" t="s">
        <v>29</v>
      </c>
      <c r="P2925" t="s">
        <v>51</v>
      </c>
    </row>
    <row r="2926" spans="1:16" ht="14.5" x14ac:dyDescent="0.35">
      <c r="A2926">
        <v>2925</v>
      </c>
      <c r="B2926">
        <v>47</v>
      </c>
      <c r="C2926" t="s">
        <v>144</v>
      </c>
      <c r="D2926" t="s">
        <v>48</v>
      </c>
      <c r="E2926" t="s">
        <v>18</v>
      </c>
      <c r="F2926">
        <v>64</v>
      </c>
      <c r="G2926" t="s">
        <v>38</v>
      </c>
      <c r="H2926" t="s">
        <v>20</v>
      </c>
      <c r="I2926" t="s">
        <v>117</v>
      </c>
      <c r="J2926" t="s">
        <v>22</v>
      </c>
      <c r="K2926">
        <v>3.7</v>
      </c>
      <c r="L2926" t="s">
        <v>143</v>
      </c>
      <c r="M2926" t="s">
        <v>143</v>
      </c>
      <c r="N2926">
        <v>37</v>
      </c>
      <c r="O2926" t="s">
        <v>77</v>
      </c>
      <c r="P2926" t="s">
        <v>88</v>
      </c>
    </row>
    <row r="2927" spans="1:16" ht="14.5" x14ac:dyDescent="0.35">
      <c r="A2927">
        <v>2926</v>
      </c>
      <c r="B2927">
        <v>54</v>
      </c>
      <c r="C2927" t="s">
        <v>144</v>
      </c>
      <c r="D2927" t="s">
        <v>26</v>
      </c>
      <c r="E2927" t="s">
        <v>18</v>
      </c>
      <c r="F2927">
        <v>91</v>
      </c>
      <c r="G2927" t="s">
        <v>106</v>
      </c>
      <c r="H2927" t="s">
        <v>39</v>
      </c>
      <c r="I2927" t="s">
        <v>28</v>
      </c>
      <c r="J2927" t="s">
        <v>33</v>
      </c>
      <c r="K2927">
        <v>2.8</v>
      </c>
      <c r="L2927" t="s">
        <v>143</v>
      </c>
      <c r="M2927" t="s">
        <v>143</v>
      </c>
      <c r="N2927">
        <v>43</v>
      </c>
      <c r="O2927" t="s">
        <v>34</v>
      </c>
      <c r="P2927" t="s">
        <v>88</v>
      </c>
    </row>
    <row r="2928" spans="1:16" ht="14.5" x14ac:dyDescent="0.35">
      <c r="A2928">
        <v>2927</v>
      </c>
      <c r="B2928">
        <v>64</v>
      </c>
      <c r="C2928" t="s">
        <v>144</v>
      </c>
      <c r="D2928" t="s">
        <v>59</v>
      </c>
      <c r="E2928" t="s">
        <v>60</v>
      </c>
      <c r="F2928">
        <v>82</v>
      </c>
      <c r="G2928" t="s">
        <v>119</v>
      </c>
      <c r="H2928" t="s">
        <v>39</v>
      </c>
      <c r="I2928" t="s">
        <v>21</v>
      </c>
      <c r="J2928" t="s">
        <v>22</v>
      </c>
      <c r="K2928">
        <v>4.8</v>
      </c>
      <c r="L2928" t="s">
        <v>143</v>
      </c>
      <c r="M2928" t="s">
        <v>143</v>
      </c>
      <c r="N2928">
        <v>9</v>
      </c>
      <c r="O2928" t="s">
        <v>29</v>
      </c>
      <c r="P2928" t="s">
        <v>35</v>
      </c>
    </row>
    <row r="2929" spans="1:16" ht="14.5" x14ac:dyDescent="0.35">
      <c r="A2929">
        <v>2928</v>
      </c>
      <c r="B2929">
        <v>45</v>
      </c>
      <c r="C2929" t="s">
        <v>144</v>
      </c>
      <c r="D2929" t="s">
        <v>48</v>
      </c>
      <c r="E2929" t="s">
        <v>18</v>
      </c>
      <c r="F2929">
        <v>24</v>
      </c>
      <c r="G2929" t="s">
        <v>61</v>
      </c>
      <c r="H2929" t="s">
        <v>39</v>
      </c>
      <c r="I2929" t="s">
        <v>85</v>
      </c>
      <c r="J2929" t="s">
        <v>47</v>
      </c>
      <c r="K2929">
        <v>2.7</v>
      </c>
      <c r="L2929" t="s">
        <v>143</v>
      </c>
      <c r="M2929" t="s">
        <v>143</v>
      </c>
      <c r="N2929">
        <v>15</v>
      </c>
      <c r="O2929" t="s">
        <v>24</v>
      </c>
      <c r="P2929" t="s">
        <v>67</v>
      </c>
    </row>
    <row r="2930" spans="1:16" ht="14.5" x14ac:dyDescent="0.35">
      <c r="A2930">
        <v>2929</v>
      </c>
      <c r="B2930">
        <v>40</v>
      </c>
      <c r="C2930" t="s">
        <v>144</v>
      </c>
      <c r="D2930" t="s">
        <v>97</v>
      </c>
      <c r="E2930" t="s">
        <v>60</v>
      </c>
      <c r="F2930">
        <v>80</v>
      </c>
      <c r="G2930" t="s">
        <v>81</v>
      </c>
      <c r="H2930" t="s">
        <v>20</v>
      </c>
      <c r="I2930" t="s">
        <v>125</v>
      </c>
      <c r="J2930" t="s">
        <v>33</v>
      </c>
      <c r="K2930">
        <v>3.6</v>
      </c>
      <c r="L2930" t="s">
        <v>143</v>
      </c>
      <c r="M2930" t="s">
        <v>143</v>
      </c>
      <c r="N2930">
        <v>17</v>
      </c>
      <c r="O2930" t="s">
        <v>34</v>
      </c>
      <c r="P2930" t="s">
        <v>35</v>
      </c>
    </row>
    <row r="2931" spans="1:16" ht="14.5" x14ac:dyDescent="0.35">
      <c r="A2931">
        <v>2930</v>
      </c>
      <c r="B2931">
        <v>31</v>
      </c>
      <c r="C2931" t="s">
        <v>144</v>
      </c>
      <c r="D2931" t="s">
        <v>116</v>
      </c>
      <c r="E2931" t="s">
        <v>18</v>
      </c>
      <c r="F2931">
        <v>53</v>
      </c>
      <c r="G2931" t="s">
        <v>27</v>
      </c>
      <c r="H2931" t="s">
        <v>83</v>
      </c>
      <c r="I2931" t="s">
        <v>46</v>
      </c>
      <c r="J2931" t="s">
        <v>22</v>
      </c>
      <c r="K2931">
        <v>4.5</v>
      </c>
      <c r="L2931" t="s">
        <v>143</v>
      </c>
      <c r="M2931" t="s">
        <v>143</v>
      </c>
      <c r="N2931">
        <v>42</v>
      </c>
      <c r="O2931" t="s">
        <v>24</v>
      </c>
      <c r="P2931" t="s">
        <v>25</v>
      </c>
    </row>
    <row r="2932" spans="1:16" ht="14.5" x14ac:dyDescent="0.35">
      <c r="A2932">
        <v>2931</v>
      </c>
      <c r="B2932">
        <v>38</v>
      </c>
      <c r="C2932" t="s">
        <v>144</v>
      </c>
      <c r="D2932" t="s">
        <v>104</v>
      </c>
      <c r="E2932" t="s">
        <v>18</v>
      </c>
      <c r="F2932">
        <v>50</v>
      </c>
      <c r="G2932" t="s">
        <v>82</v>
      </c>
      <c r="H2932" t="s">
        <v>39</v>
      </c>
      <c r="I2932" t="s">
        <v>112</v>
      </c>
      <c r="J2932" t="s">
        <v>33</v>
      </c>
      <c r="K2932">
        <v>4</v>
      </c>
      <c r="L2932" t="s">
        <v>143</v>
      </c>
      <c r="M2932" t="s">
        <v>143</v>
      </c>
      <c r="N2932">
        <v>14</v>
      </c>
      <c r="O2932" t="s">
        <v>24</v>
      </c>
      <c r="P2932" t="s">
        <v>79</v>
      </c>
    </row>
    <row r="2933" spans="1:16" ht="14.5" x14ac:dyDescent="0.35">
      <c r="A2933">
        <v>2932</v>
      </c>
      <c r="B2933">
        <v>36</v>
      </c>
      <c r="C2933" t="s">
        <v>144</v>
      </c>
      <c r="D2933" t="s">
        <v>97</v>
      </c>
      <c r="E2933" t="s">
        <v>60</v>
      </c>
      <c r="F2933">
        <v>31</v>
      </c>
      <c r="G2933" t="s">
        <v>81</v>
      </c>
      <c r="H2933" t="s">
        <v>39</v>
      </c>
      <c r="I2933" t="s">
        <v>127</v>
      </c>
      <c r="J2933" t="s">
        <v>50</v>
      </c>
      <c r="K2933">
        <v>4.5</v>
      </c>
      <c r="L2933" t="s">
        <v>143</v>
      </c>
      <c r="M2933" t="s">
        <v>143</v>
      </c>
      <c r="N2933">
        <v>49</v>
      </c>
      <c r="O2933" t="s">
        <v>34</v>
      </c>
      <c r="P2933" t="s">
        <v>67</v>
      </c>
    </row>
    <row r="2934" spans="1:16" ht="14.5" x14ac:dyDescent="0.35">
      <c r="A2934">
        <v>2933</v>
      </c>
      <c r="B2934">
        <v>65</v>
      </c>
      <c r="C2934" t="s">
        <v>144</v>
      </c>
      <c r="D2934" t="s">
        <v>123</v>
      </c>
      <c r="E2934" t="s">
        <v>60</v>
      </c>
      <c r="F2934">
        <v>88</v>
      </c>
      <c r="G2934" t="s">
        <v>111</v>
      </c>
      <c r="H2934" t="s">
        <v>20</v>
      </c>
      <c r="I2934" t="s">
        <v>85</v>
      </c>
      <c r="J2934" t="s">
        <v>33</v>
      </c>
      <c r="K2934">
        <v>3.9</v>
      </c>
      <c r="L2934" t="s">
        <v>143</v>
      </c>
      <c r="M2934" t="s">
        <v>143</v>
      </c>
      <c r="N2934">
        <v>3</v>
      </c>
      <c r="O2934" t="s">
        <v>40</v>
      </c>
      <c r="P2934" t="s">
        <v>51</v>
      </c>
    </row>
    <row r="2935" spans="1:16" ht="14.5" x14ac:dyDescent="0.35">
      <c r="A2935">
        <v>2934</v>
      </c>
      <c r="B2935">
        <v>27</v>
      </c>
      <c r="C2935" t="s">
        <v>144</v>
      </c>
      <c r="D2935" t="s">
        <v>115</v>
      </c>
      <c r="E2935" t="s">
        <v>60</v>
      </c>
      <c r="F2935">
        <v>52</v>
      </c>
      <c r="G2935" t="s">
        <v>106</v>
      </c>
      <c r="H2935" t="s">
        <v>39</v>
      </c>
      <c r="I2935" t="s">
        <v>101</v>
      </c>
      <c r="J2935" t="s">
        <v>47</v>
      </c>
      <c r="K2935">
        <v>3.8</v>
      </c>
      <c r="L2935" t="s">
        <v>143</v>
      </c>
      <c r="M2935" t="s">
        <v>143</v>
      </c>
      <c r="N2935">
        <v>28</v>
      </c>
      <c r="O2935" t="s">
        <v>24</v>
      </c>
      <c r="P2935" t="s">
        <v>79</v>
      </c>
    </row>
    <row r="2936" spans="1:16" ht="14.5" x14ac:dyDescent="0.35">
      <c r="A2936">
        <v>2935</v>
      </c>
      <c r="B2936">
        <v>38</v>
      </c>
      <c r="C2936" t="s">
        <v>144</v>
      </c>
      <c r="D2936" t="s">
        <v>134</v>
      </c>
      <c r="E2936" t="s">
        <v>60</v>
      </c>
      <c r="F2936">
        <v>22</v>
      </c>
      <c r="G2936" t="s">
        <v>126</v>
      </c>
      <c r="H2936" t="s">
        <v>39</v>
      </c>
      <c r="I2936" t="s">
        <v>112</v>
      </c>
      <c r="J2936" t="s">
        <v>50</v>
      </c>
      <c r="K2936">
        <v>4.7</v>
      </c>
      <c r="L2936" t="s">
        <v>143</v>
      </c>
      <c r="M2936" t="s">
        <v>143</v>
      </c>
      <c r="N2936">
        <v>41</v>
      </c>
      <c r="O2936" t="s">
        <v>66</v>
      </c>
      <c r="P2936" t="s">
        <v>51</v>
      </c>
    </row>
    <row r="2937" spans="1:16" ht="14.5" x14ac:dyDescent="0.35">
      <c r="A2937">
        <v>2936</v>
      </c>
      <c r="B2937">
        <v>58</v>
      </c>
      <c r="C2937" t="s">
        <v>144</v>
      </c>
      <c r="D2937" t="s">
        <v>44</v>
      </c>
      <c r="E2937" t="s">
        <v>37</v>
      </c>
      <c r="F2937">
        <v>27</v>
      </c>
      <c r="G2937" t="s">
        <v>89</v>
      </c>
      <c r="H2937" t="s">
        <v>83</v>
      </c>
      <c r="I2937" t="s">
        <v>21</v>
      </c>
      <c r="J2937" t="s">
        <v>33</v>
      </c>
      <c r="K2937">
        <v>4.5999999999999996</v>
      </c>
      <c r="L2937" t="s">
        <v>143</v>
      </c>
      <c r="M2937" t="s">
        <v>143</v>
      </c>
      <c r="N2937">
        <v>11</v>
      </c>
      <c r="O2937" t="s">
        <v>24</v>
      </c>
      <c r="P2937" t="s">
        <v>35</v>
      </c>
    </row>
    <row r="2938" spans="1:16" ht="14.5" x14ac:dyDescent="0.35">
      <c r="A2938">
        <v>2937</v>
      </c>
      <c r="B2938">
        <v>31</v>
      </c>
      <c r="C2938" t="s">
        <v>144</v>
      </c>
      <c r="D2938" t="s">
        <v>78</v>
      </c>
      <c r="E2938" t="s">
        <v>18</v>
      </c>
      <c r="F2938">
        <v>34</v>
      </c>
      <c r="G2938" t="s">
        <v>140</v>
      </c>
      <c r="H2938" t="s">
        <v>39</v>
      </c>
      <c r="I2938" t="s">
        <v>46</v>
      </c>
      <c r="J2938" t="s">
        <v>33</v>
      </c>
      <c r="K2938">
        <v>3.6</v>
      </c>
      <c r="L2938" t="s">
        <v>143</v>
      </c>
      <c r="M2938" t="s">
        <v>143</v>
      </c>
      <c r="N2938">
        <v>46</v>
      </c>
      <c r="O2938" t="s">
        <v>40</v>
      </c>
      <c r="P2938" t="s">
        <v>35</v>
      </c>
    </row>
    <row r="2939" spans="1:16" ht="14.5" x14ac:dyDescent="0.35">
      <c r="A2939">
        <v>2938</v>
      </c>
      <c r="B2939">
        <v>28</v>
      </c>
      <c r="C2939" t="s">
        <v>144</v>
      </c>
      <c r="D2939" t="s">
        <v>59</v>
      </c>
      <c r="E2939" t="s">
        <v>60</v>
      </c>
      <c r="F2939">
        <v>39</v>
      </c>
      <c r="G2939" t="s">
        <v>57</v>
      </c>
      <c r="H2939" t="s">
        <v>39</v>
      </c>
      <c r="I2939" t="s">
        <v>46</v>
      </c>
      <c r="J2939" t="s">
        <v>33</v>
      </c>
      <c r="K2939">
        <v>4.3</v>
      </c>
      <c r="L2939" t="s">
        <v>143</v>
      </c>
      <c r="M2939" t="s">
        <v>143</v>
      </c>
      <c r="N2939">
        <v>15</v>
      </c>
      <c r="O2939" t="s">
        <v>34</v>
      </c>
      <c r="P2939" t="s">
        <v>35</v>
      </c>
    </row>
    <row r="2940" spans="1:16" ht="14.5" x14ac:dyDescent="0.35">
      <c r="A2940">
        <v>2939</v>
      </c>
      <c r="B2940">
        <v>28</v>
      </c>
      <c r="C2940" t="s">
        <v>144</v>
      </c>
      <c r="D2940" t="s">
        <v>80</v>
      </c>
      <c r="E2940" t="s">
        <v>60</v>
      </c>
      <c r="F2940">
        <v>53</v>
      </c>
      <c r="G2940" t="s">
        <v>27</v>
      </c>
      <c r="H2940" t="s">
        <v>39</v>
      </c>
      <c r="I2940" t="s">
        <v>74</v>
      </c>
      <c r="J2940" t="s">
        <v>50</v>
      </c>
      <c r="K2940">
        <v>3</v>
      </c>
      <c r="L2940" t="s">
        <v>143</v>
      </c>
      <c r="M2940" t="s">
        <v>143</v>
      </c>
      <c r="N2940">
        <v>15</v>
      </c>
      <c r="O2940" t="s">
        <v>29</v>
      </c>
      <c r="P2940" t="s">
        <v>79</v>
      </c>
    </row>
    <row r="2941" spans="1:16" ht="14.5" x14ac:dyDescent="0.35">
      <c r="A2941">
        <v>2940</v>
      </c>
      <c r="B2941">
        <v>32</v>
      </c>
      <c r="C2941" t="s">
        <v>144</v>
      </c>
      <c r="D2941" t="s">
        <v>26</v>
      </c>
      <c r="E2941" t="s">
        <v>18</v>
      </c>
      <c r="F2941">
        <v>46</v>
      </c>
      <c r="G2941" t="s">
        <v>19</v>
      </c>
      <c r="H2941" t="s">
        <v>39</v>
      </c>
      <c r="I2941" t="s">
        <v>109</v>
      </c>
      <c r="J2941" t="s">
        <v>22</v>
      </c>
      <c r="K2941">
        <v>4.3</v>
      </c>
      <c r="L2941" t="s">
        <v>143</v>
      </c>
      <c r="M2941" t="s">
        <v>143</v>
      </c>
      <c r="N2941">
        <v>34</v>
      </c>
      <c r="O2941" t="s">
        <v>24</v>
      </c>
      <c r="P2941" t="s">
        <v>35</v>
      </c>
    </row>
    <row r="2942" spans="1:16" ht="14.5" x14ac:dyDescent="0.35">
      <c r="A2942">
        <v>2941</v>
      </c>
      <c r="B2942">
        <v>61</v>
      </c>
      <c r="C2942" t="s">
        <v>144</v>
      </c>
      <c r="D2942" t="s">
        <v>59</v>
      </c>
      <c r="E2942" t="s">
        <v>60</v>
      </c>
      <c r="F2942">
        <v>85</v>
      </c>
      <c r="G2942" t="s">
        <v>31</v>
      </c>
      <c r="H2942" t="s">
        <v>20</v>
      </c>
      <c r="I2942" t="s">
        <v>109</v>
      </c>
      <c r="J2942" t="s">
        <v>47</v>
      </c>
      <c r="K2942">
        <v>4.8</v>
      </c>
      <c r="L2942" t="s">
        <v>143</v>
      </c>
      <c r="M2942" t="s">
        <v>143</v>
      </c>
      <c r="N2942">
        <v>13</v>
      </c>
      <c r="O2942" t="s">
        <v>29</v>
      </c>
      <c r="P2942" t="s">
        <v>79</v>
      </c>
    </row>
    <row r="2943" spans="1:16" ht="14.5" x14ac:dyDescent="0.35">
      <c r="A2943">
        <v>2942</v>
      </c>
      <c r="B2943">
        <v>38</v>
      </c>
      <c r="C2943" t="s">
        <v>144</v>
      </c>
      <c r="D2943" t="s">
        <v>78</v>
      </c>
      <c r="E2943" t="s">
        <v>18</v>
      </c>
      <c r="F2943">
        <v>86</v>
      </c>
      <c r="G2943" t="s">
        <v>129</v>
      </c>
      <c r="H2943" t="s">
        <v>20</v>
      </c>
      <c r="I2943" t="s">
        <v>65</v>
      </c>
      <c r="J2943" t="s">
        <v>33</v>
      </c>
      <c r="K2943">
        <v>3.7</v>
      </c>
      <c r="L2943" t="s">
        <v>143</v>
      </c>
      <c r="M2943" t="s">
        <v>143</v>
      </c>
      <c r="N2943">
        <v>27</v>
      </c>
      <c r="O2943" t="s">
        <v>40</v>
      </c>
      <c r="P2943" t="s">
        <v>79</v>
      </c>
    </row>
    <row r="2944" spans="1:16" ht="14.5" x14ac:dyDescent="0.35">
      <c r="A2944">
        <v>2943</v>
      </c>
      <c r="B2944">
        <v>54</v>
      </c>
      <c r="C2944" t="s">
        <v>144</v>
      </c>
      <c r="D2944" t="s">
        <v>116</v>
      </c>
      <c r="E2944" t="s">
        <v>18</v>
      </c>
      <c r="F2944">
        <v>63</v>
      </c>
      <c r="G2944" t="s">
        <v>68</v>
      </c>
      <c r="H2944" t="s">
        <v>39</v>
      </c>
      <c r="I2944" t="s">
        <v>101</v>
      </c>
      <c r="J2944" t="s">
        <v>47</v>
      </c>
      <c r="K2944">
        <v>2.6</v>
      </c>
      <c r="L2944" t="s">
        <v>143</v>
      </c>
      <c r="M2944" t="s">
        <v>143</v>
      </c>
      <c r="N2944">
        <v>37</v>
      </c>
      <c r="O2944" t="s">
        <v>66</v>
      </c>
      <c r="P2944" t="s">
        <v>35</v>
      </c>
    </row>
    <row r="2945" spans="1:16" ht="14.5" x14ac:dyDescent="0.35">
      <c r="A2945">
        <v>2944</v>
      </c>
      <c r="B2945">
        <v>29</v>
      </c>
      <c r="C2945" t="s">
        <v>144</v>
      </c>
      <c r="D2945" t="s">
        <v>48</v>
      </c>
      <c r="E2945" t="s">
        <v>18</v>
      </c>
      <c r="F2945">
        <v>44</v>
      </c>
      <c r="G2945" t="s">
        <v>132</v>
      </c>
      <c r="H2945" t="s">
        <v>39</v>
      </c>
      <c r="I2945" t="s">
        <v>112</v>
      </c>
      <c r="J2945" t="s">
        <v>33</v>
      </c>
      <c r="K2945">
        <v>3.4</v>
      </c>
      <c r="L2945" t="s">
        <v>143</v>
      </c>
      <c r="M2945" t="s">
        <v>143</v>
      </c>
      <c r="N2945">
        <v>37</v>
      </c>
      <c r="O2945" t="s">
        <v>34</v>
      </c>
      <c r="P2945" t="s">
        <v>79</v>
      </c>
    </row>
    <row r="2946" spans="1:16" ht="14.5" x14ac:dyDescent="0.35">
      <c r="A2946">
        <v>2945</v>
      </c>
      <c r="B2946">
        <v>50</v>
      </c>
      <c r="C2946" t="s">
        <v>144</v>
      </c>
      <c r="D2946" t="s">
        <v>44</v>
      </c>
      <c r="E2946" t="s">
        <v>37</v>
      </c>
      <c r="F2946">
        <v>95</v>
      </c>
      <c r="G2946" t="s">
        <v>75</v>
      </c>
      <c r="H2946" t="s">
        <v>83</v>
      </c>
      <c r="I2946" t="s">
        <v>100</v>
      </c>
      <c r="J2946" t="s">
        <v>47</v>
      </c>
      <c r="K2946">
        <v>3.9</v>
      </c>
      <c r="L2946" t="s">
        <v>143</v>
      </c>
      <c r="M2946" t="s">
        <v>143</v>
      </c>
      <c r="N2946">
        <v>4</v>
      </c>
      <c r="O2946" t="s">
        <v>24</v>
      </c>
      <c r="P2946" t="s">
        <v>88</v>
      </c>
    </row>
    <row r="2947" spans="1:16" ht="14.5" x14ac:dyDescent="0.35">
      <c r="A2947">
        <v>2946</v>
      </c>
      <c r="B2947">
        <v>32</v>
      </c>
      <c r="C2947" t="s">
        <v>144</v>
      </c>
      <c r="D2947" t="s">
        <v>124</v>
      </c>
      <c r="E2947" t="s">
        <v>60</v>
      </c>
      <c r="F2947">
        <v>49</v>
      </c>
      <c r="G2947" t="s">
        <v>70</v>
      </c>
      <c r="H2947" t="s">
        <v>39</v>
      </c>
      <c r="I2947" t="s">
        <v>54</v>
      </c>
      <c r="J2947" t="s">
        <v>47</v>
      </c>
      <c r="K2947">
        <v>4.8</v>
      </c>
      <c r="L2947" t="s">
        <v>143</v>
      </c>
      <c r="M2947" t="s">
        <v>143</v>
      </c>
      <c r="N2947">
        <v>1</v>
      </c>
      <c r="O2947" t="s">
        <v>34</v>
      </c>
      <c r="P2947" t="s">
        <v>88</v>
      </c>
    </row>
    <row r="2948" spans="1:16" ht="14.5" x14ac:dyDescent="0.35">
      <c r="A2948">
        <v>2947</v>
      </c>
      <c r="B2948">
        <v>38</v>
      </c>
      <c r="C2948" t="s">
        <v>144</v>
      </c>
      <c r="D2948" t="s">
        <v>86</v>
      </c>
      <c r="E2948" t="s">
        <v>18</v>
      </c>
      <c r="F2948">
        <v>77</v>
      </c>
      <c r="G2948" t="s">
        <v>68</v>
      </c>
      <c r="H2948" t="s">
        <v>20</v>
      </c>
      <c r="I2948" t="s">
        <v>65</v>
      </c>
      <c r="J2948" t="s">
        <v>33</v>
      </c>
      <c r="K2948">
        <v>2.8</v>
      </c>
      <c r="L2948" t="s">
        <v>143</v>
      </c>
      <c r="M2948" t="s">
        <v>143</v>
      </c>
      <c r="N2948">
        <v>29</v>
      </c>
      <c r="O2948" t="s">
        <v>66</v>
      </c>
      <c r="P2948" t="s">
        <v>51</v>
      </c>
    </row>
    <row r="2949" spans="1:16" ht="14.5" x14ac:dyDescent="0.35">
      <c r="A2949">
        <v>2948</v>
      </c>
      <c r="B2949">
        <v>52</v>
      </c>
      <c r="C2949" t="s">
        <v>144</v>
      </c>
      <c r="D2949" t="s">
        <v>97</v>
      </c>
      <c r="E2949" t="s">
        <v>60</v>
      </c>
      <c r="F2949">
        <v>63</v>
      </c>
      <c r="G2949" t="s">
        <v>136</v>
      </c>
      <c r="H2949" t="s">
        <v>20</v>
      </c>
      <c r="I2949" t="s">
        <v>91</v>
      </c>
      <c r="J2949" t="s">
        <v>33</v>
      </c>
      <c r="K2949">
        <v>4.4000000000000004</v>
      </c>
      <c r="L2949" t="s">
        <v>143</v>
      </c>
      <c r="M2949" t="s">
        <v>143</v>
      </c>
      <c r="N2949">
        <v>50</v>
      </c>
      <c r="O2949" t="s">
        <v>24</v>
      </c>
      <c r="P2949" t="s">
        <v>43</v>
      </c>
    </row>
    <row r="2950" spans="1:16" ht="14.5" x14ac:dyDescent="0.35">
      <c r="A2950">
        <v>2949</v>
      </c>
      <c r="B2950">
        <v>61</v>
      </c>
      <c r="C2950" t="s">
        <v>144</v>
      </c>
      <c r="D2950" t="s">
        <v>86</v>
      </c>
      <c r="E2950" t="s">
        <v>18</v>
      </c>
      <c r="F2950">
        <v>83</v>
      </c>
      <c r="G2950" t="s">
        <v>120</v>
      </c>
      <c r="H2950" t="s">
        <v>39</v>
      </c>
      <c r="I2950" t="s">
        <v>74</v>
      </c>
      <c r="J2950" t="s">
        <v>22</v>
      </c>
      <c r="K2950">
        <v>3.1</v>
      </c>
      <c r="L2950" t="s">
        <v>143</v>
      </c>
      <c r="M2950" t="s">
        <v>143</v>
      </c>
      <c r="N2950">
        <v>38</v>
      </c>
      <c r="O2950" t="s">
        <v>77</v>
      </c>
      <c r="P2950" t="s">
        <v>67</v>
      </c>
    </row>
    <row r="2951" spans="1:16" ht="14.5" x14ac:dyDescent="0.35">
      <c r="A2951">
        <v>2950</v>
      </c>
      <c r="B2951">
        <v>25</v>
      </c>
      <c r="C2951" t="s">
        <v>144</v>
      </c>
      <c r="D2951" t="s">
        <v>97</v>
      </c>
      <c r="E2951" t="s">
        <v>60</v>
      </c>
      <c r="F2951">
        <v>93</v>
      </c>
      <c r="G2951" t="s">
        <v>137</v>
      </c>
      <c r="H2951" t="s">
        <v>39</v>
      </c>
      <c r="I2951" t="s">
        <v>91</v>
      </c>
      <c r="J2951" t="s">
        <v>33</v>
      </c>
      <c r="K2951">
        <v>3.8</v>
      </c>
      <c r="L2951" t="s">
        <v>143</v>
      </c>
      <c r="M2951" t="s">
        <v>143</v>
      </c>
      <c r="N2951">
        <v>15</v>
      </c>
      <c r="O2951" t="s">
        <v>40</v>
      </c>
      <c r="P2951" t="s">
        <v>43</v>
      </c>
    </row>
    <row r="2952" spans="1:16" ht="14.5" x14ac:dyDescent="0.35">
      <c r="A2952">
        <v>2951</v>
      </c>
      <c r="B2952">
        <v>22</v>
      </c>
      <c r="C2952" t="s">
        <v>144</v>
      </c>
      <c r="D2952" t="s">
        <v>30</v>
      </c>
      <c r="E2952" t="s">
        <v>18</v>
      </c>
      <c r="F2952">
        <v>91</v>
      </c>
      <c r="G2952" t="s">
        <v>137</v>
      </c>
      <c r="H2952" t="s">
        <v>32</v>
      </c>
      <c r="I2952" t="s">
        <v>28</v>
      </c>
      <c r="J2952" t="s">
        <v>22</v>
      </c>
      <c r="K2952">
        <v>4.0999999999999996</v>
      </c>
      <c r="L2952" t="s">
        <v>143</v>
      </c>
      <c r="M2952" t="s">
        <v>143</v>
      </c>
      <c r="N2952">
        <v>44</v>
      </c>
      <c r="O2952" t="s">
        <v>77</v>
      </c>
      <c r="P2952" t="s">
        <v>88</v>
      </c>
    </row>
    <row r="2953" spans="1:16" ht="14.5" x14ac:dyDescent="0.35">
      <c r="A2953">
        <v>2952</v>
      </c>
      <c r="B2953">
        <v>47</v>
      </c>
      <c r="C2953" t="s">
        <v>144</v>
      </c>
      <c r="D2953" t="s">
        <v>110</v>
      </c>
      <c r="E2953" t="s">
        <v>60</v>
      </c>
      <c r="F2953">
        <v>99</v>
      </c>
      <c r="G2953" t="s">
        <v>64</v>
      </c>
      <c r="H2953" t="s">
        <v>20</v>
      </c>
      <c r="I2953" t="s">
        <v>28</v>
      </c>
      <c r="J2953" t="s">
        <v>50</v>
      </c>
      <c r="K2953">
        <v>4.5999999999999996</v>
      </c>
      <c r="L2953" t="s">
        <v>143</v>
      </c>
      <c r="M2953" t="s">
        <v>143</v>
      </c>
      <c r="N2953">
        <v>14</v>
      </c>
      <c r="O2953" t="s">
        <v>29</v>
      </c>
      <c r="P2953" t="s">
        <v>35</v>
      </c>
    </row>
    <row r="2954" spans="1:16" ht="14.5" x14ac:dyDescent="0.35">
      <c r="A2954">
        <v>2953</v>
      </c>
      <c r="B2954">
        <v>50</v>
      </c>
      <c r="C2954" t="s">
        <v>144</v>
      </c>
      <c r="D2954" t="s">
        <v>124</v>
      </c>
      <c r="E2954" t="s">
        <v>60</v>
      </c>
      <c r="F2954">
        <v>24</v>
      </c>
      <c r="G2954" t="s">
        <v>81</v>
      </c>
      <c r="H2954" t="s">
        <v>39</v>
      </c>
      <c r="I2954" t="s">
        <v>91</v>
      </c>
      <c r="J2954" t="s">
        <v>33</v>
      </c>
      <c r="K2954">
        <v>4.9000000000000004</v>
      </c>
      <c r="L2954" t="s">
        <v>143</v>
      </c>
      <c r="M2954" t="s">
        <v>143</v>
      </c>
      <c r="N2954">
        <v>5</v>
      </c>
      <c r="O2954" t="s">
        <v>77</v>
      </c>
      <c r="P2954" t="s">
        <v>79</v>
      </c>
    </row>
    <row r="2955" spans="1:16" ht="14.5" x14ac:dyDescent="0.35">
      <c r="A2955">
        <v>2954</v>
      </c>
      <c r="B2955">
        <v>45</v>
      </c>
      <c r="C2955" t="s">
        <v>144</v>
      </c>
      <c r="D2955" t="s">
        <v>72</v>
      </c>
      <c r="E2955" t="s">
        <v>18</v>
      </c>
      <c r="F2955">
        <v>82</v>
      </c>
      <c r="G2955" t="s">
        <v>119</v>
      </c>
      <c r="H2955" t="s">
        <v>39</v>
      </c>
      <c r="I2955" t="s">
        <v>58</v>
      </c>
      <c r="J2955" t="s">
        <v>47</v>
      </c>
      <c r="K2955">
        <v>4.8</v>
      </c>
      <c r="L2955" t="s">
        <v>143</v>
      </c>
      <c r="M2955" t="s">
        <v>143</v>
      </c>
      <c r="N2955">
        <v>11</v>
      </c>
      <c r="O2955" t="s">
        <v>34</v>
      </c>
      <c r="P2955" t="s">
        <v>43</v>
      </c>
    </row>
    <row r="2956" spans="1:16" ht="14.5" x14ac:dyDescent="0.35">
      <c r="A2956">
        <v>2955</v>
      </c>
      <c r="B2956">
        <v>33</v>
      </c>
      <c r="C2956" t="s">
        <v>144</v>
      </c>
      <c r="D2956" t="s">
        <v>104</v>
      </c>
      <c r="E2956" t="s">
        <v>18</v>
      </c>
      <c r="F2956">
        <v>28</v>
      </c>
      <c r="G2956" t="s">
        <v>138</v>
      </c>
      <c r="H2956" t="s">
        <v>39</v>
      </c>
      <c r="I2956" t="s">
        <v>117</v>
      </c>
      <c r="J2956" t="s">
        <v>22</v>
      </c>
      <c r="K2956">
        <v>3.9</v>
      </c>
      <c r="L2956" t="s">
        <v>143</v>
      </c>
      <c r="M2956" t="s">
        <v>143</v>
      </c>
      <c r="N2956">
        <v>15</v>
      </c>
      <c r="O2956" t="s">
        <v>34</v>
      </c>
      <c r="P2956" t="s">
        <v>43</v>
      </c>
    </row>
    <row r="2957" spans="1:16" ht="14.5" x14ac:dyDescent="0.35">
      <c r="A2957">
        <v>2956</v>
      </c>
      <c r="B2957">
        <v>42</v>
      </c>
      <c r="C2957" t="s">
        <v>144</v>
      </c>
      <c r="D2957" t="s">
        <v>128</v>
      </c>
      <c r="E2957" t="s">
        <v>37</v>
      </c>
      <c r="F2957">
        <v>67</v>
      </c>
      <c r="G2957" t="s">
        <v>120</v>
      </c>
      <c r="H2957" t="s">
        <v>39</v>
      </c>
      <c r="I2957" t="s">
        <v>58</v>
      </c>
      <c r="J2957" t="s">
        <v>22</v>
      </c>
      <c r="K2957">
        <v>2.6</v>
      </c>
      <c r="L2957" t="s">
        <v>143</v>
      </c>
      <c r="M2957" t="s">
        <v>143</v>
      </c>
      <c r="N2957">
        <v>46</v>
      </c>
      <c r="O2957" t="s">
        <v>34</v>
      </c>
      <c r="P2957" t="s">
        <v>43</v>
      </c>
    </row>
    <row r="2958" spans="1:16" ht="14.5" x14ac:dyDescent="0.35">
      <c r="A2958">
        <v>2957</v>
      </c>
      <c r="B2958">
        <v>52</v>
      </c>
      <c r="C2958" t="s">
        <v>144</v>
      </c>
      <c r="D2958" t="s">
        <v>72</v>
      </c>
      <c r="E2958" t="s">
        <v>18</v>
      </c>
      <c r="F2958">
        <v>88</v>
      </c>
      <c r="G2958" t="s">
        <v>49</v>
      </c>
      <c r="H2958" t="s">
        <v>39</v>
      </c>
      <c r="I2958" t="s">
        <v>69</v>
      </c>
      <c r="J2958" t="s">
        <v>50</v>
      </c>
      <c r="K2958">
        <v>3.7</v>
      </c>
      <c r="L2958" t="s">
        <v>143</v>
      </c>
      <c r="M2958" t="s">
        <v>143</v>
      </c>
      <c r="N2958">
        <v>30</v>
      </c>
      <c r="O2958" t="s">
        <v>24</v>
      </c>
      <c r="P2958" t="s">
        <v>79</v>
      </c>
    </row>
    <row r="2959" spans="1:16" ht="14.5" x14ac:dyDescent="0.35">
      <c r="A2959">
        <v>2958</v>
      </c>
      <c r="B2959">
        <v>69</v>
      </c>
      <c r="C2959" t="s">
        <v>144</v>
      </c>
      <c r="D2959" t="s">
        <v>97</v>
      </c>
      <c r="E2959" t="s">
        <v>60</v>
      </c>
      <c r="F2959">
        <v>70</v>
      </c>
      <c r="G2959" t="s">
        <v>138</v>
      </c>
      <c r="H2959" t="s">
        <v>32</v>
      </c>
      <c r="I2959" t="s">
        <v>21</v>
      </c>
      <c r="J2959" t="s">
        <v>50</v>
      </c>
      <c r="K2959">
        <v>4.7</v>
      </c>
      <c r="L2959" t="s">
        <v>143</v>
      </c>
      <c r="M2959" t="s">
        <v>143</v>
      </c>
      <c r="N2959">
        <v>2</v>
      </c>
      <c r="O2959" t="s">
        <v>29</v>
      </c>
      <c r="P2959" t="s">
        <v>43</v>
      </c>
    </row>
    <row r="2960" spans="1:16" ht="14.5" x14ac:dyDescent="0.35">
      <c r="A2960">
        <v>2959</v>
      </c>
      <c r="B2960">
        <v>55</v>
      </c>
      <c r="C2960" t="s">
        <v>144</v>
      </c>
      <c r="D2960" t="s">
        <v>78</v>
      </c>
      <c r="E2960" t="s">
        <v>18</v>
      </c>
      <c r="F2960">
        <v>100</v>
      </c>
      <c r="G2960" t="s">
        <v>114</v>
      </c>
      <c r="H2960" t="s">
        <v>39</v>
      </c>
      <c r="I2960" t="s">
        <v>85</v>
      </c>
      <c r="J2960" t="s">
        <v>47</v>
      </c>
      <c r="K2960">
        <v>4.5</v>
      </c>
      <c r="L2960" t="s">
        <v>143</v>
      </c>
      <c r="M2960" t="s">
        <v>143</v>
      </c>
      <c r="N2960">
        <v>28</v>
      </c>
      <c r="O2960" t="s">
        <v>40</v>
      </c>
      <c r="P2960" t="s">
        <v>79</v>
      </c>
    </row>
    <row r="2961" spans="1:16" ht="14.5" x14ac:dyDescent="0.35">
      <c r="A2961">
        <v>2960</v>
      </c>
      <c r="B2961">
        <v>38</v>
      </c>
      <c r="C2961" t="s">
        <v>144</v>
      </c>
      <c r="D2961" t="s">
        <v>59</v>
      </c>
      <c r="E2961" t="s">
        <v>60</v>
      </c>
      <c r="F2961">
        <v>28</v>
      </c>
      <c r="G2961" t="s">
        <v>96</v>
      </c>
      <c r="H2961" t="s">
        <v>20</v>
      </c>
      <c r="I2961" t="s">
        <v>28</v>
      </c>
      <c r="J2961" t="s">
        <v>47</v>
      </c>
      <c r="K2961">
        <v>4.7</v>
      </c>
      <c r="L2961" t="s">
        <v>143</v>
      </c>
      <c r="M2961" t="s">
        <v>143</v>
      </c>
      <c r="N2961">
        <v>9</v>
      </c>
      <c r="O2961" t="s">
        <v>40</v>
      </c>
      <c r="P2961" t="s">
        <v>51</v>
      </c>
    </row>
    <row r="2962" spans="1:16" ht="14.5" x14ac:dyDescent="0.35">
      <c r="A2962">
        <v>2961</v>
      </c>
      <c r="B2962">
        <v>57</v>
      </c>
      <c r="C2962" t="s">
        <v>144</v>
      </c>
      <c r="D2962" t="s">
        <v>55</v>
      </c>
      <c r="E2962" t="s">
        <v>56</v>
      </c>
      <c r="F2962">
        <v>48</v>
      </c>
      <c r="G2962" t="s">
        <v>107</v>
      </c>
      <c r="H2962" t="s">
        <v>32</v>
      </c>
      <c r="I2962" t="s">
        <v>69</v>
      </c>
      <c r="J2962" t="s">
        <v>33</v>
      </c>
      <c r="K2962">
        <v>3.6</v>
      </c>
      <c r="L2962" t="s">
        <v>143</v>
      </c>
      <c r="M2962" t="s">
        <v>143</v>
      </c>
      <c r="N2962">
        <v>47</v>
      </c>
      <c r="O2962" t="s">
        <v>34</v>
      </c>
      <c r="P2962" t="s">
        <v>35</v>
      </c>
    </row>
    <row r="2963" spans="1:16" ht="14.5" x14ac:dyDescent="0.35">
      <c r="A2963">
        <v>2962</v>
      </c>
      <c r="B2963">
        <v>33</v>
      </c>
      <c r="C2963" t="s">
        <v>144</v>
      </c>
      <c r="D2963" t="s">
        <v>95</v>
      </c>
      <c r="E2963" t="s">
        <v>18</v>
      </c>
      <c r="F2963">
        <v>43</v>
      </c>
      <c r="G2963" t="s">
        <v>73</v>
      </c>
      <c r="H2963" t="s">
        <v>32</v>
      </c>
      <c r="I2963" t="s">
        <v>71</v>
      </c>
      <c r="J2963" t="s">
        <v>50</v>
      </c>
      <c r="K2963">
        <v>2.8</v>
      </c>
      <c r="L2963" t="s">
        <v>143</v>
      </c>
      <c r="M2963" t="s">
        <v>143</v>
      </c>
      <c r="N2963">
        <v>21</v>
      </c>
      <c r="O2963" t="s">
        <v>77</v>
      </c>
      <c r="P2963" t="s">
        <v>67</v>
      </c>
    </row>
    <row r="2964" spans="1:16" ht="14.5" x14ac:dyDescent="0.35">
      <c r="A2964">
        <v>2963</v>
      </c>
      <c r="B2964">
        <v>57</v>
      </c>
      <c r="C2964" t="s">
        <v>144</v>
      </c>
      <c r="D2964" t="s">
        <v>86</v>
      </c>
      <c r="E2964" t="s">
        <v>18</v>
      </c>
      <c r="F2964">
        <v>40</v>
      </c>
      <c r="G2964" t="s">
        <v>90</v>
      </c>
      <c r="H2964" t="s">
        <v>20</v>
      </c>
      <c r="I2964" t="s">
        <v>62</v>
      </c>
      <c r="J2964" t="s">
        <v>50</v>
      </c>
      <c r="K2964">
        <v>4</v>
      </c>
      <c r="L2964" t="s">
        <v>143</v>
      </c>
      <c r="M2964" t="s">
        <v>143</v>
      </c>
      <c r="N2964">
        <v>42</v>
      </c>
      <c r="O2964" t="s">
        <v>34</v>
      </c>
      <c r="P2964" t="s">
        <v>88</v>
      </c>
    </row>
    <row r="2965" spans="1:16" ht="14.5" x14ac:dyDescent="0.35">
      <c r="A2965">
        <v>2964</v>
      </c>
      <c r="B2965">
        <v>52</v>
      </c>
      <c r="C2965" t="s">
        <v>144</v>
      </c>
      <c r="D2965" t="s">
        <v>128</v>
      </c>
      <c r="E2965" t="s">
        <v>37</v>
      </c>
      <c r="F2965">
        <v>97</v>
      </c>
      <c r="G2965" t="s">
        <v>27</v>
      </c>
      <c r="H2965" t="s">
        <v>39</v>
      </c>
      <c r="I2965" t="s">
        <v>101</v>
      </c>
      <c r="J2965" t="s">
        <v>33</v>
      </c>
      <c r="K2965">
        <v>3.6</v>
      </c>
      <c r="L2965" t="s">
        <v>143</v>
      </c>
      <c r="M2965" t="s">
        <v>143</v>
      </c>
      <c r="N2965">
        <v>28</v>
      </c>
      <c r="O2965" t="s">
        <v>34</v>
      </c>
      <c r="P2965" t="s">
        <v>35</v>
      </c>
    </row>
    <row r="2966" spans="1:16" ht="14.5" x14ac:dyDescent="0.35">
      <c r="A2966">
        <v>2965</v>
      </c>
      <c r="B2966">
        <v>44</v>
      </c>
      <c r="C2966" t="s">
        <v>144</v>
      </c>
      <c r="D2966" t="s">
        <v>55</v>
      </c>
      <c r="E2966" t="s">
        <v>56</v>
      </c>
      <c r="F2966">
        <v>25</v>
      </c>
      <c r="G2966" t="s">
        <v>114</v>
      </c>
      <c r="H2966" t="s">
        <v>32</v>
      </c>
      <c r="I2966" t="s">
        <v>46</v>
      </c>
      <c r="J2966" t="s">
        <v>50</v>
      </c>
      <c r="K2966">
        <v>3.8</v>
      </c>
      <c r="L2966" t="s">
        <v>143</v>
      </c>
      <c r="M2966" t="s">
        <v>143</v>
      </c>
      <c r="N2966">
        <v>13</v>
      </c>
      <c r="O2966" t="s">
        <v>24</v>
      </c>
      <c r="P2966" t="s">
        <v>25</v>
      </c>
    </row>
    <row r="2967" spans="1:16" ht="14.5" x14ac:dyDescent="0.35">
      <c r="A2967">
        <v>2966</v>
      </c>
      <c r="B2967">
        <v>48</v>
      </c>
      <c r="C2967" t="s">
        <v>144</v>
      </c>
      <c r="D2967" t="s">
        <v>110</v>
      </c>
      <c r="E2967" t="s">
        <v>60</v>
      </c>
      <c r="F2967">
        <v>45</v>
      </c>
      <c r="G2967" t="s">
        <v>70</v>
      </c>
      <c r="H2967" t="s">
        <v>39</v>
      </c>
      <c r="I2967" t="s">
        <v>135</v>
      </c>
      <c r="J2967" t="s">
        <v>47</v>
      </c>
      <c r="K2967">
        <v>4.4000000000000004</v>
      </c>
      <c r="L2967" t="s">
        <v>143</v>
      </c>
      <c r="M2967" t="s">
        <v>143</v>
      </c>
      <c r="N2967">
        <v>25</v>
      </c>
      <c r="O2967" t="s">
        <v>40</v>
      </c>
      <c r="P2967" t="s">
        <v>25</v>
      </c>
    </row>
    <row r="2968" spans="1:16" ht="14.5" x14ac:dyDescent="0.35">
      <c r="A2968">
        <v>2967</v>
      </c>
      <c r="B2968">
        <v>52</v>
      </c>
      <c r="C2968" t="s">
        <v>144</v>
      </c>
      <c r="D2968" t="s">
        <v>128</v>
      </c>
      <c r="E2968" t="s">
        <v>37</v>
      </c>
      <c r="F2968">
        <v>49</v>
      </c>
      <c r="G2968" t="s">
        <v>92</v>
      </c>
      <c r="H2968" t="s">
        <v>20</v>
      </c>
      <c r="I2968" t="s">
        <v>112</v>
      </c>
      <c r="J2968" t="s">
        <v>50</v>
      </c>
      <c r="K2968">
        <v>2.8</v>
      </c>
      <c r="L2968" t="s">
        <v>143</v>
      </c>
      <c r="M2968" t="s">
        <v>143</v>
      </c>
      <c r="N2968">
        <v>38</v>
      </c>
      <c r="O2968" t="s">
        <v>77</v>
      </c>
      <c r="P2968" t="s">
        <v>88</v>
      </c>
    </row>
    <row r="2969" spans="1:16" ht="14.5" x14ac:dyDescent="0.35">
      <c r="A2969">
        <v>2968</v>
      </c>
      <c r="B2969">
        <v>34</v>
      </c>
      <c r="C2969" t="s">
        <v>144</v>
      </c>
      <c r="D2969" t="s">
        <v>44</v>
      </c>
      <c r="E2969" t="s">
        <v>37</v>
      </c>
      <c r="F2969">
        <v>36</v>
      </c>
      <c r="G2969" t="s">
        <v>107</v>
      </c>
      <c r="H2969" t="s">
        <v>20</v>
      </c>
      <c r="I2969" t="s">
        <v>58</v>
      </c>
      <c r="J2969" t="s">
        <v>47</v>
      </c>
      <c r="K2969">
        <v>3.4</v>
      </c>
      <c r="L2969" t="s">
        <v>143</v>
      </c>
      <c r="M2969" t="s">
        <v>143</v>
      </c>
      <c r="N2969">
        <v>40</v>
      </c>
      <c r="O2969" t="s">
        <v>24</v>
      </c>
      <c r="P2969" t="s">
        <v>43</v>
      </c>
    </row>
    <row r="2970" spans="1:16" ht="14.5" x14ac:dyDescent="0.35">
      <c r="A2970">
        <v>2969</v>
      </c>
      <c r="B2970">
        <v>26</v>
      </c>
      <c r="C2970" t="s">
        <v>144</v>
      </c>
      <c r="D2970" t="s">
        <v>26</v>
      </c>
      <c r="E2970" t="s">
        <v>18</v>
      </c>
      <c r="F2970">
        <v>48</v>
      </c>
      <c r="G2970" t="s">
        <v>122</v>
      </c>
      <c r="H2970" t="s">
        <v>32</v>
      </c>
      <c r="I2970" t="s">
        <v>21</v>
      </c>
      <c r="J2970" t="s">
        <v>50</v>
      </c>
      <c r="K2970">
        <v>4.9000000000000004</v>
      </c>
      <c r="L2970" t="s">
        <v>143</v>
      </c>
      <c r="M2970" t="s">
        <v>143</v>
      </c>
      <c r="N2970">
        <v>25</v>
      </c>
      <c r="O2970" t="s">
        <v>29</v>
      </c>
      <c r="P2970" t="s">
        <v>88</v>
      </c>
    </row>
    <row r="2971" spans="1:16" ht="14.5" x14ac:dyDescent="0.35">
      <c r="A2971">
        <v>2970</v>
      </c>
      <c r="B2971">
        <v>36</v>
      </c>
      <c r="C2971" t="s">
        <v>144</v>
      </c>
      <c r="D2971" t="s">
        <v>124</v>
      </c>
      <c r="E2971" t="s">
        <v>60</v>
      </c>
      <c r="F2971">
        <v>62</v>
      </c>
      <c r="G2971" t="s">
        <v>120</v>
      </c>
      <c r="H2971" t="s">
        <v>32</v>
      </c>
      <c r="I2971" t="s">
        <v>135</v>
      </c>
      <c r="J2971" t="s">
        <v>50</v>
      </c>
      <c r="K2971">
        <v>4.3</v>
      </c>
      <c r="L2971" t="s">
        <v>143</v>
      </c>
      <c r="M2971" t="s">
        <v>143</v>
      </c>
      <c r="N2971">
        <v>20</v>
      </c>
      <c r="O2971" t="s">
        <v>29</v>
      </c>
      <c r="P2971" t="s">
        <v>88</v>
      </c>
    </row>
    <row r="2972" spans="1:16" ht="14.5" x14ac:dyDescent="0.35">
      <c r="A2972">
        <v>2971</v>
      </c>
      <c r="B2972">
        <v>24</v>
      </c>
      <c r="C2972" t="s">
        <v>144</v>
      </c>
      <c r="D2972" t="s">
        <v>97</v>
      </c>
      <c r="E2972" t="s">
        <v>60</v>
      </c>
      <c r="F2972">
        <v>74</v>
      </c>
      <c r="G2972" t="s">
        <v>102</v>
      </c>
      <c r="H2972" t="s">
        <v>39</v>
      </c>
      <c r="I2972" t="s">
        <v>46</v>
      </c>
      <c r="J2972" t="s">
        <v>22</v>
      </c>
      <c r="K2972">
        <v>3.4</v>
      </c>
      <c r="L2972" t="s">
        <v>143</v>
      </c>
      <c r="M2972" t="s">
        <v>143</v>
      </c>
      <c r="N2972">
        <v>44</v>
      </c>
      <c r="O2972" t="s">
        <v>34</v>
      </c>
      <c r="P2972" t="s">
        <v>67</v>
      </c>
    </row>
    <row r="2973" spans="1:16" ht="14.5" x14ac:dyDescent="0.35">
      <c r="A2973">
        <v>2972</v>
      </c>
      <c r="B2973">
        <v>30</v>
      </c>
      <c r="C2973" t="s">
        <v>144</v>
      </c>
      <c r="D2973" t="s">
        <v>59</v>
      </c>
      <c r="E2973" t="s">
        <v>60</v>
      </c>
      <c r="F2973">
        <v>100</v>
      </c>
      <c r="G2973" t="s">
        <v>131</v>
      </c>
      <c r="H2973" t="s">
        <v>20</v>
      </c>
      <c r="I2973" t="s">
        <v>125</v>
      </c>
      <c r="J2973" t="s">
        <v>50</v>
      </c>
      <c r="K2973">
        <v>3.9</v>
      </c>
      <c r="L2973" t="s">
        <v>143</v>
      </c>
      <c r="M2973" t="s">
        <v>143</v>
      </c>
      <c r="N2973">
        <v>9</v>
      </c>
      <c r="O2973" t="s">
        <v>40</v>
      </c>
      <c r="P2973" t="s">
        <v>88</v>
      </c>
    </row>
    <row r="2974" spans="1:16" ht="14.5" x14ac:dyDescent="0.35">
      <c r="A2974">
        <v>2973</v>
      </c>
      <c r="B2974">
        <v>31</v>
      </c>
      <c r="C2974" t="s">
        <v>144</v>
      </c>
      <c r="D2974" t="s">
        <v>93</v>
      </c>
      <c r="E2974" t="s">
        <v>56</v>
      </c>
      <c r="F2974">
        <v>39</v>
      </c>
      <c r="G2974" t="s">
        <v>75</v>
      </c>
      <c r="H2974" t="s">
        <v>32</v>
      </c>
      <c r="I2974" t="s">
        <v>117</v>
      </c>
      <c r="J2974" t="s">
        <v>50</v>
      </c>
      <c r="K2974">
        <v>4.2</v>
      </c>
      <c r="L2974" t="s">
        <v>143</v>
      </c>
      <c r="M2974" t="s">
        <v>143</v>
      </c>
      <c r="N2974">
        <v>11</v>
      </c>
      <c r="O2974" t="s">
        <v>24</v>
      </c>
      <c r="P2974" t="s">
        <v>88</v>
      </c>
    </row>
    <row r="2975" spans="1:16" ht="14.5" x14ac:dyDescent="0.35">
      <c r="A2975">
        <v>2974</v>
      </c>
      <c r="B2975">
        <v>25</v>
      </c>
      <c r="C2975" t="s">
        <v>144</v>
      </c>
      <c r="D2975" t="s">
        <v>128</v>
      </c>
      <c r="E2975" t="s">
        <v>37</v>
      </c>
      <c r="F2975">
        <v>65</v>
      </c>
      <c r="G2975" t="s">
        <v>107</v>
      </c>
      <c r="H2975" t="s">
        <v>39</v>
      </c>
      <c r="I2975" t="s">
        <v>135</v>
      </c>
      <c r="J2975" t="s">
        <v>47</v>
      </c>
      <c r="K2975">
        <v>2.7</v>
      </c>
      <c r="L2975" t="s">
        <v>143</v>
      </c>
      <c r="M2975" t="s">
        <v>143</v>
      </c>
      <c r="N2975">
        <v>3</v>
      </c>
      <c r="O2975" t="s">
        <v>66</v>
      </c>
      <c r="P2975" t="s">
        <v>25</v>
      </c>
    </row>
    <row r="2976" spans="1:16" ht="14.5" x14ac:dyDescent="0.35">
      <c r="A2976">
        <v>2975</v>
      </c>
      <c r="B2976">
        <v>57</v>
      </c>
      <c r="C2976" t="s">
        <v>144</v>
      </c>
      <c r="D2976" t="s">
        <v>44</v>
      </c>
      <c r="E2976" t="s">
        <v>37</v>
      </c>
      <c r="F2976">
        <v>99</v>
      </c>
      <c r="G2976" t="s">
        <v>113</v>
      </c>
      <c r="H2976" t="s">
        <v>83</v>
      </c>
      <c r="I2976" t="s">
        <v>91</v>
      </c>
      <c r="J2976" t="s">
        <v>47</v>
      </c>
      <c r="K2976">
        <v>4.0999999999999996</v>
      </c>
      <c r="L2976" t="s">
        <v>143</v>
      </c>
      <c r="M2976" t="s">
        <v>143</v>
      </c>
      <c r="N2976">
        <v>34</v>
      </c>
      <c r="O2976" t="s">
        <v>34</v>
      </c>
      <c r="P2976" t="s">
        <v>35</v>
      </c>
    </row>
    <row r="2977" spans="1:16" ht="14.5" x14ac:dyDescent="0.35">
      <c r="A2977">
        <v>2976</v>
      </c>
      <c r="B2977">
        <v>61</v>
      </c>
      <c r="C2977" t="s">
        <v>144</v>
      </c>
      <c r="D2977" t="s">
        <v>110</v>
      </c>
      <c r="E2977" t="s">
        <v>60</v>
      </c>
      <c r="F2977">
        <v>68</v>
      </c>
      <c r="G2977" t="s">
        <v>133</v>
      </c>
      <c r="H2977" t="s">
        <v>83</v>
      </c>
      <c r="I2977" t="s">
        <v>84</v>
      </c>
      <c r="J2977" t="s">
        <v>22</v>
      </c>
      <c r="K2977">
        <v>4.5</v>
      </c>
      <c r="L2977" t="s">
        <v>143</v>
      </c>
      <c r="M2977" t="s">
        <v>143</v>
      </c>
      <c r="N2977">
        <v>48</v>
      </c>
      <c r="O2977" t="s">
        <v>29</v>
      </c>
      <c r="P2977" t="s">
        <v>88</v>
      </c>
    </row>
    <row r="2978" spans="1:16" ht="14.5" x14ac:dyDescent="0.35">
      <c r="A2978">
        <v>2977</v>
      </c>
      <c r="B2978">
        <v>30</v>
      </c>
      <c r="C2978" t="s">
        <v>144</v>
      </c>
      <c r="D2978" t="s">
        <v>55</v>
      </c>
      <c r="E2978" t="s">
        <v>56</v>
      </c>
      <c r="F2978">
        <v>97</v>
      </c>
      <c r="G2978" t="s">
        <v>136</v>
      </c>
      <c r="H2978" t="s">
        <v>39</v>
      </c>
      <c r="I2978" t="s">
        <v>58</v>
      </c>
      <c r="J2978" t="s">
        <v>47</v>
      </c>
      <c r="K2978">
        <v>2.8</v>
      </c>
      <c r="L2978" t="s">
        <v>143</v>
      </c>
      <c r="M2978" t="s">
        <v>143</v>
      </c>
      <c r="N2978">
        <v>28</v>
      </c>
      <c r="O2978" t="s">
        <v>29</v>
      </c>
      <c r="P2978" t="s">
        <v>25</v>
      </c>
    </row>
    <row r="2979" spans="1:16" ht="14.5" x14ac:dyDescent="0.35">
      <c r="A2979">
        <v>2978</v>
      </c>
      <c r="B2979">
        <v>38</v>
      </c>
      <c r="C2979" t="s">
        <v>144</v>
      </c>
      <c r="D2979" t="s">
        <v>52</v>
      </c>
      <c r="E2979" t="s">
        <v>18</v>
      </c>
      <c r="F2979">
        <v>47</v>
      </c>
      <c r="G2979" t="s">
        <v>140</v>
      </c>
      <c r="H2979" t="s">
        <v>20</v>
      </c>
      <c r="I2979" t="s">
        <v>71</v>
      </c>
      <c r="J2979" t="s">
        <v>22</v>
      </c>
      <c r="K2979">
        <v>3.4</v>
      </c>
      <c r="L2979" t="s">
        <v>143</v>
      </c>
      <c r="M2979" t="s">
        <v>143</v>
      </c>
      <c r="N2979">
        <v>20</v>
      </c>
      <c r="O2979" t="s">
        <v>24</v>
      </c>
      <c r="P2979" t="s">
        <v>43</v>
      </c>
    </row>
    <row r="2980" spans="1:16" ht="14.5" x14ac:dyDescent="0.35">
      <c r="A2980">
        <v>2979</v>
      </c>
      <c r="B2980">
        <v>53</v>
      </c>
      <c r="C2980" t="s">
        <v>144</v>
      </c>
      <c r="D2980" t="s">
        <v>52</v>
      </c>
      <c r="E2980" t="s">
        <v>18</v>
      </c>
      <c r="F2980">
        <v>56</v>
      </c>
      <c r="G2980" t="s">
        <v>126</v>
      </c>
      <c r="H2980" t="s">
        <v>32</v>
      </c>
      <c r="I2980" t="s">
        <v>100</v>
      </c>
      <c r="J2980" t="s">
        <v>33</v>
      </c>
      <c r="K2980">
        <v>3.9</v>
      </c>
      <c r="L2980" t="s">
        <v>143</v>
      </c>
      <c r="M2980" t="s">
        <v>143</v>
      </c>
      <c r="N2980">
        <v>49</v>
      </c>
      <c r="O2980" t="s">
        <v>66</v>
      </c>
      <c r="P2980" t="s">
        <v>25</v>
      </c>
    </row>
    <row r="2981" spans="1:16" ht="14.5" x14ac:dyDescent="0.35">
      <c r="A2981">
        <v>2980</v>
      </c>
      <c r="B2981">
        <v>31</v>
      </c>
      <c r="C2981" t="s">
        <v>144</v>
      </c>
      <c r="D2981" t="s">
        <v>30</v>
      </c>
      <c r="E2981" t="s">
        <v>18</v>
      </c>
      <c r="F2981">
        <v>91</v>
      </c>
      <c r="G2981" t="s">
        <v>53</v>
      </c>
      <c r="H2981" t="s">
        <v>20</v>
      </c>
      <c r="I2981" t="s">
        <v>69</v>
      </c>
      <c r="J2981" t="s">
        <v>50</v>
      </c>
      <c r="K2981">
        <v>2.6</v>
      </c>
      <c r="L2981" t="s">
        <v>143</v>
      </c>
      <c r="M2981" t="s">
        <v>143</v>
      </c>
      <c r="N2981">
        <v>14</v>
      </c>
      <c r="O2981" t="s">
        <v>40</v>
      </c>
      <c r="P2981" t="s">
        <v>35</v>
      </c>
    </row>
    <row r="2982" spans="1:16" ht="14.5" x14ac:dyDescent="0.35">
      <c r="A2982">
        <v>2981</v>
      </c>
      <c r="B2982">
        <v>70</v>
      </c>
      <c r="C2982" t="s">
        <v>144</v>
      </c>
      <c r="D2982" t="s">
        <v>134</v>
      </c>
      <c r="E2982" t="s">
        <v>60</v>
      </c>
      <c r="F2982">
        <v>93</v>
      </c>
      <c r="G2982" t="s">
        <v>118</v>
      </c>
      <c r="H2982" t="s">
        <v>20</v>
      </c>
      <c r="I2982" t="s">
        <v>76</v>
      </c>
      <c r="J2982" t="s">
        <v>50</v>
      </c>
      <c r="K2982">
        <v>4.4000000000000004</v>
      </c>
      <c r="L2982" t="s">
        <v>143</v>
      </c>
      <c r="M2982" t="s">
        <v>143</v>
      </c>
      <c r="N2982">
        <v>9</v>
      </c>
      <c r="O2982" t="s">
        <v>66</v>
      </c>
      <c r="P2982" t="s">
        <v>79</v>
      </c>
    </row>
    <row r="2983" spans="1:16" ht="14.5" x14ac:dyDescent="0.35">
      <c r="A2983">
        <v>2982</v>
      </c>
      <c r="B2983">
        <v>21</v>
      </c>
      <c r="C2983" t="s">
        <v>144</v>
      </c>
      <c r="D2983" t="s">
        <v>86</v>
      </c>
      <c r="E2983" t="s">
        <v>18</v>
      </c>
      <c r="F2983">
        <v>36</v>
      </c>
      <c r="G2983" t="s">
        <v>70</v>
      </c>
      <c r="H2983" t="s">
        <v>20</v>
      </c>
      <c r="I2983" t="s">
        <v>62</v>
      </c>
      <c r="J2983" t="s">
        <v>22</v>
      </c>
      <c r="K2983">
        <v>4.9000000000000004</v>
      </c>
      <c r="L2983" t="s">
        <v>143</v>
      </c>
      <c r="M2983" t="s">
        <v>143</v>
      </c>
      <c r="N2983">
        <v>37</v>
      </c>
      <c r="O2983" t="s">
        <v>24</v>
      </c>
      <c r="P2983" t="s">
        <v>43</v>
      </c>
    </row>
    <row r="2984" spans="1:16" ht="14.5" x14ac:dyDescent="0.35">
      <c r="A2984">
        <v>2983</v>
      </c>
      <c r="B2984">
        <v>33</v>
      </c>
      <c r="C2984" t="s">
        <v>144</v>
      </c>
      <c r="D2984" t="s">
        <v>72</v>
      </c>
      <c r="E2984" t="s">
        <v>18</v>
      </c>
      <c r="F2984">
        <v>45</v>
      </c>
      <c r="G2984" t="s">
        <v>141</v>
      </c>
      <c r="H2984" t="s">
        <v>39</v>
      </c>
      <c r="I2984" t="s">
        <v>112</v>
      </c>
      <c r="J2984" t="s">
        <v>47</v>
      </c>
      <c r="K2984">
        <v>3.6</v>
      </c>
      <c r="L2984" t="s">
        <v>143</v>
      </c>
      <c r="M2984" t="s">
        <v>143</v>
      </c>
      <c r="N2984">
        <v>4</v>
      </c>
      <c r="O2984" t="s">
        <v>34</v>
      </c>
      <c r="P2984" t="s">
        <v>35</v>
      </c>
    </row>
    <row r="2985" spans="1:16" ht="14.5" x14ac:dyDescent="0.35">
      <c r="A2985">
        <v>2984</v>
      </c>
      <c r="B2985">
        <v>60</v>
      </c>
      <c r="C2985" t="s">
        <v>144</v>
      </c>
      <c r="D2985" t="s">
        <v>86</v>
      </c>
      <c r="E2985" t="s">
        <v>18</v>
      </c>
      <c r="F2985">
        <v>44</v>
      </c>
      <c r="G2985" t="s">
        <v>57</v>
      </c>
      <c r="H2985" t="s">
        <v>39</v>
      </c>
      <c r="I2985" t="s">
        <v>54</v>
      </c>
      <c r="J2985" t="s">
        <v>22</v>
      </c>
      <c r="K2985">
        <v>2.8</v>
      </c>
      <c r="L2985" t="s">
        <v>143</v>
      </c>
      <c r="M2985" t="s">
        <v>143</v>
      </c>
      <c r="N2985">
        <v>1</v>
      </c>
      <c r="O2985" t="s">
        <v>34</v>
      </c>
      <c r="P2985" t="s">
        <v>51</v>
      </c>
    </row>
    <row r="2986" spans="1:16" ht="14.5" x14ac:dyDescent="0.35">
      <c r="A2986">
        <v>2985</v>
      </c>
      <c r="B2986">
        <v>45</v>
      </c>
      <c r="C2986" t="s">
        <v>144</v>
      </c>
      <c r="D2986" t="s">
        <v>134</v>
      </c>
      <c r="E2986" t="s">
        <v>60</v>
      </c>
      <c r="F2986">
        <v>32</v>
      </c>
      <c r="G2986" t="s">
        <v>96</v>
      </c>
      <c r="H2986" t="s">
        <v>20</v>
      </c>
      <c r="I2986" t="s">
        <v>99</v>
      </c>
      <c r="J2986" t="s">
        <v>33</v>
      </c>
      <c r="K2986">
        <v>4.3</v>
      </c>
      <c r="L2986" t="s">
        <v>143</v>
      </c>
      <c r="M2986" t="s">
        <v>143</v>
      </c>
      <c r="N2986">
        <v>36</v>
      </c>
      <c r="O2986" t="s">
        <v>77</v>
      </c>
      <c r="P2986" t="s">
        <v>67</v>
      </c>
    </row>
    <row r="2987" spans="1:16" ht="14.5" x14ac:dyDescent="0.35">
      <c r="A2987">
        <v>2986</v>
      </c>
      <c r="B2987">
        <v>46</v>
      </c>
      <c r="C2987" t="s">
        <v>144</v>
      </c>
      <c r="D2987" t="s">
        <v>124</v>
      </c>
      <c r="E2987" t="s">
        <v>60</v>
      </c>
      <c r="F2987">
        <v>36</v>
      </c>
      <c r="G2987" t="s">
        <v>68</v>
      </c>
      <c r="H2987" t="s">
        <v>32</v>
      </c>
      <c r="I2987" t="s">
        <v>76</v>
      </c>
      <c r="J2987" t="s">
        <v>47</v>
      </c>
      <c r="K2987">
        <v>3</v>
      </c>
      <c r="L2987" t="s">
        <v>143</v>
      </c>
      <c r="M2987" t="s">
        <v>143</v>
      </c>
      <c r="N2987">
        <v>21</v>
      </c>
      <c r="O2987" t="s">
        <v>29</v>
      </c>
      <c r="P2987" t="s">
        <v>67</v>
      </c>
    </row>
    <row r="2988" spans="1:16" ht="14.5" x14ac:dyDescent="0.35">
      <c r="A2988">
        <v>2987</v>
      </c>
      <c r="B2988">
        <v>62</v>
      </c>
      <c r="C2988" t="s">
        <v>144</v>
      </c>
      <c r="D2988" t="s">
        <v>124</v>
      </c>
      <c r="E2988" t="s">
        <v>60</v>
      </c>
      <c r="F2988">
        <v>85</v>
      </c>
      <c r="G2988" t="s">
        <v>108</v>
      </c>
      <c r="H2988" t="s">
        <v>32</v>
      </c>
      <c r="I2988" t="s">
        <v>58</v>
      </c>
      <c r="J2988" t="s">
        <v>47</v>
      </c>
      <c r="K2988">
        <v>3.3</v>
      </c>
      <c r="L2988" t="s">
        <v>143</v>
      </c>
      <c r="M2988" t="s">
        <v>143</v>
      </c>
      <c r="N2988">
        <v>16</v>
      </c>
      <c r="O2988" t="s">
        <v>34</v>
      </c>
      <c r="P2988" t="s">
        <v>79</v>
      </c>
    </row>
    <row r="2989" spans="1:16" ht="14.5" x14ac:dyDescent="0.35">
      <c r="A2989">
        <v>2988</v>
      </c>
      <c r="B2989">
        <v>63</v>
      </c>
      <c r="C2989" t="s">
        <v>144</v>
      </c>
      <c r="D2989" t="s">
        <v>78</v>
      </c>
      <c r="E2989" t="s">
        <v>18</v>
      </c>
      <c r="F2989">
        <v>36</v>
      </c>
      <c r="G2989" t="s">
        <v>53</v>
      </c>
      <c r="H2989" t="s">
        <v>20</v>
      </c>
      <c r="I2989" t="s">
        <v>85</v>
      </c>
      <c r="J2989" t="s">
        <v>22</v>
      </c>
      <c r="K2989">
        <v>2.5</v>
      </c>
      <c r="L2989" t="s">
        <v>143</v>
      </c>
      <c r="M2989" t="s">
        <v>143</v>
      </c>
      <c r="N2989">
        <v>42</v>
      </c>
      <c r="O2989" t="s">
        <v>29</v>
      </c>
      <c r="P2989" t="s">
        <v>79</v>
      </c>
    </row>
    <row r="2990" spans="1:16" ht="14.5" x14ac:dyDescent="0.35">
      <c r="A2990">
        <v>2989</v>
      </c>
      <c r="B2990">
        <v>69</v>
      </c>
      <c r="C2990" t="s">
        <v>144</v>
      </c>
      <c r="D2990" t="s">
        <v>116</v>
      </c>
      <c r="E2990" t="s">
        <v>18</v>
      </c>
      <c r="F2990">
        <v>55</v>
      </c>
      <c r="G2990" t="s">
        <v>98</v>
      </c>
      <c r="H2990" t="s">
        <v>32</v>
      </c>
      <c r="I2990" t="s">
        <v>62</v>
      </c>
      <c r="J2990" t="s">
        <v>33</v>
      </c>
      <c r="K2990">
        <v>5</v>
      </c>
      <c r="L2990" t="s">
        <v>143</v>
      </c>
      <c r="M2990" t="s">
        <v>143</v>
      </c>
      <c r="N2990">
        <v>31</v>
      </c>
      <c r="O2990" t="s">
        <v>77</v>
      </c>
      <c r="P2990" t="s">
        <v>79</v>
      </c>
    </row>
    <row r="2991" spans="1:16" ht="14.5" x14ac:dyDescent="0.35">
      <c r="A2991">
        <v>2990</v>
      </c>
      <c r="B2991">
        <v>46</v>
      </c>
      <c r="C2991" t="s">
        <v>144</v>
      </c>
      <c r="D2991" t="s">
        <v>124</v>
      </c>
      <c r="E2991" t="s">
        <v>60</v>
      </c>
      <c r="F2991">
        <v>20</v>
      </c>
      <c r="G2991" t="s">
        <v>38</v>
      </c>
      <c r="H2991" t="s">
        <v>83</v>
      </c>
      <c r="I2991" t="s">
        <v>76</v>
      </c>
      <c r="J2991" t="s">
        <v>47</v>
      </c>
      <c r="K2991">
        <v>4.3</v>
      </c>
      <c r="L2991" t="s">
        <v>143</v>
      </c>
      <c r="M2991" t="s">
        <v>143</v>
      </c>
      <c r="N2991">
        <v>6</v>
      </c>
      <c r="O2991" t="s">
        <v>34</v>
      </c>
      <c r="P2991" t="s">
        <v>35</v>
      </c>
    </row>
    <row r="2992" spans="1:16" ht="14.5" x14ac:dyDescent="0.35">
      <c r="A2992">
        <v>2991</v>
      </c>
      <c r="B2992">
        <v>69</v>
      </c>
      <c r="C2992" t="s">
        <v>144</v>
      </c>
      <c r="D2992" t="s">
        <v>48</v>
      </c>
      <c r="E2992" t="s">
        <v>18</v>
      </c>
      <c r="F2992">
        <v>91</v>
      </c>
      <c r="G2992" t="s">
        <v>106</v>
      </c>
      <c r="H2992" t="s">
        <v>39</v>
      </c>
      <c r="I2992" t="s">
        <v>76</v>
      </c>
      <c r="J2992" t="s">
        <v>50</v>
      </c>
      <c r="K2992">
        <v>4.2</v>
      </c>
      <c r="L2992" t="s">
        <v>143</v>
      </c>
      <c r="M2992" t="s">
        <v>143</v>
      </c>
      <c r="N2992">
        <v>24</v>
      </c>
      <c r="O2992" t="s">
        <v>24</v>
      </c>
      <c r="P2992" t="s">
        <v>79</v>
      </c>
    </row>
    <row r="2993" spans="1:16" ht="14.5" x14ac:dyDescent="0.35">
      <c r="A2993">
        <v>2992</v>
      </c>
      <c r="B2993">
        <v>66</v>
      </c>
      <c r="C2993" t="s">
        <v>144</v>
      </c>
      <c r="D2993" t="s">
        <v>72</v>
      </c>
      <c r="E2993" t="s">
        <v>18</v>
      </c>
      <c r="F2993">
        <v>71</v>
      </c>
      <c r="G2993" t="s">
        <v>131</v>
      </c>
      <c r="H2993" t="s">
        <v>20</v>
      </c>
      <c r="I2993" t="s">
        <v>87</v>
      </c>
      <c r="J2993" t="s">
        <v>47</v>
      </c>
      <c r="K2993">
        <v>3.9</v>
      </c>
      <c r="L2993" t="s">
        <v>143</v>
      </c>
      <c r="M2993" t="s">
        <v>143</v>
      </c>
      <c r="N2993">
        <v>7</v>
      </c>
      <c r="O2993" t="s">
        <v>40</v>
      </c>
      <c r="P2993" t="s">
        <v>67</v>
      </c>
    </row>
    <row r="2994" spans="1:16" ht="14.5" x14ac:dyDescent="0.35">
      <c r="A2994">
        <v>2993</v>
      </c>
      <c r="B2994">
        <v>41</v>
      </c>
      <c r="C2994" t="s">
        <v>144</v>
      </c>
      <c r="D2994" t="s">
        <v>116</v>
      </c>
      <c r="E2994" t="s">
        <v>18</v>
      </c>
      <c r="F2994">
        <v>64</v>
      </c>
      <c r="G2994" t="s">
        <v>105</v>
      </c>
      <c r="H2994" t="s">
        <v>39</v>
      </c>
      <c r="I2994" t="s">
        <v>54</v>
      </c>
      <c r="J2994" t="s">
        <v>33</v>
      </c>
      <c r="K2994">
        <v>3.9</v>
      </c>
      <c r="L2994" t="s">
        <v>143</v>
      </c>
      <c r="M2994" t="s">
        <v>143</v>
      </c>
      <c r="N2994">
        <v>25</v>
      </c>
      <c r="O2994" t="s">
        <v>24</v>
      </c>
      <c r="P2994" t="s">
        <v>35</v>
      </c>
    </row>
    <row r="2995" spans="1:16" ht="14.5" x14ac:dyDescent="0.35">
      <c r="A2995">
        <v>2994</v>
      </c>
      <c r="B2995">
        <v>32</v>
      </c>
      <c r="C2995" t="s">
        <v>144</v>
      </c>
      <c r="D2995" t="s">
        <v>93</v>
      </c>
      <c r="E2995" t="s">
        <v>56</v>
      </c>
      <c r="F2995">
        <v>21</v>
      </c>
      <c r="G2995" t="s">
        <v>102</v>
      </c>
      <c r="H2995" t="s">
        <v>20</v>
      </c>
      <c r="I2995" t="s">
        <v>117</v>
      </c>
      <c r="J2995" t="s">
        <v>33</v>
      </c>
      <c r="K2995">
        <v>4.2</v>
      </c>
      <c r="L2995" t="s">
        <v>143</v>
      </c>
      <c r="M2995" t="s">
        <v>143</v>
      </c>
      <c r="N2995">
        <v>18</v>
      </c>
      <c r="O2995" t="s">
        <v>29</v>
      </c>
      <c r="P2995" t="s">
        <v>67</v>
      </c>
    </row>
    <row r="2996" spans="1:16" ht="14.5" x14ac:dyDescent="0.35">
      <c r="A2996">
        <v>2995</v>
      </c>
      <c r="B2996">
        <v>69</v>
      </c>
      <c r="C2996" t="s">
        <v>144</v>
      </c>
      <c r="D2996" t="s">
        <v>26</v>
      </c>
      <c r="E2996" t="s">
        <v>18</v>
      </c>
      <c r="F2996">
        <v>100</v>
      </c>
      <c r="G2996" t="s">
        <v>98</v>
      </c>
      <c r="H2996" t="s">
        <v>32</v>
      </c>
      <c r="I2996" t="s">
        <v>46</v>
      </c>
      <c r="J2996" t="s">
        <v>22</v>
      </c>
      <c r="K2996">
        <v>3.5</v>
      </c>
      <c r="L2996" t="s">
        <v>143</v>
      </c>
      <c r="M2996" t="s">
        <v>143</v>
      </c>
      <c r="N2996">
        <v>14</v>
      </c>
      <c r="O2996" t="s">
        <v>66</v>
      </c>
      <c r="P2996" t="s">
        <v>51</v>
      </c>
    </row>
    <row r="2997" spans="1:16" ht="14.5" x14ac:dyDescent="0.35">
      <c r="A2997">
        <v>2996</v>
      </c>
      <c r="B2997">
        <v>29</v>
      </c>
      <c r="C2997" t="s">
        <v>144</v>
      </c>
      <c r="D2997" t="s">
        <v>30</v>
      </c>
      <c r="E2997" t="s">
        <v>18</v>
      </c>
      <c r="F2997">
        <v>96</v>
      </c>
      <c r="G2997" t="s">
        <v>132</v>
      </c>
      <c r="H2997" t="s">
        <v>39</v>
      </c>
      <c r="I2997" t="s">
        <v>112</v>
      </c>
      <c r="J2997" t="s">
        <v>47</v>
      </c>
      <c r="K2997">
        <v>2.5</v>
      </c>
      <c r="L2997" t="s">
        <v>143</v>
      </c>
      <c r="M2997" t="s">
        <v>143</v>
      </c>
      <c r="N2997">
        <v>42</v>
      </c>
      <c r="O2997" t="s">
        <v>77</v>
      </c>
      <c r="P2997" t="s">
        <v>67</v>
      </c>
    </row>
    <row r="2998" spans="1:16" ht="14.5" x14ac:dyDescent="0.35">
      <c r="A2998">
        <v>2997</v>
      </c>
      <c r="B2998">
        <v>70</v>
      </c>
      <c r="C2998" t="s">
        <v>144</v>
      </c>
      <c r="D2998" t="s">
        <v>97</v>
      </c>
      <c r="E2998" t="s">
        <v>60</v>
      </c>
      <c r="F2998">
        <v>91</v>
      </c>
      <c r="G2998" t="s">
        <v>131</v>
      </c>
      <c r="H2998" t="s">
        <v>39</v>
      </c>
      <c r="I2998" t="s">
        <v>46</v>
      </c>
      <c r="J2998" t="s">
        <v>33</v>
      </c>
      <c r="K2998">
        <v>2.9</v>
      </c>
      <c r="L2998" t="s">
        <v>143</v>
      </c>
      <c r="M2998" t="s">
        <v>143</v>
      </c>
      <c r="N2998">
        <v>6</v>
      </c>
      <c r="O2998" t="s">
        <v>24</v>
      </c>
      <c r="P2998" t="s">
        <v>88</v>
      </c>
    </row>
    <row r="2999" spans="1:16" ht="14.5" x14ac:dyDescent="0.35">
      <c r="A2999">
        <v>2998</v>
      </c>
      <c r="B2999">
        <v>41</v>
      </c>
      <c r="C2999" t="s">
        <v>144</v>
      </c>
      <c r="D2999" t="s">
        <v>26</v>
      </c>
      <c r="E2999" t="s">
        <v>18</v>
      </c>
      <c r="F2999">
        <v>40</v>
      </c>
      <c r="G2999" t="s">
        <v>126</v>
      </c>
      <c r="H2999" t="s">
        <v>32</v>
      </c>
      <c r="I2999" t="s">
        <v>125</v>
      </c>
      <c r="J2999" t="s">
        <v>33</v>
      </c>
      <c r="K2999">
        <v>2.7</v>
      </c>
      <c r="L2999" t="s">
        <v>143</v>
      </c>
      <c r="M2999" t="s">
        <v>143</v>
      </c>
      <c r="N2999">
        <v>14</v>
      </c>
      <c r="O2999" t="s">
        <v>24</v>
      </c>
      <c r="P2999" t="s">
        <v>88</v>
      </c>
    </row>
    <row r="3000" spans="1:16" ht="14.5" x14ac:dyDescent="0.35">
      <c r="A3000">
        <v>2999</v>
      </c>
      <c r="B3000">
        <v>31</v>
      </c>
      <c r="C3000" t="s">
        <v>144</v>
      </c>
      <c r="D3000" t="s">
        <v>95</v>
      </c>
      <c r="E3000" t="s">
        <v>18</v>
      </c>
      <c r="F3000">
        <v>53</v>
      </c>
      <c r="G3000" t="s">
        <v>111</v>
      </c>
      <c r="H3000" t="s">
        <v>39</v>
      </c>
      <c r="I3000" t="s">
        <v>99</v>
      </c>
      <c r="J3000" t="s">
        <v>47</v>
      </c>
      <c r="K3000">
        <v>4.7</v>
      </c>
      <c r="L3000" t="s">
        <v>143</v>
      </c>
      <c r="M3000" t="s">
        <v>143</v>
      </c>
      <c r="N3000">
        <v>30</v>
      </c>
      <c r="O3000" t="s">
        <v>77</v>
      </c>
      <c r="P3000" t="s">
        <v>51</v>
      </c>
    </row>
    <row r="3001" spans="1:16" ht="14.5" x14ac:dyDescent="0.35">
      <c r="A3001">
        <v>3000</v>
      </c>
      <c r="B3001">
        <v>31</v>
      </c>
      <c r="C3001" t="s">
        <v>144</v>
      </c>
      <c r="D3001" t="s">
        <v>80</v>
      </c>
      <c r="E3001" t="s">
        <v>60</v>
      </c>
      <c r="F3001">
        <v>48</v>
      </c>
      <c r="G3001" t="s">
        <v>73</v>
      </c>
      <c r="H3001" t="s">
        <v>32</v>
      </c>
      <c r="I3001" t="s">
        <v>54</v>
      </c>
      <c r="J3001" t="s">
        <v>22</v>
      </c>
      <c r="K3001">
        <v>3.8</v>
      </c>
      <c r="L3001" t="s">
        <v>143</v>
      </c>
      <c r="M3001" t="s">
        <v>143</v>
      </c>
      <c r="N3001">
        <v>10</v>
      </c>
      <c r="O3001" t="s">
        <v>29</v>
      </c>
      <c r="P3001" t="s">
        <v>79</v>
      </c>
    </row>
    <row r="3002" spans="1:16" ht="14.5" x14ac:dyDescent="0.35">
      <c r="A3002">
        <v>3001</v>
      </c>
      <c r="B3002">
        <v>57</v>
      </c>
      <c r="C3002" t="s">
        <v>144</v>
      </c>
      <c r="D3002" t="s">
        <v>36</v>
      </c>
      <c r="E3002" t="s">
        <v>37</v>
      </c>
      <c r="F3002">
        <v>70</v>
      </c>
      <c r="G3002" t="s">
        <v>114</v>
      </c>
      <c r="H3002" t="s">
        <v>39</v>
      </c>
      <c r="I3002" t="s">
        <v>84</v>
      </c>
      <c r="J3002" t="s">
        <v>22</v>
      </c>
      <c r="K3002">
        <v>3.7</v>
      </c>
      <c r="L3002" t="s">
        <v>143</v>
      </c>
      <c r="M3002" t="s">
        <v>143</v>
      </c>
      <c r="N3002">
        <v>7</v>
      </c>
      <c r="O3002" t="s">
        <v>40</v>
      </c>
      <c r="P3002" t="s">
        <v>35</v>
      </c>
    </row>
    <row r="3003" spans="1:16" ht="14.5" x14ac:dyDescent="0.35">
      <c r="A3003">
        <v>3002</v>
      </c>
      <c r="B3003">
        <v>29</v>
      </c>
      <c r="C3003" t="s">
        <v>144</v>
      </c>
      <c r="D3003" t="s">
        <v>55</v>
      </c>
      <c r="E3003" t="s">
        <v>56</v>
      </c>
      <c r="F3003">
        <v>29</v>
      </c>
      <c r="G3003" t="s">
        <v>49</v>
      </c>
      <c r="H3003" t="s">
        <v>20</v>
      </c>
      <c r="I3003" t="s">
        <v>54</v>
      </c>
      <c r="J3003" t="s">
        <v>47</v>
      </c>
      <c r="K3003">
        <v>4.7</v>
      </c>
      <c r="L3003" t="s">
        <v>143</v>
      </c>
      <c r="M3003" t="s">
        <v>143</v>
      </c>
      <c r="N3003">
        <v>28</v>
      </c>
      <c r="O3003" t="s">
        <v>34</v>
      </c>
      <c r="P3003" t="s">
        <v>51</v>
      </c>
    </row>
    <row r="3004" spans="1:16" ht="14.5" x14ac:dyDescent="0.35">
      <c r="A3004">
        <v>3003</v>
      </c>
      <c r="B3004">
        <v>70</v>
      </c>
      <c r="C3004" t="s">
        <v>144</v>
      </c>
      <c r="D3004" t="s">
        <v>124</v>
      </c>
      <c r="E3004" t="s">
        <v>60</v>
      </c>
      <c r="F3004">
        <v>29</v>
      </c>
      <c r="G3004" t="s">
        <v>53</v>
      </c>
      <c r="H3004" t="s">
        <v>39</v>
      </c>
      <c r="I3004" t="s">
        <v>28</v>
      </c>
      <c r="J3004" t="s">
        <v>50</v>
      </c>
      <c r="K3004">
        <v>3.6</v>
      </c>
      <c r="L3004" t="s">
        <v>143</v>
      </c>
      <c r="M3004" t="s">
        <v>143</v>
      </c>
      <c r="N3004">
        <v>19</v>
      </c>
      <c r="O3004" t="s">
        <v>66</v>
      </c>
      <c r="P3004" t="s">
        <v>51</v>
      </c>
    </row>
    <row r="3005" spans="1:16" ht="14.5" x14ac:dyDescent="0.35">
      <c r="A3005">
        <v>3004</v>
      </c>
      <c r="B3005">
        <v>51</v>
      </c>
      <c r="C3005" t="s">
        <v>144</v>
      </c>
      <c r="D3005" t="s">
        <v>17</v>
      </c>
      <c r="E3005" t="s">
        <v>18</v>
      </c>
      <c r="F3005">
        <v>53</v>
      </c>
      <c r="G3005" t="s">
        <v>41</v>
      </c>
      <c r="H3005" t="s">
        <v>39</v>
      </c>
      <c r="I3005" t="s">
        <v>101</v>
      </c>
      <c r="J3005" t="s">
        <v>50</v>
      </c>
      <c r="K3005">
        <v>2.8</v>
      </c>
      <c r="L3005" t="s">
        <v>143</v>
      </c>
      <c r="M3005" t="s">
        <v>143</v>
      </c>
      <c r="N3005">
        <v>13</v>
      </c>
      <c r="O3005" t="s">
        <v>34</v>
      </c>
      <c r="P3005" t="s">
        <v>88</v>
      </c>
    </row>
    <row r="3006" spans="1:16" ht="14.5" x14ac:dyDescent="0.35">
      <c r="A3006">
        <v>3005</v>
      </c>
      <c r="B3006">
        <v>45</v>
      </c>
      <c r="C3006" t="s">
        <v>144</v>
      </c>
      <c r="D3006" t="s">
        <v>78</v>
      </c>
      <c r="E3006" t="s">
        <v>18</v>
      </c>
      <c r="F3006">
        <v>79</v>
      </c>
      <c r="G3006" t="s">
        <v>108</v>
      </c>
      <c r="H3006" t="s">
        <v>39</v>
      </c>
      <c r="I3006" t="s">
        <v>84</v>
      </c>
      <c r="J3006" t="s">
        <v>22</v>
      </c>
      <c r="K3006">
        <v>3.7</v>
      </c>
      <c r="L3006" t="s">
        <v>143</v>
      </c>
      <c r="M3006" t="s">
        <v>143</v>
      </c>
      <c r="N3006">
        <v>23</v>
      </c>
      <c r="O3006" t="s">
        <v>24</v>
      </c>
      <c r="P3006" t="s">
        <v>25</v>
      </c>
    </row>
    <row r="3007" spans="1:16" ht="14.5" x14ac:dyDescent="0.35">
      <c r="A3007">
        <v>3006</v>
      </c>
      <c r="B3007">
        <v>18</v>
      </c>
      <c r="C3007" t="s">
        <v>144</v>
      </c>
      <c r="D3007" t="s">
        <v>52</v>
      </c>
      <c r="E3007" t="s">
        <v>18</v>
      </c>
      <c r="F3007">
        <v>65</v>
      </c>
      <c r="G3007" t="s">
        <v>111</v>
      </c>
      <c r="H3007" t="s">
        <v>83</v>
      </c>
      <c r="I3007" t="s">
        <v>101</v>
      </c>
      <c r="J3007" t="s">
        <v>33</v>
      </c>
      <c r="K3007">
        <v>3.5</v>
      </c>
      <c r="L3007" t="s">
        <v>143</v>
      </c>
      <c r="M3007" t="s">
        <v>143</v>
      </c>
      <c r="N3007">
        <v>5</v>
      </c>
      <c r="O3007" t="s">
        <v>24</v>
      </c>
      <c r="P3007" t="s">
        <v>35</v>
      </c>
    </row>
    <row r="3008" spans="1:16" ht="14.5" x14ac:dyDescent="0.35">
      <c r="A3008">
        <v>3007</v>
      </c>
      <c r="B3008">
        <v>37</v>
      </c>
      <c r="C3008" t="s">
        <v>144</v>
      </c>
      <c r="D3008" t="s">
        <v>72</v>
      </c>
      <c r="E3008" t="s">
        <v>18</v>
      </c>
      <c r="F3008">
        <v>99</v>
      </c>
      <c r="G3008" t="s">
        <v>131</v>
      </c>
      <c r="H3008" t="s">
        <v>39</v>
      </c>
      <c r="I3008" t="s">
        <v>69</v>
      </c>
      <c r="J3008" t="s">
        <v>47</v>
      </c>
      <c r="K3008">
        <v>3.7</v>
      </c>
      <c r="L3008" t="s">
        <v>143</v>
      </c>
      <c r="M3008" t="s">
        <v>143</v>
      </c>
      <c r="N3008">
        <v>17</v>
      </c>
      <c r="O3008" t="s">
        <v>24</v>
      </c>
      <c r="P3008" t="s">
        <v>67</v>
      </c>
    </row>
    <row r="3009" spans="1:16" ht="14.5" x14ac:dyDescent="0.35">
      <c r="A3009">
        <v>3008</v>
      </c>
      <c r="B3009">
        <v>23</v>
      </c>
      <c r="C3009" t="s">
        <v>144</v>
      </c>
      <c r="D3009" t="s">
        <v>80</v>
      </c>
      <c r="E3009" t="s">
        <v>60</v>
      </c>
      <c r="F3009">
        <v>60</v>
      </c>
      <c r="G3009" t="s">
        <v>75</v>
      </c>
      <c r="H3009" t="s">
        <v>20</v>
      </c>
      <c r="I3009" t="s">
        <v>84</v>
      </c>
      <c r="J3009" t="s">
        <v>22</v>
      </c>
      <c r="K3009">
        <v>3</v>
      </c>
      <c r="L3009" t="s">
        <v>143</v>
      </c>
      <c r="M3009" t="s">
        <v>143</v>
      </c>
      <c r="N3009">
        <v>31</v>
      </c>
      <c r="O3009" t="s">
        <v>24</v>
      </c>
      <c r="P3009" t="s">
        <v>35</v>
      </c>
    </row>
    <row r="3010" spans="1:16" ht="14.5" x14ac:dyDescent="0.35">
      <c r="A3010">
        <v>3009</v>
      </c>
      <c r="B3010">
        <v>39</v>
      </c>
      <c r="C3010" t="s">
        <v>144</v>
      </c>
      <c r="D3010" t="s">
        <v>63</v>
      </c>
      <c r="E3010" t="s">
        <v>37</v>
      </c>
      <c r="F3010">
        <v>86</v>
      </c>
      <c r="G3010" t="s">
        <v>121</v>
      </c>
      <c r="H3010" t="s">
        <v>39</v>
      </c>
      <c r="I3010" t="s">
        <v>71</v>
      </c>
      <c r="J3010" t="s">
        <v>22</v>
      </c>
      <c r="K3010">
        <v>4.9000000000000004</v>
      </c>
      <c r="L3010" t="s">
        <v>143</v>
      </c>
      <c r="M3010" t="s">
        <v>143</v>
      </c>
      <c r="N3010">
        <v>19</v>
      </c>
      <c r="O3010" t="s">
        <v>40</v>
      </c>
      <c r="P3010" t="s">
        <v>35</v>
      </c>
    </row>
    <row r="3011" spans="1:16" ht="14.5" x14ac:dyDescent="0.35">
      <c r="A3011">
        <v>3010</v>
      </c>
      <c r="B3011">
        <v>62</v>
      </c>
      <c r="C3011" t="s">
        <v>144</v>
      </c>
      <c r="D3011" t="s">
        <v>124</v>
      </c>
      <c r="E3011" t="s">
        <v>60</v>
      </c>
      <c r="F3011">
        <v>73</v>
      </c>
      <c r="G3011" t="s">
        <v>53</v>
      </c>
      <c r="H3011" t="s">
        <v>39</v>
      </c>
      <c r="I3011" t="s">
        <v>58</v>
      </c>
      <c r="J3011" t="s">
        <v>22</v>
      </c>
      <c r="K3011">
        <v>4.5999999999999996</v>
      </c>
      <c r="L3011" t="s">
        <v>143</v>
      </c>
      <c r="M3011" t="s">
        <v>143</v>
      </c>
      <c r="N3011">
        <v>8</v>
      </c>
      <c r="O3011" t="s">
        <v>24</v>
      </c>
      <c r="P3011" t="s">
        <v>25</v>
      </c>
    </row>
    <row r="3012" spans="1:16" ht="14.5" x14ac:dyDescent="0.35">
      <c r="A3012">
        <v>3011</v>
      </c>
      <c r="B3012">
        <v>70</v>
      </c>
      <c r="C3012" t="s">
        <v>144</v>
      </c>
      <c r="D3012" t="s">
        <v>124</v>
      </c>
      <c r="E3012" t="s">
        <v>60</v>
      </c>
      <c r="F3012">
        <v>45</v>
      </c>
      <c r="G3012" t="s">
        <v>114</v>
      </c>
      <c r="H3012" t="s">
        <v>39</v>
      </c>
      <c r="I3012" t="s">
        <v>74</v>
      </c>
      <c r="J3012" t="s">
        <v>22</v>
      </c>
      <c r="K3012">
        <v>3.3</v>
      </c>
      <c r="L3012" t="s">
        <v>143</v>
      </c>
      <c r="M3012" t="s">
        <v>143</v>
      </c>
      <c r="N3012">
        <v>15</v>
      </c>
      <c r="O3012" t="s">
        <v>34</v>
      </c>
      <c r="P3012" t="s">
        <v>43</v>
      </c>
    </row>
    <row r="3013" spans="1:16" ht="14.5" x14ac:dyDescent="0.35">
      <c r="A3013">
        <v>3012</v>
      </c>
      <c r="B3013">
        <v>20</v>
      </c>
      <c r="C3013" t="s">
        <v>144</v>
      </c>
      <c r="D3013" t="s">
        <v>124</v>
      </c>
      <c r="E3013" t="s">
        <v>60</v>
      </c>
      <c r="F3013">
        <v>70</v>
      </c>
      <c r="G3013" t="s">
        <v>98</v>
      </c>
      <c r="H3013" t="s">
        <v>32</v>
      </c>
      <c r="I3013" t="s">
        <v>101</v>
      </c>
      <c r="J3013" t="s">
        <v>47</v>
      </c>
      <c r="K3013">
        <v>3</v>
      </c>
      <c r="L3013" t="s">
        <v>143</v>
      </c>
      <c r="M3013" t="s">
        <v>143</v>
      </c>
      <c r="N3013">
        <v>18</v>
      </c>
      <c r="O3013" t="s">
        <v>34</v>
      </c>
      <c r="P3013" t="s">
        <v>88</v>
      </c>
    </row>
    <row r="3014" spans="1:16" ht="14.5" x14ac:dyDescent="0.35">
      <c r="A3014">
        <v>3013</v>
      </c>
      <c r="B3014">
        <v>42</v>
      </c>
      <c r="C3014" t="s">
        <v>144</v>
      </c>
      <c r="D3014" t="s">
        <v>124</v>
      </c>
      <c r="E3014" t="s">
        <v>60</v>
      </c>
      <c r="F3014">
        <v>65</v>
      </c>
      <c r="G3014" t="s">
        <v>126</v>
      </c>
      <c r="H3014" t="s">
        <v>39</v>
      </c>
      <c r="I3014" t="s">
        <v>76</v>
      </c>
      <c r="J3014" t="s">
        <v>50</v>
      </c>
      <c r="K3014">
        <v>3.5</v>
      </c>
      <c r="L3014" t="s">
        <v>143</v>
      </c>
      <c r="M3014" t="s">
        <v>143</v>
      </c>
      <c r="N3014">
        <v>16</v>
      </c>
      <c r="O3014" t="s">
        <v>40</v>
      </c>
      <c r="P3014" t="s">
        <v>43</v>
      </c>
    </row>
    <row r="3015" spans="1:16" ht="14.5" x14ac:dyDescent="0.35">
      <c r="A3015">
        <v>3014</v>
      </c>
      <c r="B3015">
        <v>41</v>
      </c>
      <c r="C3015" t="s">
        <v>144</v>
      </c>
      <c r="D3015" t="s">
        <v>78</v>
      </c>
      <c r="E3015" t="s">
        <v>18</v>
      </c>
      <c r="F3015">
        <v>55</v>
      </c>
      <c r="G3015" t="s">
        <v>108</v>
      </c>
      <c r="H3015" t="s">
        <v>20</v>
      </c>
      <c r="I3015" t="s">
        <v>91</v>
      </c>
      <c r="J3015" t="s">
        <v>47</v>
      </c>
      <c r="K3015">
        <v>4.2</v>
      </c>
      <c r="L3015" t="s">
        <v>143</v>
      </c>
      <c r="M3015" t="s">
        <v>143</v>
      </c>
      <c r="N3015">
        <v>13</v>
      </c>
      <c r="O3015" t="s">
        <v>29</v>
      </c>
      <c r="P3015" t="s">
        <v>79</v>
      </c>
    </row>
    <row r="3016" spans="1:16" ht="14.5" x14ac:dyDescent="0.35">
      <c r="A3016">
        <v>3015</v>
      </c>
      <c r="B3016">
        <v>24</v>
      </c>
      <c r="C3016" t="s">
        <v>144</v>
      </c>
      <c r="D3016" t="s">
        <v>104</v>
      </c>
      <c r="E3016" t="s">
        <v>18</v>
      </c>
      <c r="F3016">
        <v>65</v>
      </c>
      <c r="G3016" t="s">
        <v>131</v>
      </c>
      <c r="H3016" t="s">
        <v>39</v>
      </c>
      <c r="I3016" t="s">
        <v>28</v>
      </c>
      <c r="J3016" t="s">
        <v>33</v>
      </c>
      <c r="K3016">
        <v>4.5</v>
      </c>
      <c r="L3016" t="s">
        <v>143</v>
      </c>
      <c r="M3016" t="s">
        <v>143</v>
      </c>
      <c r="N3016">
        <v>38</v>
      </c>
      <c r="O3016" t="s">
        <v>40</v>
      </c>
      <c r="P3016" t="s">
        <v>88</v>
      </c>
    </row>
    <row r="3017" spans="1:16" ht="14.5" x14ac:dyDescent="0.35">
      <c r="A3017">
        <v>3016</v>
      </c>
      <c r="B3017">
        <v>37</v>
      </c>
      <c r="C3017" t="s">
        <v>144</v>
      </c>
      <c r="D3017" t="s">
        <v>110</v>
      </c>
      <c r="E3017" t="s">
        <v>60</v>
      </c>
      <c r="F3017">
        <v>21</v>
      </c>
      <c r="G3017" t="s">
        <v>45</v>
      </c>
      <c r="H3017" t="s">
        <v>83</v>
      </c>
      <c r="I3017" t="s">
        <v>84</v>
      </c>
      <c r="J3017" t="s">
        <v>33</v>
      </c>
      <c r="K3017">
        <v>2.8</v>
      </c>
      <c r="L3017" t="s">
        <v>143</v>
      </c>
      <c r="M3017" t="s">
        <v>143</v>
      </c>
      <c r="N3017">
        <v>27</v>
      </c>
      <c r="O3017" t="s">
        <v>66</v>
      </c>
      <c r="P3017" t="s">
        <v>67</v>
      </c>
    </row>
    <row r="3018" spans="1:16" ht="14.5" x14ac:dyDescent="0.35">
      <c r="A3018">
        <v>3017</v>
      </c>
      <c r="B3018">
        <v>30</v>
      </c>
      <c r="C3018" t="s">
        <v>144</v>
      </c>
      <c r="D3018" t="s">
        <v>17</v>
      </c>
      <c r="E3018" t="s">
        <v>18</v>
      </c>
      <c r="F3018">
        <v>26</v>
      </c>
      <c r="G3018" t="s">
        <v>107</v>
      </c>
      <c r="H3018" t="s">
        <v>20</v>
      </c>
      <c r="I3018" t="s">
        <v>84</v>
      </c>
      <c r="J3018" t="s">
        <v>47</v>
      </c>
      <c r="K3018">
        <v>4.9000000000000004</v>
      </c>
      <c r="L3018" t="s">
        <v>143</v>
      </c>
      <c r="M3018" t="s">
        <v>143</v>
      </c>
      <c r="N3018">
        <v>31</v>
      </c>
      <c r="O3018" t="s">
        <v>66</v>
      </c>
      <c r="P3018" t="s">
        <v>51</v>
      </c>
    </row>
    <row r="3019" spans="1:16" ht="14.5" x14ac:dyDescent="0.35">
      <c r="A3019">
        <v>3018</v>
      </c>
      <c r="B3019">
        <v>58</v>
      </c>
      <c r="C3019" t="s">
        <v>144</v>
      </c>
      <c r="D3019" t="s">
        <v>80</v>
      </c>
      <c r="E3019" t="s">
        <v>60</v>
      </c>
      <c r="F3019">
        <v>71</v>
      </c>
      <c r="G3019" t="s">
        <v>141</v>
      </c>
      <c r="H3019" t="s">
        <v>32</v>
      </c>
      <c r="I3019" t="s">
        <v>65</v>
      </c>
      <c r="J3019" t="s">
        <v>47</v>
      </c>
      <c r="K3019">
        <v>3.3</v>
      </c>
      <c r="L3019" t="s">
        <v>143</v>
      </c>
      <c r="M3019" t="s">
        <v>143</v>
      </c>
      <c r="N3019">
        <v>24</v>
      </c>
      <c r="O3019" t="s">
        <v>29</v>
      </c>
      <c r="P3019" t="s">
        <v>67</v>
      </c>
    </row>
    <row r="3020" spans="1:16" ht="14.5" x14ac:dyDescent="0.35">
      <c r="A3020">
        <v>3019</v>
      </c>
      <c r="B3020">
        <v>43</v>
      </c>
      <c r="C3020" t="s">
        <v>144</v>
      </c>
      <c r="D3020" t="s">
        <v>128</v>
      </c>
      <c r="E3020" t="s">
        <v>37</v>
      </c>
      <c r="F3020">
        <v>41</v>
      </c>
      <c r="G3020" t="s">
        <v>96</v>
      </c>
      <c r="H3020" t="s">
        <v>39</v>
      </c>
      <c r="I3020" t="s">
        <v>87</v>
      </c>
      <c r="J3020" t="s">
        <v>47</v>
      </c>
      <c r="K3020">
        <v>3</v>
      </c>
      <c r="L3020" t="s">
        <v>143</v>
      </c>
      <c r="M3020" t="s">
        <v>143</v>
      </c>
      <c r="N3020">
        <v>21</v>
      </c>
      <c r="O3020" t="s">
        <v>77</v>
      </c>
      <c r="P3020" t="s">
        <v>67</v>
      </c>
    </row>
    <row r="3021" spans="1:16" ht="14.5" x14ac:dyDescent="0.35">
      <c r="A3021">
        <v>3020</v>
      </c>
      <c r="B3021">
        <v>19</v>
      </c>
      <c r="C3021" t="s">
        <v>144</v>
      </c>
      <c r="D3021" t="s">
        <v>93</v>
      </c>
      <c r="E3021" t="s">
        <v>56</v>
      </c>
      <c r="F3021">
        <v>44</v>
      </c>
      <c r="G3021" t="s">
        <v>131</v>
      </c>
      <c r="H3021" t="s">
        <v>39</v>
      </c>
      <c r="I3021" t="s">
        <v>125</v>
      </c>
      <c r="J3021" t="s">
        <v>22</v>
      </c>
      <c r="K3021">
        <v>3.9</v>
      </c>
      <c r="L3021" t="s">
        <v>143</v>
      </c>
      <c r="M3021" t="s">
        <v>143</v>
      </c>
      <c r="N3021">
        <v>15</v>
      </c>
      <c r="O3021" t="s">
        <v>40</v>
      </c>
      <c r="P3021" t="s">
        <v>43</v>
      </c>
    </row>
    <row r="3022" spans="1:16" ht="14.5" x14ac:dyDescent="0.35">
      <c r="A3022">
        <v>3021</v>
      </c>
      <c r="B3022">
        <v>23</v>
      </c>
      <c r="C3022" t="s">
        <v>144</v>
      </c>
      <c r="D3022" t="s">
        <v>30</v>
      </c>
      <c r="E3022" t="s">
        <v>18</v>
      </c>
      <c r="F3022">
        <v>81</v>
      </c>
      <c r="G3022" t="s">
        <v>64</v>
      </c>
      <c r="H3022" t="s">
        <v>32</v>
      </c>
      <c r="I3022" t="s">
        <v>54</v>
      </c>
      <c r="J3022" t="s">
        <v>50</v>
      </c>
      <c r="K3022">
        <v>2.8</v>
      </c>
      <c r="L3022" t="s">
        <v>143</v>
      </c>
      <c r="M3022" t="s">
        <v>143</v>
      </c>
      <c r="N3022">
        <v>48</v>
      </c>
      <c r="O3022" t="s">
        <v>24</v>
      </c>
      <c r="P3022" t="s">
        <v>88</v>
      </c>
    </row>
    <row r="3023" spans="1:16" ht="14.5" x14ac:dyDescent="0.35">
      <c r="A3023">
        <v>3022</v>
      </c>
      <c r="B3023">
        <v>65</v>
      </c>
      <c r="C3023" t="s">
        <v>144</v>
      </c>
      <c r="D3023" t="s">
        <v>80</v>
      </c>
      <c r="E3023" t="s">
        <v>60</v>
      </c>
      <c r="F3023">
        <v>77</v>
      </c>
      <c r="G3023" t="s">
        <v>129</v>
      </c>
      <c r="H3023" t="s">
        <v>32</v>
      </c>
      <c r="I3023" t="s">
        <v>135</v>
      </c>
      <c r="J3023" t="s">
        <v>47</v>
      </c>
      <c r="K3023">
        <v>4.5</v>
      </c>
      <c r="L3023" t="s">
        <v>143</v>
      </c>
      <c r="M3023" t="s">
        <v>143</v>
      </c>
      <c r="N3023">
        <v>47</v>
      </c>
      <c r="O3023" t="s">
        <v>29</v>
      </c>
      <c r="P3023" t="s">
        <v>51</v>
      </c>
    </row>
    <row r="3024" spans="1:16" ht="14.5" x14ac:dyDescent="0.35">
      <c r="A3024">
        <v>3023</v>
      </c>
      <c r="B3024">
        <v>58</v>
      </c>
      <c r="C3024" t="s">
        <v>144</v>
      </c>
      <c r="D3024" t="s">
        <v>36</v>
      </c>
      <c r="E3024" t="s">
        <v>37</v>
      </c>
      <c r="F3024">
        <v>26</v>
      </c>
      <c r="G3024" t="s">
        <v>133</v>
      </c>
      <c r="H3024" t="s">
        <v>39</v>
      </c>
      <c r="I3024" t="s">
        <v>84</v>
      </c>
      <c r="J3024" t="s">
        <v>50</v>
      </c>
      <c r="K3024">
        <v>4</v>
      </c>
      <c r="L3024" t="s">
        <v>143</v>
      </c>
      <c r="M3024" t="s">
        <v>143</v>
      </c>
      <c r="N3024">
        <v>23</v>
      </c>
      <c r="O3024" t="s">
        <v>40</v>
      </c>
      <c r="P3024" t="s">
        <v>35</v>
      </c>
    </row>
    <row r="3025" spans="1:16" ht="14.5" x14ac:dyDescent="0.35">
      <c r="A3025">
        <v>3024</v>
      </c>
      <c r="B3025">
        <v>50</v>
      </c>
      <c r="C3025" t="s">
        <v>144</v>
      </c>
      <c r="D3025" t="s">
        <v>123</v>
      </c>
      <c r="E3025" t="s">
        <v>60</v>
      </c>
      <c r="F3025">
        <v>31</v>
      </c>
      <c r="G3025" t="s">
        <v>107</v>
      </c>
      <c r="H3025" t="s">
        <v>39</v>
      </c>
      <c r="I3025" t="s">
        <v>101</v>
      </c>
      <c r="J3025" t="s">
        <v>47</v>
      </c>
      <c r="K3025">
        <v>2.9</v>
      </c>
      <c r="L3025" t="s">
        <v>143</v>
      </c>
      <c r="M3025" t="s">
        <v>143</v>
      </c>
      <c r="N3025">
        <v>4</v>
      </c>
      <c r="O3025" t="s">
        <v>40</v>
      </c>
      <c r="P3025" t="s">
        <v>51</v>
      </c>
    </row>
    <row r="3026" spans="1:16" ht="14.5" x14ac:dyDescent="0.35">
      <c r="A3026">
        <v>3025</v>
      </c>
      <c r="B3026">
        <v>67</v>
      </c>
      <c r="C3026" t="s">
        <v>144</v>
      </c>
      <c r="D3026" t="s">
        <v>17</v>
      </c>
      <c r="E3026" t="s">
        <v>18</v>
      </c>
      <c r="F3026">
        <v>82</v>
      </c>
      <c r="G3026" t="s">
        <v>126</v>
      </c>
      <c r="H3026" t="s">
        <v>32</v>
      </c>
      <c r="I3026" t="s">
        <v>46</v>
      </c>
      <c r="J3026" t="s">
        <v>33</v>
      </c>
      <c r="K3026">
        <v>4</v>
      </c>
      <c r="L3026" t="s">
        <v>143</v>
      </c>
      <c r="M3026" t="s">
        <v>143</v>
      </c>
      <c r="N3026">
        <v>47</v>
      </c>
      <c r="O3026" t="s">
        <v>34</v>
      </c>
      <c r="P3026" t="s">
        <v>88</v>
      </c>
    </row>
    <row r="3027" spans="1:16" ht="14.5" x14ac:dyDescent="0.35">
      <c r="A3027">
        <v>3026</v>
      </c>
      <c r="B3027">
        <v>40</v>
      </c>
      <c r="C3027" t="s">
        <v>144</v>
      </c>
      <c r="D3027" t="s">
        <v>63</v>
      </c>
      <c r="E3027" t="s">
        <v>37</v>
      </c>
      <c r="F3027">
        <v>60</v>
      </c>
      <c r="G3027" t="s">
        <v>49</v>
      </c>
      <c r="H3027" t="s">
        <v>83</v>
      </c>
      <c r="I3027" t="s">
        <v>87</v>
      </c>
      <c r="J3027" t="s">
        <v>47</v>
      </c>
      <c r="K3027">
        <v>3.4</v>
      </c>
      <c r="L3027" t="s">
        <v>143</v>
      </c>
      <c r="M3027" t="s">
        <v>143</v>
      </c>
      <c r="N3027">
        <v>7</v>
      </c>
      <c r="O3027" t="s">
        <v>40</v>
      </c>
      <c r="P3027" t="s">
        <v>79</v>
      </c>
    </row>
    <row r="3028" spans="1:16" ht="14.5" x14ac:dyDescent="0.35">
      <c r="A3028">
        <v>3027</v>
      </c>
      <c r="B3028">
        <v>55</v>
      </c>
      <c r="C3028" t="s">
        <v>144</v>
      </c>
      <c r="D3028" t="s">
        <v>48</v>
      </c>
      <c r="E3028" t="s">
        <v>18</v>
      </c>
      <c r="F3028">
        <v>70</v>
      </c>
      <c r="G3028" t="s">
        <v>113</v>
      </c>
      <c r="H3028" t="s">
        <v>20</v>
      </c>
      <c r="I3028" t="s">
        <v>127</v>
      </c>
      <c r="J3028" t="s">
        <v>50</v>
      </c>
      <c r="K3028">
        <v>2.5</v>
      </c>
      <c r="L3028" t="s">
        <v>143</v>
      </c>
      <c r="M3028" t="s">
        <v>143</v>
      </c>
      <c r="N3028">
        <v>6</v>
      </c>
      <c r="O3028" t="s">
        <v>34</v>
      </c>
      <c r="P3028" t="s">
        <v>43</v>
      </c>
    </row>
    <row r="3029" spans="1:16" ht="14.5" x14ac:dyDescent="0.35">
      <c r="A3029">
        <v>3028</v>
      </c>
      <c r="B3029">
        <v>52</v>
      </c>
      <c r="C3029" t="s">
        <v>144</v>
      </c>
      <c r="D3029" t="s">
        <v>95</v>
      </c>
      <c r="E3029" t="s">
        <v>18</v>
      </c>
      <c r="F3029">
        <v>26</v>
      </c>
      <c r="G3029" t="s">
        <v>57</v>
      </c>
      <c r="H3029" t="s">
        <v>83</v>
      </c>
      <c r="I3029" t="s">
        <v>91</v>
      </c>
      <c r="J3029" t="s">
        <v>22</v>
      </c>
      <c r="K3029">
        <v>2.8</v>
      </c>
      <c r="L3029" t="s">
        <v>143</v>
      </c>
      <c r="M3029" t="s">
        <v>143</v>
      </c>
      <c r="N3029">
        <v>47</v>
      </c>
      <c r="O3029" t="s">
        <v>34</v>
      </c>
      <c r="P3029" t="s">
        <v>51</v>
      </c>
    </row>
    <row r="3030" spans="1:16" ht="14.5" x14ac:dyDescent="0.35">
      <c r="A3030">
        <v>3029</v>
      </c>
      <c r="B3030">
        <v>62</v>
      </c>
      <c r="C3030" t="s">
        <v>144</v>
      </c>
      <c r="D3030" t="s">
        <v>72</v>
      </c>
      <c r="E3030" t="s">
        <v>18</v>
      </c>
      <c r="F3030">
        <v>100</v>
      </c>
      <c r="G3030" t="s">
        <v>90</v>
      </c>
      <c r="H3030" t="s">
        <v>20</v>
      </c>
      <c r="I3030" t="s">
        <v>54</v>
      </c>
      <c r="J3030" t="s">
        <v>47</v>
      </c>
      <c r="K3030">
        <v>3</v>
      </c>
      <c r="L3030" t="s">
        <v>143</v>
      </c>
      <c r="M3030" t="s">
        <v>143</v>
      </c>
      <c r="N3030">
        <v>7</v>
      </c>
      <c r="O3030" t="s">
        <v>40</v>
      </c>
      <c r="P3030" t="s">
        <v>88</v>
      </c>
    </row>
    <row r="3031" spans="1:16" ht="14.5" x14ac:dyDescent="0.35">
      <c r="A3031">
        <v>3030</v>
      </c>
      <c r="B3031">
        <v>64</v>
      </c>
      <c r="C3031" t="s">
        <v>144</v>
      </c>
      <c r="D3031" t="s">
        <v>72</v>
      </c>
      <c r="E3031" t="s">
        <v>18</v>
      </c>
      <c r="F3031">
        <v>82</v>
      </c>
      <c r="G3031" t="s">
        <v>133</v>
      </c>
      <c r="H3031" t="s">
        <v>39</v>
      </c>
      <c r="I3031" t="s">
        <v>71</v>
      </c>
      <c r="J3031" t="s">
        <v>47</v>
      </c>
      <c r="K3031">
        <v>3.1</v>
      </c>
      <c r="L3031" t="s">
        <v>143</v>
      </c>
      <c r="M3031" t="s">
        <v>143</v>
      </c>
      <c r="N3031">
        <v>1</v>
      </c>
      <c r="O3031" t="s">
        <v>77</v>
      </c>
      <c r="P3031" t="s">
        <v>51</v>
      </c>
    </row>
    <row r="3032" spans="1:16" ht="14.5" x14ac:dyDescent="0.35">
      <c r="A3032">
        <v>3031</v>
      </c>
      <c r="B3032">
        <v>43</v>
      </c>
      <c r="C3032" t="s">
        <v>144</v>
      </c>
      <c r="D3032" t="s">
        <v>44</v>
      </c>
      <c r="E3032" t="s">
        <v>37</v>
      </c>
      <c r="F3032">
        <v>24</v>
      </c>
      <c r="G3032" t="s">
        <v>119</v>
      </c>
      <c r="H3032" t="s">
        <v>83</v>
      </c>
      <c r="I3032" t="s">
        <v>65</v>
      </c>
      <c r="J3032" t="s">
        <v>33</v>
      </c>
      <c r="K3032">
        <v>2.6</v>
      </c>
      <c r="L3032" t="s">
        <v>143</v>
      </c>
      <c r="M3032" t="s">
        <v>143</v>
      </c>
      <c r="N3032">
        <v>23</v>
      </c>
      <c r="O3032" t="s">
        <v>34</v>
      </c>
      <c r="P3032" t="s">
        <v>35</v>
      </c>
    </row>
    <row r="3033" spans="1:16" ht="14.5" x14ac:dyDescent="0.35">
      <c r="A3033">
        <v>3032</v>
      </c>
      <c r="B3033">
        <v>61</v>
      </c>
      <c r="C3033" t="s">
        <v>144</v>
      </c>
      <c r="D3033" t="s">
        <v>17</v>
      </c>
      <c r="E3033" t="s">
        <v>18</v>
      </c>
      <c r="F3033">
        <v>74</v>
      </c>
      <c r="G3033" t="s">
        <v>126</v>
      </c>
      <c r="H3033" t="s">
        <v>20</v>
      </c>
      <c r="I3033" t="s">
        <v>76</v>
      </c>
      <c r="J3033" t="s">
        <v>47</v>
      </c>
      <c r="K3033">
        <v>4.9000000000000004</v>
      </c>
      <c r="L3033" t="s">
        <v>143</v>
      </c>
      <c r="M3033" t="s">
        <v>143</v>
      </c>
      <c r="N3033">
        <v>30</v>
      </c>
      <c r="O3033" t="s">
        <v>34</v>
      </c>
      <c r="P3033" t="s">
        <v>79</v>
      </c>
    </row>
    <row r="3034" spans="1:16" ht="14.5" x14ac:dyDescent="0.35">
      <c r="A3034">
        <v>3033</v>
      </c>
      <c r="B3034">
        <v>26</v>
      </c>
      <c r="C3034" t="s">
        <v>144</v>
      </c>
      <c r="D3034" t="s">
        <v>123</v>
      </c>
      <c r="E3034" t="s">
        <v>60</v>
      </c>
      <c r="F3034">
        <v>58</v>
      </c>
      <c r="G3034" t="s">
        <v>90</v>
      </c>
      <c r="H3034" t="s">
        <v>83</v>
      </c>
      <c r="I3034" t="s">
        <v>87</v>
      </c>
      <c r="J3034" t="s">
        <v>47</v>
      </c>
      <c r="K3034">
        <v>3.5</v>
      </c>
      <c r="L3034" t="s">
        <v>143</v>
      </c>
      <c r="M3034" t="s">
        <v>143</v>
      </c>
      <c r="N3034">
        <v>24</v>
      </c>
      <c r="O3034" t="s">
        <v>34</v>
      </c>
      <c r="P3034" t="s">
        <v>51</v>
      </c>
    </row>
    <row r="3035" spans="1:16" ht="14.5" x14ac:dyDescent="0.35">
      <c r="A3035">
        <v>3034</v>
      </c>
      <c r="B3035">
        <v>22</v>
      </c>
      <c r="C3035" t="s">
        <v>144</v>
      </c>
      <c r="D3035" t="s">
        <v>26</v>
      </c>
      <c r="E3035" t="s">
        <v>18</v>
      </c>
      <c r="F3035">
        <v>56</v>
      </c>
      <c r="G3035" t="s">
        <v>81</v>
      </c>
      <c r="H3035" t="s">
        <v>20</v>
      </c>
      <c r="I3035" t="s">
        <v>112</v>
      </c>
      <c r="J3035" t="s">
        <v>33</v>
      </c>
      <c r="K3035">
        <v>2.6</v>
      </c>
      <c r="L3035" t="s">
        <v>143</v>
      </c>
      <c r="M3035" t="s">
        <v>143</v>
      </c>
      <c r="N3035">
        <v>9</v>
      </c>
      <c r="O3035" t="s">
        <v>40</v>
      </c>
      <c r="P3035" t="s">
        <v>35</v>
      </c>
    </row>
    <row r="3036" spans="1:16" ht="14.5" x14ac:dyDescent="0.35">
      <c r="A3036">
        <v>3035</v>
      </c>
      <c r="B3036">
        <v>51</v>
      </c>
      <c r="C3036" t="s">
        <v>144</v>
      </c>
      <c r="D3036" t="s">
        <v>128</v>
      </c>
      <c r="E3036" t="s">
        <v>37</v>
      </c>
      <c r="F3036">
        <v>37</v>
      </c>
      <c r="G3036" t="s">
        <v>131</v>
      </c>
      <c r="H3036" t="s">
        <v>20</v>
      </c>
      <c r="I3036" t="s">
        <v>91</v>
      </c>
      <c r="J3036" t="s">
        <v>33</v>
      </c>
      <c r="K3036">
        <v>3.5</v>
      </c>
      <c r="L3036" t="s">
        <v>143</v>
      </c>
      <c r="M3036" t="s">
        <v>143</v>
      </c>
      <c r="N3036">
        <v>25</v>
      </c>
      <c r="O3036" t="s">
        <v>34</v>
      </c>
      <c r="P3036" t="s">
        <v>51</v>
      </c>
    </row>
    <row r="3037" spans="1:16" ht="14.5" x14ac:dyDescent="0.35">
      <c r="A3037">
        <v>3036</v>
      </c>
      <c r="B3037">
        <v>69</v>
      </c>
      <c r="C3037" t="s">
        <v>144</v>
      </c>
      <c r="D3037" t="s">
        <v>59</v>
      </c>
      <c r="E3037" t="s">
        <v>60</v>
      </c>
      <c r="F3037">
        <v>64</v>
      </c>
      <c r="G3037" t="s">
        <v>19</v>
      </c>
      <c r="H3037" t="s">
        <v>39</v>
      </c>
      <c r="I3037" t="s">
        <v>71</v>
      </c>
      <c r="J3037" t="s">
        <v>33</v>
      </c>
      <c r="K3037">
        <v>4.5</v>
      </c>
      <c r="L3037" t="s">
        <v>143</v>
      </c>
      <c r="M3037" t="s">
        <v>143</v>
      </c>
      <c r="N3037">
        <v>18</v>
      </c>
      <c r="O3037" t="s">
        <v>29</v>
      </c>
      <c r="P3037" t="s">
        <v>67</v>
      </c>
    </row>
    <row r="3038" spans="1:16" ht="14.5" x14ac:dyDescent="0.35">
      <c r="A3038">
        <v>3037</v>
      </c>
      <c r="B3038">
        <v>50</v>
      </c>
      <c r="C3038" t="s">
        <v>144</v>
      </c>
      <c r="D3038" t="s">
        <v>95</v>
      </c>
      <c r="E3038" t="s">
        <v>18</v>
      </c>
      <c r="F3038">
        <v>58</v>
      </c>
      <c r="G3038" t="s">
        <v>120</v>
      </c>
      <c r="H3038" t="s">
        <v>32</v>
      </c>
      <c r="I3038" t="s">
        <v>74</v>
      </c>
      <c r="J3038" t="s">
        <v>33</v>
      </c>
      <c r="K3038">
        <v>4.3</v>
      </c>
      <c r="L3038" t="s">
        <v>143</v>
      </c>
      <c r="M3038" t="s">
        <v>143</v>
      </c>
      <c r="N3038">
        <v>7</v>
      </c>
      <c r="O3038" t="s">
        <v>24</v>
      </c>
      <c r="P3038" t="s">
        <v>25</v>
      </c>
    </row>
    <row r="3039" spans="1:16" ht="14.5" x14ac:dyDescent="0.35">
      <c r="A3039">
        <v>3038</v>
      </c>
      <c r="B3039">
        <v>51</v>
      </c>
      <c r="C3039" t="s">
        <v>144</v>
      </c>
      <c r="D3039" t="s">
        <v>124</v>
      </c>
      <c r="E3039" t="s">
        <v>60</v>
      </c>
      <c r="F3039">
        <v>44</v>
      </c>
      <c r="G3039" t="s">
        <v>137</v>
      </c>
      <c r="H3039" t="s">
        <v>20</v>
      </c>
      <c r="I3039" t="s">
        <v>54</v>
      </c>
      <c r="J3039" t="s">
        <v>47</v>
      </c>
      <c r="K3039">
        <v>4.8</v>
      </c>
      <c r="L3039" t="s">
        <v>143</v>
      </c>
      <c r="M3039" t="s">
        <v>143</v>
      </c>
      <c r="N3039">
        <v>2</v>
      </c>
      <c r="O3039" t="s">
        <v>29</v>
      </c>
      <c r="P3039" t="s">
        <v>43</v>
      </c>
    </row>
    <row r="3040" spans="1:16" ht="14.5" x14ac:dyDescent="0.35">
      <c r="A3040">
        <v>3039</v>
      </c>
      <c r="B3040">
        <v>56</v>
      </c>
      <c r="C3040" t="s">
        <v>144</v>
      </c>
      <c r="D3040" t="s">
        <v>97</v>
      </c>
      <c r="E3040" t="s">
        <v>60</v>
      </c>
      <c r="F3040">
        <v>39</v>
      </c>
      <c r="G3040" t="s">
        <v>133</v>
      </c>
      <c r="H3040" t="s">
        <v>39</v>
      </c>
      <c r="I3040" t="s">
        <v>101</v>
      </c>
      <c r="J3040" t="s">
        <v>47</v>
      </c>
      <c r="K3040">
        <v>4.2</v>
      </c>
      <c r="L3040" t="s">
        <v>143</v>
      </c>
      <c r="M3040" t="s">
        <v>143</v>
      </c>
      <c r="N3040">
        <v>36</v>
      </c>
      <c r="O3040" t="s">
        <v>77</v>
      </c>
      <c r="P3040" t="s">
        <v>43</v>
      </c>
    </row>
    <row r="3041" spans="1:16" ht="14.5" x14ac:dyDescent="0.35">
      <c r="A3041">
        <v>3040</v>
      </c>
      <c r="B3041">
        <v>59</v>
      </c>
      <c r="C3041" t="s">
        <v>144</v>
      </c>
      <c r="D3041" t="s">
        <v>17</v>
      </c>
      <c r="E3041" t="s">
        <v>18</v>
      </c>
      <c r="F3041">
        <v>48</v>
      </c>
      <c r="G3041" t="s">
        <v>81</v>
      </c>
      <c r="H3041" t="s">
        <v>20</v>
      </c>
      <c r="I3041" t="s">
        <v>135</v>
      </c>
      <c r="J3041" t="s">
        <v>33</v>
      </c>
      <c r="K3041">
        <v>3.2</v>
      </c>
      <c r="L3041" t="s">
        <v>143</v>
      </c>
      <c r="M3041" t="s">
        <v>143</v>
      </c>
      <c r="N3041">
        <v>31</v>
      </c>
      <c r="O3041" t="s">
        <v>40</v>
      </c>
      <c r="P3041" t="s">
        <v>67</v>
      </c>
    </row>
    <row r="3042" spans="1:16" ht="14.5" x14ac:dyDescent="0.35">
      <c r="A3042">
        <v>3041</v>
      </c>
      <c r="B3042">
        <v>18</v>
      </c>
      <c r="C3042" t="s">
        <v>144</v>
      </c>
      <c r="D3042" t="s">
        <v>59</v>
      </c>
      <c r="E3042" t="s">
        <v>60</v>
      </c>
      <c r="F3042">
        <v>32</v>
      </c>
      <c r="G3042" t="s">
        <v>136</v>
      </c>
      <c r="H3042" t="s">
        <v>39</v>
      </c>
      <c r="I3042" t="s">
        <v>71</v>
      </c>
      <c r="J3042" t="s">
        <v>50</v>
      </c>
      <c r="K3042">
        <v>4.0999999999999996</v>
      </c>
      <c r="L3042" t="s">
        <v>143</v>
      </c>
      <c r="M3042" t="s">
        <v>143</v>
      </c>
      <c r="N3042">
        <v>10</v>
      </c>
      <c r="O3042" t="s">
        <v>29</v>
      </c>
      <c r="P3042" t="s">
        <v>25</v>
      </c>
    </row>
    <row r="3043" spans="1:16" ht="14.5" x14ac:dyDescent="0.35">
      <c r="A3043">
        <v>3042</v>
      </c>
      <c r="B3043">
        <v>48</v>
      </c>
      <c r="C3043" t="s">
        <v>144</v>
      </c>
      <c r="D3043" t="s">
        <v>59</v>
      </c>
      <c r="E3043" t="s">
        <v>60</v>
      </c>
      <c r="F3043">
        <v>79</v>
      </c>
      <c r="G3043" t="s">
        <v>38</v>
      </c>
      <c r="H3043" t="s">
        <v>39</v>
      </c>
      <c r="I3043" t="s">
        <v>112</v>
      </c>
      <c r="J3043" t="s">
        <v>22</v>
      </c>
      <c r="K3043">
        <v>4</v>
      </c>
      <c r="L3043" t="s">
        <v>143</v>
      </c>
      <c r="M3043" t="s">
        <v>143</v>
      </c>
      <c r="N3043">
        <v>27</v>
      </c>
      <c r="O3043" t="s">
        <v>40</v>
      </c>
      <c r="P3043" t="s">
        <v>79</v>
      </c>
    </row>
    <row r="3044" spans="1:16" ht="14.5" x14ac:dyDescent="0.35">
      <c r="A3044">
        <v>3043</v>
      </c>
      <c r="B3044">
        <v>53</v>
      </c>
      <c r="C3044" t="s">
        <v>144</v>
      </c>
      <c r="D3044" t="s">
        <v>55</v>
      </c>
      <c r="E3044" t="s">
        <v>56</v>
      </c>
      <c r="F3044">
        <v>27</v>
      </c>
      <c r="G3044" t="s">
        <v>138</v>
      </c>
      <c r="H3044" t="s">
        <v>20</v>
      </c>
      <c r="I3044" t="s">
        <v>42</v>
      </c>
      <c r="J3044" t="s">
        <v>22</v>
      </c>
      <c r="K3044">
        <v>2.9</v>
      </c>
      <c r="L3044" t="s">
        <v>143</v>
      </c>
      <c r="M3044" t="s">
        <v>143</v>
      </c>
      <c r="N3044">
        <v>14</v>
      </c>
      <c r="O3044" t="s">
        <v>40</v>
      </c>
      <c r="P3044" t="s">
        <v>88</v>
      </c>
    </row>
    <row r="3045" spans="1:16" ht="14.5" x14ac:dyDescent="0.35">
      <c r="A3045">
        <v>3044</v>
      </c>
      <c r="B3045">
        <v>45</v>
      </c>
      <c r="C3045" t="s">
        <v>144</v>
      </c>
      <c r="D3045" t="s">
        <v>124</v>
      </c>
      <c r="E3045" t="s">
        <v>60</v>
      </c>
      <c r="F3045">
        <v>98</v>
      </c>
      <c r="G3045" t="s">
        <v>106</v>
      </c>
      <c r="H3045" t="s">
        <v>32</v>
      </c>
      <c r="I3045" t="s">
        <v>91</v>
      </c>
      <c r="J3045" t="s">
        <v>50</v>
      </c>
      <c r="K3045">
        <v>2.6</v>
      </c>
      <c r="L3045" t="s">
        <v>143</v>
      </c>
      <c r="M3045" t="s">
        <v>143</v>
      </c>
      <c r="N3045">
        <v>17</v>
      </c>
      <c r="O3045" t="s">
        <v>34</v>
      </c>
      <c r="P3045" t="s">
        <v>79</v>
      </c>
    </row>
    <row r="3046" spans="1:16" ht="14.5" x14ac:dyDescent="0.35">
      <c r="A3046">
        <v>3045</v>
      </c>
      <c r="B3046">
        <v>21</v>
      </c>
      <c r="C3046" t="s">
        <v>144</v>
      </c>
      <c r="D3046" t="s">
        <v>128</v>
      </c>
      <c r="E3046" t="s">
        <v>37</v>
      </c>
      <c r="F3046">
        <v>67</v>
      </c>
      <c r="G3046" t="s">
        <v>89</v>
      </c>
      <c r="H3046" t="s">
        <v>39</v>
      </c>
      <c r="I3046" t="s">
        <v>127</v>
      </c>
      <c r="J3046" t="s">
        <v>22</v>
      </c>
      <c r="K3046">
        <v>2.7</v>
      </c>
      <c r="L3046" t="s">
        <v>143</v>
      </c>
      <c r="M3046" t="s">
        <v>143</v>
      </c>
      <c r="N3046">
        <v>10</v>
      </c>
      <c r="O3046" t="s">
        <v>66</v>
      </c>
      <c r="P3046" t="s">
        <v>51</v>
      </c>
    </row>
    <row r="3047" spans="1:16" ht="14.5" x14ac:dyDescent="0.35">
      <c r="A3047">
        <v>3046</v>
      </c>
      <c r="B3047">
        <v>42</v>
      </c>
      <c r="C3047" t="s">
        <v>144</v>
      </c>
      <c r="D3047" t="s">
        <v>116</v>
      </c>
      <c r="E3047" t="s">
        <v>18</v>
      </c>
      <c r="F3047">
        <v>37</v>
      </c>
      <c r="G3047" t="s">
        <v>94</v>
      </c>
      <c r="H3047" t="s">
        <v>20</v>
      </c>
      <c r="I3047" t="s">
        <v>85</v>
      </c>
      <c r="J3047" t="s">
        <v>22</v>
      </c>
      <c r="K3047">
        <v>4.5999999999999996</v>
      </c>
      <c r="L3047" t="s">
        <v>143</v>
      </c>
      <c r="M3047" t="s">
        <v>143</v>
      </c>
      <c r="N3047">
        <v>4</v>
      </c>
      <c r="O3047" t="s">
        <v>40</v>
      </c>
      <c r="P3047" t="s">
        <v>67</v>
      </c>
    </row>
    <row r="3048" spans="1:16" ht="14.5" x14ac:dyDescent="0.35">
      <c r="A3048">
        <v>3047</v>
      </c>
      <c r="B3048">
        <v>60</v>
      </c>
      <c r="C3048" t="s">
        <v>144</v>
      </c>
      <c r="D3048" t="s">
        <v>63</v>
      </c>
      <c r="E3048" t="s">
        <v>37</v>
      </c>
      <c r="F3048">
        <v>49</v>
      </c>
      <c r="G3048" t="s">
        <v>129</v>
      </c>
      <c r="H3048" t="s">
        <v>39</v>
      </c>
      <c r="I3048" t="s">
        <v>46</v>
      </c>
      <c r="J3048" t="s">
        <v>33</v>
      </c>
      <c r="K3048">
        <v>3.2</v>
      </c>
      <c r="L3048" t="s">
        <v>143</v>
      </c>
      <c r="M3048" t="s">
        <v>143</v>
      </c>
      <c r="N3048">
        <v>25</v>
      </c>
      <c r="O3048" t="s">
        <v>29</v>
      </c>
      <c r="P3048" t="s">
        <v>88</v>
      </c>
    </row>
    <row r="3049" spans="1:16" ht="14.5" x14ac:dyDescent="0.35">
      <c r="A3049">
        <v>3048</v>
      </c>
      <c r="B3049">
        <v>21</v>
      </c>
      <c r="C3049" t="s">
        <v>144</v>
      </c>
      <c r="D3049" t="s">
        <v>44</v>
      </c>
      <c r="E3049" t="s">
        <v>37</v>
      </c>
      <c r="F3049">
        <v>74</v>
      </c>
      <c r="G3049" t="s">
        <v>120</v>
      </c>
      <c r="H3049" t="s">
        <v>39</v>
      </c>
      <c r="I3049" t="s">
        <v>74</v>
      </c>
      <c r="J3049" t="s">
        <v>50</v>
      </c>
      <c r="K3049">
        <v>4.0999999999999996</v>
      </c>
      <c r="L3049" t="s">
        <v>143</v>
      </c>
      <c r="M3049" t="s">
        <v>143</v>
      </c>
      <c r="N3049">
        <v>3</v>
      </c>
      <c r="O3049" t="s">
        <v>40</v>
      </c>
      <c r="P3049" t="s">
        <v>67</v>
      </c>
    </row>
    <row r="3050" spans="1:16" ht="14.5" x14ac:dyDescent="0.35">
      <c r="A3050">
        <v>3049</v>
      </c>
      <c r="B3050">
        <v>69</v>
      </c>
      <c r="C3050" t="s">
        <v>144</v>
      </c>
      <c r="D3050" t="s">
        <v>97</v>
      </c>
      <c r="E3050" t="s">
        <v>60</v>
      </c>
      <c r="F3050">
        <v>93</v>
      </c>
      <c r="G3050" t="s">
        <v>103</v>
      </c>
      <c r="H3050" t="s">
        <v>39</v>
      </c>
      <c r="I3050" t="s">
        <v>69</v>
      </c>
      <c r="J3050" t="s">
        <v>47</v>
      </c>
      <c r="K3050">
        <v>3.9</v>
      </c>
      <c r="L3050" t="s">
        <v>143</v>
      </c>
      <c r="M3050" t="s">
        <v>143</v>
      </c>
      <c r="N3050">
        <v>47</v>
      </c>
      <c r="O3050" t="s">
        <v>24</v>
      </c>
      <c r="P3050" t="s">
        <v>25</v>
      </c>
    </row>
    <row r="3051" spans="1:16" ht="14.5" x14ac:dyDescent="0.35">
      <c r="A3051">
        <v>3050</v>
      </c>
      <c r="B3051">
        <v>40</v>
      </c>
      <c r="C3051" t="s">
        <v>144</v>
      </c>
      <c r="D3051" t="s">
        <v>59</v>
      </c>
      <c r="E3051" t="s">
        <v>60</v>
      </c>
      <c r="F3051">
        <v>60</v>
      </c>
      <c r="G3051" t="s">
        <v>131</v>
      </c>
      <c r="H3051" t="s">
        <v>20</v>
      </c>
      <c r="I3051" t="s">
        <v>99</v>
      </c>
      <c r="J3051" t="s">
        <v>47</v>
      </c>
      <c r="K3051">
        <v>3</v>
      </c>
      <c r="L3051" t="s">
        <v>143</v>
      </c>
      <c r="M3051" t="s">
        <v>143</v>
      </c>
      <c r="N3051">
        <v>41</v>
      </c>
      <c r="O3051" t="s">
        <v>66</v>
      </c>
      <c r="P3051" t="s">
        <v>67</v>
      </c>
    </row>
    <row r="3052" spans="1:16" ht="14.5" x14ac:dyDescent="0.35">
      <c r="A3052">
        <v>3051</v>
      </c>
      <c r="B3052">
        <v>31</v>
      </c>
      <c r="C3052" t="s">
        <v>144</v>
      </c>
      <c r="D3052" t="s">
        <v>55</v>
      </c>
      <c r="E3052" t="s">
        <v>56</v>
      </c>
      <c r="F3052">
        <v>76</v>
      </c>
      <c r="G3052" t="s">
        <v>19</v>
      </c>
      <c r="H3052" t="s">
        <v>32</v>
      </c>
      <c r="I3052" t="s">
        <v>87</v>
      </c>
      <c r="J3052" t="s">
        <v>33</v>
      </c>
      <c r="K3052">
        <v>3.6</v>
      </c>
      <c r="L3052" t="s">
        <v>143</v>
      </c>
      <c r="M3052" t="s">
        <v>143</v>
      </c>
      <c r="N3052">
        <v>28</v>
      </c>
      <c r="O3052" t="s">
        <v>24</v>
      </c>
      <c r="P3052" t="s">
        <v>88</v>
      </c>
    </row>
    <row r="3053" spans="1:16" ht="14.5" x14ac:dyDescent="0.35">
      <c r="A3053">
        <v>3052</v>
      </c>
      <c r="B3053">
        <v>44</v>
      </c>
      <c r="C3053" t="s">
        <v>144</v>
      </c>
      <c r="D3053" t="s">
        <v>80</v>
      </c>
      <c r="E3053" t="s">
        <v>60</v>
      </c>
      <c r="F3053">
        <v>64</v>
      </c>
      <c r="G3053" t="s">
        <v>45</v>
      </c>
      <c r="H3053" t="s">
        <v>20</v>
      </c>
      <c r="I3053" t="s">
        <v>71</v>
      </c>
      <c r="J3053" t="s">
        <v>47</v>
      </c>
      <c r="K3053">
        <v>4.5999999999999996</v>
      </c>
      <c r="L3053" t="s">
        <v>143</v>
      </c>
      <c r="M3053" t="s">
        <v>143</v>
      </c>
      <c r="N3053">
        <v>49</v>
      </c>
      <c r="O3053" t="s">
        <v>77</v>
      </c>
      <c r="P3053" t="s">
        <v>88</v>
      </c>
    </row>
    <row r="3054" spans="1:16" ht="14.5" x14ac:dyDescent="0.35">
      <c r="A3054">
        <v>3053</v>
      </c>
      <c r="B3054">
        <v>48</v>
      </c>
      <c r="C3054" t="s">
        <v>144</v>
      </c>
      <c r="D3054" t="s">
        <v>63</v>
      </c>
      <c r="E3054" t="s">
        <v>37</v>
      </c>
      <c r="F3054">
        <v>38</v>
      </c>
      <c r="G3054" t="s">
        <v>27</v>
      </c>
      <c r="H3054" t="s">
        <v>83</v>
      </c>
      <c r="I3054" t="s">
        <v>69</v>
      </c>
      <c r="J3054" t="s">
        <v>33</v>
      </c>
      <c r="K3054">
        <v>4.5</v>
      </c>
      <c r="L3054" t="s">
        <v>143</v>
      </c>
      <c r="M3054" t="s">
        <v>143</v>
      </c>
      <c r="N3054">
        <v>7</v>
      </c>
      <c r="O3054" t="s">
        <v>66</v>
      </c>
      <c r="P3054" t="s">
        <v>25</v>
      </c>
    </row>
    <row r="3055" spans="1:16" ht="14.5" x14ac:dyDescent="0.35">
      <c r="A3055">
        <v>3054</v>
      </c>
      <c r="B3055">
        <v>32</v>
      </c>
      <c r="C3055" t="s">
        <v>144</v>
      </c>
      <c r="D3055" t="s">
        <v>63</v>
      </c>
      <c r="E3055" t="s">
        <v>37</v>
      </c>
      <c r="F3055">
        <v>91</v>
      </c>
      <c r="G3055" t="s">
        <v>27</v>
      </c>
      <c r="H3055" t="s">
        <v>20</v>
      </c>
      <c r="I3055" t="s">
        <v>101</v>
      </c>
      <c r="J3055" t="s">
        <v>22</v>
      </c>
      <c r="K3055">
        <v>3.2</v>
      </c>
      <c r="L3055" t="s">
        <v>143</v>
      </c>
      <c r="M3055" t="s">
        <v>143</v>
      </c>
      <c r="N3055">
        <v>22</v>
      </c>
      <c r="O3055" t="s">
        <v>66</v>
      </c>
      <c r="P3055" t="s">
        <v>79</v>
      </c>
    </row>
    <row r="3056" spans="1:16" ht="14.5" x14ac:dyDescent="0.35">
      <c r="A3056">
        <v>3055</v>
      </c>
      <c r="B3056">
        <v>42</v>
      </c>
      <c r="C3056" t="s">
        <v>144</v>
      </c>
      <c r="D3056" t="s">
        <v>128</v>
      </c>
      <c r="E3056" t="s">
        <v>37</v>
      </c>
      <c r="F3056">
        <v>70</v>
      </c>
      <c r="G3056" t="s">
        <v>73</v>
      </c>
      <c r="H3056" t="s">
        <v>32</v>
      </c>
      <c r="I3056" t="s">
        <v>127</v>
      </c>
      <c r="J3056" t="s">
        <v>47</v>
      </c>
      <c r="K3056">
        <v>4.9000000000000004</v>
      </c>
      <c r="L3056" t="s">
        <v>143</v>
      </c>
      <c r="M3056" t="s">
        <v>143</v>
      </c>
      <c r="N3056">
        <v>34</v>
      </c>
      <c r="O3056" t="s">
        <v>24</v>
      </c>
      <c r="P3056" t="s">
        <v>79</v>
      </c>
    </row>
    <row r="3057" spans="1:16" ht="14.5" x14ac:dyDescent="0.35">
      <c r="A3057">
        <v>3056</v>
      </c>
      <c r="B3057">
        <v>27</v>
      </c>
      <c r="C3057" t="s">
        <v>144</v>
      </c>
      <c r="D3057" t="s">
        <v>36</v>
      </c>
      <c r="E3057" t="s">
        <v>37</v>
      </c>
      <c r="F3057">
        <v>22</v>
      </c>
      <c r="G3057" t="s">
        <v>102</v>
      </c>
      <c r="H3057" t="s">
        <v>39</v>
      </c>
      <c r="I3057" t="s">
        <v>74</v>
      </c>
      <c r="J3057" t="s">
        <v>50</v>
      </c>
      <c r="K3057">
        <v>5</v>
      </c>
      <c r="L3057" t="s">
        <v>143</v>
      </c>
      <c r="M3057" t="s">
        <v>143</v>
      </c>
      <c r="N3057">
        <v>5</v>
      </c>
      <c r="O3057" t="s">
        <v>77</v>
      </c>
      <c r="P3057" t="s">
        <v>67</v>
      </c>
    </row>
    <row r="3058" spans="1:16" ht="14.5" x14ac:dyDescent="0.35">
      <c r="A3058">
        <v>3057</v>
      </c>
      <c r="B3058">
        <v>69</v>
      </c>
      <c r="C3058" t="s">
        <v>144</v>
      </c>
      <c r="D3058" t="s">
        <v>134</v>
      </c>
      <c r="E3058" t="s">
        <v>60</v>
      </c>
      <c r="F3058">
        <v>59</v>
      </c>
      <c r="G3058" t="s">
        <v>118</v>
      </c>
      <c r="H3058" t="s">
        <v>39</v>
      </c>
      <c r="I3058" t="s">
        <v>109</v>
      </c>
      <c r="J3058" t="s">
        <v>33</v>
      </c>
      <c r="K3058">
        <v>3.8</v>
      </c>
      <c r="L3058" t="s">
        <v>143</v>
      </c>
      <c r="M3058" t="s">
        <v>143</v>
      </c>
      <c r="N3058">
        <v>15</v>
      </c>
      <c r="O3058" t="s">
        <v>29</v>
      </c>
      <c r="P3058" t="s">
        <v>67</v>
      </c>
    </row>
    <row r="3059" spans="1:16" ht="14.5" x14ac:dyDescent="0.35">
      <c r="A3059">
        <v>3058</v>
      </c>
      <c r="B3059">
        <v>67</v>
      </c>
      <c r="C3059" t="s">
        <v>144</v>
      </c>
      <c r="D3059" t="s">
        <v>123</v>
      </c>
      <c r="E3059" t="s">
        <v>60</v>
      </c>
      <c r="F3059">
        <v>22</v>
      </c>
      <c r="G3059" t="s">
        <v>89</v>
      </c>
      <c r="H3059" t="s">
        <v>39</v>
      </c>
      <c r="I3059" t="s">
        <v>135</v>
      </c>
      <c r="J3059" t="s">
        <v>33</v>
      </c>
      <c r="K3059">
        <v>3.4</v>
      </c>
      <c r="L3059" t="s">
        <v>143</v>
      </c>
      <c r="M3059" t="s">
        <v>143</v>
      </c>
      <c r="N3059">
        <v>26</v>
      </c>
      <c r="O3059" t="s">
        <v>66</v>
      </c>
      <c r="P3059" t="s">
        <v>35</v>
      </c>
    </row>
    <row r="3060" spans="1:16" ht="14.5" x14ac:dyDescent="0.35">
      <c r="A3060">
        <v>3059</v>
      </c>
      <c r="B3060">
        <v>41</v>
      </c>
      <c r="C3060" t="s">
        <v>144</v>
      </c>
      <c r="D3060" t="s">
        <v>59</v>
      </c>
      <c r="E3060" t="s">
        <v>60</v>
      </c>
      <c r="F3060">
        <v>74</v>
      </c>
      <c r="G3060" t="s">
        <v>57</v>
      </c>
      <c r="H3060" t="s">
        <v>32</v>
      </c>
      <c r="I3060" t="s">
        <v>112</v>
      </c>
      <c r="J3060" t="s">
        <v>22</v>
      </c>
      <c r="K3060">
        <v>3.8</v>
      </c>
      <c r="L3060" t="s">
        <v>143</v>
      </c>
      <c r="M3060" t="s">
        <v>143</v>
      </c>
      <c r="N3060">
        <v>3</v>
      </c>
      <c r="O3060" t="s">
        <v>66</v>
      </c>
      <c r="P3060" t="s">
        <v>25</v>
      </c>
    </row>
    <row r="3061" spans="1:16" ht="14.5" x14ac:dyDescent="0.35">
      <c r="A3061">
        <v>3060</v>
      </c>
      <c r="B3061">
        <v>46</v>
      </c>
      <c r="C3061" t="s">
        <v>144</v>
      </c>
      <c r="D3061" t="s">
        <v>26</v>
      </c>
      <c r="E3061" t="s">
        <v>18</v>
      </c>
      <c r="F3061">
        <v>71</v>
      </c>
      <c r="G3061" t="s">
        <v>19</v>
      </c>
      <c r="H3061" t="s">
        <v>20</v>
      </c>
      <c r="I3061" t="s">
        <v>28</v>
      </c>
      <c r="J3061" t="s">
        <v>33</v>
      </c>
      <c r="K3061">
        <v>3.2</v>
      </c>
      <c r="L3061" t="s">
        <v>143</v>
      </c>
      <c r="M3061" t="s">
        <v>143</v>
      </c>
      <c r="N3061">
        <v>42</v>
      </c>
      <c r="O3061" t="s">
        <v>34</v>
      </c>
      <c r="P3061" t="s">
        <v>51</v>
      </c>
    </row>
    <row r="3062" spans="1:16" ht="14.5" x14ac:dyDescent="0.35">
      <c r="A3062">
        <v>3061</v>
      </c>
      <c r="B3062">
        <v>47</v>
      </c>
      <c r="C3062" t="s">
        <v>144</v>
      </c>
      <c r="D3062" t="s">
        <v>55</v>
      </c>
      <c r="E3062" t="s">
        <v>56</v>
      </c>
      <c r="F3062">
        <v>80</v>
      </c>
      <c r="G3062" t="s">
        <v>90</v>
      </c>
      <c r="H3062" t="s">
        <v>32</v>
      </c>
      <c r="I3062" t="s">
        <v>54</v>
      </c>
      <c r="J3062" t="s">
        <v>47</v>
      </c>
      <c r="K3062">
        <v>4.7</v>
      </c>
      <c r="L3062" t="s">
        <v>143</v>
      </c>
      <c r="M3062" t="s">
        <v>143</v>
      </c>
      <c r="N3062">
        <v>1</v>
      </c>
      <c r="O3062" t="s">
        <v>24</v>
      </c>
      <c r="P3062" t="s">
        <v>79</v>
      </c>
    </row>
    <row r="3063" spans="1:16" ht="14.5" x14ac:dyDescent="0.35">
      <c r="A3063">
        <v>3062</v>
      </c>
      <c r="B3063">
        <v>33</v>
      </c>
      <c r="C3063" t="s">
        <v>144</v>
      </c>
      <c r="D3063" t="s">
        <v>104</v>
      </c>
      <c r="E3063" t="s">
        <v>18</v>
      </c>
      <c r="F3063">
        <v>59</v>
      </c>
      <c r="G3063" t="s">
        <v>138</v>
      </c>
      <c r="H3063" t="s">
        <v>20</v>
      </c>
      <c r="I3063" t="s">
        <v>69</v>
      </c>
      <c r="J3063" t="s">
        <v>50</v>
      </c>
      <c r="K3063">
        <v>4.5</v>
      </c>
      <c r="L3063" t="s">
        <v>143</v>
      </c>
      <c r="M3063" t="s">
        <v>143</v>
      </c>
      <c r="N3063">
        <v>20</v>
      </c>
      <c r="O3063" t="s">
        <v>40</v>
      </c>
      <c r="P3063" t="s">
        <v>88</v>
      </c>
    </row>
    <row r="3064" spans="1:16" ht="14.5" x14ac:dyDescent="0.35">
      <c r="A3064">
        <v>3063</v>
      </c>
      <c r="B3064">
        <v>51</v>
      </c>
      <c r="C3064" t="s">
        <v>144</v>
      </c>
      <c r="D3064" t="s">
        <v>123</v>
      </c>
      <c r="E3064" t="s">
        <v>60</v>
      </c>
      <c r="F3064">
        <v>96</v>
      </c>
      <c r="G3064" t="s">
        <v>90</v>
      </c>
      <c r="H3064" t="s">
        <v>20</v>
      </c>
      <c r="I3064" t="s">
        <v>87</v>
      </c>
      <c r="J3064" t="s">
        <v>50</v>
      </c>
      <c r="K3064">
        <v>3.3</v>
      </c>
      <c r="L3064" t="s">
        <v>143</v>
      </c>
      <c r="M3064" t="s">
        <v>143</v>
      </c>
      <c r="N3064">
        <v>39</v>
      </c>
      <c r="O3064" t="s">
        <v>40</v>
      </c>
      <c r="P3064" t="s">
        <v>79</v>
      </c>
    </row>
    <row r="3065" spans="1:16" ht="14.5" x14ac:dyDescent="0.35">
      <c r="A3065">
        <v>3064</v>
      </c>
      <c r="B3065">
        <v>26</v>
      </c>
      <c r="C3065" t="s">
        <v>144</v>
      </c>
      <c r="D3065" t="s">
        <v>80</v>
      </c>
      <c r="E3065" t="s">
        <v>60</v>
      </c>
      <c r="F3065">
        <v>43</v>
      </c>
      <c r="G3065" t="s">
        <v>130</v>
      </c>
      <c r="H3065" t="s">
        <v>20</v>
      </c>
      <c r="I3065" t="s">
        <v>101</v>
      </c>
      <c r="J3065" t="s">
        <v>22</v>
      </c>
      <c r="K3065">
        <v>3.9</v>
      </c>
      <c r="L3065" t="s">
        <v>143</v>
      </c>
      <c r="M3065" t="s">
        <v>143</v>
      </c>
      <c r="N3065">
        <v>24</v>
      </c>
      <c r="O3065" t="s">
        <v>34</v>
      </c>
      <c r="P3065" t="s">
        <v>25</v>
      </c>
    </row>
    <row r="3066" spans="1:16" ht="14.5" x14ac:dyDescent="0.35">
      <c r="A3066">
        <v>3065</v>
      </c>
      <c r="B3066">
        <v>22</v>
      </c>
      <c r="C3066" t="s">
        <v>144</v>
      </c>
      <c r="D3066" t="s">
        <v>124</v>
      </c>
      <c r="E3066" t="s">
        <v>60</v>
      </c>
      <c r="F3066">
        <v>76</v>
      </c>
      <c r="G3066" t="s">
        <v>126</v>
      </c>
      <c r="H3066" t="s">
        <v>32</v>
      </c>
      <c r="I3066" t="s">
        <v>100</v>
      </c>
      <c r="J3066" t="s">
        <v>22</v>
      </c>
      <c r="K3066">
        <v>3.6</v>
      </c>
      <c r="L3066" t="s">
        <v>143</v>
      </c>
      <c r="M3066" t="s">
        <v>143</v>
      </c>
      <c r="N3066">
        <v>49</v>
      </c>
      <c r="O3066" t="s">
        <v>66</v>
      </c>
      <c r="P3066" t="s">
        <v>51</v>
      </c>
    </row>
    <row r="3067" spans="1:16" ht="14.5" x14ac:dyDescent="0.35">
      <c r="A3067">
        <v>3066</v>
      </c>
      <c r="B3067">
        <v>49</v>
      </c>
      <c r="C3067" t="s">
        <v>144</v>
      </c>
      <c r="D3067" t="s">
        <v>93</v>
      </c>
      <c r="E3067" t="s">
        <v>56</v>
      </c>
      <c r="F3067">
        <v>59</v>
      </c>
      <c r="G3067" t="s">
        <v>105</v>
      </c>
      <c r="H3067" t="s">
        <v>39</v>
      </c>
      <c r="I3067" t="s">
        <v>109</v>
      </c>
      <c r="J3067" t="s">
        <v>50</v>
      </c>
      <c r="K3067">
        <v>2.8</v>
      </c>
      <c r="L3067" t="s">
        <v>143</v>
      </c>
      <c r="M3067" t="s">
        <v>143</v>
      </c>
      <c r="N3067">
        <v>7</v>
      </c>
      <c r="O3067" t="s">
        <v>24</v>
      </c>
      <c r="P3067" t="s">
        <v>67</v>
      </c>
    </row>
    <row r="3068" spans="1:16" ht="14.5" x14ac:dyDescent="0.35">
      <c r="A3068">
        <v>3067</v>
      </c>
      <c r="B3068">
        <v>58</v>
      </c>
      <c r="C3068" t="s">
        <v>144</v>
      </c>
      <c r="D3068" t="s">
        <v>78</v>
      </c>
      <c r="E3068" t="s">
        <v>18</v>
      </c>
      <c r="F3068">
        <v>48</v>
      </c>
      <c r="G3068" t="s">
        <v>142</v>
      </c>
      <c r="H3068" t="s">
        <v>20</v>
      </c>
      <c r="I3068" t="s">
        <v>76</v>
      </c>
      <c r="J3068" t="s">
        <v>47</v>
      </c>
      <c r="K3068">
        <v>4.3</v>
      </c>
      <c r="L3068" t="s">
        <v>143</v>
      </c>
      <c r="M3068" t="s">
        <v>143</v>
      </c>
      <c r="N3068">
        <v>13</v>
      </c>
      <c r="O3068" t="s">
        <v>24</v>
      </c>
      <c r="P3068" t="s">
        <v>88</v>
      </c>
    </row>
    <row r="3069" spans="1:16" ht="14.5" x14ac:dyDescent="0.35">
      <c r="A3069">
        <v>3068</v>
      </c>
      <c r="B3069">
        <v>70</v>
      </c>
      <c r="C3069" t="s">
        <v>144</v>
      </c>
      <c r="D3069" t="s">
        <v>124</v>
      </c>
      <c r="E3069" t="s">
        <v>60</v>
      </c>
      <c r="F3069">
        <v>22</v>
      </c>
      <c r="G3069" t="s">
        <v>61</v>
      </c>
      <c r="H3069" t="s">
        <v>32</v>
      </c>
      <c r="I3069" t="s">
        <v>21</v>
      </c>
      <c r="J3069" t="s">
        <v>33</v>
      </c>
      <c r="K3069">
        <v>3.5</v>
      </c>
      <c r="L3069" t="s">
        <v>143</v>
      </c>
      <c r="M3069" t="s">
        <v>143</v>
      </c>
      <c r="N3069">
        <v>2</v>
      </c>
      <c r="O3069" t="s">
        <v>29</v>
      </c>
      <c r="P3069" t="s">
        <v>35</v>
      </c>
    </row>
    <row r="3070" spans="1:16" ht="14.5" x14ac:dyDescent="0.35">
      <c r="A3070">
        <v>3069</v>
      </c>
      <c r="B3070">
        <v>32</v>
      </c>
      <c r="C3070" t="s">
        <v>144</v>
      </c>
      <c r="D3070" t="s">
        <v>128</v>
      </c>
      <c r="E3070" t="s">
        <v>37</v>
      </c>
      <c r="F3070">
        <v>40</v>
      </c>
      <c r="G3070" t="s">
        <v>90</v>
      </c>
      <c r="H3070" t="s">
        <v>39</v>
      </c>
      <c r="I3070" t="s">
        <v>117</v>
      </c>
      <c r="J3070" t="s">
        <v>22</v>
      </c>
      <c r="K3070">
        <v>4.2</v>
      </c>
      <c r="L3070" t="s">
        <v>143</v>
      </c>
      <c r="M3070" t="s">
        <v>143</v>
      </c>
      <c r="N3070">
        <v>4</v>
      </c>
      <c r="O3070" t="s">
        <v>77</v>
      </c>
      <c r="P3070" t="s">
        <v>35</v>
      </c>
    </row>
    <row r="3071" spans="1:16" ht="14.5" x14ac:dyDescent="0.35">
      <c r="A3071">
        <v>3070</v>
      </c>
      <c r="B3071">
        <v>62</v>
      </c>
      <c r="C3071" t="s">
        <v>144</v>
      </c>
      <c r="D3071" t="s">
        <v>30</v>
      </c>
      <c r="E3071" t="s">
        <v>18</v>
      </c>
      <c r="F3071">
        <v>73</v>
      </c>
      <c r="G3071" t="s">
        <v>70</v>
      </c>
      <c r="H3071" t="s">
        <v>20</v>
      </c>
      <c r="I3071" t="s">
        <v>127</v>
      </c>
      <c r="J3071" t="s">
        <v>33</v>
      </c>
      <c r="K3071">
        <v>4.5999999999999996</v>
      </c>
      <c r="L3071" t="s">
        <v>143</v>
      </c>
      <c r="M3071" t="s">
        <v>143</v>
      </c>
      <c r="N3071">
        <v>17</v>
      </c>
      <c r="O3071" t="s">
        <v>77</v>
      </c>
      <c r="P3071" t="s">
        <v>51</v>
      </c>
    </row>
    <row r="3072" spans="1:16" ht="14.5" x14ac:dyDescent="0.35">
      <c r="A3072">
        <v>3071</v>
      </c>
      <c r="B3072">
        <v>52</v>
      </c>
      <c r="C3072" t="s">
        <v>144</v>
      </c>
      <c r="D3072" t="s">
        <v>63</v>
      </c>
      <c r="E3072" t="s">
        <v>37</v>
      </c>
      <c r="F3072">
        <v>26</v>
      </c>
      <c r="G3072" t="s">
        <v>81</v>
      </c>
      <c r="H3072" t="s">
        <v>83</v>
      </c>
      <c r="I3072" t="s">
        <v>99</v>
      </c>
      <c r="J3072" t="s">
        <v>50</v>
      </c>
      <c r="K3072">
        <v>2.6</v>
      </c>
      <c r="L3072" t="s">
        <v>143</v>
      </c>
      <c r="M3072" t="s">
        <v>143</v>
      </c>
      <c r="N3072">
        <v>43</v>
      </c>
      <c r="O3072" t="s">
        <v>40</v>
      </c>
      <c r="P3072" t="s">
        <v>67</v>
      </c>
    </row>
    <row r="3073" spans="1:16" ht="14.5" x14ac:dyDescent="0.35">
      <c r="A3073">
        <v>3072</v>
      </c>
      <c r="B3073">
        <v>23</v>
      </c>
      <c r="C3073" t="s">
        <v>144</v>
      </c>
      <c r="D3073" t="s">
        <v>26</v>
      </c>
      <c r="E3073" t="s">
        <v>18</v>
      </c>
      <c r="F3073">
        <v>41</v>
      </c>
      <c r="G3073" t="s">
        <v>73</v>
      </c>
      <c r="H3073" t="s">
        <v>20</v>
      </c>
      <c r="I3073" t="s">
        <v>42</v>
      </c>
      <c r="J3073" t="s">
        <v>33</v>
      </c>
      <c r="K3073">
        <v>3.4</v>
      </c>
      <c r="L3073" t="s">
        <v>143</v>
      </c>
      <c r="M3073" t="s">
        <v>143</v>
      </c>
      <c r="N3073">
        <v>6</v>
      </c>
      <c r="O3073" t="s">
        <v>40</v>
      </c>
      <c r="P3073" t="s">
        <v>79</v>
      </c>
    </row>
    <row r="3074" spans="1:16" ht="14.5" x14ac:dyDescent="0.35">
      <c r="A3074">
        <v>3073</v>
      </c>
      <c r="B3074">
        <v>26</v>
      </c>
      <c r="C3074" t="s">
        <v>144</v>
      </c>
      <c r="D3074" t="s">
        <v>97</v>
      </c>
      <c r="E3074" t="s">
        <v>60</v>
      </c>
      <c r="F3074">
        <v>98</v>
      </c>
      <c r="G3074" t="s">
        <v>75</v>
      </c>
      <c r="H3074" t="s">
        <v>20</v>
      </c>
      <c r="I3074" t="s">
        <v>91</v>
      </c>
      <c r="J3074" t="s">
        <v>33</v>
      </c>
      <c r="K3074">
        <v>3.1</v>
      </c>
      <c r="L3074" t="s">
        <v>143</v>
      </c>
      <c r="M3074" t="s">
        <v>143</v>
      </c>
      <c r="N3074">
        <v>46</v>
      </c>
      <c r="O3074" t="s">
        <v>40</v>
      </c>
      <c r="P3074" t="s">
        <v>51</v>
      </c>
    </row>
    <row r="3075" spans="1:16" ht="14.5" x14ac:dyDescent="0.35">
      <c r="A3075">
        <v>3074</v>
      </c>
      <c r="B3075">
        <v>58</v>
      </c>
      <c r="C3075" t="s">
        <v>144</v>
      </c>
      <c r="D3075" t="s">
        <v>48</v>
      </c>
      <c r="E3075" t="s">
        <v>18</v>
      </c>
      <c r="F3075">
        <v>63</v>
      </c>
      <c r="G3075" t="s">
        <v>41</v>
      </c>
      <c r="H3075" t="s">
        <v>20</v>
      </c>
      <c r="I3075" t="s">
        <v>46</v>
      </c>
      <c r="J3075" t="s">
        <v>22</v>
      </c>
      <c r="K3075">
        <v>3.6</v>
      </c>
      <c r="L3075" t="s">
        <v>143</v>
      </c>
      <c r="M3075" t="s">
        <v>143</v>
      </c>
      <c r="N3075">
        <v>7</v>
      </c>
      <c r="O3075" t="s">
        <v>77</v>
      </c>
      <c r="P3075" t="s">
        <v>67</v>
      </c>
    </row>
    <row r="3076" spans="1:16" ht="14.5" x14ac:dyDescent="0.35">
      <c r="A3076">
        <v>3075</v>
      </c>
      <c r="B3076">
        <v>26</v>
      </c>
      <c r="C3076" t="s">
        <v>144</v>
      </c>
      <c r="D3076" t="s">
        <v>128</v>
      </c>
      <c r="E3076" t="s">
        <v>37</v>
      </c>
      <c r="F3076">
        <v>55</v>
      </c>
      <c r="G3076" t="s">
        <v>31</v>
      </c>
      <c r="H3076" t="s">
        <v>20</v>
      </c>
      <c r="I3076" t="s">
        <v>28</v>
      </c>
      <c r="J3076" t="s">
        <v>22</v>
      </c>
      <c r="K3076">
        <v>4.2</v>
      </c>
      <c r="L3076" t="s">
        <v>143</v>
      </c>
      <c r="M3076" t="s">
        <v>143</v>
      </c>
      <c r="N3076">
        <v>34</v>
      </c>
      <c r="O3076" t="s">
        <v>77</v>
      </c>
      <c r="P3076" t="s">
        <v>25</v>
      </c>
    </row>
    <row r="3077" spans="1:16" ht="14.5" x14ac:dyDescent="0.35">
      <c r="A3077">
        <v>3076</v>
      </c>
      <c r="B3077">
        <v>54</v>
      </c>
      <c r="C3077" t="s">
        <v>144</v>
      </c>
      <c r="D3077" t="s">
        <v>52</v>
      </c>
      <c r="E3077" t="s">
        <v>18</v>
      </c>
      <c r="F3077">
        <v>90</v>
      </c>
      <c r="G3077" t="s">
        <v>131</v>
      </c>
      <c r="H3077" t="s">
        <v>83</v>
      </c>
      <c r="I3077" t="s">
        <v>109</v>
      </c>
      <c r="J3077" t="s">
        <v>22</v>
      </c>
      <c r="K3077">
        <v>3.6</v>
      </c>
      <c r="L3077" t="s">
        <v>143</v>
      </c>
      <c r="M3077" t="s">
        <v>143</v>
      </c>
      <c r="N3077">
        <v>21</v>
      </c>
      <c r="O3077" t="s">
        <v>40</v>
      </c>
      <c r="P3077" t="s">
        <v>88</v>
      </c>
    </row>
    <row r="3078" spans="1:16" ht="14.5" x14ac:dyDescent="0.35">
      <c r="A3078">
        <v>3077</v>
      </c>
      <c r="B3078">
        <v>66</v>
      </c>
      <c r="C3078" t="s">
        <v>144</v>
      </c>
      <c r="D3078" t="s">
        <v>59</v>
      </c>
      <c r="E3078" t="s">
        <v>60</v>
      </c>
      <c r="F3078">
        <v>46</v>
      </c>
      <c r="G3078" t="s">
        <v>73</v>
      </c>
      <c r="H3078" t="s">
        <v>39</v>
      </c>
      <c r="I3078" t="s">
        <v>135</v>
      </c>
      <c r="J3078" t="s">
        <v>47</v>
      </c>
      <c r="K3078">
        <v>3.6</v>
      </c>
      <c r="L3078" t="s">
        <v>143</v>
      </c>
      <c r="M3078" t="s">
        <v>143</v>
      </c>
      <c r="N3078">
        <v>13</v>
      </c>
      <c r="O3078" t="s">
        <v>24</v>
      </c>
      <c r="P3078" t="s">
        <v>67</v>
      </c>
    </row>
    <row r="3079" spans="1:16" ht="14.5" x14ac:dyDescent="0.35">
      <c r="A3079">
        <v>3078</v>
      </c>
      <c r="B3079">
        <v>60</v>
      </c>
      <c r="C3079" t="s">
        <v>144</v>
      </c>
      <c r="D3079" t="s">
        <v>26</v>
      </c>
      <c r="E3079" t="s">
        <v>18</v>
      </c>
      <c r="F3079">
        <v>88</v>
      </c>
      <c r="G3079" t="s">
        <v>106</v>
      </c>
      <c r="H3079" t="s">
        <v>32</v>
      </c>
      <c r="I3079" t="s">
        <v>99</v>
      </c>
      <c r="J3079" t="s">
        <v>33</v>
      </c>
      <c r="K3079">
        <v>3</v>
      </c>
      <c r="L3079" t="s">
        <v>143</v>
      </c>
      <c r="M3079" t="s">
        <v>143</v>
      </c>
      <c r="N3079">
        <v>33</v>
      </c>
      <c r="O3079" t="s">
        <v>77</v>
      </c>
      <c r="P3079" t="s">
        <v>67</v>
      </c>
    </row>
    <row r="3080" spans="1:16" ht="14.5" x14ac:dyDescent="0.35">
      <c r="A3080">
        <v>3079</v>
      </c>
      <c r="B3080">
        <v>32</v>
      </c>
      <c r="C3080" t="s">
        <v>144</v>
      </c>
      <c r="D3080" t="s">
        <v>124</v>
      </c>
      <c r="E3080" t="s">
        <v>60</v>
      </c>
      <c r="F3080">
        <v>95</v>
      </c>
      <c r="G3080" t="s">
        <v>111</v>
      </c>
      <c r="H3080" t="s">
        <v>39</v>
      </c>
      <c r="I3080" t="s">
        <v>135</v>
      </c>
      <c r="J3080" t="s">
        <v>33</v>
      </c>
      <c r="K3080">
        <v>2.5</v>
      </c>
      <c r="L3080" t="s">
        <v>143</v>
      </c>
      <c r="M3080" t="s">
        <v>143</v>
      </c>
      <c r="N3080">
        <v>24</v>
      </c>
      <c r="O3080" t="s">
        <v>66</v>
      </c>
      <c r="P3080" t="s">
        <v>67</v>
      </c>
    </row>
    <row r="3081" spans="1:16" ht="14.5" x14ac:dyDescent="0.35">
      <c r="A3081">
        <v>3080</v>
      </c>
      <c r="B3081">
        <v>48</v>
      </c>
      <c r="C3081" t="s">
        <v>144</v>
      </c>
      <c r="D3081" t="s">
        <v>124</v>
      </c>
      <c r="E3081" t="s">
        <v>60</v>
      </c>
      <c r="F3081">
        <v>31</v>
      </c>
      <c r="G3081" t="s">
        <v>45</v>
      </c>
      <c r="H3081" t="s">
        <v>39</v>
      </c>
      <c r="I3081" t="s">
        <v>28</v>
      </c>
      <c r="J3081" t="s">
        <v>50</v>
      </c>
      <c r="K3081">
        <v>4</v>
      </c>
      <c r="L3081" t="s">
        <v>143</v>
      </c>
      <c r="M3081" t="s">
        <v>143</v>
      </c>
      <c r="N3081">
        <v>4</v>
      </c>
      <c r="O3081" t="s">
        <v>66</v>
      </c>
      <c r="P3081" t="s">
        <v>43</v>
      </c>
    </row>
    <row r="3082" spans="1:16" ht="14.5" x14ac:dyDescent="0.35">
      <c r="A3082">
        <v>3081</v>
      </c>
      <c r="B3082">
        <v>69</v>
      </c>
      <c r="C3082" t="s">
        <v>144</v>
      </c>
      <c r="D3082" t="s">
        <v>95</v>
      </c>
      <c r="E3082" t="s">
        <v>18</v>
      </c>
      <c r="F3082">
        <v>42</v>
      </c>
      <c r="G3082" t="s">
        <v>103</v>
      </c>
      <c r="H3082" t="s">
        <v>20</v>
      </c>
      <c r="I3082" t="s">
        <v>125</v>
      </c>
      <c r="J3082" t="s">
        <v>33</v>
      </c>
      <c r="K3082">
        <v>4.0999999999999996</v>
      </c>
      <c r="L3082" t="s">
        <v>143</v>
      </c>
      <c r="M3082" t="s">
        <v>143</v>
      </c>
      <c r="N3082">
        <v>5</v>
      </c>
      <c r="O3082" t="s">
        <v>29</v>
      </c>
      <c r="P3082" t="s">
        <v>67</v>
      </c>
    </row>
    <row r="3083" spans="1:16" ht="14.5" x14ac:dyDescent="0.35">
      <c r="A3083">
        <v>3082</v>
      </c>
      <c r="B3083">
        <v>64</v>
      </c>
      <c r="C3083" t="s">
        <v>144</v>
      </c>
      <c r="D3083" t="s">
        <v>44</v>
      </c>
      <c r="E3083" t="s">
        <v>37</v>
      </c>
      <c r="F3083">
        <v>44</v>
      </c>
      <c r="G3083" t="s">
        <v>120</v>
      </c>
      <c r="H3083" t="s">
        <v>20</v>
      </c>
      <c r="I3083" t="s">
        <v>62</v>
      </c>
      <c r="J3083" t="s">
        <v>22</v>
      </c>
      <c r="K3083">
        <v>4.9000000000000004</v>
      </c>
      <c r="L3083" t="s">
        <v>143</v>
      </c>
      <c r="M3083" t="s">
        <v>143</v>
      </c>
      <c r="N3083">
        <v>11</v>
      </c>
      <c r="O3083" t="s">
        <v>34</v>
      </c>
      <c r="P3083" t="s">
        <v>35</v>
      </c>
    </row>
    <row r="3084" spans="1:16" ht="14.5" x14ac:dyDescent="0.35">
      <c r="A3084">
        <v>3083</v>
      </c>
      <c r="B3084">
        <v>56</v>
      </c>
      <c r="C3084" t="s">
        <v>144</v>
      </c>
      <c r="D3084" t="s">
        <v>104</v>
      </c>
      <c r="E3084" t="s">
        <v>18</v>
      </c>
      <c r="F3084">
        <v>99</v>
      </c>
      <c r="G3084" t="s">
        <v>131</v>
      </c>
      <c r="H3084" t="s">
        <v>39</v>
      </c>
      <c r="I3084" t="s">
        <v>28</v>
      </c>
      <c r="J3084" t="s">
        <v>33</v>
      </c>
      <c r="K3084">
        <v>4</v>
      </c>
      <c r="L3084" t="s">
        <v>143</v>
      </c>
      <c r="M3084" t="s">
        <v>143</v>
      </c>
      <c r="N3084">
        <v>20</v>
      </c>
      <c r="O3084" t="s">
        <v>66</v>
      </c>
      <c r="P3084" t="s">
        <v>43</v>
      </c>
    </row>
    <row r="3085" spans="1:16" ht="14.5" x14ac:dyDescent="0.35">
      <c r="A3085">
        <v>3084</v>
      </c>
      <c r="B3085">
        <v>22</v>
      </c>
      <c r="C3085" t="s">
        <v>144</v>
      </c>
      <c r="D3085" t="s">
        <v>86</v>
      </c>
      <c r="E3085" t="s">
        <v>18</v>
      </c>
      <c r="F3085">
        <v>20</v>
      </c>
      <c r="G3085" t="s">
        <v>106</v>
      </c>
      <c r="H3085" t="s">
        <v>32</v>
      </c>
      <c r="I3085" t="s">
        <v>65</v>
      </c>
      <c r="J3085" t="s">
        <v>47</v>
      </c>
      <c r="K3085">
        <v>3.5</v>
      </c>
      <c r="L3085" t="s">
        <v>143</v>
      </c>
      <c r="M3085" t="s">
        <v>143</v>
      </c>
      <c r="N3085">
        <v>28</v>
      </c>
      <c r="O3085" t="s">
        <v>40</v>
      </c>
      <c r="P3085" t="s">
        <v>51</v>
      </c>
    </row>
    <row r="3086" spans="1:16" ht="14.5" x14ac:dyDescent="0.35">
      <c r="A3086">
        <v>3085</v>
      </c>
      <c r="B3086">
        <v>46</v>
      </c>
      <c r="C3086" t="s">
        <v>144</v>
      </c>
      <c r="D3086" t="s">
        <v>110</v>
      </c>
      <c r="E3086" t="s">
        <v>60</v>
      </c>
      <c r="F3086">
        <v>37</v>
      </c>
      <c r="G3086" t="s">
        <v>126</v>
      </c>
      <c r="H3086" t="s">
        <v>32</v>
      </c>
      <c r="I3086" t="s">
        <v>117</v>
      </c>
      <c r="J3086" t="s">
        <v>33</v>
      </c>
      <c r="K3086">
        <v>3.2</v>
      </c>
      <c r="L3086" t="s">
        <v>143</v>
      </c>
      <c r="M3086" t="s">
        <v>143</v>
      </c>
      <c r="N3086">
        <v>43</v>
      </c>
      <c r="O3086" t="s">
        <v>40</v>
      </c>
      <c r="P3086" t="s">
        <v>79</v>
      </c>
    </row>
    <row r="3087" spans="1:16" ht="14.5" x14ac:dyDescent="0.35">
      <c r="A3087">
        <v>3086</v>
      </c>
      <c r="B3087">
        <v>24</v>
      </c>
      <c r="C3087" t="s">
        <v>144</v>
      </c>
      <c r="D3087" t="s">
        <v>26</v>
      </c>
      <c r="E3087" t="s">
        <v>18</v>
      </c>
      <c r="F3087">
        <v>50</v>
      </c>
      <c r="G3087" t="s">
        <v>98</v>
      </c>
      <c r="H3087" t="s">
        <v>20</v>
      </c>
      <c r="I3087" t="s">
        <v>21</v>
      </c>
      <c r="J3087" t="s">
        <v>22</v>
      </c>
      <c r="K3087">
        <v>2.8</v>
      </c>
      <c r="L3087" t="s">
        <v>143</v>
      </c>
      <c r="M3087" t="s">
        <v>143</v>
      </c>
      <c r="N3087">
        <v>10</v>
      </c>
      <c r="O3087" t="s">
        <v>24</v>
      </c>
      <c r="P3087" t="s">
        <v>88</v>
      </c>
    </row>
    <row r="3088" spans="1:16" ht="14.5" x14ac:dyDescent="0.35">
      <c r="A3088">
        <v>3087</v>
      </c>
      <c r="B3088">
        <v>47</v>
      </c>
      <c r="C3088" t="s">
        <v>144</v>
      </c>
      <c r="D3088" t="s">
        <v>59</v>
      </c>
      <c r="E3088" t="s">
        <v>60</v>
      </c>
      <c r="F3088">
        <v>73</v>
      </c>
      <c r="G3088" t="s">
        <v>131</v>
      </c>
      <c r="H3088" t="s">
        <v>39</v>
      </c>
      <c r="I3088" t="s">
        <v>84</v>
      </c>
      <c r="J3088" t="s">
        <v>47</v>
      </c>
      <c r="K3088">
        <v>3.5</v>
      </c>
      <c r="L3088" t="s">
        <v>143</v>
      </c>
      <c r="M3088" t="s">
        <v>143</v>
      </c>
      <c r="N3088">
        <v>26</v>
      </c>
      <c r="O3088" t="s">
        <v>24</v>
      </c>
      <c r="P3088" t="s">
        <v>88</v>
      </c>
    </row>
    <row r="3089" spans="1:16" ht="14.5" x14ac:dyDescent="0.35">
      <c r="A3089">
        <v>3088</v>
      </c>
      <c r="B3089">
        <v>62</v>
      </c>
      <c r="C3089" t="s">
        <v>144</v>
      </c>
      <c r="D3089" t="s">
        <v>48</v>
      </c>
      <c r="E3089" t="s">
        <v>18</v>
      </c>
      <c r="F3089">
        <v>84</v>
      </c>
      <c r="G3089" t="s">
        <v>89</v>
      </c>
      <c r="H3089" t="s">
        <v>39</v>
      </c>
      <c r="I3089" t="s">
        <v>54</v>
      </c>
      <c r="J3089" t="s">
        <v>33</v>
      </c>
      <c r="K3089">
        <v>3.1</v>
      </c>
      <c r="L3089" t="s">
        <v>143</v>
      </c>
      <c r="M3089" t="s">
        <v>143</v>
      </c>
      <c r="N3089">
        <v>29</v>
      </c>
      <c r="O3089" t="s">
        <v>66</v>
      </c>
      <c r="P3089" t="s">
        <v>79</v>
      </c>
    </row>
    <row r="3090" spans="1:16" ht="14.5" x14ac:dyDescent="0.35">
      <c r="A3090">
        <v>3089</v>
      </c>
      <c r="B3090">
        <v>34</v>
      </c>
      <c r="C3090" t="s">
        <v>144</v>
      </c>
      <c r="D3090" t="s">
        <v>72</v>
      </c>
      <c r="E3090" t="s">
        <v>18</v>
      </c>
      <c r="F3090">
        <v>64</v>
      </c>
      <c r="G3090" t="s">
        <v>64</v>
      </c>
      <c r="H3090" t="s">
        <v>39</v>
      </c>
      <c r="I3090" t="s">
        <v>76</v>
      </c>
      <c r="J3090" t="s">
        <v>33</v>
      </c>
      <c r="K3090">
        <v>3.3</v>
      </c>
      <c r="L3090" t="s">
        <v>143</v>
      </c>
      <c r="M3090" t="s">
        <v>143</v>
      </c>
      <c r="N3090">
        <v>35</v>
      </c>
      <c r="O3090" t="s">
        <v>66</v>
      </c>
      <c r="P3090" t="s">
        <v>51</v>
      </c>
    </row>
    <row r="3091" spans="1:16" ht="14.5" x14ac:dyDescent="0.35">
      <c r="A3091">
        <v>3090</v>
      </c>
      <c r="B3091">
        <v>50</v>
      </c>
      <c r="C3091" t="s">
        <v>144</v>
      </c>
      <c r="D3091" t="s">
        <v>36</v>
      </c>
      <c r="E3091" t="s">
        <v>37</v>
      </c>
      <c r="F3091">
        <v>21</v>
      </c>
      <c r="G3091" t="s">
        <v>89</v>
      </c>
      <c r="H3091" t="s">
        <v>20</v>
      </c>
      <c r="I3091" t="s">
        <v>135</v>
      </c>
      <c r="J3091" t="s">
        <v>50</v>
      </c>
      <c r="K3091">
        <v>4.5999999999999996</v>
      </c>
      <c r="L3091" t="s">
        <v>143</v>
      </c>
      <c r="M3091" t="s">
        <v>143</v>
      </c>
      <c r="N3091">
        <v>23</v>
      </c>
      <c r="O3091" t="s">
        <v>29</v>
      </c>
      <c r="P3091" t="s">
        <v>67</v>
      </c>
    </row>
    <row r="3092" spans="1:16" ht="14.5" x14ac:dyDescent="0.35">
      <c r="A3092">
        <v>3091</v>
      </c>
      <c r="B3092">
        <v>29</v>
      </c>
      <c r="C3092" t="s">
        <v>144</v>
      </c>
      <c r="D3092" t="s">
        <v>48</v>
      </c>
      <c r="E3092" t="s">
        <v>18</v>
      </c>
      <c r="F3092">
        <v>36</v>
      </c>
      <c r="G3092" t="s">
        <v>96</v>
      </c>
      <c r="H3092" t="s">
        <v>39</v>
      </c>
      <c r="I3092" t="s">
        <v>91</v>
      </c>
      <c r="J3092" t="s">
        <v>47</v>
      </c>
      <c r="K3092">
        <v>4.9000000000000004</v>
      </c>
      <c r="L3092" t="s">
        <v>143</v>
      </c>
      <c r="M3092" t="s">
        <v>143</v>
      </c>
      <c r="N3092">
        <v>15</v>
      </c>
      <c r="O3092" t="s">
        <v>66</v>
      </c>
      <c r="P3092" t="s">
        <v>51</v>
      </c>
    </row>
    <row r="3093" spans="1:16" ht="14.5" x14ac:dyDescent="0.35">
      <c r="A3093">
        <v>3092</v>
      </c>
      <c r="B3093">
        <v>68</v>
      </c>
      <c r="C3093" t="s">
        <v>144</v>
      </c>
      <c r="D3093" t="s">
        <v>72</v>
      </c>
      <c r="E3093" t="s">
        <v>18</v>
      </c>
      <c r="F3093">
        <v>81</v>
      </c>
      <c r="G3093" t="s">
        <v>98</v>
      </c>
      <c r="H3093" t="s">
        <v>20</v>
      </c>
      <c r="I3093" t="s">
        <v>112</v>
      </c>
      <c r="J3093" t="s">
        <v>22</v>
      </c>
      <c r="K3093">
        <v>3.4</v>
      </c>
      <c r="L3093" t="s">
        <v>143</v>
      </c>
      <c r="M3093" t="s">
        <v>143</v>
      </c>
      <c r="N3093">
        <v>46</v>
      </c>
      <c r="O3093" t="s">
        <v>34</v>
      </c>
      <c r="P3093" t="s">
        <v>43</v>
      </c>
    </row>
    <row r="3094" spans="1:16" ht="14.5" x14ac:dyDescent="0.35">
      <c r="A3094">
        <v>3093</v>
      </c>
      <c r="B3094">
        <v>52</v>
      </c>
      <c r="C3094" t="s">
        <v>144</v>
      </c>
      <c r="D3094" t="s">
        <v>80</v>
      </c>
      <c r="E3094" t="s">
        <v>60</v>
      </c>
      <c r="F3094">
        <v>54</v>
      </c>
      <c r="G3094" t="s">
        <v>131</v>
      </c>
      <c r="H3094" t="s">
        <v>20</v>
      </c>
      <c r="I3094" t="s">
        <v>58</v>
      </c>
      <c r="J3094" t="s">
        <v>50</v>
      </c>
      <c r="K3094">
        <v>3.5</v>
      </c>
      <c r="L3094" t="s">
        <v>143</v>
      </c>
      <c r="M3094" t="s">
        <v>143</v>
      </c>
      <c r="N3094">
        <v>14</v>
      </c>
      <c r="O3094" t="s">
        <v>66</v>
      </c>
      <c r="P3094" t="s">
        <v>67</v>
      </c>
    </row>
    <row r="3095" spans="1:16" ht="14.5" x14ac:dyDescent="0.35">
      <c r="A3095">
        <v>3094</v>
      </c>
      <c r="B3095">
        <v>29</v>
      </c>
      <c r="C3095" t="s">
        <v>144</v>
      </c>
      <c r="D3095" t="s">
        <v>116</v>
      </c>
      <c r="E3095" t="s">
        <v>18</v>
      </c>
      <c r="F3095">
        <v>63</v>
      </c>
      <c r="G3095" t="s">
        <v>129</v>
      </c>
      <c r="H3095" t="s">
        <v>20</v>
      </c>
      <c r="I3095" t="s">
        <v>99</v>
      </c>
      <c r="J3095" t="s">
        <v>47</v>
      </c>
      <c r="K3095">
        <v>4.8</v>
      </c>
      <c r="L3095" t="s">
        <v>143</v>
      </c>
      <c r="M3095" t="s">
        <v>143</v>
      </c>
      <c r="N3095">
        <v>17</v>
      </c>
      <c r="O3095" t="s">
        <v>29</v>
      </c>
      <c r="P3095" t="s">
        <v>88</v>
      </c>
    </row>
    <row r="3096" spans="1:16" ht="14.5" x14ac:dyDescent="0.35">
      <c r="A3096">
        <v>3095</v>
      </c>
      <c r="B3096">
        <v>22</v>
      </c>
      <c r="C3096" t="s">
        <v>144</v>
      </c>
      <c r="D3096" t="s">
        <v>36</v>
      </c>
      <c r="E3096" t="s">
        <v>37</v>
      </c>
      <c r="F3096">
        <v>59</v>
      </c>
      <c r="G3096" t="s">
        <v>133</v>
      </c>
      <c r="H3096" t="s">
        <v>39</v>
      </c>
      <c r="I3096" t="s">
        <v>21</v>
      </c>
      <c r="J3096" t="s">
        <v>47</v>
      </c>
      <c r="K3096">
        <v>2.7</v>
      </c>
      <c r="L3096" t="s">
        <v>143</v>
      </c>
      <c r="M3096" t="s">
        <v>143</v>
      </c>
      <c r="N3096">
        <v>9</v>
      </c>
      <c r="O3096" t="s">
        <v>29</v>
      </c>
      <c r="P3096" t="s">
        <v>35</v>
      </c>
    </row>
    <row r="3097" spans="1:16" ht="14.5" x14ac:dyDescent="0.35">
      <c r="A3097">
        <v>3096</v>
      </c>
      <c r="B3097">
        <v>62</v>
      </c>
      <c r="C3097" t="s">
        <v>144</v>
      </c>
      <c r="D3097" t="s">
        <v>115</v>
      </c>
      <c r="E3097" t="s">
        <v>60</v>
      </c>
      <c r="F3097">
        <v>53</v>
      </c>
      <c r="G3097" t="s">
        <v>139</v>
      </c>
      <c r="H3097" t="s">
        <v>32</v>
      </c>
      <c r="I3097" t="s">
        <v>109</v>
      </c>
      <c r="J3097" t="s">
        <v>50</v>
      </c>
      <c r="K3097">
        <v>3.4</v>
      </c>
      <c r="L3097" t="s">
        <v>143</v>
      </c>
      <c r="M3097" t="s">
        <v>143</v>
      </c>
      <c r="N3097">
        <v>13</v>
      </c>
      <c r="O3097" t="s">
        <v>24</v>
      </c>
      <c r="P3097" t="s">
        <v>25</v>
      </c>
    </row>
    <row r="3098" spans="1:16" ht="14.5" x14ac:dyDescent="0.35">
      <c r="A3098">
        <v>3097</v>
      </c>
      <c r="B3098">
        <v>69</v>
      </c>
      <c r="C3098" t="s">
        <v>144</v>
      </c>
      <c r="D3098" t="s">
        <v>48</v>
      </c>
      <c r="E3098" t="s">
        <v>18</v>
      </c>
      <c r="F3098">
        <v>63</v>
      </c>
      <c r="G3098" t="s">
        <v>102</v>
      </c>
      <c r="H3098" t="s">
        <v>20</v>
      </c>
      <c r="I3098" t="s">
        <v>46</v>
      </c>
      <c r="J3098" t="s">
        <v>22</v>
      </c>
      <c r="K3098">
        <v>3.5</v>
      </c>
      <c r="L3098" t="s">
        <v>143</v>
      </c>
      <c r="M3098" t="s">
        <v>143</v>
      </c>
      <c r="N3098">
        <v>20</v>
      </c>
      <c r="O3098" t="s">
        <v>66</v>
      </c>
      <c r="P3098" t="s">
        <v>79</v>
      </c>
    </row>
    <row r="3099" spans="1:16" ht="14.5" x14ac:dyDescent="0.35">
      <c r="A3099">
        <v>3098</v>
      </c>
      <c r="B3099">
        <v>48</v>
      </c>
      <c r="C3099" t="s">
        <v>144</v>
      </c>
      <c r="D3099" t="s">
        <v>63</v>
      </c>
      <c r="E3099" t="s">
        <v>37</v>
      </c>
      <c r="F3099">
        <v>33</v>
      </c>
      <c r="G3099" t="s">
        <v>70</v>
      </c>
      <c r="H3099" t="s">
        <v>39</v>
      </c>
      <c r="I3099" t="s">
        <v>58</v>
      </c>
      <c r="J3099" t="s">
        <v>50</v>
      </c>
      <c r="K3099">
        <v>3.7</v>
      </c>
      <c r="L3099" t="s">
        <v>143</v>
      </c>
      <c r="M3099" t="s">
        <v>143</v>
      </c>
      <c r="N3099">
        <v>39</v>
      </c>
      <c r="O3099" t="s">
        <v>66</v>
      </c>
      <c r="P3099" t="s">
        <v>51</v>
      </c>
    </row>
    <row r="3100" spans="1:16" ht="14.5" x14ac:dyDescent="0.35">
      <c r="A3100">
        <v>3099</v>
      </c>
      <c r="B3100">
        <v>66</v>
      </c>
      <c r="C3100" t="s">
        <v>144</v>
      </c>
      <c r="D3100" t="s">
        <v>86</v>
      </c>
      <c r="E3100" t="s">
        <v>18</v>
      </c>
      <c r="F3100">
        <v>64</v>
      </c>
      <c r="G3100" t="s">
        <v>121</v>
      </c>
      <c r="H3100" t="s">
        <v>20</v>
      </c>
      <c r="I3100" t="s">
        <v>100</v>
      </c>
      <c r="J3100" t="s">
        <v>47</v>
      </c>
      <c r="K3100">
        <v>3.3</v>
      </c>
      <c r="L3100" t="s">
        <v>143</v>
      </c>
      <c r="M3100" t="s">
        <v>143</v>
      </c>
      <c r="N3100">
        <v>50</v>
      </c>
      <c r="O3100" t="s">
        <v>66</v>
      </c>
      <c r="P3100" t="s">
        <v>51</v>
      </c>
    </row>
    <row r="3101" spans="1:16" ht="14.5" x14ac:dyDescent="0.35">
      <c r="A3101">
        <v>3100</v>
      </c>
      <c r="B3101">
        <v>42</v>
      </c>
      <c r="C3101" t="s">
        <v>144</v>
      </c>
      <c r="D3101" t="s">
        <v>48</v>
      </c>
      <c r="E3101" t="s">
        <v>18</v>
      </c>
      <c r="F3101">
        <v>98</v>
      </c>
      <c r="G3101" t="s">
        <v>142</v>
      </c>
      <c r="H3101" t="s">
        <v>32</v>
      </c>
      <c r="I3101" t="s">
        <v>28</v>
      </c>
      <c r="J3101" t="s">
        <v>50</v>
      </c>
      <c r="K3101">
        <v>2.9</v>
      </c>
      <c r="L3101" t="s">
        <v>143</v>
      </c>
      <c r="M3101" t="s">
        <v>143</v>
      </c>
      <c r="N3101">
        <v>21</v>
      </c>
      <c r="O3101" t="s">
        <v>66</v>
      </c>
      <c r="P3101" t="s">
        <v>67</v>
      </c>
    </row>
    <row r="3102" spans="1:16" ht="14.5" x14ac:dyDescent="0.35">
      <c r="A3102">
        <v>3101</v>
      </c>
      <c r="B3102">
        <v>50</v>
      </c>
      <c r="C3102" t="s">
        <v>144</v>
      </c>
      <c r="D3102" t="s">
        <v>115</v>
      </c>
      <c r="E3102" t="s">
        <v>60</v>
      </c>
      <c r="F3102">
        <v>85</v>
      </c>
      <c r="G3102" t="s">
        <v>120</v>
      </c>
      <c r="H3102" t="s">
        <v>20</v>
      </c>
      <c r="I3102" t="s">
        <v>65</v>
      </c>
      <c r="J3102" t="s">
        <v>22</v>
      </c>
      <c r="K3102">
        <v>3.9</v>
      </c>
      <c r="L3102" t="s">
        <v>143</v>
      </c>
      <c r="M3102" t="s">
        <v>143</v>
      </c>
      <c r="N3102">
        <v>3</v>
      </c>
      <c r="O3102" t="s">
        <v>66</v>
      </c>
      <c r="P3102" t="s">
        <v>35</v>
      </c>
    </row>
    <row r="3103" spans="1:16" ht="14.5" x14ac:dyDescent="0.35">
      <c r="A3103">
        <v>3102</v>
      </c>
      <c r="B3103">
        <v>32</v>
      </c>
      <c r="C3103" t="s">
        <v>144</v>
      </c>
      <c r="D3103" t="s">
        <v>97</v>
      </c>
      <c r="E3103" t="s">
        <v>60</v>
      </c>
      <c r="F3103">
        <v>82</v>
      </c>
      <c r="G3103" t="s">
        <v>126</v>
      </c>
      <c r="H3103" t="s">
        <v>32</v>
      </c>
      <c r="I3103" t="s">
        <v>101</v>
      </c>
      <c r="J3103" t="s">
        <v>47</v>
      </c>
      <c r="K3103">
        <v>2.7</v>
      </c>
      <c r="L3103" t="s">
        <v>143</v>
      </c>
      <c r="M3103" t="s">
        <v>143</v>
      </c>
      <c r="N3103">
        <v>9</v>
      </c>
      <c r="O3103" t="s">
        <v>40</v>
      </c>
      <c r="P3103" t="s">
        <v>25</v>
      </c>
    </row>
    <row r="3104" spans="1:16" ht="14.5" x14ac:dyDescent="0.35">
      <c r="A3104">
        <v>3103</v>
      </c>
      <c r="B3104">
        <v>51</v>
      </c>
      <c r="C3104" t="s">
        <v>144</v>
      </c>
      <c r="D3104" t="s">
        <v>93</v>
      </c>
      <c r="E3104" t="s">
        <v>56</v>
      </c>
      <c r="F3104">
        <v>85</v>
      </c>
      <c r="G3104" t="s">
        <v>138</v>
      </c>
      <c r="H3104" t="s">
        <v>39</v>
      </c>
      <c r="I3104" t="s">
        <v>87</v>
      </c>
      <c r="J3104" t="s">
        <v>47</v>
      </c>
      <c r="K3104">
        <v>4.3</v>
      </c>
      <c r="L3104" t="s">
        <v>143</v>
      </c>
      <c r="M3104" t="s">
        <v>143</v>
      </c>
      <c r="N3104">
        <v>29</v>
      </c>
      <c r="O3104" t="s">
        <v>29</v>
      </c>
      <c r="P3104" t="s">
        <v>67</v>
      </c>
    </row>
    <row r="3105" spans="1:16" ht="14.5" x14ac:dyDescent="0.35">
      <c r="A3105">
        <v>3104</v>
      </c>
      <c r="B3105">
        <v>27</v>
      </c>
      <c r="C3105" t="s">
        <v>144</v>
      </c>
      <c r="D3105" t="s">
        <v>48</v>
      </c>
      <c r="E3105" t="s">
        <v>18</v>
      </c>
      <c r="F3105">
        <v>37</v>
      </c>
      <c r="G3105" t="s">
        <v>106</v>
      </c>
      <c r="H3105" t="s">
        <v>32</v>
      </c>
      <c r="I3105" t="s">
        <v>91</v>
      </c>
      <c r="J3105" t="s">
        <v>22</v>
      </c>
      <c r="K3105">
        <v>3</v>
      </c>
      <c r="L3105" t="s">
        <v>143</v>
      </c>
      <c r="M3105" t="s">
        <v>143</v>
      </c>
      <c r="N3105">
        <v>42</v>
      </c>
      <c r="O3105" t="s">
        <v>66</v>
      </c>
      <c r="P3105" t="s">
        <v>35</v>
      </c>
    </row>
    <row r="3106" spans="1:16" ht="14.5" x14ac:dyDescent="0.35">
      <c r="A3106">
        <v>3105</v>
      </c>
      <c r="B3106">
        <v>43</v>
      </c>
      <c r="C3106" t="s">
        <v>144</v>
      </c>
      <c r="D3106" t="s">
        <v>86</v>
      </c>
      <c r="E3106" t="s">
        <v>18</v>
      </c>
      <c r="F3106">
        <v>56</v>
      </c>
      <c r="G3106" t="s">
        <v>133</v>
      </c>
      <c r="H3106" t="s">
        <v>32</v>
      </c>
      <c r="I3106" t="s">
        <v>42</v>
      </c>
      <c r="J3106" t="s">
        <v>47</v>
      </c>
      <c r="K3106">
        <v>5</v>
      </c>
      <c r="L3106" t="s">
        <v>143</v>
      </c>
      <c r="M3106" t="s">
        <v>143</v>
      </c>
      <c r="N3106">
        <v>41</v>
      </c>
      <c r="O3106" t="s">
        <v>77</v>
      </c>
      <c r="P3106" t="s">
        <v>25</v>
      </c>
    </row>
    <row r="3107" spans="1:16" ht="14.5" x14ac:dyDescent="0.35">
      <c r="A3107">
        <v>3106</v>
      </c>
      <c r="B3107">
        <v>48</v>
      </c>
      <c r="C3107" t="s">
        <v>144</v>
      </c>
      <c r="D3107" t="s">
        <v>78</v>
      </c>
      <c r="E3107" t="s">
        <v>18</v>
      </c>
      <c r="F3107">
        <v>33</v>
      </c>
      <c r="G3107" t="s">
        <v>41</v>
      </c>
      <c r="H3107" t="s">
        <v>39</v>
      </c>
      <c r="I3107" t="s">
        <v>69</v>
      </c>
      <c r="J3107" t="s">
        <v>50</v>
      </c>
      <c r="K3107">
        <v>2.7</v>
      </c>
      <c r="L3107" t="s">
        <v>143</v>
      </c>
      <c r="M3107" t="s">
        <v>143</v>
      </c>
      <c r="N3107">
        <v>17</v>
      </c>
      <c r="O3107" t="s">
        <v>77</v>
      </c>
      <c r="P3107" t="s">
        <v>79</v>
      </c>
    </row>
    <row r="3108" spans="1:16" ht="14.5" x14ac:dyDescent="0.35">
      <c r="A3108">
        <v>3107</v>
      </c>
      <c r="B3108">
        <v>62</v>
      </c>
      <c r="C3108" t="s">
        <v>144</v>
      </c>
      <c r="D3108" t="s">
        <v>36</v>
      </c>
      <c r="E3108" t="s">
        <v>37</v>
      </c>
      <c r="F3108">
        <v>57</v>
      </c>
      <c r="G3108" t="s">
        <v>81</v>
      </c>
      <c r="H3108" t="s">
        <v>39</v>
      </c>
      <c r="I3108" t="s">
        <v>125</v>
      </c>
      <c r="J3108" t="s">
        <v>22</v>
      </c>
      <c r="K3108">
        <v>4.7</v>
      </c>
      <c r="L3108" t="s">
        <v>143</v>
      </c>
      <c r="M3108" t="s">
        <v>143</v>
      </c>
      <c r="N3108">
        <v>20</v>
      </c>
      <c r="O3108" t="s">
        <v>40</v>
      </c>
      <c r="P3108" t="s">
        <v>43</v>
      </c>
    </row>
    <row r="3109" spans="1:16" ht="14.5" x14ac:dyDescent="0.35">
      <c r="A3109">
        <v>3108</v>
      </c>
      <c r="B3109">
        <v>65</v>
      </c>
      <c r="C3109" t="s">
        <v>144</v>
      </c>
      <c r="D3109" t="s">
        <v>17</v>
      </c>
      <c r="E3109" t="s">
        <v>18</v>
      </c>
      <c r="F3109">
        <v>31</v>
      </c>
      <c r="G3109" t="s">
        <v>68</v>
      </c>
      <c r="H3109" t="s">
        <v>20</v>
      </c>
      <c r="I3109" t="s">
        <v>21</v>
      </c>
      <c r="J3109" t="s">
        <v>22</v>
      </c>
      <c r="K3109">
        <v>4.5999999999999996</v>
      </c>
      <c r="L3109" t="s">
        <v>143</v>
      </c>
      <c r="M3109" t="s">
        <v>143</v>
      </c>
      <c r="N3109">
        <v>18</v>
      </c>
      <c r="O3109" t="s">
        <v>34</v>
      </c>
      <c r="P3109" t="s">
        <v>67</v>
      </c>
    </row>
    <row r="3110" spans="1:16" ht="14.5" x14ac:dyDescent="0.35">
      <c r="A3110">
        <v>3109</v>
      </c>
      <c r="B3110">
        <v>50</v>
      </c>
      <c r="C3110" t="s">
        <v>144</v>
      </c>
      <c r="D3110" t="s">
        <v>116</v>
      </c>
      <c r="E3110" t="s">
        <v>18</v>
      </c>
      <c r="F3110">
        <v>69</v>
      </c>
      <c r="G3110" t="s">
        <v>41</v>
      </c>
      <c r="H3110" t="s">
        <v>39</v>
      </c>
      <c r="I3110" t="s">
        <v>65</v>
      </c>
      <c r="J3110" t="s">
        <v>50</v>
      </c>
      <c r="K3110">
        <v>3.2</v>
      </c>
      <c r="L3110" t="s">
        <v>143</v>
      </c>
      <c r="M3110" t="s">
        <v>143</v>
      </c>
      <c r="N3110">
        <v>7</v>
      </c>
      <c r="O3110" t="s">
        <v>40</v>
      </c>
      <c r="P3110" t="s">
        <v>79</v>
      </c>
    </row>
    <row r="3111" spans="1:16" ht="14.5" x14ac:dyDescent="0.35">
      <c r="A3111">
        <v>3110</v>
      </c>
      <c r="B3111">
        <v>60</v>
      </c>
      <c r="C3111" t="s">
        <v>144</v>
      </c>
      <c r="D3111" t="s">
        <v>93</v>
      </c>
      <c r="E3111" t="s">
        <v>56</v>
      </c>
      <c r="F3111">
        <v>92</v>
      </c>
      <c r="G3111" t="s">
        <v>106</v>
      </c>
      <c r="H3111" t="s">
        <v>39</v>
      </c>
      <c r="I3111" t="s">
        <v>21</v>
      </c>
      <c r="J3111" t="s">
        <v>22</v>
      </c>
      <c r="K3111">
        <v>4.3</v>
      </c>
      <c r="L3111" t="s">
        <v>143</v>
      </c>
      <c r="M3111" t="s">
        <v>143</v>
      </c>
      <c r="N3111">
        <v>47</v>
      </c>
      <c r="O3111" t="s">
        <v>66</v>
      </c>
      <c r="P3111" t="s">
        <v>25</v>
      </c>
    </row>
    <row r="3112" spans="1:16" ht="14.5" x14ac:dyDescent="0.35">
      <c r="A3112">
        <v>3111</v>
      </c>
      <c r="B3112">
        <v>19</v>
      </c>
      <c r="C3112" t="s">
        <v>144</v>
      </c>
      <c r="D3112" t="s">
        <v>59</v>
      </c>
      <c r="E3112" t="s">
        <v>60</v>
      </c>
      <c r="F3112">
        <v>46</v>
      </c>
      <c r="G3112" t="s">
        <v>96</v>
      </c>
      <c r="H3112" t="s">
        <v>20</v>
      </c>
      <c r="I3112" t="s">
        <v>84</v>
      </c>
      <c r="J3112" t="s">
        <v>50</v>
      </c>
      <c r="K3112">
        <v>4.5999999999999996</v>
      </c>
      <c r="L3112" t="s">
        <v>143</v>
      </c>
      <c r="M3112" t="s">
        <v>143</v>
      </c>
      <c r="N3112">
        <v>2</v>
      </c>
      <c r="O3112" t="s">
        <v>66</v>
      </c>
      <c r="P3112" t="s">
        <v>67</v>
      </c>
    </row>
    <row r="3113" spans="1:16" ht="14.5" x14ac:dyDescent="0.35">
      <c r="A3113">
        <v>3112</v>
      </c>
      <c r="B3113">
        <v>21</v>
      </c>
      <c r="C3113" t="s">
        <v>144</v>
      </c>
      <c r="D3113" t="s">
        <v>124</v>
      </c>
      <c r="E3113" t="s">
        <v>60</v>
      </c>
      <c r="F3113">
        <v>81</v>
      </c>
      <c r="G3113" t="s">
        <v>102</v>
      </c>
      <c r="H3113" t="s">
        <v>83</v>
      </c>
      <c r="I3113" t="s">
        <v>117</v>
      </c>
      <c r="J3113" t="s">
        <v>33</v>
      </c>
      <c r="K3113">
        <v>4.9000000000000004</v>
      </c>
      <c r="L3113" t="s">
        <v>143</v>
      </c>
      <c r="M3113" t="s">
        <v>143</v>
      </c>
      <c r="N3113">
        <v>25</v>
      </c>
      <c r="O3113" t="s">
        <v>77</v>
      </c>
      <c r="P3113" t="s">
        <v>51</v>
      </c>
    </row>
    <row r="3114" spans="1:16" ht="14.5" x14ac:dyDescent="0.35">
      <c r="A3114">
        <v>3113</v>
      </c>
      <c r="B3114">
        <v>19</v>
      </c>
      <c r="C3114" t="s">
        <v>144</v>
      </c>
      <c r="D3114" t="s">
        <v>17</v>
      </c>
      <c r="E3114" t="s">
        <v>18</v>
      </c>
      <c r="F3114">
        <v>97</v>
      </c>
      <c r="G3114" t="s">
        <v>96</v>
      </c>
      <c r="H3114" t="s">
        <v>32</v>
      </c>
      <c r="I3114" t="s">
        <v>87</v>
      </c>
      <c r="J3114" t="s">
        <v>50</v>
      </c>
      <c r="K3114">
        <v>3.8</v>
      </c>
      <c r="L3114" t="s">
        <v>143</v>
      </c>
      <c r="M3114" t="s">
        <v>143</v>
      </c>
      <c r="N3114">
        <v>26</v>
      </c>
      <c r="O3114" t="s">
        <v>24</v>
      </c>
      <c r="P3114" t="s">
        <v>43</v>
      </c>
    </row>
    <row r="3115" spans="1:16" ht="14.5" x14ac:dyDescent="0.35">
      <c r="A3115">
        <v>3114</v>
      </c>
      <c r="B3115">
        <v>46</v>
      </c>
      <c r="C3115" t="s">
        <v>144</v>
      </c>
      <c r="D3115" t="s">
        <v>48</v>
      </c>
      <c r="E3115" t="s">
        <v>18</v>
      </c>
      <c r="F3115">
        <v>93</v>
      </c>
      <c r="G3115" t="s">
        <v>136</v>
      </c>
      <c r="H3115" t="s">
        <v>20</v>
      </c>
      <c r="I3115" t="s">
        <v>87</v>
      </c>
      <c r="J3115" t="s">
        <v>47</v>
      </c>
      <c r="K3115">
        <v>2.6</v>
      </c>
      <c r="L3115" t="s">
        <v>143</v>
      </c>
      <c r="M3115" t="s">
        <v>143</v>
      </c>
      <c r="N3115">
        <v>2</v>
      </c>
      <c r="O3115" t="s">
        <v>77</v>
      </c>
      <c r="P3115" t="s">
        <v>35</v>
      </c>
    </row>
    <row r="3116" spans="1:16" ht="14.5" x14ac:dyDescent="0.35">
      <c r="A3116">
        <v>3115</v>
      </c>
      <c r="B3116">
        <v>21</v>
      </c>
      <c r="C3116" t="s">
        <v>144</v>
      </c>
      <c r="D3116" t="s">
        <v>59</v>
      </c>
      <c r="E3116" t="s">
        <v>60</v>
      </c>
      <c r="F3116">
        <v>56</v>
      </c>
      <c r="G3116" t="s">
        <v>64</v>
      </c>
      <c r="H3116" t="s">
        <v>39</v>
      </c>
      <c r="I3116" t="s">
        <v>69</v>
      </c>
      <c r="J3116" t="s">
        <v>33</v>
      </c>
      <c r="K3116">
        <v>4.7</v>
      </c>
      <c r="L3116" t="s">
        <v>143</v>
      </c>
      <c r="M3116" t="s">
        <v>143</v>
      </c>
      <c r="N3116">
        <v>45</v>
      </c>
      <c r="O3116" t="s">
        <v>24</v>
      </c>
      <c r="P3116" t="s">
        <v>67</v>
      </c>
    </row>
    <row r="3117" spans="1:16" ht="14.5" x14ac:dyDescent="0.35">
      <c r="A3117">
        <v>3116</v>
      </c>
      <c r="B3117">
        <v>26</v>
      </c>
      <c r="C3117" t="s">
        <v>144</v>
      </c>
      <c r="D3117" t="s">
        <v>110</v>
      </c>
      <c r="E3117" t="s">
        <v>60</v>
      </c>
      <c r="F3117">
        <v>53</v>
      </c>
      <c r="G3117" t="s">
        <v>138</v>
      </c>
      <c r="H3117" t="s">
        <v>39</v>
      </c>
      <c r="I3117" t="s">
        <v>54</v>
      </c>
      <c r="J3117" t="s">
        <v>50</v>
      </c>
      <c r="K3117">
        <v>4.0999999999999996</v>
      </c>
      <c r="L3117" t="s">
        <v>143</v>
      </c>
      <c r="M3117" t="s">
        <v>143</v>
      </c>
      <c r="N3117">
        <v>9</v>
      </c>
      <c r="O3117" t="s">
        <v>66</v>
      </c>
      <c r="P3117" t="s">
        <v>67</v>
      </c>
    </row>
    <row r="3118" spans="1:16" ht="14.5" x14ac:dyDescent="0.35">
      <c r="A3118">
        <v>3117</v>
      </c>
      <c r="B3118">
        <v>50</v>
      </c>
      <c r="C3118" t="s">
        <v>144</v>
      </c>
      <c r="D3118" t="s">
        <v>55</v>
      </c>
      <c r="E3118" t="s">
        <v>56</v>
      </c>
      <c r="F3118">
        <v>66</v>
      </c>
      <c r="G3118" t="s">
        <v>49</v>
      </c>
      <c r="H3118" t="s">
        <v>20</v>
      </c>
      <c r="I3118" t="s">
        <v>21</v>
      </c>
      <c r="J3118" t="s">
        <v>33</v>
      </c>
      <c r="K3118">
        <v>3.7</v>
      </c>
      <c r="L3118" t="s">
        <v>143</v>
      </c>
      <c r="M3118" t="s">
        <v>143</v>
      </c>
      <c r="N3118">
        <v>1</v>
      </c>
      <c r="O3118" t="s">
        <v>24</v>
      </c>
      <c r="P3118" t="s">
        <v>35</v>
      </c>
    </row>
    <row r="3119" spans="1:16" ht="14.5" x14ac:dyDescent="0.35">
      <c r="A3119">
        <v>3118</v>
      </c>
      <c r="B3119">
        <v>43</v>
      </c>
      <c r="C3119" t="s">
        <v>144</v>
      </c>
      <c r="D3119" t="s">
        <v>95</v>
      </c>
      <c r="E3119" t="s">
        <v>18</v>
      </c>
      <c r="F3119">
        <v>50</v>
      </c>
      <c r="G3119" t="s">
        <v>94</v>
      </c>
      <c r="H3119" t="s">
        <v>39</v>
      </c>
      <c r="I3119" t="s">
        <v>69</v>
      </c>
      <c r="J3119" t="s">
        <v>50</v>
      </c>
      <c r="K3119">
        <v>3</v>
      </c>
      <c r="L3119" t="s">
        <v>143</v>
      </c>
      <c r="M3119" t="s">
        <v>143</v>
      </c>
      <c r="N3119">
        <v>4</v>
      </c>
      <c r="O3119" t="s">
        <v>40</v>
      </c>
      <c r="P3119" t="s">
        <v>67</v>
      </c>
    </row>
    <row r="3120" spans="1:16" ht="14.5" x14ac:dyDescent="0.35">
      <c r="A3120">
        <v>3119</v>
      </c>
      <c r="B3120">
        <v>61</v>
      </c>
      <c r="C3120" t="s">
        <v>144</v>
      </c>
      <c r="D3120" t="s">
        <v>52</v>
      </c>
      <c r="E3120" t="s">
        <v>18</v>
      </c>
      <c r="F3120">
        <v>97</v>
      </c>
      <c r="G3120" t="s">
        <v>132</v>
      </c>
      <c r="H3120" t="s">
        <v>20</v>
      </c>
      <c r="I3120" t="s">
        <v>135</v>
      </c>
      <c r="J3120" t="s">
        <v>47</v>
      </c>
      <c r="K3120">
        <v>4.7</v>
      </c>
      <c r="L3120" t="s">
        <v>143</v>
      </c>
      <c r="M3120" t="s">
        <v>143</v>
      </c>
      <c r="N3120">
        <v>31</v>
      </c>
      <c r="O3120" t="s">
        <v>77</v>
      </c>
      <c r="P3120" t="s">
        <v>51</v>
      </c>
    </row>
    <row r="3121" spans="1:16" ht="14.5" x14ac:dyDescent="0.35">
      <c r="A3121">
        <v>3120</v>
      </c>
      <c r="B3121">
        <v>63</v>
      </c>
      <c r="C3121" t="s">
        <v>144</v>
      </c>
      <c r="D3121" t="s">
        <v>36</v>
      </c>
      <c r="E3121" t="s">
        <v>37</v>
      </c>
      <c r="F3121">
        <v>79</v>
      </c>
      <c r="G3121" t="s">
        <v>53</v>
      </c>
      <c r="H3121" t="s">
        <v>83</v>
      </c>
      <c r="I3121" t="s">
        <v>58</v>
      </c>
      <c r="J3121" t="s">
        <v>22</v>
      </c>
      <c r="K3121">
        <v>4.7</v>
      </c>
      <c r="L3121" t="s">
        <v>143</v>
      </c>
      <c r="M3121" t="s">
        <v>143</v>
      </c>
      <c r="N3121">
        <v>21</v>
      </c>
      <c r="O3121" t="s">
        <v>34</v>
      </c>
      <c r="P3121" t="s">
        <v>88</v>
      </c>
    </row>
    <row r="3122" spans="1:16" ht="14.5" x14ac:dyDescent="0.35">
      <c r="A3122">
        <v>3121</v>
      </c>
      <c r="B3122">
        <v>46</v>
      </c>
      <c r="C3122" t="s">
        <v>144</v>
      </c>
      <c r="D3122" t="s">
        <v>48</v>
      </c>
      <c r="E3122" t="s">
        <v>18</v>
      </c>
      <c r="F3122">
        <v>76</v>
      </c>
      <c r="G3122" t="s">
        <v>53</v>
      </c>
      <c r="H3122" t="s">
        <v>39</v>
      </c>
      <c r="I3122" t="s">
        <v>127</v>
      </c>
      <c r="J3122" t="s">
        <v>50</v>
      </c>
      <c r="K3122">
        <v>4</v>
      </c>
      <c r="L3122" t="s">
        <v>143</v>
      </c>
      <c r="M3122" t="s">
        <v>143</v>
      </c>
      <c r="N3122">
        <v>32</v>
      </c>
      <c r="O3122" t="s">
        <v>77</v>
      </c>
      <c r="P3122" t="s">
        <v>25</v>
      </c>
    </row>
    <row r="3123" spans="1:16" ht="14.5" x14ac:dyDescent="0.35">
      <c r="A3123">
        <v>3122</v>
      </c>
      <c r="B3123">
        <v>63</v>
      </c>
      <c r="C3123" t="s">
        <v>144</v>
      </c>
      <c r="D3123" t="s">
        <v>95</v>
      </c>
      <c r="E3123" t="s">
        <v>18</v>
      </c>
      <c r="F3123">
        <v>38</v>
      </c>
      <c r="G3123" t="s">
        <v>53</v>
      </c>
      <c r="H3123" t="s">
        <v>20</v>
      </c>
      <c r="I3123" t="s">
        <v>85</v>
      </c>
      <c r="J3123" t="s">
        <v>50</v>
      </c>
      <c r="K3123">
        <v>2.6</v>
      </c>
      <c r="L3123" t="s">
        <v>143</v>
      </c>
      <c r="M3123" t="s">
        <v>143</v>
      </c>
      <c r="N3123">
        <v>16</v>
      </c>
      <c r="O3123" t="s">
        <v>24</v>
      </c>
      <c r="P3123" t="s">
        <v>35</v>
      </c>
    </row>
    <row r="3124" spans="1:16" ht="14.5" x14ac:dyDescent="0.35">
      <c r="A3124">
        <v>3123</v>
      </c>
      <c r="B3124">
        <v>23</v>
      </c>
      <c r="C3124" t="s">
        <v>144</v>
      </c>
      <c r="D3124" t="s">
        <v>116</v>
      </c>
      <c r="E3124" t="s">
        <v>18</v>
      </c>
      <c r="F3124">
        <v>45</v>
      </c>
      <c r="G3124" t="s">
        <v>133</v>
      </c>
      <c r="H3124" t="s">
        <v>39</v>
      </c>
      <c r="I3124" t="s">
        <v>62</v>
      </c>
      <c r="J3124" t="s">
        <v>50</v>
      </c>
      <c r="K3124">
        <v>3</v>
      </c>
      <c r="L3124" t="s">
        <v>143</v>
      </c>
      <c r="M3124" t="s">
        <v>143</v>
      </c>
      <c r="N3124">
        <v>34</v>
      </c>
      <c r="O3124" t="s">
        <v>34</v>
      </c>
      <c r="P3124" t="s">
        <v>25</v>
      </c>
    </row>
    <row r="3125" spans="1:16" ht="14.5" x14ac:dyDescent="0.35">
      <c r="A3125">
        <v>3124</v>
      </c>
      <c r="B3125">
        <v>57</v>
      </c>
      <c r="C3125" t="s">
        <v>144</v>
      </c>
      <c r="D3125" t="s">
        <v>59</v>
      </c>
      <c r="E3125" t="s">
        <v>60</v>
      </c>
      <c r="F3125">
        <v>77</v>
      </c>
      <c r="G3125" t="s">
        <v>137</v>
      </c>
      <c r="H3125" t="s">
        <v>83</v>
      </c>
      <c r="I3125" t="s">
        <v>99</v>
      </c>
      <c r="J3125" t="s">
        <v>50</v>
      </c>
      <c r="K3125">
        <v>3.3</v>
      </c>
      <c r="L3125" t="s">
        <v>143</v>
      </c>
      <c r="M3125" t="s">
        <v>143</v>
      </c>
      <c r="N3125">
        <v>40</v>
      </c>
      <c r="O3125" t="s">
        <v>24</v>
      </c>
      <c r="P3125" t="s">
        <v>67</v>
      </c>
    </row>
    <row r="3126" spans="1:16" ht="14.5" x14ac:dyDescent="0.35">
      <c r="A3126">
        <v>3125</v>
      </c>
      <c r="B3126">
        <v>57</v>
      </c>
      <c r="C3126" t="s">
        <v>144</v>
      </c>
      <c r="D3126" t="s">
        <v>97</v>
      </c>
      <c r="E3126" t="s">
        <v>60</v>
      </c>
      <c r="F3126">
        <v>51</v>
      </c>
      <c r="G3126" t="s">
        <v>90</v>
      </c>
      <c r="H3126" t="s">
        <v>39</v>
      </c>
      <c r="I3126" t="s">
        <v>91</v>
      </c>
      <c r="J3126" t="s">
        <v>47</v>
      </c>
      <c r="K3126">
        <v>3.4</v>
      </c>
      <c r="L3126" t="s">
        <v>143</v>
      </c>
      <c r="M3126" t="s">
        <v>143</v>
      </c>
      <c r="N3126">
        <v>4</v>
      </c>
      <c r="O3126" t="s">
        <v>29</v>
      </c>
      <c r="P3126" t="s">
        <v>88</v>
      </c>
    </row>
    <row r="3127" spans="1:16" ht="14.5" x14ac:dyDescent="0.35">
      <c r="A3127">
        <v>3126</v>
      </c>
      <c r="B3127">
        <v>33</v>
      </c>
      <c r="C3127" t="s">
        <v>144</v>
      </c>
      <c r="D3127" t="s">
        <v>55</v>
      </c>
      <c r="E3127" t="s">
        <v>56</v>
      </c>
      <c r="F3127">
        <v>26</v>
      </c>
      <c r="G3127" t="s">
        <v>41</v>
      </c>
      <c r="H3127" t="s">
        <v>20</v>
      </c>
      <c r="I3127" t="s">
        <v>84</v>
      </c>
      <c r="J3127" t="s">
        <v>33</v>
      </c>
      <c r="K3127">
        <v>4</v>
      </c>
      <c r="L3127" t="s">
        <v>143</v>
      </c>
      <c r="M3127" t="s">
        <v>143</v>
      </c>
      <c r="N3127">
        <v>3</v>
      </c>
      <c r="O3127" t="s">
        <v>29</v>
      </c>
      <c r="P3127" t="s">
        <v>51</v>
      </c>
    </row>
    <row r="3128" spans="1:16" ht="14.5" x14ac:dyDescent="0.35">
      <c r="A3128">
        <v>3127</v>
      </c>
      <c r="B3128">
        <v>57</v>
      </c>
      <c r="C3128" t="s">
        <v>144</v>
      </c>
      <c r="D3128" t="s">
        <v>80</v>
      </c>
      <c r="E3128" t="s">
        <v>60</v>
      </c>
      <c r="F3128">
        <v>76</v>
      </c>
      <c r="G3128" t="s">
        <v>27</v>
      </c>
      <c r="H3128" t="s">
        <v>20</v>
      </c>
      <c r="I3128" t="s">
        <v>84</v>
      </c>
      <c r="J3128" t="s">
        <v>22</v>
      </c>
      <c r="K3128">
        <v>2.6</v>
      </c>
      <c r="L3128" t="s">
        <v>143</v>
      </c>
      <c r="M3128" t="s">
        <v>143</v>
      </c>
      <c r="N3128">
        <v>28</v>
      </c>
      <c r="O3128" t="s">
        <v>66</v>
      </c>
      <c r="P3128" t="s">
        <v>67</v>
      </c>
    </row>
    <row r="3129" spans="1:16" ht="14.5" x14ac:dyDescent="0.35">
      <c r="A3129">
        <v>3128</v>
      </c>
      <c r="B3129">
        <v>55</v>
      </c>
      <c r="C3129" t="s">
        <v>144</v>
      </c>
      <c r="D3129" t="s">
        <v>134</v>
      </c>
      <c r="E3129" t="s">
        <v>60</v>
      </c>
      <c r="F3129">
        <v>94</v>
      </c>
      <c r="G3129" t="s">
        <v>53</v>
      </c>
      <c r="H3129" t="s">
        <v>39</v>
      </c>
      <c r="I3129" t="s">
        <v>109</v>
      </c>
      <c r="J3129" t="s">
        <v>22</v>
      </c>
      <c r="K3129">
        <v>3.4</v>
      </c>
      <c r="L3129" t="s">
        <v>143</v>
      </c>
      <c r="M3129" t="s">
        <v>143</v>
      </c>
      <c r="N3129">
        <v>43</v>
      </c>
      <c r="O3129" t="s">
        <v>34</v>
      </c>
      <c r="P3129" t="s">
        <v>88</v>
      </c>
    </row>
    <row r="3130" spans="1:16" ht="14.5" x14ac:dyDescent="0.35">
      <c r="A3130">
        <v>3129</v>
      </c>
      <c r="B3130">
        <v>65</v>
      </c>
      <c r="C3130" t="s">
        <v>144</v>
      </c>
      <c r="D3130" t="s">
        <v>93</v>
      </c>
      <c r="E3130" t="s">
        <v>56</v>
      </c>
      <c r="F3130">
        <v>32</v>
      </c>
      <c r="G3130" t="s">
        <v>64</v>
      </c>
      <c r="H3130" t="s">
        <v>32</v>
      </c>
      <c r="I3130" t="s">
        <v>117</v>
      </c>
      <c r="J3130" t="s">
        <v>50</v>
      </c>
      <c r="K3130">
        <v>4.4000000000000004</v>
      </c>
      <c r="L3130" t="s">
        <v>143</v>
      </c>
      <c r="M3130" t="s">
        <v>143</v>
      </c>
      <c r="N3130">
        <v>20</v>
      </c>
      <c r="O3130" t="s">
        <v>29</v>
      </c>
      <c r="P3130" t="s">
        <v>43</v>
      </c>
    </row>
    <row r="3131" spans="1:16" ht="14.5" x14ac:dyDescent="0.35">
      <c r="A3131">
        <v>3130</v>
      </c>
      <c r="B3131">
        <v>60</v>
      </c>
      <c r="C3131" t="s">
        <v>144</v>
      </c>
      <c r="D3131" t="s">
        <v>36</v>
      </c>
      <c r="E3131" t="s">
        <v>37</v>
      </c>
      <c r="F3131">
        <v>20</v>
      </c>
      <c r="G3131" t="s">
        <v>119</v>
      </c>
      <c r="H3131" t="s">
        <v>32</v>
      </c>
      <c r="I3131" t="s">
        <v>100</v>
      </c>
      <c r="J3131" t="s">
        <v>47</v>
      </c>
      <c r="K3131">
        <v>4.7</v>
      </c>
      <c r="L3131" t="s">
        <v>143</v>
      </c>
      <c r="M3131" t="s">
        <v>143</v>
      </c>
      <c r="N3131">
        <v>40</v>
      </c>
      <c r="O3131" t="s">
        <v>24</v>
      </c>
      <c r="P3131" t="s">
        <v>88</v>
      </c>
    </row>
    <row r="3132" spans="1:16" ht="14.5" x14ac:dyDescent="0.35">
      <c r="A3132">
        <v>3131</v>
      </c>
      <c r="B3132">
        <v>52</v>
      </c>
      <c r="C3132" t="s">
        <v>144</v>
      </c>
      <c r="D3132" t="s">
        <v>86</v>
      </c>
      <c r="E3132" t="s">
        <v>18</v>
      </c>
      <c r="F3132">
        <v>20</v>
      </c>
      <c r="G3132" t="s">
        <v>120</v>
      </c>
      <c r="H3132" t="s">
        <v>39</v>
      </c>
      <c r="I3132" t="s">
        <v>125</v>
      </c>
      <c r="J3132" t="s">
        <v>47</v>
      </c>
      <c r="K3132">
        <v>4.5</v>
      </c>
      <c r="L3132" t="s">
        <v>143</v>
      </c>
      <c r="M3132" t="s">
        <v>143</v>
      </c>
      <c r="N3132">
        <v>34</v>
      </c>
      <c r="O3132" t="s">
        <v>24</v>
      </c>
      <c r="P3132" t="s">
        <v>88</v>
      </c>
    </row>
    <row r="3133" spans="1:16" ht="14.5" x14ac:dyDescent="0.35">
      <c r="A3133">
        <v>3132</v>
      </c>
      <c r="B3133">
        <v>34</v>
      </c>
      <c r="C3133" t="s">
        <v>144</v>
      </c>
      <c r="D3133" t="s">
        <v>93</v>
      </c>
      <c r="E3133" t="s">
        <v>56</v>
      </c>
      <c r="F3133">
        <v>59</v>
      </c>
      <c r="G3133" t="s">
        <v>105</v>
      </c>
      <c r="H3133" t="s">
        <v>39</v>
      </c>
      <c r="I3133" t="s">
        <v>91</v>
      </c>
      <c r="J3133" t="s">
        <v>50</v>
      </c>
      <c r="K3133">
        <v>2.9</v>
      </c>
      <c r="L3133" t="s">
        <v>143</v>
      </c>
      <c r="M3133" t="s">
        <v>143</v>
      </c>
      <c r="N3133">
        <v>11</v>
      </c>
      <c r="O3133" t="s">
        <v>66</v>
      </c>
      <c r="P3133" t="s">
        <v>88</v>
      </c>
    </row>
    <row r="3134" spans="1:16" ht="14.5" x14ac:dyDescent="0.35">
      <c r="A3134">
        <v>3133</v>
      </c>
      <c r="B3134">
        <v>33</v>
      </c>
      <c r="C3134" t="s">
        <v>144</v>
      </c>
      <c r="D3134" t="s">
        <v>26</v>
      </c>
      <c r="E3134" t="s">
        <v>18</v>
      </c>
      <c r="F3134">
        <v>97</v>
      </c>
      <c r="G3134" t="s">
        <v>142</v>
      </c>
      <c r="H3134" t="s">
        <v>39</v>
      </c>
      <c r="I3134" t="s">
        <v>125</v>
      </c>
      <c r="J3134" t="s">
        <v>47</v>
      </c>
      <c r="K3134">
        <v>4.2</v>
      </c>
      <c r="L3134" t="s">
        <v>143</v>
      </c>
      <c r="M3134" t="s">
        <v>143</v>
      </c>
      <c r="N3134">
        <v>26</v>
      </c>
      <c r="O3134" t="s">
        <v>29</v>
      </c>
      <c r="P3134" t="s">
        <v>51</v>
      </c>
    </row>
    <row r="3135" spans="1:16" ht="14.5" x14ac:dyDescent="0.35">
      <c r="A3135">
        <v>3134</v>
      </c>
      <c r="B3135">
        <v>58</v>
      </c>
      <c r="C3135" t="s">
        <v>144</v>
      </c>
      <c r="D3135" t="s">
        <v>104</v>
      </c>
      <c r="E3135" t="s">
        <v>18</v>
      </c>
      <c r="F3135">
        <v>68</v>
      </c>
      <c r="G3135" t="s">
        <v>64</v>
      </c>
      <c r="H3135" t="s">
        <v>39</v>
      </c>
      <c r="I3135" t="s">
        <v>112</v>
      </c>
      <c r="J3135" t="s">
        <v>33</v>
      </c>
      <c r="K3135">
        <v>4.0999999999999996</v>
      </c>
      <c r="L3135" t="s">
        <v>143</v>
      </c>
      <c r="M3135" t="s">
        <v>143</v>
      </c>
      <c r="N3135">
        <v>29</v>
      </c>
      <c r="O3135" t="s">
        <v>29</v>
      </c>
      <c r="P3135" t="s">
        <v>67</v>
      </c>
    </row>
    <row r="3136" spans="1:16" ht="14.5" x14ac:dyDescent="0.35">
      <c r="A3136">
        <v>3135</v>
      </c>
      <c r="B3136">
        <v>35</v>
      </c>
      <c r="C3136" t="s">
        <v>144</v>
      </c>
      <c r="D3136" t="s">
        <v>128</v>
      </c>
      <c r="E3136" t="s">
        <v>37</v>
      </c>
      <c r="F3136">
        <v>66</v>
      </c>
      <c r="G3136" t="s">
        <v>19</v>
      </c>
      <c r="H3136" t="s">
        <v>20</v>
      </c>
      <c r="I3136" t="s">
        <v>21</v>
      </c>
      <c r="J3136" t="s">
        <v>33</v>
      </c>
      <c r="K3136">
        <v>4.4000000000000004</v>
      </c>
      <c r="L3136" t="s">
        <v>143</v>
      </c>
      <c r="M3136" t="s">
        <v>143</v>
      </c>
      <c r="N3136">
        <v>47</v>
      </c>
      <c r="O3136" t="s">
        <v>66</v>
      </c>
      <c r="P3136" t="s">
        <v>35</v>
      </c>
    </row>
    <row r="3137" spans="1:16" ht="14.5" x14ac:dyDescent="0.35">
      <c r="A3137">
        <v>3136</v>
      </c>
      <c r="B3137">
        <v>68</v>
      </c>
      <c r="C3137" t="s">
        <v>144</v>
      </c>
      <c r="D3137" t="s">
        <v>63</v>
      </c>
      <c r="E3137" t="s">
        <v>37</v>
      </c>
      <c r="F3137">
        <v>85</v>
      </c>
      <c r="G3137" t="s">
        <v>107</v>
      </c>
      <c r="H3137" t="s">
        <v>20</v>
      </c>
      <c r="I3137" t="s">
        <v>125</v>
      </c>
      <c r="J3137" t="s">
        <v>33</v>
      </c>
      <c r="K3137">
        <v>4.7</v>
      </c>
      <c r="L3137" t="s">
        <v>143</v>
      </c>
      <c r="M3137" t="s">
        <v>143</v>
      </c>
      <c r="N3137">
        <v>48</v>
      </c>
      <c r="O3137" t="s">
        <v>24</v>
      </c>
      <c r="P3137" t="s">
        <v>25</v>
      </c>
    </row>
    <row r="3138" spans="1:16" ht="14.5" x14ac:dyDescent="0.35">
      <c r="A3138">
        <v>3137</v>
      </c>
      <c r="B3138">
        <v>58</v>
      </c>
      <c r="C3138" t="s">
        <v>144</v>
      </c>
      <c r="D3138" t="s">
        <v>78</v>
      </c>
      <c r="E3138" t="s">
        <v>18</v>
      </c>
      <c r="F3138">
        <v>32</v>
      </c>
      <c r="G3138" t="s">
        <v>139</v>
      </c>
      <c r="H3138" t="s">
        <v>39</v>
      </c>
      <c r="I3138" t="s">
        <v>21</v>
      </c>
      <c r="J3138" t="s">
        <v>50</v>
      </c>
      <c r="K3138">
        <v>3.1</v>
      </c>
      <c r="L3138" t="s">
        <v>143</v>
      </c>
      <c r="M3138" t="s">
        <v>143</v>
      </c>
      <c r="N3138">
        <v>29</v>
      </c>
      <c r="O3138" t="s">
        <v>29</v>
      </c>
      <c r="P3138" t="s">
        <v>67</v>
      </c>
    </row>
    <row r="3139" spans="1:16" ht="14.5" x14ac:dyDescent="0.35">
      <c r="A3139">
        <v>3138</v>
      </c>
      <c r="B3139">
        <v>34</v>
      </c>
      <c r="C3139" t="s">
        <v>144</v>
      </c>
      <c r="D3139" t="s">
        <v>55</v>
      </c>
      <c r="E3139" t="s">
        <v>56</v>
      </c>
      <c r="F3139">
        <v>44</v>
      </c>
      <c r="G3139" t="s">
        <v>53</v>
      </c>
      <c r="H3139" t="s">
        <v>39</v>
      </c>
      <c r="I3139" t="s">
        <v>42</v>
      </c>
      <c r="J3139" t="s">
        <v>33</v>
      </c>
      <c r="K3139">
        <v>2.7</v>
      </c>
      <c r="L3139" t="s">
        <v>143</v>
      </c>
      <c r="M3139" t="s">
        <v>143</v>
      </c>
      <c r="N3139">
        <v>14</v>
      </c>
      <c r="O3139" t="s">
        <v>66</v>
      </c>
      <c r="P3139" t="s">
        <v>79</v>
      </c>
    </row>
    <row r="3140" spans="1:16" ht="14.5" x14ac:dyDescent="0.35">
      <c r="A3140">
        <v>3139</v>
      </c>
      <c r="B3140">
        <v>47</v>
      </c>
      <c r="C3140" t="s">
        <v>144</v>
      </c>
      <c r="D3140" t="s">
        <v>17</v>
      </c>
      <c r="E3140" t="s">
        <v>18</v>
      </c>
      <c r="F3140">
        <v>95</v>
      </c>
      <c r="G3140" t="s">
        <v>19</v>
      </c>
      <c r="H3140" t="s">
        <v>20</v>
      </c>
      <c r="I3140" t="s">
        <v>21</v>
      </c>
      <c r="J3140" t="s">
        <v>50</v>
      </c>
      <c r="K3140">
        <v>4.5999999999999996</v>
      </c>
      <c r="L3140" t="s">
        <v>143</v>
      </c>
      <c r="M3140" t="s">
        <v>143</v>
      </c>
      <c r="N3140">
        <v>40</v>
      </c>
      <c r="O3140" t="s">
        <v>29</v>
      </c>
      <c r="P3140" t="s">
        <v>88</v>
      </c>
    </row>
    <row r="3141" spans="1:16" ht="14.5" x14ac:dyDescent="0.35">
      <c r="A3141">
        <v>3140</v>
      </c>
      <c r="B3141">
        <v>35</v>
      </c>
      <c r="C3141" t="s">
        <v>144</v>
      </c>
      <c r="D3141" t="s">
        <v>80</v>
      </c>
      <c r="E3141" t="s">
        <v>60</v>
      </c>
      <c r="F3141">
        <v>85</v>
      </c>
      <c r="G3141" t="s">
        <v>133</v>
      </c>
      <c r="H3141" t="s">
        <v>39</v>
      </c>
      <c r="I3141" t="s">
        <v>69</v>
      </c>
      <c r="J3141" t="s">
        <v>22</v>
      </c>
      <c r="K3141">
        <v>4.4000000000000004</v>
      </c>
      <c r="L3141" t="s">
        <v>143</v>
      </c>
      <c r="M3141" t="s">
        <v>143</v>
      </c>
      <c r="N3141">
        <v>4</v>
      </c>
      <c r="O3141" t="s">
        <v>24</v>
      </c>
      <c r="P3141" t="s">
        <v>35</v>
      </c>
    </row>
    <row r="3142" spans="1:16" ht="14.5" x14ac:dyDescent="0.35">
      <c r="A3142">
        <v>3141</v>
      </c>
      <c r="B3142">
        <v>34</v>
      </c>
      <c r="C3142" t="s">
        <v>144</v>
      </c>
      <c r="D3142" t="s">
        <v>134</v>
      </c>
      <c r="E3142" t="s">
        <v>60</v>
      </c>
      <c r="F3142">
        <v>44</v>
      </c>
      <c r="G3142" t="s">
        <v>111</v>
      </c>
      <c r="H3142" t="s">
        <v>83</v>
      </c>
      <c r="I3142" t="s">
        <v>91</v>
      </c>
      <c r="J3142" t="s">
        <v>47</v>
      </c>
      <c r="K3142">
        <v>4.5999999999999996</v>
      </c>
      <c r="L3142" t="s">
        <v>143</v>
      </c>
      <c r="M3142" t="s">
        <v>143</v>
      </c>
      <c r="N3142">
        <v>37</v>
      </c>
      <c r="O3142" t="s">
        <v>66</v>
      </c>
      <c r="P3142" t="s">
        <v>35</v>
      </c>
    </row>
    <row r="3143" spans="1:16" ht="14.5" x14ac:dyDescent="0.35">
      <c r="A3143">
        <v>3142</v>
      </c>
      <c r="B3143">
        <v>36</v>
      </c>
      <c r="C3143" t="s">
        <v>144</v>
      </c>
      <c r="D3143" t="s">
        <v>80</v>
      </c>
      <c r="E3143" t="s">
        <v>60</v>
      </c>
      <c r="F3143">
        <v>30</v>
      </c>
      <c r="G3143" t="s">
        <v>82</v>
      </c>
      <c r="H3143" t="s">
        <v>32</v>
      </c>
      <c r="I3143" t="s">
        <v>91</v>
      </c>
      <c r="J3143" t="s">
        <v>22</v>
      </c>
      <c r="K3143">
        <v>4.9000000000000004</v>
      </c>
      <c r="L3143" t="s">
        <v>143</v>
      </c>
      <c r="M3143" t="s">
        <v>143</v>
      </c>
      <c r="N3143">
        <v>47</v>
      </c>
      <c r="O3143" t="s">
        <v>34</v>
      </c>
      <c r="P3143" t="s">
        <v>67</v>
      </c>
    </row>
    <row r="3144" spans="1:16" ht="14.5" x14ac:dyDescent="0.35">
      <c r="A3144">
        <v>3143</v>
      </c>
      <c r="B3144">
        <v>23</v>
      </c>
      <c r="C3144" t="s">
        <v>144</v>
      </c>
      <c r="D3144" t="s">
        <v>44</v>
      </c>
      <c r="E3144" t="s">
        <v>37</v>
      </c>
      <c r="F3144">
        <v>21</v>
      </c>
      <c r="G3144" t="s">
        <v>102</v>
      </c>
      <c r="H3144" t="s">
        <v>20</v>
      </c>
      <c r="I3144" t="s">
        <v>127</v>
      </c>
      <c r="J3144" t="s">
        <v>22</v>
      </c>
      <c r="K3144">
        <v>4</v>
      </c>
      <c r="L3144" t="s">
        <v>143</v>
      </c>
      <c r="M3144" t="s">
        <v>143</v>
      </c>
      <c r="N3144">
        <v>1</v>
      </c>
      <c r="O3144" t="s">
        <v>24</v>
      </c>
      <c r="P3144" t="s">
        <v>51</v>
      </c>
    </row>
    <row r="3145" spans="1:16" ht="14.5" x14ac:dyDescent="0.35">
      <c r="A3145">
        <v>3144</v>
      </c>
      <c r="B3145">
        <v>68</v>
      </c>
      <c r="C3145" t="s">
        <v>144</v>
      </c>
      <c r="D3145" t="s">
        <v>95</v>
      </c>
      <c r="E3145" t="s">
        <v>18</v>
      </c>
      <c r="F3145">
        <v>22</v>
      </c>
      <c r="G3145" t="s">
        <v>108</v>
      </c>
      <c r="H3145" t="s">
        <v>39</v>
      </c>
      <c r="I3145" t="s">
        <v>65</v>
      </c>
      <c r="J3145" t="s">
        <v>47</v>
      </c>
      <c r="K3145">
        <v>2.9</v>
      </c>
      <c r="L3145" t="s">
        <v>143</v>
      </c>
      <c r="M3145" t="s">
        <v>143</v>
      </c>
      <c r="N3145">
        <v>26</v>
      </c>
      <c r="O3145" t="s">
        <v>29</v>
      </c>
      <c r="P3145" t="s">
        <v>51</v>
      </c>
    </row>
    <row r="3146" spans="1:16" ht="14.5" x14ac:dyDescent="0.35">
      <c r="A3146">
        <v>3145</v>
      </c>
      <c r="B3146">
        <v>23</v>
      </c>
      <c r="C3146" t="s">
        <v>144</v>
      </c>
      <c r="D3146" t="s">
        <v>128</v>
      </c>
      <c r="E3146" t="s">
        <v>37</v>
      </c>
      <c r="F3146">
        <v>70</v>
      </c>
      <c r="G3146" t="s">
        <v>27</v>
      </c>
      <c r="H3146" t="s">
        <v>20</v>
      </c>
      <c r="I3146" t="s">
        <v>109</v>
      </c>
      <c r="J3146" t="s">
        <v>33</v>
      </c>
      <c r="K3146">
        <v>2.6</v>
      </c>
      <c r="L3146" t="s">
        <v>143</v>
      </c>
      <c r="M3146" t="s">
        <v>143</v>
      </c>
      <c r="N3146">
        <v>12</v>
      </c>
      <c r="O3146" t="s">
        <v>77</v>
      </c>
      <c r="P3146" t="s">
        <v>51</v>
      </c>
    </row>
    <row r="3147" spans="1:16" ht="14.5" x14ac:dyDescent="0.35">
      <c r="A3147">
        <v>3146</v>
      </c>
      <c r="B3147">
        <v>57</v>
      </c>
      <c r="C3147" t="s">
        <v>144</v>
      </c>
      <c r="D3147" t="s">
        <v>59</v>
      </c>
      <c r="E3147" t="s">
        <v>60</v>
      </c>
      <c r="F3147">
        <v>29</v>
      </c>
      <c r="G3147" t="s">
        <v>96</v>
      </c>
      <c r="H3147" t="s">
        <v>83</v>
      </c>
      <c r="I3147" t="s">
        <v>65</v>
      </c>
      <c r="J3147" t="s">
        <v>33</v>
      </c>
      <c r="K3147">
        <v>4.5999999999999996</v>
      </c>
      <c r="L3147" t="s">
        <v>143</v>
      </c>
      <c r="M3147" t="s">
        <v>143</v>
      </c>
      <c r="N3147">
        <v>16</v>
      </c>
      <c r="O3147" t="s">
        <v>40</v>
      </c>
      <c r="P3147" t="s">
        <v>25</v>
      </c>
    </row>
    <row r="3148" spans="1:16" ht="14.5" x14ac:dyDescent="0.35">
      <c r="A3148">
        <v>3147</v>
      </c>
      <c r="B3148">
        <v>21</v>
      </c>
      <c r="C3148" t="s">
        <v>144</v>
      </c>
      <c r="D3148" t="s">
        <v>48</v>
      </c>
      <c r="E3148" t="s">
        <v>18</v>
      </c>
      <c r="F3148">
        <v>83</v>
      </c>
      <c r="G3148" t="s">
        <v>132</v>
      </c>
      <c r="H3148" t="s">
        <v>32</v>
      </c>
      <c r="I3148" t="s">
        <v>125</v>
      </c>
      <c r="J3148" t="s">
        <v>22</v>
      </c>
      <c r="K3148">
        <v>4.9000000000000004</v>
      </c>
      <c r="L3148" t="s">
        <v>143</v>
      </c>
      <c r="M3148" t="s">
        <v>143</v>
      </c>
      <c r="N3148">
        <v>19</v>
      </c>
      <c r="O3148" t="s">
        <v>40</v>
      </c>
      <c r="P3148" t="s">
        <v>43</v>
      </c>
    </row>
    <row r="3149" spans="1:16" ht="14.5" x14ac:dyDescent="0.35">
      <c r="A3149">
        <v>3148</v>
      </c>
      <c r="B3149">
        <v>45</v>
      </c>
      <c r="C3149" t="s">
        <v>144</v>
      </c>
      <c r="D3149" t="s">
        <v>26</v>
      </c>
      <c r="E3149" t="s">
        <v>18</v>
      </c>
      <c r="F3149">
        <v>99</v>
      </c>
      <c r="G3149" t="s">
        <v>105</v>
      </c>
      <c r="H3149" t="s">
        <v>39</v>
      </c>
      <c r="I3149" t="s">
        <v>62</v>
      </c>
      <c r="J3149" t="s">
        <v>22</v>
      </c>
      <c r="K3149">
        <v>4.3</v>
      </c>
      <c r="L3149" t="s">
        <v>143</v>
      </c>
      <c r="M3149" t="s">
        <v>143</v>
      </c>
      <c r="N3149">
        <v>21</v>
      </c>
      <c r="O3149" t="s">
        <v>34</v>
      </c>
      <c r="P3149" t="s">
        <v>35</v>
      </c>
    </row>
    <row r="3150" spans="1:16" ht="14.5" x14ac:dyDescent="0.35">
      <c r="A3150">
        <v>3149</v>
      </c>
      <c r="B3150">
        <v>37</v>
      </c>
      <c r="C3150" t="s">
        <v>144</v>
      </c>
      <c r="D3150" t="s">
        <v>52</v>
      </c>
      <c r="E3150" t="s">
        <v>18</v>
      </c>
      <c r="F3150">
        <v>35</v>
      </c>
      <c r="G3150" t="s">
        <v>57</v>
      </c>
      <c r="H3150" t="s">
        <v>20</v>
      </c>
      <c r="I3150" t="s">
        <v>65</v>
      </c>
      <c r="J3150" t="s">
        <v>50</v>
      </c>
      <c r="K3150">
        <v>4.3</v>
      </c>
      <c r="L3150" t="s">
        <v>143</v>
      </c>
      <c r="M3150" t="s">
        <v>143</v>
      </c>
      <c r="N3150">
        <v>15</v>
      </c>
      <c r="O3150" t="s">
        <v>24</v>
      </c>
      <c r="P3150" t="s">
        <v>35</v>
      </c>
    </row>
    <row r="3151" spans="1:16" ht="14.5" x14ac:dyDescent="0.35">
      <c r="A3151">
        <v>3150</v>
      </c>
      <c r="B3151">
        <v>18</v>
      </c>
      <c r="C3151" t="s">
        <v>144</v>
      </c>
      <c r="D3151" t="s">
        <v>124</v>
      </c>
      <c r="E3151" t="s">
        <v>60</v>
      </c>
      <c r="F3151">
        <v>40</v>
      </c>
      <c r="G3151" t="s">
        <v>89</v>
      </c>
      <c r="H3151" t="s">
        <v>39</v>
      </c>
      <c r="I3151" t="s">
        <v>84</v>
      </c>
      <c r="J3151" t="s">
        <v>22</v>
      </c>
      <c r="K3151">
        <v>4.5999999999999996</v>
      </c>
      <c r="L3151" t="s">
        <v>143</v>
      </c>
      <c r="M3151" t="s">
        <v>143</v>
      </c>
      <c r="N3151">
        <v>9</v>
      </c>
      <c r="O3151" t="s">
        <v>24</v>
      </c>
      <c r="P3151" t="s">
        <v>43</v>
      </c>
    </row>
    <row r="3152" spans="1:16" ht="14.5" x14ac:dyDescent="0.35">
      <c r="A3152">
        <v>3151</v>
      </c>
      <c r="B3152">
        <v>55</v>
      </c>
      <c r="C3152" t="s">
        <v>144</v>
      </c>
      <c r="D3152" t="s">
        <v>17</v>
      </c>
      <c r="E3152" t="s">
        <v>18</v>
      </c>
      <c r="F3152">
        <v>25</v>
      </c>
      <c r="G3152" t="s">
        <v>133</v>
      </c>
      <c r="H3152" t="s">
        <v>39</v>
      </c>
      <c r="I3152" t="s">
        <v>91</v>
      </c>
      <c r="J3152" t="s">
        <v>33</v>
      </c>
      <c r="K3152">
        <v>2.6</v>
      </c>
      <c r="L3152" t="s">
        <v>143</v>
      </c>
      <c r="M3152" t="s">
        <v>143</v>
      </c>
      <c r="N3152">
        <v>7</v>
      </c>
      <c r="O3152" t="s">
        <v>66</v>
      </c>
      <c r="P3152" t="s">
        <v>67</v>
      </c>
    </row>
    <row r="3153" spans="1:16" ht="14.5" x14ac:dyDescent="0.35">
      <c r="A3153">
        <v>3152</v>
      </c>
      <c r="B3153">
        <v>52</v>
      </c>
      <c r="C3153" t="s">
        <v>144</v>
      </c>
      <c r="D3153" t="s">
        <v>104</v>
      </c>
      <c r="E3153" t="s">
        <v>18</v>
      </c>
      <c r="F3153">
        <v>64</v>
      </c>
      <c r="G3153" t="s">
        <v>121</v>
      </c>
      <c r="H3153" t="s">
        <v>20</v>
      </c>
      <c r="I3153" t="s">
        <v>112</v>
      </c>
      <c r="J3153" t="s">
        <v>50</v>
      </c>
      <c r="K3153">
        <v>3.1</v>
      </c>
      <c r="L3153" t="s">
        <v>143</v>
      </c>
      <c r="M3153" t="s">
        <v>143</v>
      </c>
      <c r="N3153">
        <v>47</v>
      </c>
      <c r="O3153" t="s">
        <v>66</v>
      </c>
      <c r="P3153" t="s">
        <v>51</v>
      </c>
    </row>
    <row r="3154" spans="1:16" ht="14.5" x14ac:dyDescent="0.35">
      <c r="A3154">
        <v>3153</v>
      </c>
      <c r="B3154">
        <v>49</v>
      </c>
      <c r="C3154" t="s">
        <v>144</v>
      </c>
      <c r="D3154" t="s">
        <v>124</v>
      </c>
      <c r="E3154" t="s">
        <v>60</v>
      </c>
      <c r="F3154">
        <v>90</v>
      </c>
      <c r="G3154" t="s">
        <v>89</v>
      </c>
      <c r="H3154" t="s">
        <v>39</v>
      </c>
      <c r="I3154" t="s">
        <v>99</v>
      </c>
      <c r="J3154" t="s">
        <v>50</v>
      </c>
      <c r="K3154">
        <v>3.1</v>
      </c>
      <c r="L3154" t="s">
        <v>143</v>
      </c>
      <c r="M3154" t="s">
        <v>143</v>
      </c>
      <c r="N3154">
        <v>17</v>
      </c>
      <c r="O3154" t="s">
        <v>40</v>
      </c>
      <c r="P3154" t="s">
        <v>79</v>
      </c>
    </row>
    <row r="3155" spans="1:16" ht="14.5" x14ac:dyDescent="0.35">
      <c r="A3155">
        <v>3154</v>
      </c>
      <c r="B3155">
        <v>56</v>
      </c>
      <c r="C3155" t="s">
        <v>144</v>
      </c>
      <c r="D3155" t="s">
        <v>116</v>
      </c>
      <c r="E3155" t="s">
        <v>18</v>
      </c>
      <c r="F3155">
        <v>88</v>
      </c>
      <c r="G3155" t="s">
        <v>81</v>
      </c>
      <c r="H3155" t="s">
        <v>20</v>
      </c>
      <c r="I3155" t="s">
        <v>99</v>
      </c>
      <c r="J3155" t="s">
        <v>50</v>
      </c>
      <c r="K3155">
        <v>3.1</v>
      </c>
      <c r="L3155" t="s">
        <v>143</v>
      </c>
      <c r="M3155" t="s">
        <v>143</v>
      </c>
      <c r="N3155">
        <v>46</v>
      </c>
      <c r="O3155" t="s">
        <v>24</v>
      </c>
      <c r="P3155" t="s">
        <v>25</v>
      </c>
    </row>
    <row r="3156" spans="1:16" ht="14.5" x14ac:dyDescent="0.35">
      <c r="A3156">
        <v>3155</v>
      </c>
      <c r="B3156">
        <v>27</v>
      </c>
      <c r="C3156" t="s">
        <v>144</v>
      </c>
      <c r="D3156" t="s">
        <v>124</v>
      </c>
      <c r="E3156" t="s">
        <v>60</v>
      </c>
      <c r="F3156">
        <v>55</v>
      </c>
      <c r="G3156" t="s">
        <v>130</v>
      </c>
      <c r="H3156" t="s">
        <v>39</v>
      </c>
      <c r="I3156" t="s">
        <v>71</v>
      </c>
      <c r="J3156" t="s">
        <v>22</v>
      </c>
      <c r="K3156">
        <v>4.4000000000000004</v>
      </c>
      <c r="L3156" t="s">
        <v>143</v>
      </c>
      <c r="M3156" t="s">
        <v>143</v>
      </c>
      <c r="N3156">
        <v>32</v>
      </c>
      <c r="O3156" t="s">
        <v>29</v>
      </c>
      <c r="P3156" t="s">
        <v>51</v>
      </c>
    </row>
    <row r="3157" spans="1:16" ht="14.5" x14ac:dyDescent="0.35">
      <c r="A3157">
        <v>3156</v>
      </c>
      <c r="B3157">
        <v>22</v>
      </c>
      <c r="C3157" t="s">
        <v>144</v>
      </c>
      <c r="D3157" t="s">
        <v>59</v>
      </c>
      <c r="E3157" t="s">
        <v>60</v>
      </c>
      <c r="F3157">
        <v>90</v>
      </c>
      <c r="G3157" t="s">
        <v>49</v>
      </c>
      <c r="H3157" t="s">
        <v>39</v>
      </c>
      <c r="I3157" t="s">
        <v>101</v>
      </c>
      <c r="J3157" t="s">
        <v>50</v>
      </c>
      <c r="K3157">
        <v>4.3</v>
      </c>
      <c r="L3157" t="s">
        <v>143</v>
      </c>
      <c r="M3157" t="s">
        <v>143</v>
      </c>
      <c r="N3157">
        <v>34</v>
      </c>
      <c r="O3157" t="s">
        <v>29</v>
      </c>
      <c r="P3157" t="s">
        <v>43</v>
      </c>
    </row>
    <row r="3158" spans="1:16" ht="14.5" x14ac:dyDescent="0.35">
      <c r="A3158">
        <v>3157</v>
      </c>
      <c r="B3158">
        <v>18</v>
      </c>
      <c r="C3158" t="s">
        <v>144</v>
      </c>
      <c r="D3158" t="s">
        <v>48</v>
      </c>
      <c r="E3158" t="s">
        <v>18</v>
      </c>
      <c r="F3158">
        <v>50</v>
      </c>
      <c r="G3158" t="s">
        <v>49</v>
      </c>
      <c r="H3158" t="s">
        <v>39</v>
      </c>
      <c r="I3158" t="s">
        <v>85</v>
      </c>
      <c r="J3158" t="s">
        <v>22</v>
      </c>
      <c r="K3158">
        <v>3.1</v>
      </c>
      <c r="L3158" t="s">
        <v>143</v>
      </c>
      <c r="M3158" t="s">
        <v>143</v>
      </c>
      <c r="N3158">
        <v>18</v>
      </c>
      <c r="O3158" t="s">
        <v>29</v>
      </c>
      <c r="P3158" t="s">
        <v>79</v>
      </c>
    </row>
    <row r="3159" spans="1:16" ht="14.5" x14ac:dyDescent="0.35">
      <c r="A3159">
        <v>3158</v>
      </c>
      <c r="B3159">
        <v>21</v>
      </c>
      <c r="C3159" t="s">
        <v>144</v>
      </c>
      <c r="D3159" t="s">
        <v>124</v>
      </c>
      <c r="E3159" t="s">
        <v>60</v>
      </c>
      <c r="F3159">
        <v>34</v>
      </c>
      <c r="G3159" t="s">
        <v>27</v>
      </c>
      <c r="H3159" t="s">
        <v>20</v>
      </c>
      <c r="I3159" t="s">
        <v>99</v>
      </c>
      <c r="J3159" t="s">
        <v>50</v>
      </c>
      <c r="K3159">
        <v>3.1</v>
      </c>
      <c r="L3159" t="s">
        <v>143</v>
      </c>
      <c r="M3159" t="s">
        <v>143</v>
      </c>
      <c r="N3159">
        <v>5</v>
      </c>
      <c r="O3159" t="s">
        <v>77</v>
      </c>
      <c r="P3159" t="s">
        <v>25</v>
      </c>
    </row>
    <row r="3160" spans="1:16" ht="14.5" x14ac:dyDescent="0.35">
      <c r="A3160">
        <v>3159</v>
      </c>
      <c r="B3160">
        <v>30</v>
      </c>
      <c r="C3160" t="s">
        <v>144</v>
      </c>
      <c r="D3160" t="s">
        <v>97</v>
      </c>
      <c r="E3160" t="s">
        <v>60</v>
      </c>
      <c r="F3160">
        <v>77</v>
      </c>
      <c r="G3160" t="s">
        <v>82</v>
      </c>
      <c r="H3160" t="s">
        <v>39</v>
      </c>
      <c r="I3160" t="s">
        <v>21</v>
      </c>
      <c r="J3160" t="s">
        <v>22</v>
      </c>
      <c r="K3160">
        <v>4.9000000000000004</v>
      </c>
      <c r="L3160" t="s">
        <v>143</v>
      </c>
      <c r="M3160" t="s">
        <v>143</v>
      </c>
      <c r="N3160">
        <v>44</v>
      </c>
      <c r="O3160" t="s">
        <v>34</v>
      </c>
      <c r="P3160" t="s">
        <v>79</v>
      </c>
    </row>
    <row r="3161" spans="1:16" ht="14.5" x14ac:dyDescent="0.35">
      <c r="A3161">
        <v>3160</v>
      </c>
      <c r="B3161">
        <v>62</v>
      </c>
      <c r="C3161" t="s">
        <v>144</v>
      </c>
      <c r="D3161" t="s">
        <v>115</v>
      </c>
      <c r="E3161" t="s">
        <v>60</v>
      </c>
      <c r="F3161">
        <v>89</v>
      </c>
      <c r="G3161" t="s">
        <v>53</v>
      </c>
      <c r="H3161" t="s">
        <v>20</v>
      </c>
      <c r="I3161" t="s">
        <v>62</v>
      </c>
      <c r="J3161" t="s">
        <v>22</v>
      </c>
      <c r="K3161">
        <v>2.9</v>
      </c>
      <c r="L3161" t="s">
        <v>143</v>
      </c>
      <c r="M3161" t="s">
        <v>143</v>
      </c>
      <c r="N3161">
        <v>4</v>
      </c>
      <c r="O3161" t="s">
        <v>66</v>
      </c>
      <c r="P3161" t="s">
        <v>51</v>
      </c>
    </row>
    <row r="3162" spans="1:16" ht="14.5" x14ac:dyDescent="0.35">
      <c r="A3162">
        <v>3161</v>
      </c>
      <c r="B3162">
        <v>28</v>
      </c>
      <c r="C3162" t="s">
        <v>144</v>
      </c>
      <c r="D3162" t="s">
        <v>123</v>
      </c>
      <c r="E3162" t="s">
        <v>60</v>
      </c>
      <c r="F3162">
        <v>87</v>
      </c>
      <c r="G3162" t="s">
        <v>136</v>
      </c>
      <c r="H3162" t="s">
        <v>83</v>
      </c>
      <c r="I3162" t="s">
        <v>42</v>
      </c>
      <c r="J3162" t="s">
        <v>50</v>
      </c>
      <c r="K3162">
        <v>3.8</v>
      </c>
      <c r="L3162" t="s">
        <v>143</v>
      </c>
      <c r="M3162" t="s">
        <v>143</v>
      </c>
      <c r="N3162">
        <v>37</v>
      </c>
      <c r="O3162" t="s">
        <v>29</v>
      </c>
      <c r="P3162" t="s">
        <v>25</v>
      </c>
    </row>
    <row r="3163" spans="1:16" ht="14.5" x14ac:dyDescent="0.35">
      <c r="A3163">
        <v>3162</v>
      </c>
      <c r="B3163">
        <v>66</v>
      </c>
      <c r="C3163" t="s">
        <v>144</v>
      </c>
      <c r="D3163" t="s">
        <v>72</v>
      </c>
      <c r="E3163" t="s">
        <v>18</v>
      </c>
      <c r="F3163">
        <v>77</v>
      </c>
      <c r="G3163" t="s">
        <v>31</v>
      </c>
      <c r="H3163" t="s">
        <v>32</v>
      </c>
      <c r="I3163" t="s">
        <v>54</v>
      </c>
      <c r="J3163" t="s">
        <v>22</v>
      </c>
      <c r="K3163">
        <v>4.2</v>
      </c>
      <c r="L3163" t="s">
        <v>143</v>
      </c>
      <c r="M3163" t="s">
        <v>143</v>
      </c>
      <c r="N3163">
        <v>43</v>
      </c>
      <c r="O3163" t="s">
        <v>29</v>
      </c>
      <c r="P3163" t="s">
        <v>79</v>
      </c>
    </row>
    <row r="3164" spans="1:16" ht="14.5" x14ac:dyDescent="0.35">
      <c r="A3164">
        <v>3163</v>
      </c>
      <c r="B3164">
        <v>66</v>
      </c>
      <c r="C3164" t="s">
        <v>144</v>
      </c>
      <c r="D3164" t="s">
        <v>63</v>
      </c>
      <c r="E3164" t="s">
        <v>37</v>
      </c>
      <c r="F3164">
        <v>85</v>
      </c>
      <c r="G3164" t="s">
        <v>141</v>
      </c>
      <c r="H3164" t="s">
        <v>20</v>
      </c>
      <c r="I3164" t="s">
        <v>135</v>
      </c>
      <c r="J3164" t="s">
        <v>22</v>
      </c>
      <c r="K3164">
        <v>3.9</v>
      </c>
      <c r="L3164" t="s">
        <v>143</v>
      </c>
      <c r="M3164" t="s">
        <v>143</v>
      </c>
      <c r="N3164">
        <v>28</v>
      </c>
      <c r="O3164" t="s">
        <v>66</v>
      </c>
      <c r="P3164" t="s">
        <v>51</v>
      </c>
    </row>
    <row r="3165" spans="1:16" ht="14.5" x14ac:dyDescent="0.35">
      <c r="A3165">
        <v>3164</v>
      </c>
      <c r="B3165">
        <v>49</v>
      </c>
      <c r="C3165" t="s">
        <v>144</v>
      </c>
      <c r="D3165" t="s">
        <v>86</v>
      </c>
      <c r="E3165" t="s">
        <v>18</v>
      </c>
      <c r="F3165">
        <v>66</v>
      </c>
      <c r="G3165" t="s">
        <v>136</v>
      </c>
      <c r="H3165" t="s">
        <v>83</v>
      </c>
      <c r="I3165" t="s">
        <v>42</v>
      </c>
      <c r="J3165" t="s">
        <v>47</v>
      </c>
      <c r="K3165">
        <v>2.8</v>
      </c>
      <c r="L3165" t="s">
        <v>143</v>
      </c>
      <c r="M3165" t="s">
        <v>143</v>
      </c>
      <c r="N3165">
        <v>36</v>
      </c>
      <c r="O3165" t="s">
        <v>29</v>
      </c>
      <c r="P3165" t="s">
        <v>79</v>
      </c>
    </row>
    <row r="3166" spans="1:16" ht="14.5" x14ac:dyDescent="0.35">
      <c r="A3166">
        <v>3165</v>
      </c>
      <c r="B3166">
        <v>40</v>
      </c>
      <c r="C3166" t="s">
        <v>144</v>
      </c>
      <c r="D3166" t="s">
        <v>72</v>
      </c>
      <c r="E3166" t="s">
        <v>18</v>
      </c>
      <c r="F3166">
        <v>32</v>
      </c>
      <c r="G3166" t="s">
        <v>108</v>
      </c>
      <c r="H3166" t="s">
        <v>20</v>
      </c>
      <c r="I3166" t="s">
        <v>58</v>
      </c>
      <c r="J3166" t="s">
        <v>22</v>
      </c>
      <c r="K3166">
        <v>2.6</v>
      </c>
      <c r="L3166" t="s">
        <v>143</v>
      </c>
      <c r="M3166" t="s">
        <v>143</v>
      </c>
      <c r="N3166">
        <v>16</v>
      </c>
      <c r="O3166" t="s">
        <v>34</v>
      </c>
      <c r="P3166" t="s">
        <v>43</v>
      </c>
    </row>
    <row r="3167" spans="1:16" ht="14.5" x14ac:dyDescent="0.35">
      <c r="A3167">
        <v>3166</v>
      </c>
      <c r="B3167">
        <v>49</v>
      </c>
      <c r="C3167" t="s">
        <v>144</v>
      </c>
      <c r="D3167" t="s">
        <v>93</v>
      </c>
      <c r="E3167" t="s">
        <v>56</v>
      </c>
      <c r="F3167">
        <v>92</v>
      </c>
      <c r="G3167" t="s">
        <v>68</v>
      </c>
      <c r="H3167" t="s">
        <v>39</v>
      </c>
      <c r="I3167" t="s">
        <v>84</v>
      </c>
      <c r="J3167" t="s">
        <v>33</v>
      </c>
      <c r="K3167">
        <v>3</v>
      </c>
      <c r="L3167" t="s">
        <v>143</v>
      </c>
      <c r="M3167" t="s">
        <v>143</v>
      </c>
      <c r="N3167">
        <v>38</v>
      </c>
      <c r="O3167" t="s">
        <v>66</v>
      </c>
      <c r="P3167" t="s">
        <v>88</v>
      </c>
    </row>
    <row r="3168" spans="1:16" ht="14.5" x14ac:dyDescent="0.35">
      <c r="A3168">
        <v>3167</v>
      </c>
      <c r="B3168">
        <v>19</v>
      </c>
      <c r="C3168" t="s">
        <v>144</v>
      </c>
      <c r="D3168" t="s">
        <v>48</v>
      </c>
      <c r="E3168" t="s">
        <v>18</v>
      </c>
      <c r="F3168">
        <v>80</v>
      </c>
      <c r="G3168" t="s">
        <v>133</v>
      </c>
      <c r="H3168" t="s">
        <v>39</v>
      </c>
      <c r="I3168" t="s">
        <v>71</v>
      </c>
      <c r="J3168" t="s">
        <v>22</v>
      </c>
      <c r="K3168">
        <v>2.7</v>
      </c>
      <c r="L3168" t="s">
        <v>143</v>
      </c>
      <c r="M3168" t="s">
        <v>143</v>
      </c>
      <c r="N3168">
        <v>37</v>
      </c>
      <c r="O3168" t="s">
        <v>66</v>
      </c>
      <c r="P3168" t="s">
        <v>25</v>
      </c>
    </row>
    <row r="3169" spans="1:16" ht="14.5" x14ac:dyDescent="0.35">
      <c r="A3169">
        <v>3168</v>
      </c>
      <c r="B3169">
        <v>24</v>
      </c>
      <c r="C3169" t="s">
        <v>144</v>
      </c>
      <c r="D3169" t="s">
        <v>72</v>
      </c>
      <c r="E3169" t="s">
        <v>18</v>
      </c>
      <c r="F3169">
        <v>78</v>
      </c>
      <c r="G3169" t="s">
        <v>41</v>
      </c>
      <c r="H3169" t="s">
        <v>39</v>
      </c>
      <c r="I3169" t="s">
        <v>135</v>
      </c>
      <c r="J3169" t="s">
        <v>50</v>
      </c>
      <c r="K3169">
        <v>2.8</v>
      </c>
      <c r="L3169" t="s">
        <v>143</v>
      </c>
      <c r="M3169" t="s">
        <v>143</v>
      </c>
      <c r="N3169">
        <v>9</v>
      </c>
      <c r="O3169" t="s">
        <v>29</v>
      </c>
      <c r="P3169" t="s">
        <v>67</v>
      </c>
    </row>
    <row r="3170" spans="1:16" ht="14.5" x14ac:dyDescent="0.35">
      <c r="A3170">
        <v>3169</v>
      </c>
      <c r="B3170">
        <v>31</v>
      </c>
      <c r="C3170" t="s">
        <v>144</v>
      </c>
      <c r="D3170" t="s">
        <v>30</v>
      </c>
      <c r="E3170" t="s">
        <v>18</v>
      </c>
      <c r="F3170">
        <v>24</v>
      </c>
      <c r="G3170" t="s">
        <v>49</v>
      </c>
      <c r="H3170" t="s">
        <v>39</v>
      </c>
      <c r="I3170" t="s">
        <v>112</v>
      </c>
      <c r="J3170" t="s">
        <v>33</v>
      </c>
      <c r="K3170">
        <v>2.9</v>
      </c>
      <c r="L3170" t="s">
        <v>143</v>
      </c>
      <c r="M3170" t="s">
        <v>143</v>
      </c>
      <c r="N3170">
        <v>14</v>
      </c>
      <c r="O3170" t="s">
        <v>40</v>
      </c>
      <c r="P3170" t="s">
        <v>25</v>
      </c>
    </row>
    <row r="3171" spans="1:16" ht="14.5" x14ac:dyDescent="0.35">
      <c r="A3171">
        <v>3170</v>
      </c>
      <c r="B3171">
        <v>35</v>
      </c>
      <c r="C3171" t="s">
        <v>144</v>
      </c>
      <c r="D3171" t="s">
        <v>104</v>
      </c>
      <c r="E3171" t="s">
        <v>18</v>
      </c>
      <c r="F3171">
        <v>59</v>
      </c>
      <c r="G3171" t="s">
        <v>133</v>
      </c>
      <c r="H3171" t="s">
        <v>39</v>
      </c>
      <c r="I3171" t="s">
        <v>46</v>
      </c>
      <c r="J3171" t="s">
        <v>50</v>
      </c>
      <c r="K3171">
        <v>3.8</v>
      </c>
      <c r="L3171" t="s">
        <v>143</v>
      </c>
      <c r="M3171" t="s">
        <v>143</v>
      </c>
      <c r="N3171">
        <v>3</v>
      </c>
      <c r="O3171" t="s">
        <v>24</v>
      </c>
      <c r="P3171" t="s">
        <v>35</v>
      </c>
    </row>
    <row r="3172" spans="1:16" ht="14.5" x14ac:dyDescent="0.35">
      <c r="A3172">
        <v>3171</v>
      </c>
      <c r="B3172">
        <v>65</v>
      </c>
      <c r="C3172" t="s">
        <v>144</v>
      </c>
      <c r="D3172" t="s">
        <v>80</v>
      </c>
      <c r="E3172" t="s">
        <v>60</v>
      </c>
      <c r="F3172">
        <v>41</v>
      </c>
      <c r="G3172" t="s">
        <v>38</v>
      </c>
      <c r="H3172" t="s">
        <v>83</v>
      </c>
      <c r="I3172" t="s">
        <v>54</v>
      </c>
      <c r="J3172" t="s">
        <v>33</v>
      </c>
      <c r="K3172">
        <v>4.4000000000000004</v>
      </c>
      <c r="L3172" t="s">
        <v>143</v>
      </c>
      <c r="M3172" t="s">
        <v>143</v>
      </c>
      <c r="N3172">
        <v>10</v>
      </c>
      <c r="O3172" t="s">
        <v>34</v>
      </c>
      <c r="P3172" t="s">
        <v>25</v>
      </c>
    </row>
    <row r="3173" spans="1:16" ht="14.5" x14ac:dyDescent="0.35">
      <c r="A3173">
        <v>3172</v>
      </c>
      <c r="B3173">
        <v>68</v>
      </c>
      <c r="C3173" t="s">
        <v>144</v>
      </c>
      <c r="D3173" t="s">
        <v>97</v>
      </c>
      <c r="E3173" t="s">
        <v>60</v>
      </c>
      <c r="F3173">
        <v>26</v>
      </c>
      <c r="G3173" t="s">
        <v>113</v>
      </c>
      <c r="H3173" t="s">
        <v>39</v>
      </c>
      <c r="I3173" t="s">
        <v>28</v>
      </c>
      <c r="J3173" t="s">
        <v>33</v>
      </c>
      <c r="K3173">
        <v>3.1</v>
      </c>
      <c r="L3173" t="s">
        <v>143</v>
      </c>
      <c r="M3173" t="s">
        <v>143</v>
      </c>
      <c r="N3173">
        <v>26</v>
      </c>
      <c r="O3173" t="s">
        <v>66</v>
      </c>
      <c r="P3173" t="s">
        <v>67</v>
      </c>
    </row>
    <row r="3174" spans="1:16" ht="14.5" x14ac:dyDescent="0.35">
      <c r="A3174">
        <v>3173</v>
      </c>
      <c r="B3174">
        <v>57</v>
      </c>
      <c r="C3174" t="s">
        <v>144</v>
      </c>
      <c r="D3174" t="s">
        <v>116</v>
      </c>
      <c r="E3174" t="s">
        <v>18</v>
      </c>
      <c r="F3174">
        <v>52</v>
      </c>
      <c r="G3174" t="s">
        <v>61</v>
      </c>
      <c r="H3174" t="s">
        <v>39</v>
      </c>
      <c r="I3174" t="s">
        <v>69</v>
      </c>
      <c r="J3174" t="s">
        <v>50</v>
      </c>
      <c r="K3174">
        <v>3.7</v>
      </c>
      <c r="L3174" t="s">
        <v>143</v>
      </c>
      <c r="M3174" t="s">
        <v>143</v>
      </c>
      <c r="N3174">
        <v>30</v>
      </c>
      <c r="O3174" t="s">
        <v>77</v>
      </c>
      <c r="P3174" t="s">
        <v>67</v>
      </c>
    </row>
    <row r="3175" spans="1:16" ht="14.5" x14ac:dyDescent="0.35">
      <c r="A3175">
        <v>3174</v>
      </c>
      <c r="B3175">
        <v>69</v>
      </c>
      <c r="C3175" t="s">
        <v>144</v>
      </c>
      <c r="D3175" t="s">
        <v>78</v>
      </c>
      <c r="E3175" t="s">
        <v>18</v>
      </c>
      <c r="F3175">
        <v>46</v>
      </c>
      <c r="G3175" t="s">
        <v>140</v>
      </c>
      <c r="H3175" t="s">
        <v>20</v>
      </c>
      <c r="I3175" t="s">
        <v>76</v>
      </c>
      <c r="J3175" t="s">
        <v>47</v>
      </c>
      <c r="K3175">
        <v>4.9000000000000004</v>
      </c>
      <c r="L3175" t="s">
        <v>143</v>
      </c>
      <c r="M3175" t="s">
        <v>143</v>
      </c>
      <c r="N3175">
        <v>32</v>
      </c>
      <c r="O3175" t="s">
        <v>40</v>
      </c>
      <c r="P3175" t="s">
        <v>25</v>
      </c>
    </row>
    <row r="3176" spans="1:16" ht="14.5" x14ac:dyDescent="0.35">
      <c r="A3176">
        <v>3175</v>
      </c>
      <c r="B3176">
        <v>45</v>
      </c>
      <c r="C3176" t="s">
        <v>144</v>
      </c>
      <c r="D3176" t="s">
        <v>86</v>
      </c>
      <c r="E3176" t="s">
        <v>18</v>
      </c>
      <c r="F3176">
        <v>52</v>
      </c>
      <c r="G3176" t="s">
        <v>92</v>
      </c>
      <c r="H3176" t="s">
        <v>20</v>
      </c>
      <c r="I3176" t="s">
        <v>112</v>
      </c>
      <c r="J3176" t="s">
        <v>22</v>
      </c>
      <c r="K3176">
        <v>3.8</v>
      </c>
      <c r="L3176" t="s">
        <v>143</v>
      </c>
      <c r="M3176" t="s">
        <v>143</v>
      </c>
      <c r="N3176">
        <v>35</v>
      </c>
      <c r="O3176" t="s">
        <v>40</v>
      </c>
      <c r="P3176" t="s">
        <v>79</v>
      </c>
    </row>
    <row r="3177" spans="1:16" ht="14.5" x14ac:dyDescent="0.35">
      <c r="A3177">
        <v>3176</v>
      </c>
      <c r="B3177">
        <v>35</v>
      </c>
      <c r="C3177" t="s">
        <v>144</v>
      </c>
      <c r="D3177" t="s">
        <v>116</v>
      </c>
      <c r="E3177" t="s">
        <v>18</v>
      </c>
      <c r="F3177">
        <v>42</v>
      </c>
      <c r="G3177" t="s">
        <v>130</v>
      </c>
      <c r="H3177" t="s">
        <v>39</v>
      </c>
      <c r="I3177" t="s">
        <v>28</v>
      </c>
      <c r="J3177" t="s">
        <v>50</v>
      </c>
      <c r="K3177">
        <v>3.4</v>
      </c>
      <c r="L3177" t="s">
        <v>143</v>
      </c>
      <c r="M3177" t="s">
        <v>143</v>
      </c>
      <c r="N3177">
        <v>26</v>
      </c>
      <c r="O3177" t="s">
        <v>77</v>
      </c>
      <c r="P3177" t="s">
        <v>88</v>
      </c>
    </row>
    <row r="3178" spans="1:16" ht="14.5" x14ac:dyDescent="0.35">
      <c r="A3178">
        <v>3177</v>
      </c>
      <c r="B3178">
        <v>36</v>
      </c>
      <c r="C3178" t="s">
        <v>144</v>
      </c>
      <c r="D3178" t="s">
        <v>36</v>
      </c>
      <c r="E3178" t="s">
        <v>37</v>
      </c>
      <c r="F3178">
        <v>37</v>
      </c>
      <c r="G3178" t="s">
        <v>64</v>
      </c>
      <c r="H3178" t="s">
        <v>83</v>
      </c>
      <c r="I3178" t="s">
        <v>42</v>
      </c>
      <c r="J3178" t="s">
        <v>33</v>
      </c>
      <c r="K3178">
        <v>4.5999999999999996</v>
      </c>
      <c r="L3178" t="s">
        <v>143</v>
      </c>
      <c r="M3178" t="s">
        <v>143</v>
      </c>
      <c r="N3178">
        <v>39</v>
      </c>
      <c r="O3178" t="s">
        <v>34</v>
      </c>
      <c r="P3178" t="s">
        <v>79</v>
      </c>
    </row>
    <row r="3179" spans="1:16" ht="14.5" x14ac:dyDescent="0.35">
      <c r="A3179">
        <v>3178</v>
      </c>
      <c r="B3179">
        <v>55</v>
      </c>
      <c r="C3179" t="s">
        <v>144</v>
      </c>
      <c r="D3179" t="s">
        <v>124</v>
      </c>
      <c r="E3179" t="s">
        <v>60</v>
      </c>
      <c r="F3179">
        <v>52</v>
      </c>
      <c r="G3179" t="s">
        <v>61</v>
      </c>
      <c r="H3179" t="s">
        <v>20</v>
      </c>
      <c r="I3179" t="s">
        <v>109</v>
      </c>
      <c r="J3179" t="s">
        <v>50</v>
      </c>
      <c r="K3179">
        <v>3.2</v>
      </c>
      <c r="L3179" t="s">
        <v>143</v>
      </c>
      <c r="M3179" t="s">
        <v>143</v>
      </c>
      <c r="N3179">
        <v>31</v>
      </c>
      <c r="O3179" t="s">
        <v>34</v>
      </c>
      <c r="P3179" t="s">
        <v>79</v>
      </c>
    </row>
    <row r="3180" spans="1:16" ht="14.5" x14ac:dyDescent="0.35">
      <c r="A3180">
        <v>3179</v>
      </c>
      <c r="B3180">
        <v>66</v>
      </c>
      <c r="C3180" t="s">
        <v>144</v>
      </c>
      <c r="D3180" t="s">
        <v>36</v>
      </c>
      <c r="E3180" t="s">
        <v>37</v>
      </c>
      <c r="F3180">
        <v>34</v>
      </c>
      <c r="G3180" t="s">
        <v>140</v>
      </c>
      <c r="H3180" t="s">
        <v>20</v>
      </c>
      <c r="I3180" t="s">
        <v>109</v>
      </c>
      <c r="J3180" t="s">
        <v>33</v>
      </c>
      <c r="K3180">
        <v>2.7</v>
      </c>
      <c r="L3180" t="s">
        <v>143</v>
      </c>
      <c r="M3180" t="s">
        <v>143</v>
      </c>
      <c r="N3180">
        <v>28</v>
      </c>
      <c r="O3180" t="s">
        <v>34</v>
      </c>
      <c r="P3180" t="s">
        <v>43</v>
      </c>
    </row>
    <row r="3181" spans="1:16" ht="14.5" x14ac:dyDescent="0.35">
      <c r="A3181">
        <v>3180</v>
      </c>
      <c r="B3181">
        <v>57</v>
      </c>
      <c r="C3181" t="s">
        <v>144</v>
      </c>
      <c r="D3181" t="s">
        <v>52</v>
      </c>
      <c r="E3181" t="s">
        <v>18</v>
      </c>
      <c r="F3181">
        <v>88</v>
      </c>
      <c r="G3181" t="s">
        <v>126</v>
      </c>
      <c r="H3181" t="s">
        <v>39</v>
      </c>
      <c r="I3181" t="s">
        <v>69</v>
      </c>
      <c r="J3181" t="s">
        <v>33</v>
      </c>
      <c r="K3181">
        <v>4.3</v>
      </c>
      <c r="L3181" t="s">
        <v>143</v>
      </c>
      <c r="M3181" t="s">
        <v>143</v>
      </c>
      <c r="N3181">
        <v>12</v>
      </c>
      <c r="O3181" t="s">
        <v>77</v>
      </c>
      <c r="P3181" t="s">
        <v>67</v>
      </c>
    </row>
    <row r="3182" spans="1:16" ht="14.5" x14ac:dyDescent="0.35">
      <c r="A3182">
        <v>3181</v>
      </c>
      <c r="B3182">
        <v>18</v>
      </c>
      <c r="C3182" t="s">
        <v>144</v>
      </c>
      <c r="D3182" t="s">
        <v>59</v>
      </c>
      <c r="E3182" t="s">
        <v>60</v>
      </c>
      <c r="F3182">
        <v>88</v>
      </c>
      <c r="G3182" t="s">
        <v>49</v>
      </c>
      <c r="H3182" t="s">
        <v>20</v>
      </c>
      <c r="I3182" t="s">
        <v>42</v>
      </c>
      <c r="J3182" t="s">
        <v>50</v>
      </c>
      <c r="K3182">
        <v>3.8</v>
      </c>
      <c r="L3182" t="s">
        <v>143</v>
      </c>
      <c r="M3182" t="s">
        <v>143</v>
      </c>
      <c r="N3182">
        <v>46</v>
      </c>
      <c r="O3182" t="s">
        <v>40</v>
      </c>
      <c r="P3182" t="s">
        <v>35</v>
      </c>
    </row>
    <row r="3183" spans="1:16" ht="14.5" x14ac:dyDescent="0.35">
      <c r="A3183">
        <v>3182</v>
      </c>
      <c r="B3183">
        <v>31</v>
      </c>
      <c r="C3183" t="s">
        <v>144</v>
      </c>
      <c r="D3183" t="s">
        <v>93</v>
      </c>
      <c r="E3183" t="s">
        <v>56</v>
      </c>
      <c r="F3183">
        <v>51</v>
      </c>
      <c r="G3183" t="s">
        <v>49</v>
      </c>
      <c r="H3183" t="s">
        <v>39</v>
      </c>
      <c r="I3183" t="s">
        <v>54</v>
      </c>
      <c r="J3183" t="s">
        <v>47</v>
      </c>
      <c r="K3183">
        <v>4.4000000000000004</v>
      </c>
      <c r="L3183" t="s">
        <v>143</v>
      </c>
      <c r="M3183" t="s">
        <v>143</v>
      </c>
      <c r="N3183">
        <v>27</v>
      </c>
      <c r="O3183" t="s">
        <v>40</v>
      </c>
      <c r="P3183" t="s">
        <v>88</v>
      </c>
    </row>
    <row r="3184" spans="1:16" ht="14.5" x14ac:dyDescent="0.35">
      <c r="A3184">
        <v>3183</v>
      </c>
      <c r="B3184">
        <v>50</v>
      </c>
      <c r="C3184" t="s">
        <v>144</v>
      </c>
      <c r="D3184" t="s">
        <v>80</v>
      </c>
      <c r="E3184" t="s">
        <v>60</v>
      </c>
      <c r="F3184">
        <v>97</v>
      </c>
      <c r="G3184" t="s">
        <v>133</v>
      </c>
      <c r="H3184" t="s">
        <v>20</v>
      </c>
      <c r="I3184" t="s">
        <v>87</v>
      </c>
      <c r="J3184" t="s">
        <v>50</v>
      </c>
      <c r="K3184">
        <v>3.6</v>
      </c>
      <c r="L3184" t="s">
        <v>143</v>
      </c>
      <c r="M3184" t="s">
        <v>143</v>
      </c>
      <c r="N3184">
        <v>4</v>
      </c>
      <c r="O3184" t="s">
        <v>34</v>
      </c>
      <c r="P3184" t="s">
        <v>43</v>
      </c>
    </row>
    <row r="3185" spans="1:16" ht="14.5" x14ac:dyDescent="0.35">
      <c r="A3185">
        <v>3184</v>
      </c>
      <c r="B3185">
        <v>50</v>
      </c>
      <c r="C3185" t="s">
        <v>144</v>
      </c>
      <c r="D3185" t="s">
        <v>44</v>
      </c>
      <c r="E3185" t="s">
        <v>37</v>
      </c>
      <c r="F3185">
        <v>56</v>
      </c>
      <c r="G3185" t="s">
        <v>82</v>
      </c>
      <c r="H3185" t="s">
        <v>39</v>
      </c>
      <c r="I3185" t="s">
        <v>87</v>
      </c>
      <c r="J3185" t="s">
        <v>22</v>
      </c>
      <c r="K3185">
        <v>3.5</v>
      </c>
      <c r="L3185" t="s">
        <v>143</v>
      </c>
      <c r="M3185" t="s">
        <v>143</v>
      </c>
      <c r="N3185">
        <v>14</v>
      </c>
      <c r="O3185" t="s">
        <v>29</v>
      </c>
      <c r="P3185" t="s">
        <v>88</v>
      </c>
    </row>
    <row r="3186" spans="1:16" ht="14.5" x14ac:dyDescent="0.35">
      <c r="A3186">
        <v>3185</v>
      </c>
      <c r="B3186">
        <v>61</v>
      </c>
      <c r="C3186" t="s">
        <v>144</v>
      </c>
      <c r="D3186" t="s">
        <v>26</v>
      </c>
      <c r="E3186" t="s">
        <v>18</v>
      </c>
      <c r="F3186">
        <v>53</v>
      </c>
      <c r="G3186" t="s">
        <v>68</v>
      </c>
      <c r="H3186" t="s">
        <v>20</v>
      </c>
      <c r="I3186" t="s">
        <v>87</v>
      </c>
      <c r="J3186" t="s">
        <v>33</v>
      </c>
      <c r="K3186">
        <v>4.2</v>
      </c>
      <c r="L3186" t="s">
        <v>143</v>
      </c>
      <c r="M3186" t="s">
        <v>143</v>
      </c>
      <c r="N3186">
        <v>30</v>
      </c>
      <c r="O3186" t="s">
        <v>24</v>
      </c>
      <c r="P3186" t="s">
        <v>51</v>
      </c>
    </row>
    <row r="3187" spans="1:16" ht="14.5" x14ac:dyDescent="0.35">
      <c r="A3187">
        <v>3186</v>
      </c>
      <c r="B3187">
        <v>52</v>
      </c>
      <c r="C3187" t="s">
        <v>144</v>
      </c>
      <c r="D3187" t="s">
        <v>78</v>
      </c>
      <c r="E3187" t="s">
        <v>18</v>
      </c>
      <c r="F3187">
        <v>71</v>
      </c>
      <c r="G3187" t="s">
        <v>114</v>
      </c>
      <c r="H3187" t="s">
        <v>20</v>
      </c>
      <c r="I3187" t="s">
        <v>71</v>
      </c>
      <c r="J3187" t="s">
        <v>50</v>
      </c>
      <c r="K3187">
        <v>4.7</v>
      </c>
      <c r="L3187" t="s">
        <v>143</v>
      </c>
      <c r="M3187" t="s">
        <v>143</v>
      </c>
      <c r="N3187">
        <v>6</v>
      </c>
      <c r="O3187" t="s">
        <v>40</v>
      </c>
      <c r="P3187" t="s">
        <v>43</v>
      </c>
    </row>
    <row r="3188" spans="1:16" ht="14.5" x14ac:dyDescent="0.35">
      <c r="A3188">
        <v>3187</v>
      </c>
      <c r="B3188">
        <v>38</v>
      </c>
      <c r="C3188" t="s">
        <v>144</v>
      </c>
      <c r="D3188" t="s">
        <v>97</v>
      </c>
      <c r="E3188" t="s">
        <v>60</v>
      </c>
      <c r="F3188">
        <v>93</v>
      </c>
      <c r="G3188" t="s">
        <v>132</v>
      </c>
      <c r="H3188" t="s">
        <v>32</v>
      </c>
      <c r="I3188" t="s">
        <v>100</v>
      </c>
      <c r="J3188" t="s">
        <v>22</v>
      </c>
      <c r="K3188">
        <v>4.8</v>
      </c>
      <c r="L3188" t="s">
        <v>143</v>
      </c>
      <c r="M3188" t="s">
        <v>143</v>
      </c>
      <c r="N3188">
        <v>43</v>
      </c>
      <c r="O3188" t="s">
        <v>24</v>
      </c>
      <c r="P3188" t="s">
        <v>43</v>
      </c>
    </row>
    <row r="3189" spans="1:16" ht="14.5" x14ac:dyDescent="0.35">
      <c r="A3189">
        <v>3188</v>
      </c>
      <c r="B3189">
        <v>67</v>
      </c>
      <c r="C3189" t="s">
        <v>144</v>
      </c>
      <c r="D3189" t="s">
        <v>17</v>
      </c>
      <c r="E3189" t="s">
        <v>18</v>
      </c>
      <c r="F3189">
        <v>72</v>
      </c>
      <c r="G3189" t="s">
        <v>96</v>
      </c>
      <c r="H3189" t="s">
        <v>20</v>
      </c>
      <c r="I3189" t="s">
        <v>117</v>
      </c>
      <c r="J3189" t="s">
        <v>22</v>
      </c>
      <c r="K3189">
        <v>3.2</v>
      </c>
      <c r="L3189" t="s">
        <v>143</v>
      </c>
      <c r="M3189" t="s">
        <v>143</v>
      </c>
      <c r="N3189">
        <v>28</v>
      </c>
      <c r="O3189" t="s">
        <v>77</v>
      </c>
      <c r="P3189" t="s">
        <v>35</v>
      </c>
    </row>
    <row r="3190" spans="1:16" ht="14.5" x14ac:dyDescent="0.35">
      <c r="A3190">
        <v>3189</v>
      </c>
      <c r="B3190">
        <v>42</v>
      </c>
      <c r="C3190" t="s">
        <v>144</v>
      </c>
      <c r="D3190" t="s">
        <v>17</v>
      </c>
      <c r="E3190" t="s">
        <v>18</v>
      </c>
      <c r="F3190">
        <v>59</v>
      </c>
      <c r="G3190" t="s">
        <v>120</v>
      </c>
      <c r="H3190" t="s">
        <v>39</v>
      </c>
      <c r="I3190" t="s">
        <v>84</v>
      </c>
      <c r="J3190" t="s">
        <v>22</v>
      </c>
      <c r="K3190">
        <v>3.5</v>
      </c>
      <c r="L3190" t="s">
        <v>143</v>
      </c>
      <c r="M3190" t="s">
        <v>143</v>
      </c>
      <c r="N3190">
        <v>39</v>
      </c>
      <c r="O3190" t="s">
        <v>66</v>
      </c>
      <c r="P3190" t="s">
        <v>79</v>
      </c>
    </row>
    <row r="3191" spans="1:16" ht="14.5" x14ac:dyDescent="0.35">
      <c r="A3191">
        <v>3190</v>
      </c>
      <c r="B3191">
        <v>25</v>
      </c>
      <c r="C3191" t="s">
        <v>144</v>
      </c>
      <c r="D3191" t="s">
        <v>128</v>
      </c>
      <c r="E3191" t="s">
        <v>37</v>
      </c>
      <c r="F3191">
        <v>87</v>
      </c>
      <c r="G3191" t="s">
        <v>102</v>
      </c>
      <c r="H3191" t="s">
        <v>39</v>
      </c>
      <c r="I3191" t="s">
        <v>109</v>
      </c>
      <c r="J3191" t="s">
        <v>47</v>
      </c>
      <c r="K3191">
        <v>4.2</v>
      </c>
      <c r="L3191" t="s">
        <v>143</v>
      </c>
      <c r="M3191" t="s">
        <v>143</v>
      </c>
      <c r="N3191">
        <v>30</v>
      </c>
      <c r="O3191" t="s">
        <v>40</v>
      </c>
      <c r="P3191" t="s">
        <v>67</v>
      </c>
    </row>
    <row r="3192" spans="1:16" ht="14.5" x14ac:dyDescent="0.35">
      <c r="A3192">
        <v>3191</v>
      </c>
      <c r="B3192">
        <v>41</v>
      </c>
      <c r="C3192" t="s">
        <v>144</v>
      </c>
      <c r="D3192" t="s">
        <v>30</v>
      </c>
      <c r="E3192" t="s">
        <v>18</v>
      </c>
      <c r="F3192">
        <v>78</v>
      </c>
      <c r="G3192" t="s">
        <v>90</v>
      </c>
      <c r="H3192" t="s">
        <v>32</v>
      </c>
      <c r="I3192" t="s">
        <v>65</v>
      </c>
      <c r="J3192" t="s">
        <v>50</v>
      </c>
      <c r="K3192">
        <v>3.4</v>
      </c>
      <c r="L3192" t="s">
        <v>143</v>
      </c>
      <c r="M3192" t="s">
        <v>143</v>
      </c>
      <c r="N3192">
        <v>5</v>
      </c>
      <c r="O3192" t="s">
        <v>34</v>
      </c>
      <c r="P3192" t="s">
        <v>25</v>
      </c>
    </row>
    <row r="3193" spans="1:16" ht="14.5" x14ac:dyDescent="0.35">
      <c r="A3193">
        <v>3192</v>
      </c>
      <c r="B3193">
        <v>62</v>
      </c>
      <c r="C3193" t="s">
        <v>144</v>
      </c>
      <c r="D3193" t="s">
        <v>95</v>
      </c>
      <c r="E3193" t="s">
        <v>18</v>
      </c>
      <c r="F3193">
        <v>68</v>
      </c>
      <c r="G3193" t="s">
        <v>82</v>
      </c>
      <c r="H3193" t="s">
        <v>83</v>
      </c>
      <c r="I3193" t="s">
        <v>28</v>
      </c>
      <c r="J3193" t="s">
        <v>22</v>
      </c>
      <c r="K3193">
        <v>4.7</v>
      </c>
      <c r="L3193" t="s">
        <v>143</v>
      </c>
      <c r="M3193" t="s">
        <v>143</v>
      </c>
      <c r="N3193">
        <v>42</v>
      </c>
      <c r="O3193" t="s">
        <v>34</v>
      </c>
      <c r="P3193" t="s">
        <v>88</v>
      </c>
    </row>
    <row r="3194" spans="1:16" ht="14.5" x14ac:dyDescent="0.35">
      <c r="A3194">
        <v>3193</v>
      </c>
      <c r="B3194">
        <v>19</v>
      </c>
      <c r="C3194" t="s">
        <v>144</v>
      </c>
      <c r="D3194" t="s">
        <v>26</v>
      </c>
      <c r="E3194" t="s">
        <v>18</v>
      </c>
      <c r="F3194">
        <v>76</v>
      </c>
      <c r="G3194" t="s">
        <v>137</v>
      </c>
      <c r="H3194" t="s">
        <v>32</v>
      </c>
      <c r="I3194" t="s">
        <v>28</v>
      </c>
      <c r="J3194" t="s">
        <v>50</v>
      </c>
      <c r="K3194">
        <v>3</v>
      </c>
      <c r="L3194" t="s">
        <v>143</v>
      </c>
      <c r="M3194" t="s">
        <v>143</v>
      </c>
      <c r="N3194">
        <v>20</v>
      </c>
      <c r="O3194" t="s">
        <v>29</v>
      </c>
      <c r="P3194" t="s">
        <v>25</v>
      </c>
    </row>
    <row r="3195" spans="1:16" ht="14.5" x14ac:dyDescent="0.35">
      <c r="A3195">
        <v>3194</v>
      </c>
      <c r="B3195">
        <v>63</v>
      </c>
      <c r="C3195" t="s">
        <v>144</v>
      </c>
      <c r="D3195" t="s">
        <v>134</v>
      </c>
      <c r="E3195" t="s">
        <v>60</v>
      </c>
      <c r="F3195">
        <v>99</v>
      </c>
      <c r="G3195" t="s">
        <v>132</v>
      </c>
      <c r="H3195" t="s">
        <v>20</v>
      </c>
      <c r="I3195" t="s">
        <v>76</v>
      </c>
      <c r="J3195" t="s">
        <v>22</v>
      </c>
      <c r="K3195">
        <v>4</v>
      </c>
      <c r="L3195" t="s">
        <v>143</v>
      </c>
      <c r="M3195" t="s">
        <v>143</v>
      </c>
      <c r="N3195">
        <v>35</v>
      </c>
      <c r="O3195" t="s">
        <v>34</v>
      </c>
      <c r="P3195" t="s">
        <v>25</v>
      </c>
    </row>
    <row r="3196" spans="1:16" ht="14.5" x14ac:dyDescent="0.35">
      <c r="A3196">
        <v>3195</v>
      </c>
      <c r="B3196">
        <v>43</v>
      </c>
      <c r="C3196" t="s">
        <v>144</v>
      </c>
      <c r="D3196" t="s">
        <v>44</v>
      </c>
      <c r="E3196" t="s">
        <v>37</v>
      </c>
      <c r="F3196">
        <v>52</v>
      </c>
      <c r="G3196" t="s">
        <v>119</v>
      </c>
      <c r="H3196" t="s">
        <v>20</v>
      </c>
      <c r="I3196" t="s">
        <v>71</v>
      </c>
      <c r="J3196" t="s">
        <v>47</v>
      </c>
      <c r="K3196">
        <v>4.5999999999999996</v>
      </c>
      <c r="L3196" t="s">
        <v>143</v>
      </c>
      <c r="M3196" t="s">
        <v>143</v>
      </c>
      <c r="N3196">
        <v>10</v>
      </c>
      <c r="O3196" t="s">
        <v>34</v>
      </c>
      <c r="P3196" t="s">
        <v>67</v>
      </c>
    </row>
    <row r="3197" spans="1:16" ht="14.5" x14ac:dyDescent="0.35">
      <c r="A3197">
        <v>3196</v>
      </c>
      <c r="B3197">
        <v>68</v>
      </c>
      <c r="C3197" t="s">
        <v>144</v>
      </c>
      <c r="D3197" t="s">
        <v>80</v>
      </c>
      <c r="E3197" t="s">
        <v>60</v>
      </c>
      <c r="F3197">
        <v>58</v>
      </c>
      <c r="G3197" t="s">
        <v>61</v>
      </c>
      <c r="H3197" t="s">
        <v>32</v>
      </c>
      <c r="I3197" t="s">
        <v>99</v>
      </c>
      <c r="J3197" t="s">
        <v>33</v>
      </c>
      <c r="K3197">
        <v>4.9000000000000004</v>
      </c>
      <c r="L3197" t="s">
        <v>143</v>
      </c>
      <c r="M3197" t="s">
        <v>143</v>
      </c>
      <c r="N3197">
        <v>36</v>
      </c>
      <c r="O3197" t="s">
        <v>34</v>
      </c>
      <c r="P3197" t="s">
        <v>51</v>
      </c>
    </row>
    <row r="3198" spans="1:16" ht="14.5" x14ac:dyDescent="0.35">
      <c r="A3198">
        <v>3197</v>
      </c>
      <c r="B3198">
        <v>24</v>
      </c>
      <c r="C3198" t="s">
        <v>144</v>
      </c>
      <c r="D3198" t="s">
        <v>124</v>
      </c>
      <c r="E3198" t="s">
        <v>60</v>
      </c>
      <c r="F3198">
        <v>59</v>
      </c>
      <c r="G3198" t="s">
        <v>141</v>
      </c>
      <c r="H3198" t="s">
        <v>20</v>
      </c>
      <c r="I3198" t="s">
        <v>28</v>
      </c>
      <c r="J3198" t="s">
        <v>22</v>
      </c>
      <c r="K3198">
        <v>2.8</v>
      </c>
      <c r="L3198" t="s">
        <v>143</v>
      </c>
      <c r="M3198" t="s">
        <v>143</v>
      </c>
      <c r="N3198">
        <v>21</v>
      </c>
      <c r="O3198" t="s">
        <v>77</v>
      </c>
      <c r="P3198" t="s">
        <v>25</v>
      </c>
    </row>
    <row r="3199" spans="1:16" ht="14.5" x14ac:dyDescent="0.35">
      <c r="A3199">
        <v>3198</v>
      </c>
      <c r="B3199">
        <v>27</v>
      </c>
      <c r="C3199" t="s">
        <v>144</v>
      </c>
      <c r="D3199" t="s">
        <v>26</v>
      </c>
      <c r="E3199" t="s">
        <v>18</v>
      </c>
      <c r="F3199">
        <v>71</v>
      </c>
      <c r="G3199" t="s">
        <v>27</v>
      </c>
      <c r="H3199" t="s">
        <v>39</v>
      </c>
      <c r="I3199" t="s">
        <v>76</v>
      </c>
      <c r="J3199" t="s">
        <v>33</v>
      </c>
      <c r="K3199">
        <v>3.2</v>
      </c>
      <c r="L3199" t="s">
        <v>143</v>
      </c>
      <c r="M3199" t="s">
        <v>143</v>
      </c>
      <c r="N3199">
        <v>29</v>
      </c>
      <c r="O3199" t="s">
        <v>34</v>
      </c>
      <c r="P3199" t="s">
        <v>88</v>
      </c>
    </row>
    <row r="3200" spans="1:16" ht="14.5" x14ac:dyDescent="0.35">
      <c r="A3200">
        <v>3199</v>
      </c>
      <c r="B3200">
        <v>61</v>
      </c>
      <c r="C3200" t="s">
        <v>144</v>
      </c>
      <c r="D3200" t="s">
        <v>134</v>
      </c>
      <c r="E3200" t="s">
        <v>60</v>
      </c>
      <c r="F3200">
        <v>94</v>
      </c>
      <c r="G3200" t="s">
        <v>129</v>
      </c>
      <c r="H3200" t="s">
        <v>20</v>
      </c>
      <c r="I3200" t="s">
        <v>91</v>
      </c>
      <c r="J3200" t="s">
        <v>22</v>
      </c>
      <c r="K3200">
        <v>2.8</v>
      </c>
      <c r="L3200" t="s">
        <v>143</v>
      </c>
      <c r="M3200" t="s">
        <v>143</v>
      </c>
      <c r="N3200">
        <v>39</v>
      </c>
      <c r="O3200" t="s">
        <v>77</v>
      </c>
      <c r="P3200" t="s">
        <v>35</v>
      </c>
    </row>
    <row r="3201" spans="1:16" ht="14.5" x14ac:dyDescent="0.35">
      <c r="A3201">
        <v>3200</v>
      </c>
      <c r="B3201">
        <v>59</v>
      </c>
      <c r="C3201" t="s">
        <v>144</v>
      </c>
      <c r="D3201" t="s">
        <v>59</v>
      </c>
      <c r="E3201" t="s">
        <v>60</v>
      </c>
      <c r="F3201">
        <v>40</v>
      </c>
      <c r="G3201" t="s">
        <v>27</v>
      </c>
      <c r="H3201" t="s">
        <v>83</v>
      </c>
      <c r="I3201" t="s">
        <v>62</v>
      </c>
      <c r="J3201" t="s">
        <v>22</v>
      </c>
      <c r="K3201">
        <v>4.2</v>
      </c>
      <c r="L3201" t="s">
        <v>143</v>
      </c>
      <c r="M3201" t="s">
        <v>143</v>
      </c>
      <c r="N3201">
        <v>16</v>
      </c>
      <c r="O3201" t="s">
        <v>40</v>
      </c>
      <c r="P3201" t="s">
        <v>79</v>
      </c>
    </row>
    <row r="3202" spans="1:16" ht="14.5" x14ac:dyDescent="0.35">
      <c r="A3202">
        <v>3201</v>
      </c>
      <c r="B3202">
        <v>67</v>
      </c>
      <c r="C3202" t="s">
        <v>144</v>
      </c>
      <c r="D3202" t="s">
        <v>116</v>
      </c>
      <c r="E3202" t="s">
        <v>18</v>
      </c>
      <c r="F3202">
        <v>24</v>
      </c>
      <c r="G3202" t="s">
        <v>61</v>
      </c>
      <c r="H3202" t="s">
        <v>20</v>
      </c>
      <c r="I3202" t="s">
        <v>85</v>
      </c>
      <c r="J3202" t="s">
        <v>33</v>
      </c>
      <c r="K3202">
        <v>4.8</v>
      </c>
      <c r="L3202" t="s">
        <v>143</v>
      </c>
      <c r="M3202" t="s">
        <v>143</v>
      </c>
      <c r="N3202">
        <v>32</v>
      </c>
      <c r="O3202" t="s">
        <v>34</v>
      </c>
      <c r="P3202" t="s">
        <v>79</v>
      </c>
    </row>
    <row r="3203" spans="1:16" ht="14.5" x14ac:dyDescent="0.35">
      <c r="A3203">
        <v>3202</v>
      </c>
      <c r="B3203">
        <v>46</v>
      </c>
      <c r="C3203" t="s">
        <v>144</v>
      </c>
      <c r="D3203" t="s">
        <v>86</v>
      </c>
      <c r="E3203" t="s">
        <v>18</v>
      </c>
      <c r="F3203">
        <v>38</v>
      </c>
      <c r="G3203" t="s">
        <v>120</v>
      </c>
      <c r="H3203" t="s">
        <v>32</v>
      </c>
      <c r="I3203" t="s">
        <v>117</v>
      </c>
      <c r="J3203" t="s">
        <v>50</v>
      </c>
      <c r="K3203">
        <v>2.8</v>
      </c>
      <c r="L3203" t="s">
        <v>143</v>
      </c>
      <c r="M3203" t="s">
        <v>143</v>
      </c>
      <c r="N3203">
        <v>34</v>
      </c>
      <c r="O3203" t="s">
        <v>29</v>
      </c>
      <c r="P3203" t="s">
        <v>79</v>
      </c>
    </row>
    <row r="3204" spans="1:16" ht="14.5" x14ac:dyDescent="0.35">
      <c r="A3204">
        <v>3203</v>
      </c>
      <c r="B3204">
        <v>65</v>
      </c>
      <c r="C3204" t="s">
        <v>144</v>
      </c>
      <c r="D3204" t="s">
        <v>110</v>
      </c>
      <c r="E3204" t="s">
        <v>60</v>
      </c>
      <c r="F3204">
        <v>37</v>
      </c>
      <c r="G3204" t="s">
        <v>141</v>
      </c>
      <c r="H3204" t="s">
        <v>20</v>
      </c>
      <c r="I3204" t="s">
        <v>87</v>
      </c>
      <c r="J3204" t="s">
        <v>50</v>
      </c>
      <c r="K3204">
        <v>4.5</v>
      </c>
      <c r="L3204" t="s">
        <v>143</v>
      </c>
      <c r="M3204" t="s">
        <v>143</v>
      </c>
      <c r="N3204">
        <v>38</v>
      </c>
      <c r="O3204" t="s">
        <v>24</v>
      </c>
      <c r="P3204" t="s">
        <v>43</v>
      </c>
    </row>
    <row r="3205" spans="1:16" ht="14.5" x14ac:dyDescent="0.35">
      <c r="A3205">
        <v>3204</v>
      </c>
      <c r="B3205">
        <v>63</v>
      </c>
      <c r="C3205" t="s">
        <v>144</v>
      </c>
      <c r="D3205" t="s">
        <v>55</v>
      </c>
      <c r="E3205" t="s">
        <v>56</v>
      </c>
      <c r="F3205">
        <v>29</v>
      </c>
      <c r="G3205" t="s">
        <v>118</v>
      </c>
      <c r="H3205" t="s">
        <v>20</v>
      </c>
      <c r="I3205" t="s">
        <v>76</v>
      </c>
      <c r="J3205" t="s">
        <v>33</v>
      </c>
      <c r="K3205">
        <v>4.0999999999999996</v>
      </c>
      <c r="L3205" t="s">
        <v>143</v>
      </c>
      <c r="M3205" t="s">
        <v>143</v>
      </c>
      <c r="N3205">
        <v>14</v>
      </c>
      <c r="O3205" t="s">
        <v>24</v>
      </c>
      <c r="P3205" t="s">
        <v>43</v>
      </c>
    </row>
    <row r="3206" spans="1:16" ht="14.5" x14ac:dyDescent="0.35">
      <c r="A3206">
        <v>3205</v>
      </c>
      <c r="B3206">
        <v>57</v>
      </c>
      <c r="C3206" t="s">
        <v>144</v>
      </c>
      <c r="D3206" t="s">
        <v>93</v>
      </c>
      <c r="E3206" t="s">
        <v>56</v>
      </c>
      <c r="F3206">
        <v>92</v>
      </c>
      <c r="G3206" t="s">
        <v>121</v>
      </c>
      <c r="H3206" t="s">
        <v>83</v>
      </c>
      <c r="I3206" t="s">
        <v>84</v>
      </c>
      <c r="J3206" t="s">
        <v>50</v>
      </c>
      <c r="K3206">
        <v>4.3</v>
      </c>
      <c r="L3206" t="s">
        <v>143</v>
      </c>
      <c r="M3206" t="s">
        <v>143</v>
      </c>
      <c r="N3206">
        <v>23</v>
      </c>
      <c r="O3206" t="s">
        <v>77</v>
      </c>
      <c r="P3206" t="s">
        <v>67</v>
      </c>
    </row>
    <row r="3207" spans="1:16" ht="14.5" x14ac:dyDescent="0.35">
      <c r="A3207">
        <v>3206</v>
      </c>
      <c r="B3207">
        <v>40</v>
      </c>
      <c r="C3207" t="s">
        <v>144</v>
      </c>
      <c r="D3207" t="s">
        <v>95</v>
      </c>
      <c r="E3207" t="s">
        <v>18</v>
      </c>
      <c r="F3207">
        <v>24</v>
      </c>
      <c r="G3207" t="s">
        <v>103</v>
      </c>
      <c r="H3207" t="s">
        <v>83</v>
      </c>
      <c r="I3207" t="s">
        <v>127</v>
      </c>
      <c r="J3207" t="s">
        <v>50</v>
      </c>
      <c r="K3207">
        <v>4.4000000000000004</v>
      </c>
      <c r="L3207" t="s">
        <v>143</v>
      </c>
      <c r="M3207" t="s">
        <v>143</v>
      </c>
      <c r="N3207">
        <v>50</v>
      </c>
      <c r="O3207" t="s">
        <v>66</v>
      </c>
      <c r="P3207" t="s">
        <v>88</v>
      </c>
    </row>
    <row r="3208" spans="1:16" ht="14.5" x14ac:dyDescent="0.35">
      <c r="A3208">
        <v>3207</v>
      </c>
      <c r="B3208">
        <v>36</v>
      </c>
      <c r="C3208" t="s">
        <v>144</v>
      </c>
      <c r="D3208" t="s">
        <v>128</v>
      </c>
      <c r="E3208" t="s">
        <v>37</v>
      </c>
      <c r="F3208">
        <v>52</v>
      </c>
      <c r="G3208" t="s">
        <v>90</v>
      </c>
      <c r="H3208" t="s">
        <v>39</v>
      </c>
      <c r="I3208" t="s">
        <v>101</v>
      </c>
      <c r="J3208" t="s">
        <v>22</v>
      </c>
      <c r="K3208">
        <v>3</v>
      </c>
      <c r="L3208" t="s">
        <v>143</v>
      </c>
      <c r="M3208" t="s">
        <v>143</v>
      </c>
      <c r="N3208">
        <v>49</v>
      </c>
      <c r="O3208" t="s">
        <v>40</v>
      </c>
      <c r="P3208" t="s">
        <v>79</v>
      </c>
    </row>
    <row r="3209" spans="1:16" ht="14.5" x14ac:dyDescent="0.35">
      <c r="A3209">
        <v>3208</v>
      </c>
      <c r="B3209">
        <v>67</v>
      </c>
      <c r="C3209" t="s">
        <v>144</v>
      </c>
      <c r="D3209" t="s">
        <v>116</v>
      </c>
      <c r="E3209" t="s">
        <v>18</v>
      </c>
      <c r="F3209">
        <v>29</v>
      </c>
      <c r="G3209" t="s">
        <v>108</v>
      </c>
      <c r="H3209" t="s">
        <v>83</v>
      </c>
      <c r="I3209" t="s">
        <v>109</v>
      </c>
      <c r="J3209" t="s">
        <v>47</v>
      </c>
      <c r="K3209">
        <v>2.7</v>
      </c>
      <c r="L3209" t="s">
        <v>143</v>
      </c>
      <c r="M3209" t="s">
        <v>143</v>
      </c>
      <c r="N3209">
        <v>14</v>
      </c>
      <c r="O3209" t="s">
        <v>40</v>
      </c>
      <c r="P3209" t="s">
        <v>43</v>
      </c>
    </row>
    <row r="3210" spans="1:16" ht="14.5" x14ac:dyDescent="0.35">
      <c r="A3210">
        <v>3209</v>
      </c>
      <c r="B3210">
        <v>61</v>
      </c>
      <c r="C3210" t="s">
        <v>144</v>
      </c>
      <c r="D3210" t="s">
        <v>97</v>
      </c>
      <c r="E3210" t="s">
        <v>60</v>
      </c>
      <c r="F3210">
        <v>30</v>
      </c>
      <c r="G3210" t="s">
        <v>107</v>
      </c>
      <c r="H3210" t="s">
        <v>20</v>
      </c>
      <c r="I3210" t="s">
        <v>117</v>
      </c>
      <c r="J3210" t="s">
        <v>22</v>
      </c>
      <c r="K3210">
        <v>3.3</v>
      </c>
      <c r="L3210" t="s">
        <v>143</v>
      </c>
      <c r="M3210" t="s">
        <v>143</v>
      </c>
      <c r="N3210">
        <v>42</v>
      </c>
      <c r="O3210" t="s">
        <v>40</v>
      </c>
      <c r="P3210" t="s">
        <v>35</v>
      </c>
    </row>
    <row r="3211" spans="1:16" ht="14.5" x14ac:dyDescent="0.35">
      <c r="A3211">
        <v>3210</v>
      </c>
      <c r="B3211">
        <v>64</v>
      </c>
      <c r="C3211" t="s">
        <v>144</v>
      </c>
      <c r="D3211" t="s">
        <v>63</v>
      </c>
      <c r="E3211" t="s">
        <v>37</v>
      </c>
      <c r="F3211">
        <v>31</v>
      </c>
      <c r="G3211" t="s">
        <v>64</v>
      </c>
      <c r="H3211" t="s">
        <v>20</v>
      </c>
      <c r="I3211" t="s">
        <v>91</v>
      </c>
      <c r="J3211" t="s">
        <v>50</v>
      </c>
      <c r="K3211">
        <v>4.3</v>
      </c>
      <c r="L3211" t="s">
        <v>143</v>
      </c>
      <c r="M3211" t="s">
        <v>143</v>
      </c>
      <c r="N3211">
        <v>39</v>
      </c>
      <c r="O3211" t="s">
        <v>77</v>
      </c>
      <c r="P3211" t="s">
        <v>43</v>
      </c>
    </row>
    <row r="3212" spans="1:16" ht="14.5" x14ac:dyDescent="0.35">
      <c r="A3212">
        <v>3211</v>
      </c>
      <c r="B3212">
        <v>30</v>
      </c>
      <c r="C3212" t="s">
        <v>144</v>
      </c>
      <c r="D3212" t="s">
        <v>116</v>
      </c>
      <c r="E3212" t="s">
        <v>18</v>
      </c>
      <c r="F3212">
        <v>67</v>
      </c>
      <c r="G3212" t="s">
        <v>98</v>
      </c>
      <c r="H3212" t="s">
        <v>39</v>
      </c>
      <c r="I3212" t="s">
        <v>127</v>
      </c>
      <c r="J3212" t="s">
        <v>47</v>
      </c>
      <c r="K3212">
        <v>2.9</v>
      </c>
      <c r="L3212" t="s">
        <v>143</v>
      </c>
      <c r="M3212" t="s">
        <v>143</v>
      </c>
      <c r="N3212">
        <v>43</v>
      </c>
      <c r="O3212" t="s">
        <v>24</v>
      </c>
      <c r="P3212" t="s">
        <v>67</v>
      </c>
    </row>
    <row r="3213" spans="1:16" ht="14.5" x14ac:dyDescent="0.35">
      <c r="A3213">
        <v>3212</v>
      </c>
      <c r="B3213">
        <v>53</v>
      </c>
      <c r="C3213" t="s">
        <v>144</v>
      </c>
      <c r="D3213" t="s">
        <v>86</v>
      </c>
      <c r="E3213" t="s">
        <v>18</v>
      </c>
      <c r="F3213">
        <v>65</v>
      </c>
      <c r="G3213" t="s">
        <v>38</v>
      </c>
      <c r="H3213" t="s">
        <v>20</v>
      </c>
      <c r="I3213" t="s">
        <v>42</v>
      </c>
      <c r="J3213" t="s">
        <v>22</v>
      </c>
      <c r="K3213">
        <v>4.9000000000000004</v>
      </c>
      <c r="L3213" t="s">
        <v>143</v>
      </c>
      <c r="M3213" t="s">
        <v>143</v>
      </c>
      <c r="N3213">
        <v>12</v>
      </c>
      <c r="O3213" t="s">
        <v>29</v>
      </c>
      <c r="P3213" t="s">
        <v>79</v>
      </c>
    </row>
    <row r="3214" spans="1:16" ht="14.5" x14ac:dyDescent="0.35">
      <c r="A3214">
        <v>3213</v>
      </c>
      <c r="B3214">
        <v>27</v>
      </c>
      <c r="C3214" t="s">
        <v>144</v>
      </c>
      <c r="D3214" t="s">
        <v>44</v>
      </c>
      <c r="E3214" t="s">
        <v>37</v>
      </c>
      <c r="F3214">
        <v>22</v>
      </c>
      <c r="G3214" t="s">
        <v>45</v>
      </c>
      <c r="H3214" t="s">
        <v>39</v>
      </c>
      <c r="I3214" t="s">
        <v>117</v>
      </c>
      <c r="J3214" t="s">
        <v>22</v>
      </c>
      <c r="K3214">
        <v>3.6</v>
      </c>
      <c r="L3214" t="s">
        <v>143</v>
      </c>
      <c r="M3214" t="s">
        <v>143</v>
      </c>
      <c r="N3214">
        <v>21</v>
      </c>
      <c r="O3214" t="s">
        <v>77</v>
      </c>
      <c r="P3214" t="s">
        <v>35</v>
      </c>
    </row>
    <row r="3215" spans="1:16" ht="14.5" x14ac:dyDescent="0.35">
      <c r="A3215">
        <v>3214</v>
      </c>
      <c r="B3215">
        <v>27</v>
      </c>
      <c r="C3215" t="s">
        <v>144</v>
      </c>
      <c r="D3215" t="s">
        <v>80</v>
      </c>
      <c r="E3215" t="s">
        <v>60</v>
      </c>
      <c r="F3215">
        <v>56</v>
      </c>
      <c r="G3215" t="s">
        <v>96</v>
      </c>
      <c r="H3215" t="s">
        <v>39</v>
      </c>
      <c r="I3215" t="s">
        <v>101</v>
      </c>
      <c r="J3215" t="s">
        <v>22</v>
      </c>
      <c r="K3215">
        <v>3.3</v>
      </c>
      <c r="L3215" t="s">
        <v>143</v>
      </c>
      <c r="M3215" t="s">
        <v>143</v>
      </c>
      <c r="N3215">
        <v>33</v>
      </c>
      <c r="O3215" t="s">
        <v>34</v>
      </c>
      <c r="P3215" t="s">
        <v>79</v>
      </c>
    </row>
    <row r="3216" spans="1:16" ht="14.5" x14ac:dyDescent="0.35">
      <c r="A3216">
        <v>3215</v>
      </c>
      <c r="B3216">
        <v>53</v>
      </c>
      <c r="C3216" t="s">
        <v>144</v>
      </c>
      <c r="D3216" t="s">
        <v>78</v>
      </c>
      <c r="E3216" t="s">
        <v>18</v>
      </c>
      <c r="F3216">
        <v>78</v>
      </c>
      <c r="G3216" t="s">
        <v>140</v>
      </c>
      <c r="H3216" t="s">
        <v>39</v>
      </c>
      <c r="I3216" t="s">
        <v>125</v>
      </c>
      <c r="J3216" t="s">
        <v>33</v>
      </c>
      <c r="K3216">
        <v>3.1</v>
      </c>
      <c r="L3216" t="s">
        <v>143</v>
      </c>
      <c r="M3216" t="s">
        <v>143</v>
      </c>
      <c r="N3216">
        <v>6</v>
      </c>
      <c r="O3216" t="s">
        <v>77</v>
      </c>
      <c r="P3216" t="s">
        <v>43</v>
      </c>
    </row>
    <row r="3217" spans="1:16" ht="14.5" x14ac:dyDescent="0.35">
      <c r="A3217">
        <v>3216</v>
      </c>
      <c r="B3217">
        <v>34</v>
      </c>
      <c r="C3217" t="s">
        <v>144</v>
      </c>
      <c r="D3217" t="s">
        <v>55</v>
      </c>
      <c r="E3217" t="s">
        <v>56</v>
      </c>
      <c r="F3217">
        <v>90</v>
      </c>
      <c r="G3217" t="s">
        <v>38</v>
      </c>
      <c r="H3217" t="s">
        <v>39</v>
      </c>
      <c r="I3217" t="s">
        <v>127</v>
      </c>
      <c r="J3217" t="s">
        <v>47</v>
      </c>
      <c r="K3217">
        <v>2.7</v>
      </c>
      <c r="L3217" t="s">
        <v>143</v>
      </c>
      <c r="M3217" t="s">
        <v>143</v>
      </c>
      <c r="N3217">
        <v>10</v>
      </c>
      <c r="O3217" t="s">
        <v>40</v>
      </c>
      <c r="P3217" t="s">
        <v>88</v>
      </c>
    </row>
    <row r="3218" spans="1:16" ht="14.5" x14ac:dyDescent="0.35">
      <c r="A3218">
        <v>3217</v>
      </c>
      <c r="B3218">
        <v>39</v>
      </c>
      <c r="C3218" t="s">
        <v>144</v>
      </c>
      <c r="D3218" t="s">
        <v>95</v>
      </c>
      <c r="E3218" t="s">
        <v>18</v>
      </c>
      <c r="F3218">
        <v>85</v>
      </c>
      <c r="G3218" t="s">
        <v>106</v>
      </c>
      <c r="H3218" t="s">
        <v>32</v>
      </c>
      <c r="I3218" t="s">
        <v>69</v>
      </c>
      <c r="J3218" t="s">
        <v>22</v>
      </c>
      <c r="K3218">
        <v>3.4</v>
      </c>
      <c r="L3218" t="s">
        <v>143</v>
      </c>
      <c r="M3218" t="s">
        <v>143</v>
      </c>
      <c r="N3218">
        <v>18</v>
      </c>
      <c r="O3218" t="s">
        <v>29</v>
      </c>
      <c r="P3218" t="s">
        <v>35</v>
      </c>
    </row>
    <row r="3219" spans="1:16" ht="14.5" x14ac:dyDescent="0.35">
      <c r="A3219">
        <v>3218</v>
      </c>
      <c r="B3219">
        <v>44</v>
      </c>
      <c r="C3219" t="s">
        <v>144</v>
      </c>
      <c r="D3219" t="s">
        <v>80</v>
      </c>
      <c r="E3219" t="s">
        <v>60</v>
      </c>
      <c r="F3219">
        <v>58</v>
      </c>
      <c r="G3219" t="s">
        <v>41</v>
      </c>
      <c r="H3219" t="s">
        <v>39</v>
      </c>
      <c r="I3219" t="s">
        <v>58</v>
      </c>
      <c r="J3219" t="s">
        <v>50</v>
      </c>
      <c r="K3219">
        <v>3.4</v>
      </c>
      <c r="L3219" t="s">
        <v>143</v>
      </c>
      <c r="M3219" t="s">
        <v>143</v>
      </c>
      <c r="N3219">
        <v>46</v>
      </c>
      <c r="O3219" t="s">
        <v>24</v>
      </c>
      <c r="P3219" t="s">
        <v>35</v>
      </c>
    </row>
    <row r="3220" spans="1:16" ht="14.5" x14ac:dyDescent="0.35">
      <c r="A3220">
        <v>3219</v>
      </c>
      <c r="B3220">
        <v>37</v>
      </c>
      <c r="C3220" t="s">
        <v>144</v>
      </c>
      <c r="D3220" t="s">
        <v>78</v>
      </c>
      <c r="E3220" t="s">
        <v>18</v>
      </c>
      <c r="F3220">
        <v>34</v>
      </c>
      <c r="G3220" t="s">
        <v>94</v>
      </c>
      <c r="H3220" t="s">
        <v>39</v>
      </c>
      <c r="I3220" t="s">
        <v>76</v>
      </c>
      <c r="J3220" t="s">
        <v>50</v>
      </c>
      <c r="K3220">
        <v>3.9</v>
      </c>
      <c r="L3220" t="s">
        <v>143</v>
      </c>
      <c r="M3220" t="s">
        <v>143</v>
      </c>
      <c r="N3220">
        <v>49</v>
      </c>
      <c r="O3220" t="s">
        <v>40</v>
      </c>
      <c r="P3220" t="s">
        <v>79</v>
      </c>
    </row>
    <row r="3221" spans="1:16" ht="14.5" x14ac:dyDescent="0.35">
      <c r="A3221">
        <v>3220</v>
      </c>
      <c r="B3221">
        <v>57</v>
      </c>
      <c r="C3221" t="s">
        <v>144</v>
      </c>
      <c r="D3221" t="s">
        <v>55</v>
      </c>
      <c r="E3221" t="s">
        <v>56</v>
      </c>
      <c r="F3221">
        <v>40</v>
      </c>
      <c r="G3221" t="s">
        <v>102</v>
      </c>
      <c r="H3221" t="s">
        <v>20</v>
      </c>
      <c r="I3221" t="s">
        <v>46</v>
      </c>
      <c r="J3221" t="s">
        <v>47</v>
      </c>
      <c r="K3221">
        <v>3.5</v>
      </c>
      <c r="L3221" t="s">
        <v>143</v>
      </c>
      <c r="M3221" t="s">
        <v>143</v>
      </c>
      <c r="N3221">
        <v>39</v>
      </c>
      <c r="O3221" t="s">
        <v>34</v>
      </c>
      <c r="P3221" t="s">
        <v>35</v>
      </c>
    </row>
    <row r="3222" spans="1:16" ht="14.5" x14ac:dyDescent="0.35">
      <c r="A3222">
        <v>3221</v>
      </c>
      <c r="B3222">
        <v>38</v>
      </c>
      <c r="C3222" t="s">
        <v>144</v>
      </c>
      <c r="D3222" t="s">
        <v>59</v>
      </c>
      <c r="E3222" t="s">
        <v>60</v>
      </c>
      <c r="F3222">
        <v>29</v>
      </c>
      <c r="G3222" t="s">
        <v>105</v>
      </c>
      <c r="H3222" t="s">
        <v>39</v>
      </c>
      <c r="I3222" t="s">
        <v>135</v>
      </c>
      <c r="J3222" t="s">
        <v>50</v>
      </c>
      <c r="K3222">
        <v>4.0999999999999996</v>
      </c>
      <c r="L3222" t="s">
        <v>143</v>
      </c>
      <c r="M3222" t="s">
        <v>143</v>
      </c>
      <c r="N3222">
        <v>16</v>
      </c>
      <c r="O3222" t="s">
        <v>29</v>
      </c>
      <c r="P3222" t="s">
        <v>79</v>
      </c>
    </row>
    <row r="3223" spans="1:16" ht="14.5" x14ac:dyDescent="0.35">
      <c r="A3223">
        <v>3222</v>
      </c>
      <c r="B3223">
        <v>21</v>
      </c>
      <c r="C3223" t="s">
        <v>144</v>
      </c>
      <c r="D3223" t="s">
        <v>104</v>
      </c>
      <c r="E3223" t="s">
        <v>18</v>
      </c>
      <c r="F3223">
        <v>76</v>
      </c>
      <c r="G3223" t="s">
        <v>73</v>
      </c>
      <c r="H3223" t="s">
        <v>39</v>
      </c>
      <c r="I3223" t="s">
        <v>125</v>
      </c>
      <c r="J3223" t="s">
        <v>22</v>
      </c>
      <c r="K3223">
        <v>3.2</v>
      </c>
      <c r="L3223" t="s">
        <v>143</v>
      </c>
      <c r="M3223" t="s">
        <v>143</v>
      </c>
      <c r="N3223">
        <v>28</v>
      </c>
      <c r="O3223" t="s">
        <v>29</v>
      </c>
      <c r="P3223" t="s">
        <v>43</v>
      </c>
    </row>
    <row r="3224" spans="1:16" ht="14.5" x14ac:dyDescent="0.35">
      <c r="A3224">
        <v>3223</v>
      </c>
      <c r="B3224">
        <v>45</v>
      </c>
      <c r="C3224" t="s">
        <v>144</v>
      </c>
      <c r="D3224" t="s">
        <v>80</v>
      </c>
      <c r="E3224" t="s">
        <v>60</v>
      </c>
      <c r="F3224">
        <v>84</v>
      </c>
      <c r="G3224" t="s">
        <v>96</v>
      </c>
      <c r="H3224" t="s">
        <v>32</v>
      </c>
      <c r="I3224" t="s">
        <v>28</v>
      </c>
      <c r="J3224" t="s">
        <v>50</v>
      </c>
      <c r="K3224">
        <v>4.5999999999999996</v>
      </c>
      <c r="L3224" t="s">
        <v>143</v>
      </c>
      <c r="M3224" t="s">
        <v>143</v>
      </c>
      <c r="N3224">
        <v>22</v>
      </c>
      <c r="O3224" t="s">
        <v>40</v>
      </c>
      <c r="P3224" t="s">
        <v>51</v>
      </c>
    </row>
    <row r="3225" spans="1:16" ht="14.5" x14ac:dyDescent="0.35">
      <c r="A3225">
        <v>3224</v>
      </c>
      <c r="B3225">
        <v>68</v>
      </c>
      <c r="C3225" t="s">
        <v>144</v>
      </c>
      <c r="D3225" t="s">
        <v>48</v>
      </c>
      <c r="E3225" t="s">
        <v>18</v>
      </c>
      <c r="F3225">
        <v>65</v>
      </c>
      <c r="G3225" t="s">
        <v>49</v>
      </c>
      <c r="H3225" t="s">
        <v>32</v>
      </c>
      <c r="I3225" t="s">
        <v>21</v>
      </c>
      <c r="J3225" t="s">
        <v>33</v>
      </c>
      <c r="K3225">
        <v>3.9</v>
      </c>
      <c r="L3225" t="s">
        <v>143</v>
      </c>
      <c r="M3225" t="s">
        <v>143</v>
      </c>
      <c r="N3225">
        <v>36</v>
      </c>
      <c r="O3225" t="s">
        <v>24</v>
      </c>
      <c r="P3225" t="s">
        <v>67</v>
      </c>
    </row>
    <row r="3226" spans="1:16" ht="14.5" x14ac:dyDescent="0.35">
      <c r="A3226">
        <v>3225</v>
      </c>
      <c r="B3226">
        <v>37</v>
      </c>
      <c r="C3226" t="s">
        <v>144</v>
      </c>
      <c r="D3226" t="s">
        <v>95</v>
      </c>
      <c r="E3226" t="s">
        <v>18</v>
      </c>
      <c r="F3226">
        <v>80</v>
      </c>
      <c r="G3226" t="s">
        <v>70</v>
      </c>
      <c r="H3226" t="s">
        <v>20</v>
      </c>
      <c r="I3226" t="s">
        <v>117</v>
      </c>
      <c r="J3226" t="s">
        <v>22</v>
      </c>
      <c r="K3226">
        <v>2.7</v>
      </c>
      <c r="L3226" t="s">
        <v>143</v>
      </c>
      <c r="M3226" t="s">
        <v>143</v>
      </c>
      <c r="N3226">
        <v>18</v>
      </c>
      <c r="O3226" t="s">
        <v>40</v>
      </c>
      <c r="P3226" t="s">
        <v>79</v>
      </c>
    </row>
    <row r="3227" spans="1:16" ht="14.5" x14ac:dyDescent="0.35">
      <c r="A3227">
        <v>3226</v>
      </c>
      <c r="B3227">
        <v>53</v>
      </c>
      <c r="C3227" t="s">
        <v>144</v>
      </c>
      <c r="D3227" t="s">
        <v>17</v>
      </c>
      <c r="E3227" t="s">
        <v>18</v>
      </c>
      <c r="F3227">
        <v>98</v>
      </c>
      <c r="G3227" t="s">
        <v>73</v>
      </c>
      <c r="H3227" t="s">
        <v>39</v>
      </c>
      <c r="I3227" t="s">
        <v>62</v>
      </c>
      <c r="J3227" t="s">
        <v>50</v>
      </c>
      <c r="K3227">
        <v>3</v>
      </c>
      <c r="L3227" t="s">
        <v>143</v>
      </c>
      <c r="M3227" t="s">
        <v>143</v>
      </c>
      <c r="N3227">
        <v>31</v>
      </c>
      <c r="O3227" t="s">
        <v>34</v>
      </c>
      <c r="P3227" t="s">
        <v>35</v>
      </c>
    </row>
    <row r="3228" spans="1:16" ht="14.5" x14ac:dyDescent="0.35">
      <c r="A3228">
        <v>3227</v>
      </c>
      <c r="B3228">
        <v>57</v>
      </c>
      <c r="C3228" t="s">
        <v>144</v>
      </c>
      <c r="D3228" t="s">
        <v>44</v>
      </c>
      <c r="E3228" t="s">
        <v>37</v>
      </c>
      <c r="F3228">
        <v>71</v>
      </c>
      <c r="G3228" t="s">
        <v>139</v>
      </c>
      <c r="H3228" t="s">
        <v>83</v>
      </c>
      <c r="I3228" t="s">
        <v>109</v>
      </c>
      <c r="J3228" t="s">
        <v>33</v>
      </c>
      <c r="K3228">
        <v>3.3</v>
      </c>
      <c r="L3228" t="s">
        <v>143</v>
      </c>
      <c r="M3228" t="s">
        <v>143</v>
      </c>
      <c r="N3228">
        <v>38</v>
      </c>
      <c r="O3228" t="s">
        <v>66</v>
      </c>
      <c r="P3228" t="s">
        <v>25</v>
      </c>
    </row>
    <row r="3229" spans="1:16" ht="14.5" x14ac:dyDescent="0.35">
      <c r="A3229">
        <v>3228</v>
      </c>
      <c r="B3229">
        <v>28</v>
      </c>
      <c r="C3229" t="s">
        <v>144</v>
      </c>
      <c r="D3229" t="s">
        <v>110</v>
      </c>
      <c r="E3229" t="s">
        <v>60</v>
      </c>
      <c r="F3229">
        <v>69</v>
      </c>
      <c r="G3229" t="s">
        <v>111</v>
      </c>
      <c r="H3229" t="s">
        <v>83</v>
      </c>
      <c r="I3229" t="s">
        <v>46</v>
      </c>
      <c r="J3229" t="s">
        <v>50</v>
      </c>
      <c r="K3229">
        <v>2.7</v>
      </c>
      <c r="L3229" t="s">
        <v>143</v>
      </c>
      <c r="M3229" t="s">
        <v>143</v>
      </c>
      <c r="N3229">
        <v>42</v>
      </c>
      <c r="O3229" t="s">
        <v>77</v>
      </c>
      <c r="P3229" t="s">
        <v>51</v>
      </c>
    </row>
    <row r="3230" spans="1:16" ht="14.5" x14ac:dyDescent="0.35">
      <c r="A3230">
        <v>3229</v>
      </c>
      <c r="B3230">
        <v>37</v>
      </c>
      <c r="C3230" t="s">
        <v>144</v>
      </c>
      <c r="D3230" t="s">
        <v>97</v>
      </c>
      <c r="E3230" t="s">
        <v>60</v>
      </c>
      <c r="F3230">
        <v>95</v>
      </c>
      <c r="G3230" t="s">
        <v>130</v>
      </c>
      <c r="H3230" t="s">
        <v>39</v>
      </c>
      <c r="I3230" t="s">
        <v>125</v>
      </c>
      <c r="J3230" t="s">
        <v>33</v>
      </c>
      <c r="K3230">
        <v>4.5999999999999996</v>
      </c>
      <c r="L3230" t="s">
        <v>143</v>
      </c>
      <c r="M3230" t="s">
        <v>143</v>
      </c>
      <c r="N3230">
        <v>27</v>
      </c>
      <c r="O3230" t="s">
        <v>40</v>
      </c>
      <c r="P3230" t="s">
        <v>43</v>
      </c>
    </row>
    <row r="3231" spans="1:16" ht="14.5" x14ac:dyDescent="0.35">
      <c r="A3231">
        <v>3230</v>
      </c>
      <c r="B3231">
        <v>54</v>
      </c>
      <c r="C3231" t="s">
        <v>144</v>
      </c>
      <c r="D3231" t="s">
        <v>86</v>
      </c>
      <c r="E3231" t="s">
        <v>18</v>
      </c>
      <c r="F3231">
        <v>67</v>
      </c>
      <c r="G3231" t="s">
        <v>130</v>
      </c>
      <c r="H3231" t="s">
        <v>39</v>
      </c>
      <c r="I3231" t="s">
        <v>76</v>
      </c>
      <c r="J3231" t="s">
        <v>50</v>
      </c>
      <c r="K3231">
        <v>2.7</v>
      </c>
      <c r="L3231" t="s">
        <v>143</v>
      </c>
      <c r="M3231" t="s">
        <v>143</v>
      </c>
      <c r="N3231">
        <v>24</v>
      </c>
      <c r="O3231" t="s">
        <v>29</v>
      </c>
      <c r="P3231" t="s">
        <v>79</v>
      </c>
    </row>
    <row r="3232" spans="1:16" ht="14.5" x14ac:dyDescent="0.35">
      <c r="A3232">
        <v>3231</v>
      </c>
      <c r="B3232">
        <v>49</v>
      </c>
      <c r="C3232" t="s">
        <v>144</v>
      </c>
      <c r="D3232" t="s">
        <v>44</v>
      </c>
      <c r="E3232" t="s">
        <v>37</v>
      </c>
      <c r="F3232">
        <v>49</v>
      </c>
      <c r="G3232" t="s">
        <v>102</v>
      </c>
      <c r="H3232" t="s">
        <v>39</v>
      </c>
      <c r="I3232" t="s">
        <v>69</v>
      </c>
      <c r="J3232" t="s">
        <v>47</v>
      </c>
      <c r="K3232">
        <v>2.5</v>
      </c>
      <c r="L3232" t="s">
        <v>143</v>
      </c>
      <c r="M3232" t="s">
        <v>143</v>
      </c>
      <c r="N3232">
        <v>38</v>
      </c>
      <c r="O3232" t="s">
        <v>77</v>
      </c>
      <c r="P3232" t="s">
        <v>43</v>
      </c>
    </row>
    <row r="3233" spans="1:16" ht="14.5" x14ac:dyDescent="0.35">
      <c r="A3233">
        <v>3232</v>
      </c>
      <c r="B3233">
        <v>62</v>
      </c>
      <c r="C3233" t="s">
        <v>144</v>
      </c>
      <c r="D3233" t="s">
        <v>63</v>
      </c>
      <c r="E3233" t="s">
        <v>37</v>
      </c>
      <c r="F3233">
        <v>97</v>
      </c>
      <c r="G3233" t="s">
        <v>98</v>
      </c>
      <c r="H3233" t="s">
        <v>39</v>
      </c>
      <c r="I3233" t="s">
        <v>28</v>
      </c>
      <c r="J3233" t="s">
        <v>22</v>
      </c>
      <c r="K3233">
        <v>4.4000000000000004</v>
      </c>
      <c r="L3233" t="s">
        <v>143</v>
      </c>
      <c r="M3233" t="s">
        <v>143</v>
      </c>
      <c r="N3233">
        <v>9</v>
      </c>
      <c r="O3233" t="s">
        <v>34</v>
      </c>
      <c r="P3233" t="s">
        <v>43</v>
      </c>
    </row>
    <row r="3234" spans="1:16" ht="14.5" x14ac:dyDescent="0.35">
      <c r="A3234">
        <v>3233</v>
      </c>
      <c r="B3234">
        <v>45</v>
      </c>
      <c r="C3234" t="s">
        <v>144</v>
      </c>
      <c r="D3234" t="s">
        <v>104</v>
      </c>
      <c r="E3234" t="s">
        <v>18</v>
      </c>
      <c r="F3234">
        <v>34</v>
      </c>
      <c r="G3234" t="s">
        <v>31</v>
      </c>
      <c r="H3234" t="s">
        <v>39</v>
      </c>
      <c r="I3234" t="s">
        <v>46</v>
      </c>
      <c r="J3234" t="s">
        <v>33</v>
      </c>
      <c r="K3234">
        <v>4</v>
      </c>
      <c r="L3234" t="s">
        <v>143</v>
      </c>
      <c r="M3234" t="s">
        <v>143</v>
      </c>
      <c r="N3234">
        <v>19</v>
      </c>
      <c r="O3234" t="s">
        <v>66</v>
      </c>
      <c r="P3234" t="s">
        <v>79</v>
      </c>
    </row>
    <row r="3235" spans="1:16" ht="14.5" x14ac:dyDescent="0.35">
      <c r="A3235">
        <v>3234</v>
      </c>
      <c r="B3235">
        <v>45</v>
      </c>
      <c r="C3235" t="s">
        <v>144</v>
      </c>
      <c r="D3235" t="s">
        <v>124</v>
      </c>
      <c r="E3235" t="s">
        <v>60</v>
      </c>
      <c r="F3235">
        <v>74</v>
      </c>
      <c r="G3235" t="s">
        <v>107</v>
      </c>
      <c r="H3235" t="s">
        <v>39</v>
      </c>
      <c r="I3235" t="s">
        <v>84</v>
      </c>
      <c r="J3235" t="s">
        <v>50</v>
      </c>
      <c r="K3235">
        <v>3.8</v>
      </c>
      <c r="L3235" t="s">
        <v>143</v>
      </c>
      <c r="M3235" t="s">
        <v>143</v>
      </c>
      <c r="N3235">
        <v>11</v>
      </c>
      <c r="O3235" t="s">
        <v>77</v>
      </c>
      <c r="P3235" t="s">
        <v>67</v>
      </c>
    </row>
    <row r="3236" spans="1:16" ht="14.5" x14ac:dyDescent="0.35">
      <c r="A3236">
        <v>3235</v>
      </c>
      <c r="B3236">
        <v>49</v>
      </c>
      <c r="C3236" t="s">
        <v>144</v>
      </c>
      <c r="D3236" t="s">
        <v>97</v>
      </c>
      <c r="E3236" t="s">
        <v>60</v>
      </c>
      <c r="F3236">
        <v>96</v>
      </c>
      <c r="G3236" t="s">
        <v>140</v>
      </c>
      <c r="H3236" t="s">
        <v>39</v>
      </c>
      <c r="I3236" t="s">
        <v>85</v>
      </c>
      <c r="J3236" t="s">
        <v>22</v>
      </c>
      <c r="K3236">
        <v>2.5</v>
      </c>
      <c r="L3236" t="s">
        <v>143</v>
      </c>
      <c r="M3236" t="s">
        <v>143</v>
      </c>
      <c r="N3236">
        <v>16</v>
      </c>
      <c r="O3236" t="s">
        <v>77</v>
      </c>
      <c r="P3236" t="s">
        <v>51</v>
      </c>
    </row>
    <row r="3237" spans="1:16" ht="14.5" x14ac:dyDescent="0.35">
      <c r="A3237">
        <v>3236</v>
      </c>
      <c r="B3237">
        <v>27</v>
      </c>
      <c r="C3237" t="s">
        <v>144</v>
      </c>
      <c r="D3237" t="s">
        <v>124</v>
      </c>
      <c r="E3237" t="s">
        <v>60</v>
      </c>
      <c r="F3237">
        <v>68</v>
      </c>
      <c r="G3237" t="s">
        <v>102</v>
      </c>
      <c r="H3237" t="s">
        <v>39</v>
      </c>
      <c r="I3237" t="s">
        <v>87</v>
      </c>
      <c r="J3237" t="s">
        <v>47</v>
      </c>
      <c r="K3237">
        <v>4</v>
      </c>
      <c r="L3237" t="s">
        <v>143</v>
      </c>
      <c r="M3237" t="s">
        <v>143</v>
      </c>
      <c r="N3237">
        <v>18</v>
      </c>
      <c r="O3237" t="s">
        <v>24</v>
      </c>
      <c r="P3237" t="s">
        <v>79</v>
      </c>
    </row>
    <row r="3238" spans="1:16" ht="14.5" x14ac:dyDescent="0.35">
      <c r="A3238">
        <v>3237</v>
      </c>
      <c r="B3238">
        <v>63</v>
      </c>
      <c r="C3238" t="s">
        <v>144</v>
      </c>
      <c r="D3238" t="s">
        <v>124</v>
      </c>
      <c r="E3238" t="s">
        <v>60</v>
      </c>
      <c r="F3238">
        <v>84</v>
      </c>
      <c r="G3238" t="s">
        <v>122</v>
      </c>
      <c r="H3238" t="s">
        <v>20</v>
      </c>
      <c r="I3238" t="s">
        <v>69</v>
      </c>
      <c r="J3238" t="s">
        <v>50</v>
      </c>
      <c r="K3238">
        <v>4.0999999999999996</v>
      </c>
      <c r="L3238" t="s">
        <v>143</v>
      </c>
      <c r="M3238" t="s">
        <v>143</v>
      </c>
      <c r="N3238">
        <v>8</v>
      </c>
      <c r="O3238" t="s">
        <v>29</v>
      </c>
      <c r="P3238" t="s">
        <v>79</v>
      </c>
    </row>
    <row r="3239" spans="1:16" ht="14.5" x14ac:dyDescent="0.35">
      <c r="A3239">
        <v>3238</v>
      </c>
      <c r="B3239">
        <v>61</v>
      </c>
      <c r="C3239" t="s">
        <v>144</v>
      </c>
      <c r="D3239" t="s">
        <v>104</v>
      </c>
      <c r="E3239" t="s">
        <v>18</v>
      </c>
      <c r="F3239">
        <v>57</v>
      </c>
      <c r="G3239" t="s">
        <v>120</v>
      </c>
      <c r="H3239" t="s">
        <v>39</v>
      </c>
      <c r="I3239" t="s">
        <v>21</v>
      </c>
      <c r="J3239" t="s">
        <v>47</v>
      </c>
      <c r="K3239">
        <v>2.8</v>
      </c>
      <c r="L3239" t="s">
        <v>143</v>
      </c>
      <c r="M3239" t="s">
        <v>143</v>
      </c>
      <c r="N3239">
        <v>4</v>
      </c>
      <c r="O3239" t="s">
        <v>29</v>
      </c>
      <c r="P3239" t="s">
        <v>35</v>
      </c>
    </row>
    <row r="3240" spans="1:16" ht="14.5" x14ac:dyDescent="0.35">
      <c r="A3240">
        <v>3239</v>
      </c>
      <c r="B3240">
        <v>25</v>
      </c>
      <c r="C3240" t="s">
        <v>144</v>
      </c>
      <c r="D3240" t="s">
        <v>44</v>
      </c>
      <c r="E3240" t="s">
        <v>37</v>
      </c>
      <c r="F3240">
        <v>84</v>
      </c>
      <c r="G3240" t="s">
        <v>45</v>
      </c>
      <c r="H3240" t="s">
        <v>83</v>
      </c>
      <c r="I3240" t="s">
        <v>76</v>
      </c>
      <c r="J3240" t="s">
        <v>50</v>
      </c>
      <c r="K3240">
        <v>3.4</v>
      </c>
      <c r="L3240" t="s">
        <v>143</v>
      </c>
      <c r="M3240" t="s">
        <v>143</v>
      </c>
      <c r="N3240">
        <v>37</v>
      </c>
      <c r="O3240" t="s">
        <v>29</v>
      </c>
      <c r="P3240" t="s">
        <v>51</v>
      </c>
    </row>
    <row r="3241" spans="1:16" ht="14.5" x14ac:dyDescent="0.35">
      <c r="A3241">
        <v>3240</v>
      </c>
      <c r="B3241">
        <v>33</v>
      </c>
      <c r="C3241" t="s">
        <v>144</v>
      </c>
      <c r="D3241" t="s">
        <v>80</v>
      </c>
      <c r="E3241" t="s">
        <v>60</v>
      </c>
      <c r="F3241">
        <v>32</v>
      </c>
      <c r="G3241" t="s">
        <v>103</v>
      </c>
      <c r="H3241" t="s">
        <v>39</v>
      </c>
      <c r="I3241" t="s">
        <v>54</v>
      </c>
      <c r="J3241" t="s">
        <v>50</v>
      </c>
      <c r="K3241">
        <v>2.7</v>
      </c>
      <c r="L3241" t="s">
        <v>143</v>
      </c>
      <c r="M3241" t="s">
        <v>143</v>
      </c>
      <c r="N3241">
        <v>30</v>
      </c>
      <c r="O3241" t="s">
        <v>29</v>
      </c>
      <c r="P3241" t="s">
        <v>79</v>
      </c>
    </row>
    <row r="3242" spans="1:16" ht="14.5" x14ac:dyDescent="0.35">
      <c r="A3242">
        <v>3241</v>
      </c>
      <c r="B3242">
        <v>56</v>
      </c>
      <c r="C3242" t="s">
        <v>144</v>
      </c>
      <c r="D3242" t="s">
        <v>36</v>
      </c>
      <c r="E3242" t="s">
        <v>37</v>
      </c>
      <c r="F3242">
        <v>37</v>
      </c>
      <c r="G3242" t="s">
        <v>57</v>
      </c>
      <c r="H3242" t="s">
        <v>39</v>
      </c>
      <c r="I3242" t="s">
        <v>74</v>
      </c>
      <c r="J3242" t="s">
        <v>50</v>
      </c>
      <c r="K3242">
        <v>3.8</v>
      </c>
      <c r="L3242" t="s">
        <v>143</v>
      </c>
      <c r="M3242" t="s">
        <v>143</v>
      </c>
      <c r="N3242">
        <v>37</v>
      </c>
      <c r="O3242" t="s">
        <v>66</v>
      </c>
      <c r="P3242" t="s">
        <v>79</v>
      </c>
    </row>
    <row r="3243" spans="1:16" ht="14.5" x14ac:dyDescent="0.35">
      <c r="A3243">
        <v>3242</v>
      </c>
      <c r="B3243">
        <v>50</v>
      </c>
      <c r="C3243" t="s">
        <v>144</v>
      </c>
      <c r="D3243" t="s">
        <v>59</v>
      </c>
      <c r="E3243" t="s">
        <v>60</v>
      </c>
      <c r="F3243">
        <v>58</v>
      </c>
      <c r="G3243" t="s">
        <v>130</v>
      </c>
      <c r="H3243" t="s">
        <v>39</v>
      </c>
      <c r="I3243" t="s">
        <v>84</v>
      </c>
      <c r="J3243" t="s">
        <v>47</v>
      </c>
      <c r="K3243">
        <v>4.4000000000000004</v>
      </c>
      <c r="L3243" t="s">
        <v>143</v>
      </c>
      <c r="M3243" t="s">
        <v>143</v>
      </c>
      <c r="N3243">
        <v>30</v>
      </c>
      <c r="O3243" t="s">
        <v>40</v>
      </c>
      <c r="P3243" t="s">
        <v>51</v>
      </c>
    </row>
    <row r="3244" spans="1:16" ht="14.5" x14ac:dyDescent="0.35">
      <c r="A3244">
        <v>3243</v>
      </c>
      <c r="B3244">
        <v>45</v>
      </c>
      <c r="C3244" t="s">
        <v>144</v>
      </c>
      <c r="D3244" t="s">
        <v>116</v>
      </c>
      <c r="E3244" t="s">
        <v>18</v>
      </c>
      <c r="F3244">
        <v>74</v>
      </c>
      <c r="G3244" t="s">
        <v>41</v>
      </c>
      <c r="H3244" t="s">
        <v>32</v>
      </c>
      <c r="I3244" t="s">
        <v>109</v>
      </c>
      <c r="J3244" t="s">
        <v>50</v>
      </c>
      <c r="K3244">
        <v>2.8</v>
      </c>
      <c r="L3244" t="s">
        <v>143</v>
      </c>
      <c r="M3244" t="s">
        <v>143</v>
      </c>
      <c r="N3244">
        <v>17</v>
      </c>
      <c r="O3244" t="s">
        <v>24</v>
      </c>
      <c r="P3244" t="s">
        <v>35</v>
      </c>
    </row>
    <row r="3245" spans="1:16" ht="14.5" x14ac:dyDescent="0.35">
      <c r="A3245">
        <v>3244</v>
      </c>
      <c r="B3245">
        <v>45</v>
      </c>
      <c r="C3245" t="s">
        <v>144</v>
      </c>
      <c r="D3245" t="s">
        <v>95</v>
      </c>
      <c r="E3245" t="s">
        <v>18</v>
      </c>
      <c r="F3245">
        <v>99</v>
      </c>
      <c r="G3245" t="s">
        <v>126</v>
      </c>
      <c r="H3245" t="s">
        <v>20</v>
      </c>
      <c r="I3245" t="s">
        <v>85</v>
      </c>
      <c r="J3245" t="s">
        <v>47</v>
      </c>
      <c r="K3245">
        <v>5</v>
      </c>
      <c r="L3245" t="s">
        <v>143</v>
      </c>
      <c r="M3245" t="s">
        <v>143</v>
      </c>
      <c r="N3245">
        <v>11</v>
      </c>
      <c r="O3245" t="s">
        <v>66</v>
      </c>
      <c r="P3245" t="s">
        <v>88</v>
      </c>
    </row>
    <row r="3246" spans="1:16" ht="14.5" x14ac:dyDescent="0.35">
      <c r="A3246">
        <v>3245</v>
      </c>
      <c r="B3246">
        <v>65</v>
      </c>
      <c r="C3246" t="s">
        <v>144</v>
      </c>
      <c r="D3246" t="s">
        <v>26</v>
      </c>
      <c r="E3246" t="s">
        <v>18</v>
      </c>
      <c r="F3246">
        <v>81</v>
      </c>
      <c r="G3246" t="s">
        <v>64</v>
      </c>
      <c r="H3246" t="s">
        <v>39</v>
      </c>
      <c r="I3246" t="s">
        <v>85</v>
      </c>
      <c r="J3246" t="s">
        <v>50</v>
      </c>
      <c r="K3246">
        <v>4.7</v>
      </c>
      <c r="L3246" t="s">
        <v>143</v>
      </c>
      <c r="M3246" t="s">
        <v>143</v>
      </c>
      <c r="N3246">
        <v>42</v>
      </c>
      <c r="O3246" t="s">
        <v>34</v>
      </c>
      <c r="P3246" t="s">
        <v>43</v>
      </c>
    </row>
    <row r="3247" spans="1:16" ht="14.5" x14ac:dyDescent="0.35">
      <c r="A3247">
        <v>3246</v>
      </c>
      <c r="B3247">
        <v>63</v>
      </c>
      <c r="C3247" t="s">
        <v>144</v>
      </c>
      <c r="D3247" t="s">
        <v>86</v>
      </c>
      <c r="E3247" t="s">
        <v>18</v>
      </c>
      <c r="F3247">
        <v>76</v>
      </c>
      <c r="G3247" t="s">
        <v>102</v>
      </c>
      <c r="H3247" t="s">
        <v>39</v>
      </c>
      <c r="I3247" t="s">
        <v>65</v>
      </c>
      <c r="J3247" t="s">
        <v>50</v>
      </c>
      <c r="K3247">
        <v>3.2</v>
      </c>
      <c r="L3247" t="s">
        <v>143</v>
      </c>
      <c r="M3247" t="s">
        <v>143</v>
      </c>
      <c r="N3247">
        <v>20</v>
      </c>
      <c r="O3247" t="s">
        <v>29</v>
      </c>
      <c r="P3247" t="s">
        <v>35</v>
      </c>
    </row>
    <row r="3248" spans="1:16" ht="14.5" x14ac:dyDescent="0.35">
      <c r="A3248">
        <v>3247</v>
      </c>
      <c r="B3248">
        <v>70</v>
      </c>
      <c r="C3248" t="s">
        <v>144</v>
      </c>
      <c r="D3248" t="s">
        <v>44</v>
      </c>
      <c r="E3248" t="s">
        <v>37</v>
      </c>
      <c r="F3248">
        <v>98</v>
      </c>
      <c r="G3248" t="s">
        <v>142</v>
      </c>
      <c r="H3248" t="s">
        <v>39</v>
      </c>
      <c r="I3248" t="s">
        <v>127</v>
      </c>
      <c r="J3248" t="s">
        <v>47</v>
      </c>
      <c r="K3248">
        <v>2.9</v>
      </c>
      <c r="L3248" t="s">
        <v>143</v>
      </c>
      <c r="M3248" t="s">
        <v>143</v>
      </c>
      <c r="N3248">
        <v>37</v>
      </c>
      <c r="O3248" t="s">
        <v>29</v>
      </c>
      <c r="P3248" t="s">
        <v>79</v>
      </c>
    </row>
    <row r="3249" spans="1:16" ht="14.5" x14ac:dyDescent="0.35">
      <c r="A3249">
        <v>3248</v>
      </c>
      <c r="B3249">
        <v>53</v>
      </c>
      <c r="C3249" t="s">
        <v>144</v>
      </c>
      <c r="D3249" t="s">
        <v>134</v>
      </c>
      <c r="E3249" t="s">
        <v>60</v>
      </c>
      <c r="F3249">
        <v>91</v>
      </c>
      <c r="G3249" t="s">
        <v>64</v>
      </c>
      <c r="H3249" t="s">
        <v>39</v>
      </c>
      <c r="I3249" t="s">
        <v>76</v>
      </c>
      <c r="J3249" t="s">
        <v>47</v>
      </c>
      <c r="K3249">
        <v>3.7</v>
      </c>
      <c r="L3249" t="s">
        <v>143</v>
      </c>
      <c r="M3249" t="s">
        <v>143</v>
      </c>
      <c r="N3249">
        <v>12</v>
      </c>
      <c r="O3249" t="s">
        <v>40</v>
      </c>
      <c r="P3249" t="s">
        <v>25</v>
      </c>
    </row>
    <row r="3250" spans="1:16" ht="14.5" x14ac:dyDescent="0.35">
      <c r="A3250">
        <v>3249</v>
      </c>
      <c r="B3250">
        <v>22</v>
      </c>
      <c r="C3250" t="s">
        <v>144</v>
      </c>
      <c r="D3250" t="s">
        <v>104</v>
      </c>
      <c r="E3250" t="s">
        <v>18</v>
      </c>
      <c r="F3250">
        <v>79</v>
      </c>
      <c r="G3250" t="s">
        <v>129</v>
      </c>
      <c r="H3250" t="s">
        <v>32</v>
      </c>
      <c r="I3250" t="s">
        <v>76</v>
      </c>
      <c r="J3250" t="s">
        <v>47</v>
      </c>
      <c r="K3250">
        <v>4.2</v>
      </c>
      <c r="L3250" t="s">
        <v>143</v>
      </c>
      <c r="M3250" t="s">
        <v>143</v>
      </c>
      <c r="N3250">
        <v>41</v>
      </c>
      <c r="O3250" t="s">
        <v>66</v>
      </c>
      <c r="P3250" t="s">
        <v>51</v>
      </c>
    </row>
    <row r="3251" spans="1:16" ht="14.5" x14ac:dyDescent="0.35">
      <c r="A3251">
        <v>3250</v>
      </c>
      <c r="B3251">
        <v>26</v>
      </c>
      <c r="C3251" t="s">
        <v>144</v>
      </c>
      <c r="D3251" t="s">
        <v>123</v>
      </c>
      <c r="E3251" t="s">
        <v>60</v>
      </c>
      <c r="F3251">
        <v>83</v>
      </c>
      <c r="G3251" t="s">
        <v>132</v>
      </c>
      <c r="H3251" t="s">
        <v>39</v>
      </c>
      <c r="I3251" t="s">
        <v>62</v>
      </c>
      <c r="J3251" t="s">
        <v>47</v>
      </c>
      <c r="K3251">
        <v>3.4</v>
      </c>
      <c r="L3251" t="s">
        <v>143</v>
      </c>
      <c r="M3251" t="s">
        <v>143</v>
      </c>
      <c r="N3251">
        <v>32</v>
      </c>
      <c r="O3251" t="s">
        <v>34</v>
      </c>
      <c r="P3251" t="s">
        <v>51</v>
      </c>
    </row>
    <row r="3252" spans="1:16" ht="14.5" x14ac:dyDescent="0.35">
      <c r="A3252">
        <v>3251</v>
      </c>
      <c r="B3252">
        <v>23</v>
      </c>
      <c r="C3252" t="s">
        <v>144</v>
      </c>
      <c r="D3252" t="s">
        <v>55</v>
      </c>
      <c r="E3252" t="s">
        <v>56</v>
      </c>
      <c r="F3252">
        <v>90</v>
      </c>
      <c r="G3252" t="s">
        <v>139</v>
      </c>
      <c r="H3252" t="s">
        <v>39</v>
      </c>
      <c r="I3252" t="s">
        <v>76</v>
      </c>
      <c r="J3252" t="s">
        <v>33</v>
      </c>
      <c r="K3252">
        <v>2.9</v>
      </c>
      <c r="L3252" t="s">
        <v>143</v>
      </c>
      <c r="M3252" t="s">
        <v>143</v>
      </c>
      <c r="N3252">
        <v>15</v>
      </c>
      <c r="O3252" t="s">
        <v>24</v>
      </c>
      <c r="P3252" t="s">
        <v>35</v>
      </c>
    </row>
    <row r="3253" spans="1:16" ht="14.5" x14ac:dyDescent="0.35">
      <c r="A3253">
        <v>3252</v>
      </c>
      <c r="B3253">
        <v>25</v>
      </c>
      <c r="C3253" t="s">
        <v>144</v>
      </c>
      <c r="D3253" t="s">
        <v>55</v>
      </c>
      <c r="E3253" t="s">
        <v>56</v>
      </c>
      <c r="F3253">
        <v>20</v>
      </c>
      <c r="G3253" t="s">
        <v>98</v>
      </c>
      <c r="H3253" t="s">
        <v>39</v>
      </c>
      <c r="I3253" t="s">
        <v>71</v>
      </c>
      <c r="J3253" t="s">
        <v>22</v>
      </c>
      <c r="K3253">
        <v>3.7</v>
      </c>
      <c r="L3253" t="s">
        <v>143</v>
      </c>
      <c r="M3253" t="s">
        <v>143</v>
      </c>
      <c r="N3253">
        <v>39</v>
      </c>
      <c r="O3253" t="s">
        <v>24</v>
      </c>
      <c r="P3253" t="s">
        <v>51</v>
      </c>
    </row>
    <row r="3254" spans="1:16" ht="14.5" x14ac:dyDescent="0.35">
      <c r="A3254">
        <v>3253</v>
      </c>
      <c r="B3254">
        <v>69</v>
      </c>
      <c r="C3254" t="s">
        <v>144</v>
      </c>
      <c r="D3254" t="s">
        <v>36</v>
      </c>
      <c r="E3254" t="s">
        <v>37</v>
      </c>
      <c r="F3254">
        <v>21</v>
      </c>
      <c r="G3254" t="s">
        <v>49</v>
      </c>
      <c r="H3254" t="s">
        <v>20</v>
      </c>
      <c r="I3254" t="s">
        <v>101</v>
      </c>
      <c r="J3254" t="s">
        <v>33</v>
      </c>
      <c r="K3254">
        <v>2.7</v>
      </c>
      <c r="L3254" t="s">
        <v>143</v>
      </c>
      <c r="M3254" t="s">
        <v>143</v>
      </c>
      <c r="N3254">
        <v>48</v>
      </c>
      <c r="O3254" t="s">
        <v>34</v>
      </c>
      <c r="P3254" t="s">
        <v>25</v>
      </c>
    </row>
    <row r="3255" spans="1:16" ht="14.5" x14ac:dyDescent="0.35">
      <c r="A3255">
        <v>3254</v>
      </c>
      <c r="B3255">
        <v>36</v>
      </c>
      <c r="C3255" t="s">
        <v>144</v>
      </c>
      <c r="D3255" t="s">
        <v>123</v>
      </c>
      <c r="E3255" t="s">
        <v>60</v>
      </c>
      <c r="F3255">
        <v>60</v>
      </c>
      <c r="G3255" t="s">
        <v>136</v>
      </c>
      <c r="H3255" t="s">
        <v>39</v>
      </c>
      <c r="I3255" t="s">
        <v>101</v>
      </c>
      <c r="J3255" t="s">
        <v>50</v>
      </c>
      <c r="K3255">
        <v>3.2</v>
      </c>
      <c r="L3255" t="s">
        <v>143</v>
      </c>
      <c r="M3255" t="s">
        <v>143</v>
      </c>
      <c r="N3255">
        <v>8</v>
      </c>
      <c r="O3255" t="s">
        <v>24</v>
      </c>
      <c r="P3255" t="s">
        <v>25</v>
      </c>
    </row>
    <row r="3256" spans="1:16" ht="14.5" x14ac:dyDescent="0.35">
      <c r="A3256">
        <v>3255</v>
      </c>
      <c r="B3256">
        <v>21</v>
      </c>
      <c r="C3256" t="s">
        <v>144</v>
      </c>
      <c r="D3256" t="s">
        <v>26</v>
      </c>
      <c r="E3256" t="s">
        <v>18</v>
      </c>
      <c r="F3256">
        <v>31</v>
      </c>
      <c r="G3256" t="s">
        <v>107</v>
      </c>
      <c r="H3256" t="s">
        <v>32</v>
      </c>
      <c r="I3256" t="s">
        <v>127</v>
      </c>
      <c r="J3256" t="s">
        <v>22</v>
      </c>
      <c r="K3256">
        <v>4.9000000000000004</v>
      </c>
      <c r="L3256" t="s">
        <v>143</v>
      </c>
      <c r="M3256" t="s">
        <v>143</v>
      </c>
      <c r="N3256">
        <v>11</v>
      </c>
      <c r="O3256" t="s">
        <v>66</v>
      </c>
      <c r="P3256" t="s">
        <v>88</v>
      </c>
    </row>
    <row r="3257" spans="1:16" ht="14.5" x14ac:dyDescent="0.35">
      <c r="A3257">
        <v>3256</v>
      </c>
      <c r="B3257">
        <v>57</v>
      </c>
      <c r="C3257" t="s">
        <v>144</v>
      </c>
      <c r="D3257" t="s">
        <v>52</v>
      </c>
      <c r="E3257" t="s">
        <v>18</v>
      </c>
      <c r="F3257">
        <v>40</v>
      </c>
      <c r="G3257" t="s">
        <v>118</v>
      </c>
      <c r="H3257" t="s">
        <v>39</v>
      </c>
      <c r="I3257" t="s">
        <v>85</v>
      </c>
      <c r="J3257" t="s">
        <v>50</v>
      </c>
      <c r="K3257">
        <v>2.8</v>
      </c>
      <c r="L3257" t="s">
        <v>143</v>
      </c>
      <c r="M3257" t="s">
        <v>143</v>
      </c>
      <c r="N3257">
        <v>36</v>
      </c>
      <c r="O3257" t="s">
        <v>66</v>
      </c>
      <c r="P3257" t="s">
        <v>79</v>
      </c>
    </row>
    <row r="3258" spans="1:16" ht="14.5" x14ac:dyDescent="0.35">
      <c r="A3258">
        <v>3257</v>
      </c>
      <c r="B3258">
        <v>60</v>
      </c>
      <c r="C3258" t="s">
        <v>144</v>
      </c>
      <c r="D3258" t="s">
        <v>80</v>
      </c>
      <c r="E3258" t="s">
        <v>60</v>
      </c>
      <c r="F3258">
        <v>26</v>
      </c>
      <c r="G3258" t="s">
        <v>141</v>
      </c>
      <c r="H3258" t="s">
        <v>20</v>
      </c>
      <c r="I3258" t="s">
        <v>76</v>
      </c>
      <c r="J3258" t="s">
        <v>22</v>
      </c>
      <c r="K3258">
        <v>4.7</v>
      </c>
      <c r="L3258" t="s">
        <v>143</v>
      </c>
      <c r="M3258" t="s">
        <v>143</v>
      </c>
      <c r="N3258">
        <v>50</v>
      </c>
      <c r="O3258" t="s">
        <v>24</v>
      </c>
      <c r="P3258" t="s">
        <v>88</v>
      </c>
    </row>
    <row r="3259" spans="1:16" ht="14.5" x14ac:dyDescent="0.35">
      <c r="A3259">
        <v>3258</v>
      </c>
      <c r="B3259">
        <v>44</v>
      </c>
      <c r="C3259" t="s">
        <v>144</v>
      </c>
      <c r="D3259" t="s">
        <v>48</v>
      </c>
      <c r="E3259" t="s">
        <v>18</v>
      </c>
      <c r="F3259">
        <v>98</v>
      </c>
      <c r="G3259" t="s">
        <v>139</v>
      </c>
      <c r="H3259" t="s">
        <v>39</v>
      </c>
      <c r="I3259" t="s">
        <v>101</v>
      </c>
      <c r="J3259" t="s">
        <v>50</v>
      </c>
      <c r="K3259">
        <v>3.3</v>
      </c>
      <c r="L3259" t="s">
        <v>143</v>
      </c>
      <c r="M3259" t="s">
        <v>143</v>
      </c>
      <c r="N3259">
        <v>39</v>
      </c>
      <c r="O3259" t="s">
        <v>24</v>
      </c>
      <c r="P3259" t="s">
        <v>88</v>
      </c>
    </row>
    <row r="3260" spans="1:16" ht="14.5" x14ac:dyDescent="0.35">
      <c r="A3260">
        <v>3259</v>
      </c>
      <c r="B3260">
        <v>31</v>
      </c>
      <c r="C3260" t="s">
        <v>144</v>
      </c>
      <c r="D3260" t="s">
        <v>63</v>
      </c>
      <c r="E3260" t="s">
        <v>37</v>
      </c>
      <c r="F3260">
        <v>51</v>
      </c>
      <c r="G3260" t="s">
        <v>118</v>
      </c>
      <c r="H3260" t="s">
        <v>39</v>
      </c>
      <c r="I3260" t="s">
        <v>127</v>
      </c>
      <c r="J3260" t="s">
        <v>33</v>
      </c>
      <c r="K3260">
        <v>4.3</v>
      </c>
      <c r="L3260" t="s">
        <v>143</v>
      </c>
      <c r="M3260" t="s">
        <v>143</v>
      </c>
      <c r="N3260">
        <v>11</v>
      </c>
      <c r="O3260" t="s">
        <v>34</v>
      </c>
      <c r="P3260" t="s">
        <v>67</v>
      </c>
    </row>
    <row r="3261" spans="1:16" ht="14.5" x14ac:dyDescent="0.35">
      <c r="A3261">
        <v>3260</v>
      </c>
      <c r="B3261">
        <v>57</v>
      </c>
      <c r="C3261" t="s">
        <v>144</v>
      </c>
      <c r="D3261" t="s">
        <v>115</v>
      </c>
      <c r="E3261" t="s">
        <v>60</v>
      </c>
      <c r="F3261">
        <v>95</v>
      </c>
      <c r="G3261" t="s">
        <v>92</v>
      </c>
      <c r="H3261" t="s">
        <v>83</v>
      </c>
      <c r="I3261" t="s">
        <v>117</v>
      </c>
      <c r="J3261" t="s">
        <v>50</v>
      </c>
      <c r="K3261">
        <v>3.7</v>
      </c>
      <c r="L3261" t="s">
        <v>143</v>
      </c>
      <c r="M3261" t="s">
        <v>143</v>
      </c>
      <c r="N3261">
        <v>5</v>
      </c>
      <c r="O3261" t="s">
        <v>77</v>
      </c>
      <c r="P3261" t="s">
        <v>88</v>
      </c>
    </row>
    <row r="3262" spans="1:16" ht="14.5" x14ac:dyDescent="0.35">
      <c r="A3262">
        <v>3261</v>
      </c>
      <c r="B3262">
        <v>39</v>
      </c>
      <c r="C3262" t="s">
        <v>144</v>
      </c>
      <c r="D3262" t="s">
        <v>110</v>
      </c>
      <c r="E3262" t="s">
        <v>60</v>
      </c>
      <c r="F3262">
        <v>36</v>
      </c>
      <c r="G3262" t="s">
        <v>141</v>
      </c>
      <c r="H3262" t="s">
        <v>39</v>
      </c>
      <c r="I3262" t="s">
        <v>74</v>
      </c>
      <c r="J3262" t="s">
        <v>47</v>
      </c>
      <c r="K3262">
        <v>4.5</v>
      </c>
      <c r="L3262" t="s">
        <v>143</v>
      </c>
      <c r="M3262" t="s">
        <v>143</v>
      </c>
      <c r="N3262">
        <v>7</v>
      </c>
      <c r="O3262" t="s">
        <v>34</v>
      </c>
      <c r="P3262" t="s">
        <v>43</v>
      </c>
    </row>
    <row r="3263" spans="1:16" ht="14.5" x14ac:dyDescent="0.35">
      <c r="A3263">
        <v>3262</v>
      </c>
      <c r="B3263">
        <v>48</v>
      </c>
      <c r="C3263" t="s">
        <v>144</v>
      </c>
      <c r="D3263" t="s">
        <v>124</v>
      </c>
      <c r="E3263" t="s">
        <v>60</v>
      </c>
      <c r="F3263">
        <v>52</v>
      </c>
      <c r="G3263" t="s">
        <v>38</v>
      </c>
      <c r="H3263" t="s">
        <v>20</v>
      </c>
      <c r="I3263" t="s">
        <v>100</v>
      </c>
      <c r="J3263" t="s">
        <v>22</v>
      </c>
      <c r="K3263">
        <v>3.4</v>
      </c>
      <c r="L3263" t="s">
        <v>143</v>
      </c>
      <c r="M3263" t="s">
        <v>143</v>
      </c>
      <c r="N3263">
        <v>50</v>
      </c>
      <c r="O3263" t="s">
        <v>77</v>
      </c>
      <c r="P3263" t="s">
        <v>35</v>
      </c>
    </row>
    <row r="3264" spans="1:16" ht="14.5" x14ac:dyDescent="0.35">
      <c r="A3264">
        <v>3263</v>
      </c>
      <c r="B3264">
        <v>42</v>
      </c>
      <c r="C3264" t="s">
        <v>144</v>
      </c>
      <c r="D3264" t="s">
        <v>104</v>
      </c>
      <c r="E3264" t="s">
        <v>18</v>
      </c>
      <c r="F3264">
        <v>35</v>
      </c>
      <c r="G3264" t="s">
        <v>107</v>
      </c>
      <c r="H3264" t="s">
        <v>39</v>
      </c>
      <c r="I3264" t="s">
        <v>74</v>
      </c>
      <c r="J3264" t="s">
        <v>33</v>
      </c>
      <c r="K3264">
        <v>2.7</v>
      </c>
      <c r="L3264" t="s">
        <v>143</v>
      </c>
      <c r="M3264" t="s">
        <v>143</v>
      </c>
      <c r="N3264">
        <v>21</v>
      </c>
      <c r="O3264" t="s">
        <v>29</v>
      </c>
      <c r="P3264" t="s">
        <v>88</v>
      </c>
    </row>
    <row r="3265" spans="1:16" ht="14.5" x14ac:dyDescent="0.35">
      <c r="A3265">
        <v>3264</v>
      </c>
      <c r="B3265">
        <v>56</v>
      </c>
      <c r="C3265" t="s">
        <v>144</v>
      </c>
      <c r="D3265" t="s">
        <v>52</v>
      </c>
      <c r="E3265" t="s">
        <v>18</v>
      </c>
      <c r="F3265">
        <v>68</v>
      </c>
      <c r="G3265" t="s">
        <v>120</v>
      </c>
      <c r="H3265" t="s">
        <v>32</v>
      </c>
      <c r="I3265" t="s">
        <v>85</v>
      </c>
      <c r="J3265" t="s">
        <v>50</v>
      </c>
      <c r="K3265">
        <v>4.4000000000000004</v>
      </c>
      <c r="L3265" t="s">
        <v>143</v>
      </c>
      <c r="M3265" t="s">
        <v>143</v>
      </c>
      <c r="N3265">
        <v>31</v>
      </c>
      <c r="O3265" t="s">
        <v>77</v>
      </c>
      <c r="P3265" t="s">
        <v>25</v>
      </c>
    </row>
    <row r="3266" spans="1:16" ht="14.5" x14ac:dyDescent="0.35">
      <c r="A3266">
        <v>3265</v>
      </c>
      <c r="B3266">
        <v>28</v>
      </c>
      <c r="C3266" t="s">
        <v>144</v>
      </c>
      <c r="D3266" t="s">
        <v>86</v>
      </c>
      <c r="E3266" t="s">
        <v>18</v>
      </c>
      <c r="F3266">
        <v>50</v>
      </c>
      <c r="G3266" t="s">
        <v>27</v>
      </c>
      <c r="H3266" t="s">
        <v>32</v>
      </c>
      <c r="I3266" t="s">
        <v>54</v>
      </c>
      <c r="J3266" t="s">
        <v>22</v>
      </c>
      <c r="K3266">
        <v>4</v>
      </c>
      <c r="L3266" t="s">
        <v>143</v>
      </c>
      <c r="M3266" t="s">
        <v>143</v>
      </c>
      <c r="N3266">
        <v>39</v>
      </c>
      <c r="O3266" t="s">
        <v>29</v>
      </c>
      <c r="P3266" t="s">
        <v>67</v>
      </c>
    </row>
    <row r="3267" spans="1:16" ht="14.5" x14ac:dyDescent="0.35">
      <c r="A3267">
        <v>3266</v>
      </c>
      <c r="B3267">
        <v>40</v>
      </c>
      <c r="C3267" t="s">
        <v>144</v>
      </c>
      <c r="D3267" t="s">
        <v>80</v>
      </c>
      <c r="E3267" t="s">
        <v>60</v>
      </c>
      <c r="F3267">
        <v>100</v>
      </c>
      <c r="G3267" t="s">
        <v>81</v>
      </c>
      <c r="H3267" t="s">
        <v>39</v>
      </c>
      <c r="I3267" t="s">
        <v>46</v>
      </c>
      <c r="J3267" t="s">
        <v>22</v>
      </c>
      <c r="K3267">
        <v>3.2</v>
      </c>
      <c r="L3267" t="s">
        <v>143</v>
      </c>
      <c r="M3267" t="s">
        <v>143</v>
      </c>
      <c r="N3267">
        <v>28</v>
      </c>
      <c r="O3267" t="s">
        <v>34</v>
      </c>
      <c r="P3267" t="s">
        <v>25</v>
      </c>
    </row>
    <row r="3268" spans="1:16" ht="14.5" x14ac:dyDescent="0.35">
      <c r="A3268">
        <v>3267</v>
      </c>
      <c r="B3268">
        <v>49</v>
      </c>
      <c r="C3268" t="s">
        <v>144</v>
      </c>
      <c r="D3268" t="s">
        <v>55</v>
      </c>
      <c r="E3268" t="s">
        <v>56</v>
      </c>
      <c r="F3268">
        <v>74</v>
      </c>
      <c r="G3268" t="s">
        <v>81</v>
      </c>
      <c r="H3268" t="s">
        <v>32</v>
      </c>
      <c r="I3268" t="s">
        <v>21</v>
      </c>
      <c r="J3268" t="s">
        <v>22</v>
      </c>
      <c r="K3268">
        <v>4.2</v>
      </c>
      <c r="L3268" t="s">
        <v>143</v>
      </c>
      <c r="M3268" t="s">
        <v>143</v>
      </c>
      <c r="N3268">
        <v>33</v>
      </c>
      <c r="O3268" t="s">
        <v>66</v>
      </c>
      <c r="P3268" t="s">
        <v>35</v>
      </c>
    </row>
    <row r="3269" spans="1:16" ht="14.5" x14ac:dyDescent="0.35">
      <c r="A3269">
        <v>3268</v>
      </c>
      <c r="B3269">
        <v>37</v>
      </c>
      <c r="C3269" t="s">
        <v>144</v>
      </c>
      <c r="D3269" t="s">
        <v>95</v>
      </c>
      <c r="E3269" t="s">
        <v>18</v>
      </c>
      <c r="F3269">
        <v>45</v>
      </c>
      <c r="G3269" t="s">
        <v>126</v>
      </c>
      <c r="H3269" t="s">
        <v>20</v>
      </c>
      <c r="I3269" t="s">
        <v>62</v>
      </c>
      <c r="J3269" t="s">
        <v>22</v>
      </c>
      <c r="K3269">
        <v>3</v>
      </c>
      <c r="L3269" t="s">
        <v>143</v>
      </c>
      <c r="M3269" t="s">
        <v>143</v>
      </c>
      <c r="N3269">
        <v>42</v>
      </c>
      <c r="O3269" t="s">
        <v>34</v>
      </c>
      <c r="P3269" t="s">
        <v>51</v>
      </c>
    </row>
    <row r="3270" spans="1:16" ht="14.5" x14ac:dyDescent="0.35">
      <c r="A3270">
        <v>3269</v>
      </c>
      <c r="B3270">
        <v>22</v>
      </c>
      <c r="C3270" t="s">
        <v>144</v>
      </c>
      <c r="D3270" t="s">
        <v>72</v>
      </c>
      <c r="E3270" t="s">
        <v>18</v>
      </c>
      <c r="F3270">
        <v>97</v>
      </c>
      <c r="G3270" t="s">
        <v>64</v>
      </c>
      <c r="H3270" t="s">
        <v>39</v>
      </c>
      <c r="I3270" t="s">
        <v>100</v>
      </c>
      <c r="J3270" t="s">
        <v>50</v>
      </c>
      <c r="K3270">
        <v>2.8</v>
      </c>
      <c r="L3270" t="s">
        <v>143</v>
      </c>
      <c r="M3270" t="s">
        <v>143</v>
      </c>
      <c r="N3270">
        <v>5</v>
      </c>
      <c r="O3270" t="s">
        <v>66</v>
      </c>
      <c r="P3270" t="s">
        <v>88</v>
      </c>
    </row>
    <row r="3271" spans="1:16" ht="14.5" x14ac:dyDescent="0.35">
      <c r="A3271">
        <v>3270</v>
      </c>
      <c r="B3271">
        <v>27</v>
      </c>
      <c r="C3271" t="s">
        <v>144</v>
      </c>
      <c r="D3271" t="s">
        <v>17</v>
      </c>
      <c r="E3271" t="s">
        <v>18</v>
      </c>
      <c r="F3271">
        <v>60</v>
      </c>
      <c r="G3271" t="s">
        <v>114</v>
      </c>
      <c r="H3271" t="s">
        <v>39</v>
      </c>
      <c r="I3271" t="s">
        <v>135</v>
      </c>
      <c r="J3271" t="s">
        <v>22</v>
      </c>
      <c r="K3271">
        <v>4.9000000000000004</v>
      </c>
      <c r="L3271" t="s">
        <v>143</v>
      </c>
      <c r="M3271" t="s">
        <v>143</v>
      </c>
      <c r="N3271">
        <v>25</v>
      </c>
      <c r="O3271" t="s">
        <v>29</v>
      </c>
      <c r="P3271" t="s">
        <v>79</v>
      </c>
    </row>
    <row r="3272" spans="1:16" ht="14.5" x14ac:dyDescent="0.35">
      <c r="A3272">
        <v>3271</v>
      </c>
      <c r="B3272">
        <v>59</v>
      </c>
      <c r="C3272" t="s">
        <v>144</v>
      </c>
      <c r="D3272" t="s">
        <v>116</v>
      </c>
      <c r="E3272" t="s">
        <v>18</v>
      </c>
      <c r="F3272">
        <v>25</v>
      </c>
      <c r="G3272" t="s">
        <v>106</v>
      </c>
      <c r="H3272" t="s">
        <v>39</v>
      </c>
      <c r="I3272" t="s">
        <v>117</v>
      </c>
      <c r="J3272" t="s">
        <v>22</v>
      </c>
      <c r="K3272">
        <v>4.7</v>
      </c>
      <c r="L3272" t="s">
        <v>143</v>
      </c>
      <c r="M3272" t="s">
        <v>143</v>
      </c>
      <c r="N3272">
        <v>48</v>
      </c>
      <c r="O3272" t="s">
        <v>40</v>
      </c>
      <c r="P3272" t="s">
        <v>43</v>
      </c>
    </row>
    <row r="3273" spans="1:16" ht="14.5" x14ac:dyDescent="0.35">
      <c r="A3273">
        <v>3272</v>
      </c>
      <c r="B3273">
        <v>35</v>
      </c>
      <c r="C3273" t="s">
        <v>144</v>
      </c>
      <c r="D3273" t="s">
        <v>116</v>
      </c>
      <c r="E3273" t="s">
        <v>18</v>
      </c>
      <c r="F3273">
        <v>55</v>
      </c>
      <c r="G3273" t="s">
        <v>98</v>
      </c>
      <c r="H3273" t="s">
        <v>83</v>
      </c>
      <c r="I3273" t="s">
        <v>127</v>
      </c>
      <c r="J3273" t="s">
        <v>33</v>
      </c>
      <c r="K3273">
        <v>4.4000000000000004</v>
      </c>
      <c r="L3273" t="s">
        <v>143</v>
      </c>
      <c r="M3273" t="s">
        <v>143</v>
      </c>
      <c r="N3273">
        <v>30</v>
      </c>
      <c r="O3273" t="s">
        <v>34</v>
      </c>
      <c r="P3273" t="s">
        <v>35</v>
      </c>
    </row>
    <row r="3274" spans="1:16" ht="14.5" x14ac:dyDescent="0.35">
      <c r="A3274">
        <v>3273</v>
      </c>
      <c r="B3274">
        <v>58</v>
      </c>
      <c r="C3274" t="s">
        <v>144</v>
      </c>
      <c r="D3274" t="s">
        <v>63</v>
      </c>
      <c r="E3274" t="s">
        <v>37</v>
      </c>
      <c r="F3274">
        <v>99</v>
      </c>
      <c r="G3274" t="s">
        <v>96</v>
      </c>
      <c r="H3274" t="s">
        <v>39</v>
      </c>
      <c r="I3274" t="s">
        <v>84</v>
      </c>
      <c r="J3274" t="s">
        <v>22</v>
      </c>
      <c r="K3274">
        <v>3.1</v>
      </c>
      <c r="L3274" t="s">
        <v>143</v>
      </c>
      <c r="M3274" t="s">
        <v>143</v>
      </c>
      <c r="N3274">
        <v>34</v>
      </c>
      <c r="O3274" t="s">
        <v>40</v>
      </c>
      <c r="P3274" t="s">
        <v>51</v>
      </c>
    </row>
    <row r="3275" spans="1:16" ht="14.5" x14ac:dyDescent="0.35">
      <c r="A3275">
        <v>3274</v>
      </c>
      <c r="B3275">
        <v>58</v>
      </c>
      <c r="C3275" t="s">
        <v>144</v>
      </c>
      <c r="D3275" t="s">
        <v>124</v>
      </c>
      <c r="E3275" t="s">
        <v>60</v>
      </c>
      <c r="F3275">
        <v>45</v>
      </c>
      <c r="G3275" t="s">
        <v>98</v>
      </c>
      <c r="H3275" t="s">
        <v>32</v>
      </c>
      <c r="I3275" t="s">
        <v>112</v>
      </c>
      <c r="J3275" t="s">
        <v>47</v>
      </c>
      <c r="K3275">
        <v>2.6</v>
      </c>
      <c r="L3275" t="s">
        <v>143</v>
      </c>
      <c r="M3275" t="s">
        <v>143</v>
      </c>
      <c r="N3275">
        <v>34</v>
      </c>
      <c r="O3275" t="s">
        <v>40</v>
      </c>
      <c r="P3275" t="s">
        <v>88</v>
      </c>
    </row>
    <row r="3276" spans="1:16" ht="14.5" x14ac:dyDescent="0.35">
      <c r="A3276">
        <v>3275</v>
      </c>
      <c r="B3276">
        <v>46</v>
      </c>
      <c r="C3276" t="s">
        <v>144</v>
      </c>
      <c r="D3276" t="s">
        <v>26</v>
      </c>
      <c r="E3276" t="s">
        <v>18</v>
      </c>
      <c r="F3276">
        <v>20</v>
      </c>
      <c r="G3276" t="s">
        <v>92</v>
      </c>
      <c r="H3276" t="s">
        <v>39</v>
      </c>
      <c r="I3276" t="s">
        <v>100</v>
      </c>
      <c r="J3276" t="s">
        <v>33</v>
      </c>
      <c r="K3276">
        <v>3.9</v>
      </c>
      <c r="L3276" t="s">
        <v>143</v>
      </c>
      <c r="M3276" t="s">
        <v>143</v>
      </c>
      <c r="N3276">
        <v>14</v>
      </c>
      <c r="O3276" t="s">
        <v>29</v>
      </c>
      <c r="P3276" t="s">
        <v>25</v>
      </c>
    </row>
    <row r="3277" spans="1:16" ht="14.5" x14ac:dyDescent="0.35">
      <c r="A3277">
        <v>3276</v>
      </c>
      <c r="B3277">
        <v>43</v>
      </c>
      <c r="C3277" t="s">
        <v>144</v>
      </c>
      <c r="D3277" t="s">
        <v>86</v>
      </c>
      <c r="E3277" t="s">
        <v>18</v>
      </c>
      <c r="F3277">
        <v>88</v>
      </c>
      <c r="G3277" t="s">
        <v>81</v>
      </c>
      <c r="H3277" t="s">
        <v>83</v>
      </c>
      <c r="I3277" t="s">
        <v>87</v>
      </c>
      <c r="J3277" t="s">
        <v>47</v>
      </c>
      <c r="K3277">
        <v>2.6</v>
      </c>
      <c r="L3277" t="s">
        <v>143</v>
      </c>
      <c r="M3277" t="s">
        <v>143</v>
      </c>
      <c r="N3277">
        <v>2</v>
      </c>
      <c r="O3277" t="s">
        <v>77</v>
      </c>
      <c r="P3277" t="s">
        <v>35</v>
      </c>
    </row>
    <row r="3278" spans="1:16" ht="14.5" x14ac:dyDescent="0.35">
      <c r="A3278">
        <v>3277</v>
      </c>
      <c r="B3278">
        <v>39</v>
      </c>
      <c r="C3278" t="s">
        <v>144</v>
      </c>
      <c r="D3278" t="s">
        <v>110</v>
      </c>
      <c r="E3278" t="s">
        <v>60</v>
      </c>
      <c r="F3278">
        <v>99</v>
      </c>
      <c r="G3278" t="s">
        <v>138</v>
      </c>
      <c r="H3278" t="s">
        <v>39</v>
      </c>
      <c r="I3278" t="s">
        <v>46</v>
      </c>
      <c r="J3278" t="s">
        <v>47</v>
      </c>
      <c r="K3278">
        <v>4</v>
      </c>
      <c r="L3278" t="s">
        <v>143</v>
      </c>
      <c r="M3278" t="s">
        <v>143</v>
      </c>
      <c r="N3278">
        <v>41</v>
      </c>
      <c r="O3278" t="s">
        <v>40</v>
      </c>
      <c r="P3278" t="s">
        <v>88</v>
      </c>
    </row>
    <row r="3279" spans="1:16" ht="14.5" x14ac:dyDescent="0.35">
      <c r="A3279">
        <v>3278</v>
      </c>
      <c r="B3279">
        <v>59</v>
      </c>
      <c r="C3279" t="s">
        <v>144</v>
      </c>
      <c r="D3279" t="s">
        <v>78</v>
      </c>
      <c r="E3279" t="s">
        <v>18</v>
      </c>
      <c r="F3279">
        <v>86</v>
      </c>
      <c r="G3279" t="s">
        <v>96</v>
      </c>
      <c r="H3279" t="s">
        <v>39</v>
      </c>
      <c r="I3279" t="s">
        <v>135</v>
      </c>
      <c r="J3279" t="s">
        <v>33</v>
      </c>
      <c r="K3279">
        <v>4.9000000000000004</v>
      </c>
      <c r="L3279" t="s">
        <v>143</v>
      </c>
      <c r="M3279" t="s">
        <v>143</v>
      </c>
      <c r="N3279">
        <v>3</v>
      </c>
      <c r="O3279" t="s">
        <v>34</v>
      </c>
      <c r="P3279" t="s">
        <v>79</v>
      </c>
    </row>
    <row r="3280" spans="1:16" ht="14.5" x14ac:dyDescent="0.35">
      <c r="A3280">
        <v>3279</v>
      </c>
      <c r="B3280">
        <v>59</v>
      </c>
      <c r="C3280" t="s">
        <v>144</v>
      </c>
      <c r="D3280" t="s">
        <v>72</v>
      </c>
      <c r="E3280" t="s">
        <v>18</v>
      </c>
      <c r="F3280">
        <v>70</v>
      </c>
      <c r="G3280" t="s">
        <v>49</v>
      </c>
      <c r="H3280" t="s">
        <v>39</v>
      </c>
      <c r="I3280" t="s">
        <v>85</v>
      </c>
      <c r="J3280" t="s">
        <v>47</v>
      </c>
      <c r="K3280">
        <v>3.3</v>
      </c>
      <c r="L3280" t="s">
        <v>143</v>
      </c>
      <c r="M3280" t="s">
        <v>143</v>
      </c>
      <c r="N3280">
        <v>18</v>
      </c>
      <c r="O3280" t="s">
        <v>66</v>
      </c>
      <c r="P3280" t="s">
        <v>35</v>
      </c>
    </row>
    <row r="3281" spans="1:16" ht="14.5" x14ac:dyDescent="0.35">
      <c r="A3281">
        <v>3280</v>
      </c>
      <c r="B3281">
        <v>59</v>
      </c>
      <c r="C3281" t="s">
        <v>144</v>
      </c>
      <c r="D3281" t="s">
        <v>115</v>
      </c>
      <c r="E3281" t="s">
        <v>60</v>
      </c>
      <c r="F3281">
        <v>50</v>
      </c>
      <c r="G3281" t="s">
        <v>45</v>
      </c>
      <c r="H3281" t="s">
        <v>32</v>
      </c>
      <c r="I3281" t="s">
        <v>99</v>
      </c>
      <c r="J3281" t="s">
        <v>50</v>
      </c>
      <c r="K3281">
        <v>3</v>
      </c>
      <c r="L3281" t="s">
        <v>143</v>
      </c>
      <c r="M3281" t="s">
        <v>143</v>
      </c>
      <c r="N3281">
        <v>1</v>
      </c>
      <c r="O3281" t="s">
        <v>77</v>
      </c>
      <c r="P3281" t="s">
        <v>25</v>
      </c>
    </row>
    <row r="3282" spans="1:16" ht="14.5" x14ac:dyDescent="0.35">
      <c r="A3282">
        <v>3281</v>
      </c>
      <c r="B3282">
        <v>45</v>
      </c>
      <c r="C3282" t="s">
        <v>144</v>
      </c>
      <c r="D3282" t="s">
        <v>59</v>
      </c>
      <c r="E3282" t="s">
        <v>60</v>
      </c>
      <c r="F3282">
        <v>57</v>
      </c>
      <c r="G3282" t="s">
        <v>75</v>
      </c>
      <c r="H3282" t="s">
        <v>20</v>
      </c>
      <c r="I3282" t="s">
        <v>99</v>
      </c>
      <c r="J3282" t="s">
        <v>22</v>
      </c>
      <c r="K3282">
        <v>2.7</v>
      </c>
      <c r="L3282" t="s">
        <v>143</v>
      </c>
      <c r="M3282" t="s">
        <v>143</v>
      </c>
      <c r="N3282">
        <v>5</v>
      </c>
      <c r="O3282" t="s">
        <v>40</v>
      </c>
      <c r="P3282" t="s">
        <v>79</v>
      </c>
    </row>
    <row r="3283" spans="1:16" ht="14.5" x14ac:dyDescent="0.35">
      <c r="A3283">
        <v>3282</v>
      </c>
      <c r="B3283">
        <v>27</v>
      </c>
      <c r="C3283" t="s">
        <v>144</v>
      </c>
      <c r="D3283" t="s">
        <v>86</v>
      </c>
      <c r="E3283" t="s">
        <v>18</v>
      </c>
      <c r="F3283">
        <v>69</v>
      </c>
      <c r="G3283" t="s">
        <v>41</v>
      </c>
      <c r="H3283" t="s">
        <v>20</v>
      </c>
      <c r="I3283" t="s">
        <v>71</v>
      </c>
      <c r="J3283" t="s">
        <v>22</v>
      </c>
      <c r="K3283">
        <v>3.1</v>
      </c>
      <c r="L3283" t="s">
        <v>143</v>
      </c>
      <c r="M3283" t="s">
        <v>143</v>
      </c>
      <c r="N3283">
        <v>41</v>
      </c>
      <c r="O3283" t="s">
        <v>66</v>
      </c>
      <c r="P3283" t="s">
        <v>43</v>
      </c>
    </row>
    <row r="3284" spans="1:16" ht="14.5" x14ac:dyDescent="0.35">
      <c r="A3284">
        <v>3283</v>
      </c>
      <c r="B3284">
        <v>24</v>
      </c>
      <c r="C3284" t="s">
        <v>144</v>
      </c>
      <c r="D3284" t="s">
        <v>104</v>
      </c>
      <c r="E3284" t="s">
        <v>18</v>
      </c>
      <c r="F3284">
        <v>94</v>
      </c>
      <c r="G3284" t="s">
        <v>90</v>
      </c>
      <c r="H3284" t="s">
        <v>39</v>
      </c>
      <c r="I3284" t="s">
        <v>99</v>
      </c>
      <c r="J3284" t="s">
        <v>50</v>
      </c>
      <c r="K3284">
        <v>4.8</v>
      </c>
      <c r="L3284" t="s">
        <v>143</v>
      </c>
      <c r="M3284" t="s">
        <v>143</v>
      </c>
      <c r="N3284">
        <v>5</v>
      </c>
      <c r="O3284" t="s">
        <v>34</v>
      </c>
      <c r="P3284" t="s">
        <v>79</v>
      </c>
    </row>
    <row r="3285" spans="1:16" ht="14.5" x14ac:dyDescent="0.35">
      <c r="A3285">
        <v>3284</v>
      </c>
      <c r="B3285">
        <v>47</v>
      </c>
      <c r="C3285" t="s">
        <v>144</v>
      </c>
      <c r="D3285" t="s">
        <v>93</v>
      </c>
      <c r="E3285" t="s">
        <v>56</v>
      </c>
      <c r="F3285">
        <v>24</v>
      </c>
      <c r="G3285" t="s">
        <v>89</v>
      </c>
      <c r="H3285" t="s">
        <v>20</v>
      </c>
      <c r="I3285" t="s">
        <v>65</v>
      </c>
      <c r="J3285" t="s">
        <v>33</v>
      </c>
      <c r="K3285">
        <v>2.9</v>
      </c>
      <c r="L3285" t="s">
        <v>143</v>
      </c>
      <c r="M3285" t="s">
        <v>143</v>
      </c>
      <c r="N3285">
        <v>10</v>
      </c>
      <c r="O3285" t="s">
        <v>77</v>
      </c>
      <c r="P3285" t="s">
        <v>88</v>
      </c>
    </row>
    <row r="3286" spans="1:16" ht="14.5" x14ac:dyDescent="0.35">
      <c r="A3286">
        <v>3285</v>
      </c>
      <c r="B3286">
        <v>70</v>
      </c>
      <c r="C3286" t="s">
        <v>144</v>
      </c>
      <c r="D3286" t="s">
        <v>110</v>
      </c>
      <c r="E3286" t="s">
        <v>60</v>
      </c>
      <c r="F3286">
        <v>79</v>
      </c>
      <c r="G3286" t="s">
        <v>19</v>
      </c>
      <c r="H3286" t="s">
        <v>20</v>
      </c>
      <c r="I3286" t="s">
        <v>46</v>
      </c>
      <c r="J3286" t="s">
        <v>33</v>
      </c>
      <c r="K3286">
        <v>4.5</v>
      </c>
      <c r="L3286" t="s">
        <v>143</v>
      </c>
      <c r="M3286" t="s">
        <v>143</v>
      </c>
      <c r="N3286">
        <v>20</v>
      </c>
      <c r="O3286" t="s">
        <v>24</v>
      </c>
      <c r="P3286" t="s">
        <v>43</v>
      </c>
    </row>
    <row r="3287" spans="1:16" ht="14.5" x14ac:dyDescent="0.35">
      <c r="A3287">
        <v>3286</v>
      </c>
      <c r="B3287">
        <v>58</v>
      </c>
      <c r="C3287" t="s">
        <v>144</v>
      </c>
      <c r="D3287" t="s">
        <v>115</v>
      </c>
      <c r="E3287" t="s">
        <v>60</v>
      </c>
      <c r="F3287">
        <v>31</v>
      </c>
      <c r="G3287" t="s">
        <v>68</v>
      </c>
      <c r="H3287" t="s">
        <v>83</v>
      </c>
      <c r="I3287" t="s">
        <v>127</v>
      </c>
      <c r="J3287" t="s">
        <v>50</v>
      </c>
      <c r="K3287">
        <v>4.5999999999999996</v>
      </c>
      <c r="L3287" t="s">
        <v>143</v>
      </c>
      <c r="M3287" t="s">
        <v>143</v>
      </c>
      <c r="N3287">
        <v>11</v>
      </c>
      <c r="O3287" t="s">
        <v>29</v>
      </c>
      <c r="P3287" t="s">
        <v>35</v>
      </c>
    </row>
    <row r="3288" spans="1:16" ht="14.5" x14ac:dyDescent="0.35">
      <c r="A3288">
        <v>3287</v>
      </c>
      <c r="B3288">
        <v>45</v>
      </c>
      <c r="C3288" t="s">
        <v>144</v>
      </c>
      <c r="D3288" t="s">
        <v>93</v>
      </c>
      <c r="E3288" t="s">
        <v>56</v>
      </c>
      <c r="F3288">
        <v>67</v>
      </c>
      <c r="G3288" t="s">
        <v>106</v>
      </c>
      <c r="H3288" t="s">
        <v>20</v>
      </c>
      <c r="I3288" t="s">
        <v>62</v>
      </c>
      <c r="J3288" t="s">
        <v>22</v>
      </c>
      <c r="K3288">
        <v>5</v>
      </c>
      <c r="L3288" t="s">
        <v>143</v>
      </c>
      <c r="M3288" t="s">
        <v>143</v>
      </c>
      <c r="N3288">
        <v>4</v>
      </c>
      <c r="O3288" t="s">
        <v>24</v>
      </c>
      <c r="P3288" t="s">
        <v>25</v>
      </c>
    </row>
    <row r="3289" spans="1:16" ht="14.5" x14ac:dyDescent="0.35">
      <c r="A3289">
        <v>3288</v>
      </c>
      <c r="B3289">
        <v>24</v>
      </c>
      <c r="C3289" t="s">
        <v>144</v>
      </c>
      <c r="D3289" t="s">
        <v>78</v>
      </c>
      <c r="E3289" t="s">
        <v>18</v>
      </c>
      <c r="F3289">
        <v>63</v>
      </c>
      <c r="G3289" t="s">
        <v>57</v>
      </c>
      <c r="H3289" t="s">
        <v>20</v>
      </c>
      <c r="I3289" t="s">
        <v>85</v>
      </c>
      <c r="J3289" t="s">
        <v>33</v>
      </c>
      <c r="K3289">
        <v>4.3</v>
      </c>
      <c r="L3289" t="s">
        <v>143</v>
      </c>
      <c r="M3289" t="s">
        <v>143</v>
      </c>
      <c r="N3289">
        <v>38</v>
      </c>
      <c r="O3289" t="s">
        <v>34</v>
      </c>
      <c r="P3289" t="s">
        <v>35</v>
      </c>
    </row>
    <row r="3290" spans="1:16" ht="14.5" x14ac:dyDescent="0.35">
      <c r="A3290">
        <v>3289</v>
      </c>
      <c r="B3290">
        <v>67</v>
      </c>
      <c r="C3290" t="s">
        <v>144</v>
      </c>
      <c r="D3290" t="s">
        <v>59</v>
      </c>
      <c r="E3290" t="s">
        <v>60</v>
      </c>
      <c r="F3290">
        <v>61</v>
      </c>
      <c r="G3290" t="s">
        <v>122</v>
      </c>
      <c r="H3290" t="s">
        <v>83</v>
      </c>
      <c r="I3290" t="s">
        <v>46</v>
      </c>
      <c r="J3290" t="s">
        <v>33</v>
      </c>
      <c r="K3290">
        <v>4.9000000000000004</v>
      </c>
      <c r="L3290" t="s">
        <v>143</v>
      </c>
      <c r="M3290" t="s">
        <v>143</v>
      </c>
      <c r="N3290">
        <v>19</v>
      </c>
      <c r="O3290" t="s">
        <v>34</v>
      </c>
      <c r="P3290" t="s">
        <v>67</v>
      </c>
    </row>
    <row r="3291" spans="1:16" ht="14.5" x14ac:dyDescent="0.35">
      <c r="A3291">
        <v>3290</v>
      </c>
      <c r="B3291">
        <v>31</v>
      </c>
      <c r="C3291" t="s">
        <v>144</v>
      </c>
      <c r="D3291" t="s">
        <v>123</v>
      </c>
      <c r="E3291" t="s">
        <v>60</v>
      </c>
      <c r="F3291">
        <v>50</v>
      </c>
      <c r="G3291" t="s">
        <v>49</v>
      </c>
      <c r="H3291" t="s">
        <v>39</v>
      </c>
      <c r="I3291" t="s">
        <v>28</v>
      </c>
      <c r="J3291" t="s">
        <v>47</v>
      </c>
      <c r="K3291">
        <v>4</v>
      </c>
      <c r="L3291" t="s">
        <v>143</v>
      </c>
      <c r="M3291" t="s">
        <v>143</v>
      </c>
      <c r="N3291">
        <v>16</v>
      </c>
      <c r="O3291" t="s">
        <v>24</v>
      </c>
      <c r="P3291" t="s">
        <v>88</v>
      </c>
    </row>
    <row r="3292" spans="1:16" ht="14.5" x14ac:dyDescent="0.35">
      <c r="A3292">
        <v>3291</v>
      </c>
      <c r="B3292">
        <v>52</v>
      </c>
      <c r="C3292" t="s">
        <v>144</v>
      </c>
      <c r="D3292" t="s">
        <v>55</v>
      </c>
      <c r="E3292" t="s">
        <v>56</v>
      </c>
      <c r="F3292">
        <v>82</v>
      </c>
      <c r="G3292" t="s">
        <v>105</v>
      </c>
      <c r="H3292" t="s">
        <v>20</v>
      </c>
      <c r="I3292" t="s">
        <v>85</v>
      </c>
      <c r="J3292" t="s">
        <v>33</v>
      </c>
      <c r="K3292">
        <v>3.1</v>
      </c>
      <c r="L3292" t="s">
        <v>143</v>
      </c>
      <c r="M3292" t="s">
        <v>143</v>
      </c>
      <c r="N3292">
        <v>2</v>
      </c>
      <c r="O3292" t="s">
        <v>40</v>
      </c>
      <c r="P3292" t="s">
        <v>79</v>
      </c>
    </row>
    <row r="3293" spans="1:16" ht="14.5" x14ac:dyDescent="0.35">
      <c r="A3293">
        <v>3292</v>
      </c>
      <c r="B3293">
        <v>29</v>
      </c>
      <c r="C3293" t="s">
        <v>144</v>
      </c>
      <c r="D3293" t="s">
        <v>124</v>
      </c>
      <c r="E3293" t="s">
        <v>60</v>
      </c>
      <c r="F3293">
        <v>51</v>
      </c>
      <c r="G3293" t="s">
        <v>121</v>
      </c>
      <c r="H3293" t="s">
        <v>20</v>
      </c>
      <c r="I3293" t="s">
        <v>69</v>
      </c>
      <c r="J3293" t="s">
        <v>50</v>
      </c>
      <c r="K3293">
        <v>2.6</v>
      </c>
      <c r="L3293" t="s">
        <v>143</v>
      </c>
      <c r="M3293" t="s">
        <v>143</v>
      </c>
      <c r="N3293">
        <v>11</v>
      </c>
      <c r="O3293" t="s">
        <v>29</v>
      </c>
      <c r="P3293" t="s">
        <v>79</v>
      </c>
    </row>
    <row r="3294" spans="1:16" ht="14.5" x14ac:dyDescent="0.35">
      <c r="A3294">
        <v>3293</v>
      </c>
      <c r="B3294">
        <v>62</v>
      </c>
      <c r="C3294" t="s">
        <v>144</v>
      </c>
      <c r="D3294" t="s">
        <v>59</v>
      </c>
      <c r="E3294" t="s">
        <v>60</v>
      </c>
      <c r="F3294">
        <v>23</v>
      </c>
      <c r="G3294" t="s">
        <v>61</v>
      </c>
      <c r="H3294" t="s">
        <v>20</v>
      </c>
      <c r="I3294" t="s">
        <v>21</v>
      </c>
      <c r="J3294" t="s">
        <v>33</v>
      </c>
      <c r="K3294">
        <v>4.9000000000000004</v>
      </c>
      <c r="L3294" t="s">
        <v>143</v>
      </c>
      <c r="M3294" t="s">
        <v>143</v>
      </c>
      <c r="N3294">
        <v>18</v>
      </c>
      <c r="O3294" t="s">
        <v>66</v>
      </c>
      <c r="P3294" t="s">
        <v>25</v>
      </c>
    </row>
    <row r="3295" spans="1:16" ht="14.5" x14ac:dyDescent="0.35">
      <c r="A3295">
        <v>3294</v>
      </c>
      <c r="B3295">
        <v>19</v>
      </c>
      <c r="C3295" t="s">
        <v>144</v>
      </c>
      <c r="D3295" t="s">
        <v>55</v>
      </c>
      <c r="E3295" t="s">
        <v>56</v>
      </c>
      <c r="F3295">
        <v>91</v>
      </c>
      <c r="G3295" t="s">
        <v>57</v>
      </c>
      <c r="H3295" t="s">
        <v>39</v>
      </c>
      <c r="I3295" t="s">
        <v>71</v>
      </c>
      <c r="J3295" t="s">
        <v>33</v>
      </c>
      <c r="K3295">
        <v>3.5</v>
      </c>
      <c r="L3295" t="s">
        <v>143</v>
      </c>
      <c r="M3295" t="s">
        <v>143</v>
      </c>
      <c r="N3295">
        <v>47</v>
      </c>
      <c r="O3295" t="s">
        <v>34</v>
      </c>
      <c r="P3295" t="s">
        <v>25</v>
      </c>
    </row>
    <row r="3296" spans="1:16" ht="14.5" x14ac:dyDescent="0.35">
      <c r="A3296">
        <v>3295</v>
      </c>
      <c r="B3296">
        <v>62</v>
      </c>
      <c r="C3296" t="s">
        <v>144</v>
      </c>
      <c r="D3296" t="s">
        <v>26</v>
      </c>
      <c r="E3296" t="s">
        <v>18</v>
      </c>
      <c r="F3296">
        <v>60</v>
      </c>
      <c r="G3296" t="s">
        <v>122</v>
      </c>
      <c r="H3296" t="s">
        <v>32</v>
      </c>
      <c r="I3296" t="s">
        <v>127</v>
      </c>
      <c r="J3296" t="s">
        <v>33</v>
      </c>
      <c r="K3296">
        <v>4.5</v>
      </c>
      <c r="L3296" t="s">
        <v>143</v>
      </c>
      <c r="M3296" t="s">
        <v>143</v>
      </c>
      <c r="N3296">
        <v>15</v>
      </c>
      <c r="O3296" t="s">
        <v>66</v>
      </c>
      <c r="P3296" t="s">
        <v>67</v>
      </c>
    </row>
    <row r="3297" spans="1:16" ht="14.5" x14ac:dyDescent="0.35">
      <c r="A3297">
        <v>3296</v>
      </c>
      <c r="B3297">
        <v>70</v>
      </c>
      <c r="C3297" t="s">
        <v>144</v>
      </c>
      <c r="D3297" t="s">
        <v>17</v>
      </c>
      <c r="E3297" t="s">
        <v>18</v>
      </c>
      <c r="F3297">
        <v>34</v>
      </c>
      <c r="G3297" t="s">
        <v>57</v>
      </c>
      <c r="H3297" t="s">
        <v>32</v>
      </c>
      <c r="I3297" t="s">
        <v>84</v>
      </c>
      <c r="J3297" t="s">
        <v>47</v>
      </c>
      <c r="K3297">
        <v>2.8</v>
      </c>
      <c r="L3297" t="s">
        <v>143</v>
      </c>
      <c r="M3297" t="s">
        <v>143</v>
      </c>
      <c r="N3297">
        <v>15</v>
      </c>
      <c r="O3297" t="s">
        <v>29</v>
      </c>
      <c r="P3297" t="s">
        <v>35</v>
      </c>
    </row>
    <row r="3298" spans="1:16" ht="14.5" x14ac:dyDescent="0.35">
      <c r="A3298">
        <v>3297</v>
      </c>
      <c r="B3298">
        <v>20</v>
      </c>
      <c r="C3298" t="s">
        <v>144</v>
      </c>
      <c r="D3298" t="s">
        <v>17</v>
      </c>
      <c r="E3298" t="s">
        <v>18</v>
      </c>
      <c r="F3298">
        <v>23</v>
      </c>
      <c r="G3298" t="s">
        <v>111</v>
      </c>
      <c r="H3298" t="s">
        <v>39</v>
      </c>
      <c r="I3298" t="s">
        <v>87</v>
      </c>
      <c r="J3298" t="s">
        <v>33</v>
      </c>
      <c r="K3298">
        <v>4.2</v>
      </c>
      <c r="L3298" t="s">
        <v>143</v>
      </c>
      <c r="M3298" t="s">
        <v>143</v>
      </c>
      <c r="N3298">
        <v>47</v>
      </c>
      <c r="O3298" t="s">
        <v>24</v>
      </c>
      <c r="P3298" t="s">
        <v>51</v>
      </c>
    </row>
    <row r="3299" spans="1:16" ht="14.5" x14ac:dyDescent="0.35">
      <c r="A3299">
        <v>3298</v>
      </c>
      <c r="B3299">
        <v>67</v>
      </c>
      <c r="C3299" t="s">
        <v>144</v>
      </c>
      <c r="D3299" t="s">
        <v>124</v>
      </c>
      <c r="E3299" t="s">
        <v>60</v>
      </c>
      <c r="F3299">
        <v>82</v>
      </c>
      <c r="G3299" t="s">
        <v>57</v>
      </c>
      <c r="H3299" t="s">
        <v>39</v>
      </c>
      <c r="I3299" t="s">
        <v>74</v>
      </c>
      <c r="J3299" t="s">
        <v>50</v>
      </c>
      <c r="K3299">
        <v>4.0999999999999996</v>
      </c>
      <c r="L3299" t="s">
        <v>143</v>
      </c>
      <c r="M3299" t="s">
        <v>143</v>
      </c>
      <c r="N3299">
        <v>47</v>
      </c>
      <c r="O3299" t="s">
        <v>40</v>
      </c>
      <c r="P3299" t="s">
        <v>79</v>
      </c>
    </row>
    <row r="3300" spans="1:16" ht="14.5" x14ac:dyDescent="0.35">
      <c r="A3300">
        <v>3299</v>
      </c>
      <c r="B3300">
        <v>65</v>
      </c>
      <c r="C3300" t="s">
        <v>144</v>
      </c>
      <c r="D3300" t="s">
        <v>93</v>
      </c>
      <c r="E3300" t="s">
        <v>56</v>
      </c>
      <c r="F3300">
        <v>73</v>
      </c>
      <c r="G3300" t="s">
        <v>121</v>
      </c>
      <c r="H3300" t="s">
        <v>39</v>
      </c>
      <c r="I3300" t="s">
        <v>101</v>
      </c>
      <c r="J3300" t="s">
        <v>50</v>
      </c>
      <c r="K3300">
        <v>3.5</v>
      </c>
      <c r="L3300" t="s">
        <v>143</v>
      </c>
      <c r="M3300" t="s">
        <v>143</v>
      </c>
      <c r="N3300">
        <v>6</v>
      </c>
      <c r="O3300" t="s">
        <v>66</v>
      </c>
      <c r="P3300" t="s">
        <v>88</v>
      </c>
    </row>
    <row r="3301" spans="1:16" ht="14.5" x14ac:dyDescent="0.35">
      <c r="A3301">
        <v>3300</v>
      </c>
      <c r="B3301">
        <v>45</v>
      </c>
      <c r="C3301" t="s">
        <v>144</v>
      </c>
      <c r="D3301" t="s">
        <v>52</v>
      </c>
      <c r="E3301" t="s">
        <v>18</v>
      </c>
      <c r="F3301">
        <v>32</v>
      </c>
      <c r="G3301" t="s">
        <v>138</v>
      </c>
      <c r="H3301" t="s">
        <v>20</v>
      </c>
      <c r="I3301" t="s">
        <v>76</v>
      </c>
      <c r="J3301" t="s">
        <v>33</v>
      </c>
      <c r="K3301">
        <v>4</v>
      </c>
      <c r="L3301" t="s">
        <v>143</v>
      </c>
      <c r="M3301" t="s">
        <v>143</v>
      </c>
      <c r="N3301">
        <v>18</v>
      </c>
      <c r="O3301" t="s">
        <v>24</v>
      </c>
      <c r="P3301" t="s">
        <v>79</v>
      </c>
    </row>
    <row r="3302" spans="1:16" ht="14.5" x14ac:dyDescent="0.35">
      <c r="A3302">
        <v>3301</v>
      </c>
      <c r="B3302">
        <v>26</v>
      </c>
      <c r="C3302" t="s">
        <v>144</v>
      </c>
      <c r="D3302" t="s">
        <v>115</v>
      </c>
      <c r="E3302" t="s">
        <v>60</v>
      </c>
      <c r="F3302">
        <v>80</v>
      </c>
      <c r="G3302" t="s">
        <v>92</v>
      </c>
      <c r="H3302" t="s">
        <v>39</v>
      </c>
      <c r="I3302" t="s">
        <v>54</v>
      </c>
      <c r="J3302" t="s">
        <v>33</v>
      </c>
      <c r="K3302">
        <v>4</v>
      </c>
      <c r="L3302" t="s">
        <v>143</v>
      </c>
      <c r="M3302" t="s">
        <v>143</v>
      </c>
      <c r="N3302">
        <v>40</v>
      </c>
      <c r="O3302" t="s">
        <v>66</v>
      </c>
      <c r="P3302" t="s">
        <v>67</v>
      </c>
    </row>
    <row r="3303" spans="1:16" ht="14.5" x14ac:dyDescent="0.35">
      <c r="A3303">
        <v>3302</v>
      </c>
      <c r="B3303">
        <v>36</v>
      </c>
      <c r="C3303" t="s">
        <v>144</v>
      </c>
      <c r="D3303" t="s">
        <v>86</v>
      </c>
      <c r="E3303" t="s">
        <v>18</v>
      </c>
      <c r="F3303">
        <v>58</v>
      </c>
      <c r="G3303" t="s">
        <v>92</v>
      </c>
      <c r="H3303" t="s">
        <v>83</v>
      </c>
      <c r="I3303" t="s">
        <v>54</v>
      </c>
      <c r="J3303" t="s">
        <v>47</v>
      </c>
      <c r="K3303">
        <v>2.5</v>
      </c>
      <c r="L3303" t="s">
        <v>143</v>
      </c>
      <c r="M3303" t="s">
        <v>143</v>
      </c>
      <c r="N3303">
        <v>31</v>
      </c>
      <c r="O3303" t="s">
        <v>34</v>
      </c>
      <c r="P3303" t="s">
        <v>25</v>
      </c>
    </row>
    <row r="3304" spans="1:16" ht="14.5" x14ac:dyDescent="0.35">
      <c r="A3304">
        <v>3303</v>
      </c>
      <c r="B3304">
        <v>36</v>
      </c>
      <c r="C3304" t="s">
        <v>144</v>
      </c>
      <c r="D3304" t="s">
        <v>17</v>
      </c>
      <c r="E3304" t="s">
        <v>18</v>
      </c>
      <c r="F3304">
        <v>82</v>
      </c>
      <c r="G3304" t="s">
        <v>81</v>
      </c>
      <c r="H3304" t="s">
        <v>83</v>
      </c>
      <c r="I3304" t="s">
        <v>109</v>
      </c>
      <c r="J3304" t="s">
        <v>22</v>
      </c>
      <c r="K3304">
        <v>4.2</v>
      </c>
      <c r="L3304" t="s">
        <v>143</v>
      </c>
      <c r="M3304" t="s">
        <v>143</v>
      </c>
      <c r="N3304">
        <v>31</v>
      </c>
      <c r="O3304" t="s">
        <v>24</v>
      </c>
      <c r="P3304" t="s">
        <v>67</v>
      </c>
    </row>
    <row r="3305" spans="1:16" ht="14.5" x14ac:dyDescent="0.35">
      <c r="A3305">
        <v>3304</v>
      </c>
      <c r="B3305">
        <v>20</v>
      </c>
      <c r="C3305" t="s">
        <v>144</v>
      </c>
      <c r="D3305" t="s">
        <v>124</v>
      </c>
      <c r="E3305" t="s">
        <v>60</v>
      </c>
      <c r="F3305">
        <v>60</v>
      </c>
      <c r="G3305" t="s">
        <v>82</v>
      </c>
      <c r="H3305" t="s">
        <v>32</v>
      </c>
      <c r="I3305" t="s">
        <v>42</v>
      </c>
      <c r="J3305" t="s">
        <v>47</v>
      </c>
      <c r="K3305">
        <v>3.4</v>
      </c>
      <c r="L3305" t="s">
        <v>143</v>
      </c>
      <c r="M3305" t="s">
        <v>143</v>
      </c>
      <c r="N3305">
        <v>4</v>
      </c>
      <c r="O3305" t="s">
        <v>34</v>
      </c>
      <c r="P3305" t="s">
        <v>25</v>
      </c>
    </row>
    <row r="3306" spans="1:16" ht="14.5" x14ac:dyDescent="0.35">
      <c r="A3306">
        <v>3305</v>
      </c>
      <c r="B3306">
        <v>30</v>
      </c>
      <c r="C3306" t="s">
        <v>144</v>
      </c>
      <c r="D3306" t="s">
        <v>59</v>
      </c>
      <c r="E3306" t="s">
        <v>60</v>
      </c>
      <c r="F3306">
        <v>79</v>
      </c>
      <c r="G3306" t="s">
        <v>82</v>
      </c>
      <c r="H3306" t="s">
        <v>83</v>
      </c>
      <c r="I3306" t="s">
        <v>112</v>
      </c>
      <c r="J3306" t="s">
        <v>50</v>
      </c>
      <c r="K3306">
        <v>4.8</v>
      </c>
      <c r="L3306" t="s">
        <v>143</v>
      </c>
      <c r="M3306" t="s">
        <v>143</v>
      </c>
      <c r="N3306">
        <v>36</v>
      </c>
      <c r="O3306" t="s">
        <v>66</v>
      </c>
      <c r="P3306" t="s">
        <v>88</v>
      </c>
    </row>
    <row r="3307" spans="1:16" ht="14.5" x14ac:dyDescent="0.35">
      <c r="A3307">
        <v>3306</v>
      </c>
      <c r="B3307">
        <v>34</v>
      </c>
      <c r="C3307" t="s">
        <v>144</v>
      </c>
      <c r="D3307" t="s">
        <v>95</v>
      </c>
      <c r="E3307" t="s">
        <v>18</v>
      </c>
      <c r="F3307">
        <v>41</v>
      </c>
      <c r="G3307" t="s">
        <v>136</v>
      </c>
      <c r="H3307" t="s">
        <v>20</v>
      </c>
      <c r="I3307" t="s">
        <v>100</v>
      </c>
      <c r="J3307" t="s">
        <v>47</v>
      </c>
      <c r="K3307">
        <v>4.9000000000000004</v>
      </c>
      <c r="L3307" t="s">
        <v>143</v>
      </c>
      <c r="M3307" t="s">
        <v>143</v>
      </c>
      <c r="N3307">
        <v>31</v>
      </c>
      <c r="O3307" t="s">
        <v>40</v>
      </c>
      <c r="P3307" t="s">
        <v>67</v>
      </c>
    </row>
    <row r="3308" spans="1:16" ht="14.5" x14ac:dyDescent="0.35">
      <c r="A3308">
        <v>3307</v>
      </c>
      <c r="B3308">
        <v>63</v>
      </c>
      <c r="C3308" t="s">
        <v>144</v>
      </c>
      <c r="D3308" t="s">
        <v>93</v>
      </c>
      <c r="E3308" t="s">
        <v>56</v>
      </c>
      <c r="F3308">
        <v>39</v>
      </c>
      <c r="G3308" t="s">
        <v>103</v>
      </c>
      <c r="H3308" t="s">
        <v>20</v>
      </c>
      <c r="I3308" t="s">
        <v>112</v>
      </c>
      <c r="J3308" t="s">
        <v>47</v>
      </c>
      <c r="K3308">
        <v>3.6</v>
      </c>
      <c r="L3308" t="s">
        <v>143</v>
      </c>
      <c r="M3308" t="s">
        <v>143</v>
      </c>
      <c r="N3308">
        <v>6</v>
      </c>
      <c r="O3308" t="s">
        <v>24</v>
      </c>
      <c r="P3308" t="s">
        <v>25</v>
      </c>
    </row>
    <row r="3309" spans="1:16" ht="14.5" x14ac:dyDescent="0.35">
      <c r="A3309">
        <v>3308</v>
      </c>
      <c r="B3309">
        <v>18</v>
      </c>
      <c r="C3309" t="s">
        <v>144</v>
      </c>
      <c r="D3309" t="s">
        <v>110</v>
      </c>
      <c r="E3309" t="s">
        <v>60</v>
      </c>
      <c r="F3309">
        <v>36</v>
      </c>
      <c r="G3309" t="s">
        <v>129</v>
      </c>
      <c r="H3309" t="s">
        <v>32</v>
      </c>
      <c r="I3309" t="s">
        <v>87</v>
      </c>
      <c r="J3309" t="s">
        <v>22</v>
      </c>
      <c r="K3309">
        <v>4</v>
      </c>
      <c r="L3309" t="s">
        <v>143</v>
      </c>
      <c r="M3309" t="s">
        <v>143</v>
      </c>
      <c r="N3309">
        <v>1</v>
      </c>
      <c r="O3309" t="s">
        <v>29</v>
      </c>
      <c r="P3309" t="s">
        <v>79</v>
      </c>
    </row>
    <row r="3310" spans="1:16" ht="14.5" x14ac:dyDescent="0.35">
      <c r="A3310">
        <v>3309</v>
      </c>
      <c r="B3310">
        <v>55</v>
      </c>
      <c r="C3310" t="s">
        <v>144</v>
      </c>
      <c r="D3310" t="s">
        <v>30</v>
      </c>
      <c r="E3310" t="s">
        <v>18</v>
      </c>
      <c r="F3310">
        <v>70</v>
      </c>
      <c r="G3310" t="s">
        <v>131</v>
      </c>
      <c r="H3310" t="s">
        <v>39</v>
      </c>
      <c r="I3310" t="s">
        <v>62</v>
      </c>
      <c r="J3310" t="s">
        <v>50</v>
      </c>
      <c r="K3310">
        <v>2.6</v>
      </c>
      <c r="L3310" t="s">
        <v>143</v>
      </c>
      <c r="M3310" t="s">
        <v>143</v>
      </c>
      <c r="N3310">
        <v>29</v>
      </c>
      <c r="O3310" t="s">
        <v>29</v>
      </c>
      <c r="P3310" t="s">
        <v>79</v>
      </c>
    </row>
    <row r="3311" spans="1:16" ht="14.5" x14ac:dyDescent="0.35">
      <c r="A3311">
        <v>3310</v>
      </c>
      <c r="B3311">
        <v>48</v>
      </c>
      <c r="C3311" t="s">
        <v>144</v>
      </c>
      <c r="D3311" t="s">
        <v>59</v>
      </c>
      <c r="E3311" t="s">
        <v>60</v>
      </c>
      <c r="F3311">
        <v>47</v>
      </c>
      <c r="G3311" t="s">
        <v>31</v>
      </c>
      <c r="H3311" t="s">
        <v>39</v>
      </c>
      <c r="I3311" t="s">
        <v>135</v>
      </c>
      <c r="J3311" t="s">
        <v>47</v>
      </c>
      <c r="K3311">
        <v>3.1</v>
      </c>
      <c r="L3311" t="s">
        <v>143</v>
      </c>
      <c r="M3311" t="s">
        <v>143</v>
      </c>
      <c r="N3311">
        <v>19</v>
      </c>
      <c r="O3311" t="s">
        <v>40</v>
      </c>
      <c r="P3311" t="s">
        <v>79</v>
      </c>
    </row>
    <row r="3312" spans="1:16" ht="14.5" x14ac:dyDescent="0.35">
      <c r="A3312">
        <v>3311</v>
      </c>
      <c r="B3312">
        <v>45</v>
      </c>
      <c r="C3312" t="s">
        <v>144</v>
      </c>
      <c r="D3312" t="s">
        <v>93</v>
      </c>
      <c r="E3312" t="s">
        <v>56</v>
      </c>
      <c r="F3312">
        <v>27</v>
      </c>
      <c r="G3312" t="s">
        <v>137</v>
      </c>
      <c r="H3312" t="s">
        <v>39</v>
      </c>
      <c r="I3312" t="s">
        <v>62</v>
      </c>
      <c r="J3312" t="s">
        <v>22</v>
      </c>
      <c r="K3312">
        <v>3.6</v>
      </c>
      <c r="L3312" t="s">
        <v>143</v>
      </c>
      <c r="M3312" t="s">
        <v>143</v>
      </c>
      <c r="N3312">
        <v>12</v>
      </c>
      <c r="O3312" t="s">
        <v>40</v>
      </c>
      <c r="P3312" t="s">
        <v>25</v>
      </c>
    </row>
    <row r="3313" spans="1:16" ht="14.5" x14ac:dyDescent="0.35">
      <c r="A3313">
        <v>3312</v>
      </c>
      <c r="B3313">
        <v>29</v>
      </c>
      <c r="C3313" t="s">
        <v>144</v>
      </c>
      <c r="D3313" t="s">
        <v>115</v>
      </c>
      <c r="E3313" t="s">
        <v>60</v>
      </c>
      <c r="F3313">
        <v>52</v>
      </c>
      <c r="G3313" t="s">
        <v>94</v>
      </c>
      <c r="H3313" t="s">
        <v>20</v>
      </c>
      <c r="I3313" t="s">
        <v>135</v>
      </c>
      <c r="J3313" t="s">
        <v>47</v>
      </c>
      <c r="K3313">
        <v>4</v>
      </c>
      <c r="L3313" t="s">
        <v>143</v>
      </c>
      <c r="M3313" t="s">
        <v>143</v>
      </c>
      <c r="N3313">
        <v>18</v>
      </c>
      <c r="O3313" t="s">
        <v>66</v>
      </c>
      <c r="P3313" t="s">
        <v>43</v>
      </c>
    </row>
    <row r="3314" spans="1:16" ht="14.5" x14ac:dyDescent="0.35">
      <c r="A3314">
        <v>3313</v>
      </c>
      <c r="B3314">
        <v>55</v>
      </c>
      <c r="C3314" t="s">
        <v>144</v>
      </c>
      <c r="D3314" t="s">
        <v>44</v>
      </c>
      <c r="E3314" t="s">
        <v>37</v>
      </c>
      <c r="F3314">
        <v>75</v>
      </c>
      <c r="G3314" t="s">
        <v>53</v>
      </c>
      <c r="H3314" t="s">
        <v>20</v>
      </c>
      <c r="I3314" t="s">
        <v>85</v>
      </c>
      <c r="J3314" t="s">
        <v>47</v>
      </c>
      <c r="K3314">
        <v>3.9</v>
      </c>
      <c r="L3314" t="s">
        <v>143</v>
      </c>
      <c r="M3314" t="s">
        <v>143</v>
      </c>
      <c r="N3314">
        <v>45</v>
      </c>
      <c r="O3314" t="s">
        <v>29</v>
      </c>
      <c r="P3314" t="s">
        <v>51</v>
      </c>
    </row>
    <row r="3315" spans="1:16" ht="14.5" x14ac:dyDescent="0.35">
      <c r="A3315">
        <v>3314</v>
      </c>
      <c r="B3315">
        <v>55</v>
      </c>
      <c r="C3315" t="s">
        <v>144</v>
      </c>
      <c r="D3315" t="s">
        <v>115</v>
      </c>
      <c r="E3315" t="s">
        <v>60</v>
      </c>
      <c r="F3315">
        <v>30</v>
      </c>
      <c r="G3315" t="s">
        <v>102</v>
      </c>
      <c r="H3315" t="s">
        <v>83</v>
      </c>
      <c r="I3315" t="s">
        <v>85</v>
      </c>
      <c r="J3315" t="s">
        <v>50</v>
      </c>
      <c r="K3315">
        <v>3.9</v>
      </c>
      <c r="L3315" t="s">
        <v>143</v>
      </c>
      <c r="M3315" t="s">
        <v>143</v>
      </c>
      <c r="N3315">
        <v>45</v>
      </c>
      <c r="O3315" t="s">
        <v>34</v>
      </c>
      <c r="P3315" t="s">
        <v>79</v>
      </c>
    </row>
    <row r="3316" spans="1:16" ht="14.5" x14ac:dyDescent="0.35">
      <c r="A3316">
        <v>3315</v>
      </c>
      <c r="B3316">
        <v>55</v>
      </c>
      <c r="C3316" t="s">
        <v>144</v>
      </c>
      <c r="D3316" t="s">
        <v>116</v>
      </c>
      <c r="E3316" t="s">
        <v>18</v>
      </c>
      <c r="F3316">
        <v>94</v>
      </c>
      <c r="G3316" t="s">
        <v>102</v>
      </c>
      <c r="H3316" t="s">
        <v>39</v>
      </c>
      <c r="I3316" t="s">
        <v>74</v>
      </c>
      <c r="J3316" t="s">
        <v>33</v>
      </c>
      <c r="K3316">
        <v>3.3</v>
      </c>
      <c r="L3316" t="s">
        <v>143</v>
      </c>
      <c r="M3316" t="s">
        <v>143</v>
      </c>
      <c r="N3316">
        <v>8</v>
      </c>
      <c r="O3316" t="s">
        <v>34</v>
      </c>
      <c r="P3316" t="s">
        <v>51</v>
      </c>
    </row>
    <row r="3317" spans="1:16" ht="14.5" x14ac:dyDescent="0.35">
      <c r="A3317">
        <v>3316</v>
      </c>
      <c r="B3317">
        <v>48</v>
      </c>
      <c r="C3317" t="s">
        <v>144</v>
      </c>
      <c r="D3317" t="s">
        <v>110</v>
      </c>
      <c r="E3317" t="s">
        <v>60</v>
      </c>
      <c r="F3317">
        <v>68</v>
      </c>
      <c r="G3317" t="s">
        <v>19</v>
      </c>
      <c r="H3317" t="s">
        <v>32</v>
      </c>
      <c r="I3317" t="s">
        <v>71</v>
      </c>
      <c r="J3317" t="s">
        <v>47</v>
      </c>
      <c r="K3317">
        <v>2.9</v>
      </c>
      <c r="L3317" t="s">
        <v>143</v>
      </c>
      <c r="M3317" t="s">
        <v>143</v>
      </c>
      <c r="N3317">
        <v>4</v>
      </c>
      <c r="O3317" t="s">
        <v>40</v>
      </c>
      <c r="P3317" t="s">
        <v>88</v>
      </c>
    </row>
    <row r="3318" spans="1:16" ht="14.5" x14ac:dyDescent="0.35">
      <c r="A3318">
        <v>3317</v>
      </c>
      <c r="B3318">
        <v>42</v>
      </c>
      <c r="C3318" t="s">
        <v>144</v>
      </c>
      <c r="D3318" t="s">
        <v>116</v>
      </c>
      <c r="E3318" t="s">
        <v>18</v>
      </c>
      <c r="F3318">
        <v>45</v>
      </c>
      <c r="G3318" t="s">
        <v>121</v>
      </c>
      <c r="H3318" t="s">
        <v>39</v>
      </c>
      <c r="I3318" t="s">
        <v>69</v>
      </c>
      <c r="J3318" t="s">
        <v>47</v>
      </c>
      <c r="K3318">
        <v>3.1</v>
      </c>
      <c r="L3318" t="s">
        <v>143</v>
      </c>
      <c r="M3318" t="s">
        <v>143</v>
      </c>
      <c r="N3318">
        <v>5</v>
      </c>
      <c r="O3318" t="s">
        <v>77</v>
      </c>
      <c r="P3318" t="s">
        <v>25</v>
      </c>
    </row>
    <row r="3319" spans="1:16" ht="14.5" x14ac:dyDescent="0.35">
      <c r="A3319">
        <v>3318</v>
      </c>
      <c r="B3319">
        <v>21</v>
      </c>
      <c r="C3319" t="s">
        <v>144</v>
      </c>
      <c r="D3319" t="s">
        <v>115</v>
      </c>
      <c r="E3319" t="s">
        <v>60</v>
      </c>
      <c r="F3319">
        <v>67</v>
      </c>
      <c r="G3319" t="s">
        <v>89</v>
      </c>
      <c r="H3319" t="s">
        <v>83</v>
      </c>
      <c r="I3319" t="s">
        <v>62</v>
      </c>
      <c r="J3319" t="s">
        <v>47</v>
      </c>
      <c r="K3319">
        <v>4.7</v>
      </c>
      <c r="L3319" t="s">
        <v>143</v>
      </c>
      <c r="M3319" t="s">
        <v>143</v>
      </c>
      <c r="N3319">
        <v>30</v>
      </c>
      <c r="O3319" t="s">
        <v>29</v>
      </c>
      <c r="P3319" t="s">
        <v>51</v>
      </c>
    </row>
    <row r="3320" spans="1:16" ht="14.5" x14ac:dyDescent="0.35">
      <c r="A3320">
        <v>3319</v>
      </c>
      <c r="B3320">
        <v>45</v>
      </c>
      <c r="C3320" t="s">
        <v>144</v>
      </c>
      <c r="D3320" t="s">
        <v>93</v>
      </c>
      <c r="E3320" t="s">
        <v>56</v>
      </c>
      <c r="F3320">
        <v>46</v>
      </c>
      <c r="G3320" t="s">
        <v>105</v>
      </c>
      <c r="H3320" t="s">
        <v>39</v>
      </c>
      <c r="I3320" t="s">
        <v>69</v>
      </c>
      <c r="J3320" t="s">
        <v>47</v>
      </c>
      <c r="K3320">
        <v>3.9</v>
      </c>
      <c r="L3320" t="s">
        <v>143</v>
      </c>
      <c r="M3320" t="s">
        <v>143</v>
      </c>
      <c r="N3320">
        <v>15</v>
      </c>
      <c r="O3320" t="s">
        <v>40</v>
      </c>
      <c r="P3320" t="s">
        <v>79</v>
      </c>
    </row>
    <row r="3321" spans="1:16" ht="14.5" x14ac:dyDescent="0.35">
      <c r="A3321">
        <v>3320</v>
      </c>
      <c r="B3321">
        <v>23</v>
      </c>
      <c r="C3321" t="s">
        <v>144</v>
      </c>
      <c r="D3321" t="s">
        <v>52</v>
      </c>
      <c r="E3321" t="s">
        <v>18</v>
      </c>
      <c r="F3321">
        <v>31</v>
      </c>
      <c r="G3321" t="s">
        <v>105</v>
      </c>
      <c r="H3321" t="s">
        <v>39</v>
      </c>
      <c r="I3321" t="s">
        <v>117</v>
      </c>
      <c r="J3321" t="s">
        <v>47</v>
      </c>
      <c r="K3321">
        <v>4.3</v>
      </c>
      <c r="L3321" t="s">
        <v>143</v>
      </c>
      <c r="M3321" t="s">
        <v>143</v>
      </c>
      <c r="N3321">
        <v>17</v>
      </c>
      <c r="O3321" t="s">
        <v>34</v>
      </c>
      <c r="P3321" t="s">
        <v>88</v>
      </c>
    </row>
    <row r="3322" spans="1:16" ht="14.5" x14ac:dyDescent="0.35">
      <c r="A3322">
        <v>3321</v>
      </c>
      <c r="B3322">
        <v>66</v>
      </c>
      <c r="C3322" t="s">
        <v>144</v>
      </c>
      <c r="D3322" t="s">
        <v>17</v>
      </c>
      <c r="E3322" t="s">
        <v>18</v>
      </c>
      <c r="F3322">
        <v>44</v>
      </c>
      <c r="G3322" t="s">
        <v>106</v>
      </c>
      <c r="H3322" t="s">
        <v>83</v>
      </c>
      <c r="I3322" t="s">
        <v>58</v>
      </c>
      <c r="J3322" t="s">
        <v>50</v>
      </c>
      <c r="K3322">
        <v>4.2</v>
      </c>
      <c r="L3322" t="s">
        <v>143</v>
      </c>
      <c r="M3322" t="s">
        <v>143</v>
      </c>
      <c r="N3322">
        <v>45</v>
      </c>
      <c r="O3322" t="s">
        <v>29</v>
      </c>
      <c r="P3322" t="s">
        <v>88</v>
      </c>
    </row>
    <row r="3323" spans="1:16" ht="14.5" x14ac:dyDescent="0.35">
      <c r="A3323">
        <v>3322</v>
      </c>
      <c r="B3323">
        <v>32</v>
      </c>
      <c r="C3323" t="s">
        <v>144</v>
      </c>
      <c r="D3323" t="s">
        <v>55</v>
      </c>
      <c r="E3323" t="s">
        <v>56</v>
      </c>
      <c r="F3323">
        <v>100</v>
      </c>
      <c r="G3323" t="s">
        <v>27</v>
      </c>
      <c r="H3323" t="s">
        <v>32</v>
      </c>
      <c r="I3323" t="s">
        <v>54</v>
      </c>
      <c r="J3323" t="s">
        <v>22</v>
      </c>
      <c r="K3323">
        <v>4.3</v>
      </c>
      <c r="L3323" t="s">
        <v>143</v>
      </c>
      <c r="M3323" t="s">
        <v>143</v>
      </c>
      <c r="N3323">
        <v>3</v>
      </c>
      <c r="O3323" t="s">
        <v>24</v>
      </c>
      <c r="P3323" t="s">
        <v>43</v>
      </c>
    </row>
    <row r="3324" spans="1:16" ht="14.5" x14ac:dyDescent="0.35">
      <c r="A3324">
        <v>3323</v>
      </c>
      <c r="B3324">
        <v>52</v>
      </c>
      <c r="C3324" t="s">
        <v>144</v>
      </c>
      <c r="D3324" t="s">
        <v>26</v>
      </c>
      <c r="E3324" t="s">
        <v>18</v>
      </c>
      <c r="F3324">
        <v>92</v>
      </c>
      <c r="G3324" t="s">
        <v>107</v>
      </c>
      <c r="H3324" t="s">
        <v>83</v>
      </c>
      <c r="I3324" t="s">
        <v>112</v>
      </c>
      <c r="J3324" t="s">
        <v>22</v>
      </c>
      <c r="K3324">
        <v>4.5999999999999996</v>
      </c>
      <c r="L3324" t="s">
        <v>143</v>
      </c>
      <c r="M3324" t="s">
        <v>143</v>
      </c>
      <c r="N3324">
        <v>43</v>
      </c>
      <c r="O3324" t="s">
        <v>40</v>
      </c>
      <c r="P3324" t="s">
        <v>35</v>
      </c>
    </row>
    <row r="3325" spans="1:16" ht="14.5" x14ac:dyDescent="0.35">
      <c r="A3325">
        <v>3324</v>
      </c>
      <c r="B3325">
        <v>54</v>
      </c>
      <c r="C3325" t="s">
        <v>144</v>
      </c>
      <c r="D3325" t="s">
        <v>59</v>
      </c>
      <c r="E3325" t="s">
        <v>60</v>
      </c>
      <c r="F3325">
        <v>78</v>
      </c>
      <c r="G3325" t="s">
        <v>105</v>
      </c>
      <c r="H3325" t="s">
        <v>39</v>
      </c>
      <c r="I3325" t="s">
        <v>125</v>
      </c>
      <c r="J3325" t="s">
        <v>22</v>
      </c>
      <c r="K3325">
        <v>3.8</v>
      </c>
      <c r="L3325" t="s">
        <v>143</v>
      </c>
      <c r="M3325" t="s">
        <v>143</v>
      </c>
      <c r="N3325">
        <v>4</v>
      </c>
      <c r="O3325" t="s">
        <v>34</v>
      </c>
      <c r="P3325" t="s">
        <v>79</v>
      </c>
    </row>
    <row r="3326" spans="1:16" ht="14.5" x14ac:dyDescent="0.35">
      <c r="A3326">
        <v>3325</v>
      </c>
      <c r="B3326">
        <v>37</v>
      </c>
      <c r="C3326" t="s">
        <v>144</v>
      </c>
      <c r="D3326" t="s">
        <v>104</v>
      </c>
      <c r="E3326" t="s">
        <v>18</v>
      </c>
      <c r="F3326">
        <v>32</v>
      </c>
      <c r="G3326" t="s">
        <v>61</v>
      </c>
      <c r="H3326" t="s">
        <v>32</v>
      </c>
      <c r="I3326" t="s">
        <v>99</v>
      </c>
      <c r="J3326" t="s">
        <v>50</v>
      </c>
      <c r="K3326">
        <v>3.3</v>
      </c>
      <c r="L3326" t="s">
        <v>143</v>
      </c>
      <c r="M3326" t="s">
        <v>143</v>
      </c>
      <c r="N3326">
        <v>41</v>
      </c>
      <c r="O3326" t="s">
        <v>24</v>
      </c>
      <c r="P3326" t="s">
        <v>35</v>
      </c>
    </row>
    <row r="3327" spans="1:16" ht="14.5" x14ac:dyDescent="0.35">
      <c r="A3327">
        <v>3326</v>
      </c>
      <c r="B3327">
        <v>29</v>
      </c>
      <c r="C3327" t="s">
        <v>144</v>
      </c>
      <c r="D3327" t="s">
        <v>36</v>
      </c>
      <c r="E3327" t="s">
        <v>37</v>
      </c>
      <c r="F3327">
        <v>97</v>
      </c>
      <c r="G3327" t="s">
        <v>111</v>
      </c>
      <c r="H3327" t="s">
        <v>39</v>
      </c>
      <c r="I3327" t="s">
        <v>28</v>
      </c>
      <c r="J3327" t="s">
        <v>50</v>
      </c>
      <c r="K3327">
        <v>3.7</v>
      </c>
      <c r="L3327" t="s">
        <v>143</v>
      </c>
      <c r="M3327" t="s">
        <v>143</v>
      </c>
      <c r="N3327">
        <v>16</v>
      </c>
      <c r="O3327" t="s">
        <v>24</v>
      </c>
      <c r="P3327" t="s">
        <v>79</v>
      </c>
    </row>
    <row r="3328" spans="1:16" ht="14.5" x14ac:dyDescent="0.35">
      <c r="A3328">
        <v>3327</v>
      </c>
      <c r="B3328">
        <v>47</v>
      </c>
      <c r="C3328" t="s">
        <v>144</v>
      </c>
      <c r="D3328" t="s">
        <v>134</v>
      </c>
      <c r="E3328" t="s">
        <v>60</v>
      </c>
      <c r="F3328">
        <v>95</v>
      </c>
      <c r="G3328" t="s">
        <v>105</v>
      </c>
      <c r="H3328" t="s">
        <v>39</v>
      </c>
      <c r="I3328" t="s">
        <v>127</v>
      </c>
      <c r="J3328" t="s">
        <v>47</v>
      </c>
      <c r="K3328">
        <v>4.3</v>
      </c>
      <c r="L3328" t="s">
        <v>143</v>
      </c>
      <c r="M3328" t="s">
        <v>143</v>
      </c>
      <c r="N3328">
        <v>10</v>
      </c>
      <c r="O3328" t="s">
        <v>77</v>
      </c>
      <c r="P3328" t="s">
        <v>43</v>
      </c>
    </row>
    <row r="3329" spans="1:16" ht="14.5" x14ac:dyDescent="0.35">
      <c r="A3329">
        <v>3328</v>
      </c>
      <c r="B3329">
        <v>47</v>
      </c>
      <c r="C3329" t="s">
        <v>144</v>
      </c>
      <c r="D3329" t="s">
        <v>52</v>
      </c>
      <c r="E3329" t="s">
        <v>18</v>
      </c>
      <c r="F3329">
        <v>64</v>
      </c>
      <c r="G3329" t="s">
        <v>130</v>
      </c>
      <c r="H3329" t="s">
        <v>39</v>
      </c>
      <c r="I3329" t="s">
        <v>85</v>
      </c>
      <c r="J3329" t="s">
        <v>33</v>
      </c>
      <c r="K3329">
        <v>4.0999999999999996</v>
      </c>
      <c r="L3329" t="s">
        <v>143</v>
      </c>
      <c r="M3329" t="s">
        <v>143</v>
      </c>
      <c r="N3329">
        <v>2</v>
      </c>
      <c r="O3329" t="s">
        <v>77</v>
      </c>
      <c r="P3329" t="s">
        <v>51</v>
      </c>
    </row>
    <row r="3330" spans="1:16" ht="14.5" x14ac:dyDescent="0.35">
      <c r="A3330">
        <v>3329</v>
      </c>
      <c r="B3330">
        <v>42</v>
      </c>
      <c r="C3330" t="s">
        <v>144</v>
      </c>
      <c r="D3330" t="s">
        <v>36</v>
      </c>
      <c r="E3330" t="s">
        <v>37</v>
      </c>
      <c r="F3330">
        <v>35</v>
      </c>
      <c r="G3330" t="s">
        <v>141</v>
      </c>
      <c r="H3330" t="s">
        <v>39</v>
      </c>
      <c r="I3330" t="s">
        <v>74</v>
      </c>
      <c r="J3330" t="s">
        <v>33</v>
      </c>
      <c r="K3330">
        <v>3.2</v>
      </c>
      <c r="L3330" t="s">
        <v>143</v>
      </c>
      <c r="M3330" t="s">
        <v>143</v>
      </c>
      <c r="N3330">
        <v>11</v>
      </c>
      <c r="O3330" t="s">
        <v>29</v>
      </c>
      <c r="P3330" t="s">
        <v>67</v>
      </c>
    </row>
    <row r="3331" spans="1:16" ht="14.5" x14ac:dyDescent="0.35">
      <c r="A3331">
        <v>3330</v>
      </c>
      <c r="B3331">
        <v>34</v>
      </c>
      <c r="C3331" t="s">
        <v>144</v>
      </c>
      <c r="D3331" t="s">
        <v>123</v>
      </c>
      <c r="E3331" t="s">
        <v>60</v>
      </c>
      <c r="F3331">
        <v>54</v>
      </c>
      <c r="G3331" t="s">
        <v>118</v>
      </c>
      <c r="H3331" t="s">
        <v>39</v>
      </c>
      <c r="I3331" t="s">
        <v>21</v>
      </c>
      <c r="J3331" t="s">
        <v>22</v>
      </c>
      <c r="K3331">
        <v>3.8</v>
      </c>
      <c r="L3331" t="s">
        <v>143</v>
      </c>
      <c r="M3331" t="s">
        <v>143</v>
      </c>
      <c r="N3331">
        <v>1</v>
      </c>
      <c r="O3331" t="s">
        <v>77</v>
      </c>
      <c r="P3331" t="s">
        <v>67</v>
      </c>
    </row>
    <row r="3332" spans="1:16" ht="14.5" x14ac:dyDescent="0.35">
      <c r="A3332">
        <v>3331</v>
      </c>
      <c r="B3332">
        <v>38</v>
      </c>
      <c r="C3332" t="s">
        <v>144</v>
      </c>
      <c r="D3332" t="s">
        <v>44</v>
      </c>
      <c r="E3332" t="s">
        <v>37</v>
      </c>
      <c r="F3332">
        <v>96</v>
      </c>
      <c r="G3332" t="s">
        <v>61</v>
      </c>
      <c r="H3332" t="s">
        <v>39</v>
      </c>
      <c r="I3332" t="s">
        <v>85</v>
      </c>
      <c r="J3332" t="s">
        <v>33</v>
      </c>
      <c r="K3332">
        <v>3.2</v>
      </c>
      <c r="L3332" t="s">
        <v>143</v>
      </c>
      <c r="M3332" t="s">
        <v>143</v>
      </c>
      <c r="N3332">
        <v>41</v>
      </c>
      <c r="O3332" t="s">
        <v>66</v>
      </c>
      <c r="P3332" t="s">
        <v>51</v>
      </c>
    </row>
    <row r="3333" spans="1:16" ht="14.5" x14ac:dyDescent="0.35">
      <c r="A3333">
        <v>3332</v>
      </c>
      <c r="B3333">
        <v>55</v>
      </c>
      <c r="C3333" t="s">
        <v>144</v>
      </c>
      <c r="D3333" t="s">
        <v>80</v>
      </c>
      <c r="E3333" t="s">
        <v>60</v>
      </c>
      <c r="F3333">
        <v>58</v>
      </c>
      <c r="G3333" t="s">
        <v>90</v>
      </c>
      <c r="H3333" t="s">
        <v>39</v>
      </c>
      <c r="I3333" t="s">
        <v>62</v>
      </c>
      <c r="J3333" t="s">
        <v>47</v>
      </c>
      <c r="K3333">
        <v>3.5</v>
      </c>
      <c r="L3333" t="s">
        <v>143</v>
      </c>
      <c r="M3333" t="s">
        <v>143</v>
      </c>
      <c r="N3333">
        <v>39</v>
      </c>
      <c r="O3333" t="s">
        <v>40</v>
      </c>
      <c r="P3333" t="s">
        <v>51</v>
      </c>
    </row>
    <row r="3334" spans="1:16" ht="14.5" x14ac:dyDescent="0.35">
      <c r="A3334">
        <v>3333</v>
      </c>
      <c r="B3334">
        <v>27</v>
      </c>
      <c r="C3334" t="s">
        <v>144</v>
      </c>
      <c r="D3334" t="s">
        <v>104</v>
      </c>
      <c r="E3334" t="s">
        <v>18</v>
      </c>
      <c r="F3334">
        <v>23</v>
      </c>
      <c r="G3334" t="s">
        <v>140</v>
      </c>
      <c r="H3334" t="s">
        <v>39</v>
      </c>
      <c r="I3334" t="s">
        <v>58</v>
      </c>
      <c r="J3334" t="s">
        <v>47</v>
      </c>
      <c r="K3334">
        <v>3.1</v>
      </c>
      <c r="L3334" t="s">
        <v>143</v>
      </c>
      <c r="M3334" t="s">
        <v>143</v>
      </c>
      <c r="N3334">
        <v>1</v>
      </c>
      <c r="O3334" t="s">
        <v>40</v>
      </c>
      <c r="P3334" t="s">
        <v>67</v>
      </c>
    </row>
    <row r="3335" spans="1:16" ht="14.5" x14ac:dyDescent="0.35">
      <c r="A3335">
        <v>3334</v>
      </c>
      <c r="B3335">
        <v>55</v>
      </c>
      <c r="C3335" t="s">
        <v>144</v>
      </c>
      <c r="D3335" t="s">
        <v>30</v>
      </c>
      <c r="E3335" t="s">
        <v>18</v>
      </c>
      <c r="F3335">
        <v>35</v>
      </c>
      <c r="G3335" t="s">
        <v>139</v>
      </c>
      <c r="H3335" t="s">
        <v>39</v>
      </c>
      <c r="I3335" t="s">
        <v>74</v>
      </c>
      <c r="J3335" t="s">
        <v>33</v>
      </c>
      <c r="K3335">
        <v>4.2</v>
      </c>
      <c r="L3335" t="s">
        <v>143</v>
      </c>
      <c r="M3335" t="s">
        <v>143</v>
      </c>
      <c r="N3335">
        <v>3</v>
      </c>
      <c r="O3335" t="s">
        <v>40</v>
      </c>
      <c r="P3335" t="s">
        <v>79</v>
      </c>
    </row>
    <row r="3336" spans="1:16" ht="14.5" x14ac:dyDescent="0.35">
      <c r="A3336">
        <v>3335</v>
      </c>
      <c r="B3336">
        <v>66</v>
      </c>
      <c r="C3336" t="s">
        <v>144</v>
      </c>
      <c r="D3336" t="s">
        <v>48</v>
      </c>
      <c r="E3336" t="s">
        <v>18</v>
      </c>
      <c r="F3336">
        <v>23</v>
      </c>
      <c r="G3336" t="s">
        <v>90</v>
      </c>
      <c r="H3336" t="s">
        <v>39</v>
      </c>
      <c r="I3336" t="s">
        <v>109</v>
      </c>
      <c r="J3336" t="s">
        <v>47</v>
      </c>
      <c r="K3336">
        <v>3.4</v>
      </c>
      <c r="L3336" t="s">
        <v>143</v>
      </c>
      <c r="M3336" t="s">
        <v>143</v>
      </c>
      <c r="N3336">
        <v>21</v>
      </c>
      <c r="O3336" t="s">
        <v>34</v>
      </c>
      <c r="P3336" t="s">
        <v>43</v>
      </c>
    </row>
    <row r="3337" spans="1:16" ht="14.5" x14ac:dyDescent="0.35">
      <c r="A3337">
        <v>3336</v>
      </c>
      <c r="B3337">
        <v>44</v>
      </c>
      <c r="C3337" t="s">
        <v>144</v>
      </c>
      <c r="D3337" t="s">
        <v>115</v>
      </c>
      <c r="E3337" t="s">
        <v>60</v>
      </c>
      <c r="F3337">
        <v>94</v>
      </c>
      <c r="G3337" t="s">
        <v>96</v>
      </c>
      <c r="H3337" t="s">
        <v>83</v>
      </c>
      <c r="I3337" t="s">
        <v>100</v>
      </c>
      <c r="J3337" t="s">
        <v>22</v>
      </c>
      <c r="K3337">
        <v>3.5</v>
      </c>
      <c r="L3337" t="s">
        <v>143</v>
      </c>
      <c r="M3337" t="s">
        <v>143</v>
      </c>
      <c r="N3337">
        <v>48</v>
      </c>
      <c r="O3337" t="s">
        <v>66</v>
      </c>
      <c r="P3337" t="s">
        <v>51</v>
      </c>
    </row>
    <row r="3338" spans="1:16" ht="14.5" x14ac:dyDescent="0.35">
      <c r="A3338">
        <v>3337</v>
      </c>
      <c r="B3338">
        <v>39</v>
      </c>
      <c r="C3338" t="s">
        <v>144</v>
      </c>
      <c r="D3338" t="s">
        <v>17</v>
      </c>
      <c r="E3338" t="s">
        <v>18</v>
      </c>
      <c r="F3338">
        <v>45</v>
      </c>
      <c r="G3338" t="s">
        <v>49</v>
      </c>
      <c r="H3338" t="s">
        <v>39</v>
      </c>
      <c r="I3338" t="s">
        <v>101</v>
      </c>
      <c r="J3338" t="s">
        <v>50</v>
      </c>
      <c r="K3338">
        <v>4</v>
      </c>
      <c r="L3338" t="s">
        <v>143</v>
      </c>
      <c r="M3338" t="s">
        <v>143</v>
      </c>
      <c r="N3338">
        <v>24</v>
      </c>
      <c r="O3338" t="s">
        <v>77</v>
      </c>
      <c r="P3338" t="s">
        <v>43</v>
      </c>
    </row>
    <row r="3339" spans="1:16" ht="14.5" x14ac:dyDescent="0.35">
      <c r="A3339">
        <v>3338</v>
      </c>
      <c r="B3339">
        <v>23</v>
      </c>
      <c r="C3339" t="s">
        <v>144</v>
      </c>
      <c r="D3339" t="s">
        <v>93</v>
      </c>
      <c r="E3339" t="s">
        <v>56</v>
      </c>
      <c r="F3339">
        <v>23</v>
      </c>
      <c r="G3339" t="s">
        <v>108</v>
      </c>
      <c r="H3339" t="s">
        <v>20</v>
      </c>
      <c r="I3339" t="s">
        <v>135</v>
      </c>
      <c r="J3339" t="s">
        <v>22</v>
      </c>
      <c r="K3339">
        <v>4.4000000000000004</v>
      </c>
      <c r="L3339" t="s">
        <v>143</v>
      </c>
      <c r="M3339" t="s">
        <v>143</v>
      </c>
      <c r="N3339">
        <v>45</v>
      </c>
      <c r="O3339" t="s">
        <v>66</v>
      </c>
      <c r="P3339" t="s">
        <v>67</v>
      </c>
    </row>
    <row r="3340" spans="1:16" ht="14.5" x14ac:dyDescent="0.35">
      <c r="A3340">
        <v>3339</v>
      </c>
      <c r="B3340">
        <v>29</v>
      </c>
      <c r="C3340" t="s">
        <v>144</v>
      </c>
      <c r="D3340" t="s">
        <v>78</v>
      </c>
      <c r="E3340" t="s">
        <v>18</v>
      </c>
      <c r="F3340">
        <v>94</v>
      </c>
      <c r="G3340" t="s">
        <v>139</v>
      </c>
      <c r="H3340" t="s">
        <v>20</v>
      </c>
      <c r="I3340" t="s">
        <v>46</v>
      </c>
      <c r="J3340" t="s">
        <v>22</v>
      </c>
      <c r="K3340">
        <v>2.9</v>
      </c>
      <c r="L3340" t="s">
        <v>143</v>
      </c>
      <c r="M3340" t="s">
        <v>143</v>
      </c>
      <c r="N3340">
        <v>46</v>
      </c>
      <c r="O3340" t="s">
        <v>34</v>
      </c>
      <c r="P3340" t="s">
        <v>79</v>
      </c>
    </row>
    <row r="3341" spans="1:16" ht="14.5" x14ac:dyDescent="0.35">
      <c r="A3341">
        <v>3340</v>
      </c>
      <c r="B3341">
        <v>20</v>
      </c>
      <c r="C3341" t="s">
        <v>144</v>
      </c>
      <c r="D3341" t="s">
        <v>134</v>
      </c>
      <c r="E3341" t="s">
        <v>60</v>
      </c>
      <c r="F3341">
        <v>99</v>
      </c>
      <c r="G3341" t="s">
        <v>136</v>
      </c>
      <c r="H3341" t="s">
        <v>39</v>
      </c>
      <c r="I3341" t="s">
        <v>100</v>
      </c>
      <c r="J3341" t="s">
        <v>50</v>
      </c>
      <c r="K3341">
        <v>3.6</v>
      </c>
      <c r="L3341" t="s">
        <v>143</v>
      </c>
      <c r="M3341" t="s">
        <v>143</v>
      </c>
      <c r="N3341">
        <v>35</v>
      </c>
      <c r="O3341" t="s">
        <v>29</v>
      </c>
      <c r="P3341" t="s">
        <v>25</v>
      </c>
    </row>
    <row r="3342" spans="1:16" ht="14.5" x14ac:dyDescent="0.35">
      <c r="A3342">
        <v>3341</v>
      </c>
      <c r="B3342">
        <v>42</v>
      </c>
      <c r="C3342" t="s">
        <v>144</v>
      </c>
      <c r="D3342" t="s">
        <v>104</v>
      </c>
      <c r="E3342" t="s">
        <v>18</v>
      </c>
      <c r="F3342">
        <v>36</v>
      </c>
      <c r="G3342" t="s">
        <v>132</v>
      </c>
      <c r="H3342" t="s">
        <v>83</v>
      </c>
      <c r="I3342" t="s">
        <v>28</v>
      </c>
      <c r="J3342" t="s">
        <v>50</v>
      </c>
      <c r="K3342">
        <v>4.4000000000000004</v>
      </c>
      <c r="L3342" t="s">
        <v>143</v>
      </c>
      <c r="M3342" t="s">
        <v>143</v>
      </c>
      <c r="N3342">
        <v>47</v>
      </c>
      <c r="O3342" t="s">
        <v>34</v>
      </c>
      <c r="P3342" t="s">
        <v>25</v>
      </c>
    </row>
    <row r="3343" spans="1:16" ht="14.5" x14ac:dyDescent="0.35">
      <c r="A3343">
        <v>3342</v>
      </c>
      <c r="B3343">
        <v>55</v>
      </c>
      <c r="C3343" t="s">
        <v>144</v>
      </c>
      <c r="D3343" t="s">
        <v>93</v>
      </c>
      <c r="E3343" t="s">
        <v>56</v>
      </c>
      <c r="F3343">
        <v>50</v>
      </c>
      <c r="G3343" t="s">
        <v>130</v>
      </c>
      <c r="H3343" t="s">
        <v>83</v>
      </c>
      <c r="I3343" t="s">
        <v>69</v>
      </c>
      <c r="J3343" t="s">
        <v>47</v>
      </c>
      <c r="K3343">
        <v>4.5</v>
      </c>
      <c r="L3343" t="s">
        <v>143</v>
      </c>
      <c r="M3343" t="s">
        <v>143</v>
      </c>
      <c r="N3343">
        <v>35</v>
      </c>
      <c r="O3343" t="s">
        <v>34</v>
      </c>
      <c r="P3343" t="s">
        <v>79</v>
      </c>
    </row>
    <row r="3344" spans="1:16" ht="14.5" x14ac:dyDescent="0.35">
      <c r="A3344">
        <v>3343</v>
      </c>
      <c r="B3344">
        <v>66</v>
      </c>
      <c r="C3344" t="s">
        <v>144</v>
      </c>
      <c r="D3344" t="s">
        <v>93</v>
      </c>
      <c r="E3344" t="s">
        <v>56</v>
      </c>
      <c r="F3344">
        <v>81</v>
      </c>
      <c r="G3344" t="s">
        <v>118</v>
      </c>
      <c r="H3344" t="s">
        <v>39</v>
      </c>
      <c r="I3344" t="s">
        <v>74</v>
      </c>
      <c r="J3344" t="s">
        <v>33</v>
      </c>
      <c r="K3344">
        <v>3.8</v>
      </c>
      <c r="L3344" t="s">
        <v>143</v>
      </c>
      <c r="M3344" t="s">
        <v>143</v>
      </c>
      <c r="N3344">
        <v>45</v>
      </c>
      <c r="O3344" t="s">
        <v>34</v>
      </c>
      <c r="P3344" t="s">
        <v>35</v>
      </c>
    </row>
    <row r="3345" spans="1:16" ht="14.5" x14ac:dyDescent="0.35">
      <c r="A3345">
        <v>3344</v>
      </c>
      <c r="B3345">
        <v>24</v>
      </c>
      <c r="C3345" t="s">
        <v>144</v>
      </c>
      <c r="D3345" t="s">
        <v>52</v>
      </c>
      <c r="E3345" t="s">
        <v>18</v>
      </c>
      <c r="F3345">
        <v>31</v>
      </c>
      <c r="G3345" t="s">
        <v>19</v>
      </c>
      <c r="H3345" t="s">
        <v>83</v>
      </c>
      <c r="I3345" t="s">
        <v>87</v>
      </c>
      <c r="J3345" t="s">
        <v>22</v>
      </c>
      <c r="K3345">
        <v>3.6</v>
      </c>
      <c r="L3345" t="s">
        <v>143</v>
      </c>
      <c r="M3345" t="s">
        <v>143</v>
      </c>
      <c r="N3345">
        <v>6</v>
      </c>
      <c r="O3345" t="s">
        <v>29</v>
      </c>
      <c r="P3345" t="s">
        <v>67</v>
      </c>
    </row>
    <row r="3346" spans="1:16" ht="14.5" x14ac:dyDescent="0.35">
      <c r="A3346">
        <v>3345</v>
      </c>
      <c r="B3346">
        <v>62</v>
      </c>
      <c r="C3346" t="s">
        <v>144</v>
      </c>
      <c r="D3346" t="s">
        <v>115</v>
      </c>
      <c r="E3346" t="s">
        <v>60</v>
      </c>
      <c r="F3346">
        <v>48</v>
      </c>
      <c r="G3346" t="s">
        <v>140</v>
      </c>
      <c r="H3346" t="s">
        <v>83</v>
      </c>
      <c r="I3346" t="s">
        <v>127</v>
      </c>
      <c r="J3346" t="s">
        <v>50</v>
      </c>
      <c r="K3346">
        <v>4.3</v>
      </c>
      <c r="L3346" t="s">
        <v>143</v>
      </c>
      <c r="M3346" t="s">
        <v>143</v>
      </c>
      <c r="N3346">
        <v>20</v>
      </c>
      <c r="O3346" t="s">
        <v>29</v>
      </c>
      <c r="P3346" t="s">
        <v>43</v>
      </c>
    </row>
    <row r="3347" spans="1:16" ht="14.5" x14ac:dyDescent="0.35">
      <c r="A3347">
        <v>3346</v>
      </c>
      <c r="B3347">
        <v>28</v>
      </c>
      <c r="C3347" t="s">
        <v>144</v>
      </c>
      <c r="D3347" t="s">
        <v>59</v>
      </c>
      <c r="E3347" t="s">
        <v>60</v>
      </c>
      <c r="F3347">
        <v>91</v>
      </c>
      <c r="G3347" t="s">
        <v>94</v>
      </c>
      <c r="H3347" t="s">
        <v>39</v>
      </c>
      <c r="I3347" t="s">
        <v>42</v>
      </c>
      <c r="J3347" t="s">
        <v>47</v>
      </c>
      <c r="K3347">
        <v>4</v>
      </c>
      <c r="L3347" t="s">
        <v>143</v>
      </c>
      <c r="M3347" t="s">
        <v>143</v>
      </c>
      <c r="N3347">
        <v>3</v>
      </c>
      <c r="O3347" t="s">
        <v>24</v>
      </c>
      <c r="P3347" t="s">
        <v>67</v>
      </c>
    </row>
    <row r="3348" spans="1:16" ht="14.5" x14ac:dyDescent="0.35">
      <c r="A3348">
        <v>3347</v>
      </c>
      <c r="B3348">
        <v>30</v>
      </c>
      <c r="C3348" t="s">
        <v>144</v>
      </c>
      <c r="D3348" t="s">
        <v>30</v>
      </c>
      <c r="E3348" t="s">
        <v>18</v>
      </c>
      <c r="F3348">
        <v>99</v>
      </c>
      <c r="G3348" t="s">
        <v>92</v>
      </c>
      <c r="H3348" t="s">
        <v>39</v>
      </c>
      <c r="I3348" t="s">
        <v>85</v>
      </c>
      <c r="J3348" t="s">
        <v>47</v>
      </c>
      <c r="K3348">
        <v>3.4</v>
      </c>
      <c r="L3348" t="s">
        <v>143</v>
      </c>
      <c r="M3348" t="s">
        <v>143</v>
      </c>
      <c r="N3348">
        <v>30</v>
      </c>
      <c r="O3348" t="s">
        <v>24</v>
      </c>
      <c r="P3348" t="s">
        <v>51</v>
      </c>
    </row>
    <row r="3349" spans="1:16" ht="14.5" x14ac:dyDescent="0.35">
      <c r="A3349">
        <v>3348</v>
      </c>
      <c r="B3349">
        <v>22</v>
      </c>
      <c r="C3349" t="s">
        <v>144</v>
      </c>
      <c r="D3349" t="s">
        <v>63</v>
      </c>
      <c r="E3349" t="s">
        <v>37</v>
      </c>
      <c r="F3349">
        <v>70</v>
      </c>
      <c r="G3349" t="s">
        <v>137</v>
      </c>
      <c r="H3349" t="s">
        <v>83</v>
      </c>
      <c r="I3349" t="s">
        <v>100</v>
      </c>
      <c r="J3349" t="s">
        <v>47</v>
      </c>
      <c r="K3349">
        <v>4.4000000000000004</v>
      </c>
      <c r="L3349" t="s">
        <v>143</v>
      </c>
      <c r="M3349" t="s">
        <v>143</v>
      </c>
      <c r="N3349">
        <v>28</v>
      </c>
      <c r="O3349" t="s">
        <v>40</v>
      </c>
      <c r="P3349" t="s">
        <v>67</v>
      </c>
    </row>
    <row r="3350" spans="1:16" ht="14.5" x14ac:dyDescent="0.35">
      <c r="A3350">
        <v>3349</v>
      </c>
      <c r="B3350">
        <v>28</v>
      </c>
      <c r="C3350" t="s">
        <v>144</v>
      </c>
      <c r="D3350" t="s">
        <v>104</v>
      </c>
      <c r="E3350" t="s">
        <v>18</v>
      </c>
      <c r="F3350">
        <v>74</v>
      </c>
      <c r="G3350" t="s">
        <v>73</v>
      </c>
      <c r="H3350" t="s">
        <v>20</v>
      </c>
      <c r="I3350" t="s">
        <v>21</v>
      </c>
      <c r="J3350" t="s">
        <v>22</v>
      </c>
      <c r="K3350">
        <v>2.8</v>
      </c>
      <c r="L3350" t="s">
        <v>143</v>
      </c>
      <c r="M3350" t="s">
        <v>143</v>
      </c>
      <c r="N3350">
        <v>15</v>
      </c>
      <c r="O3350" t="s">
        <v>29</v>
      </c>
      <c r="P3350" t="s">
        <v>88</v>
      </c>
    </row>
    <row r="3351" spans="1:16" ht="14.5" x14ac:dyDescent="0.35">
      <c r="A3351">
        <v>3350</v>
      </c>
      <c r="B3351">
        <v>35</v>
      </c>
      <c r="C3351" t="s">
        <v>144</v>
      </c>
      <c r="D3351" t="s">
        <v>97</v>
      </c>
      <c r="E3351" t="s">
        <v>60</v>
      </c>
      <c r="F3351">
        <v>79</v>
      </c>
      <c r="G3351" t="s">
        <v>133</v>
      </c>
      <c r="H3351" t="s">
        <v>39</v>
      </c>
      <c r="I3351" t="s">
        <v>99</v>
      </c>
      <c r="J3351" t="s">
        <v>50</v>
      </c>
      <c r="K3351">
        <v>2.8</v>
      </c>
      <c r="L3351" t="s">
        <v>143</v>
      </c>
      <c r="M3351" t="s">
        <v>143</v>
      </c>
      <c r="N3351">
        <v>29</v>
      </c>
      <c r="O3351" t="s">
        <v>40</v>
      </c>
      <c r="P3351" t="s">
        <v>51</v>
      </c>
    </row>
    <row r="3352" spans="1:16" ht="14.5" x14ac:dyDescent="0.35">
      <c r="A3352">
        <v>3351</v>
      </c>
      <c r="B3352">
        <v>45</v>
      </c>
      <c r="C3352" t="s">
        <v>144</v>
      </c>
      <c r="D3352" t="s">
        <v>59</v>
      </c>
      <c r="E3352" t="s">
        <v>60</v>
      </c>
      <c r="F3352">
        <v>33</v>
      </c>
      <c r="G3352" t="s">
        <v>82</v>
      </c>
      <c r="H3352" t="s">
        <v>32</v>
      </c>
      <c r="I3352" t="s">
        <v>69</v>
      </c>
      <c r="J3352" t="s">
        <v>50</v>
      </c>
      <c r="K3352">
        <v>4.9000000000000004</v>
      </c>
      <c r="L3352" t="s">
        <v>143</v>
      </c>
      <c r="M3352" t="s">
        <v>143</v>
      </c>
      <c r="N3352">
        <v>15</v>
      </c>
      <c r="O3352" t="s">
        <v>29</v>
      </c>
      <c r="P3352" t="s">
        <v>67</v>
      </c>
    </row>
    <row r="3353" spans="1:16" ht="14.5" x14ac:dyDescent="0.35">
      <c r="A3353">
        <v>3352</v>
      </c>
      <c r="B3353">
        <v>43</v>
      </c>
      <c r="C3353" t="s">
        <v>144</v>
      </c>
      <c r="D3353" t="s">
        <v>48</v>
      </c>
      <c r="E3353" t="s">
        <v>18</v>
      </c>
      <c r="F3353">
        <v>49</v>
      </c>
      <c r="G3353" t="s">
        <v>73</v>
      </c>
      <c r="H3353" t="s">
        <v>20</v>
      </c>
      <c r="I3353" t="s">
        <v>100</v>
      </c>
      <c r="J3353" t="s">
        <v>33</v>
      </c>
      <c r="K3353">
        <v>4.2</v>
      </c>
      <c r="L3353" t="s">
        <v>143</v>
      </c>
      <c r="M3353" t="s">
        <v>143</v>
      </c>
      <c r="N3353">
        <v>18</v>
      </c>
      <c r="O3353" t="s">
        <v>66</v>
      </c>
      <c r="P3353" t="s">
        <v>25</v>
      </c>
    </row>
    <row r="3354" spans="1:16" ht="14.5" x14ac:dyDescent="0.35">
      <c r="A3354">
        <v>3353</v>
      </c>
      <c r="B3354">
        <v>55</v>
      </c>
      <c r="C3354" t="s">
        <v>144</v>
      </c>
      <c r="D3354" t="s">
        <v>124</v>
      </c>
      <c r="E3354" t="s">
        <v>60</v>
      </c>
      <c r="F3354">
        <v>96</v>
      </c>
      <c r="G3354" t="s">
        <v>140</v>
      </c>
      <c r="H3354" t="s">
        <v>39</v>
      </c>
      <c r="I3354" t="s">
        <v>76</v>
      </c>
      <c r="J3354" t="s">
        <v>47</v>
      </c>
      <c r="K3354">
        <v>2.9</v>
      </c>
      <c r="L3354" t="s">
        <v>143</v>
      </c>
      <c r="M3354" t="s">
        <v>143</v>
      </c>
      <c r="N3354">
        <v>7</v>
      </c>
      <c r="O3354" t="s">
        <v>66</v>
      </c>
      <c r="P3354" t="s">
        <v>67</v>
      </c>
    </row>
    <row r="3355" spans="1:16" ht="14.5" x14ac:dyDescent="0.35">
      <c r="A3355">
        <v>3354</v>
      </c>
      <c r="B3355">
        <v>31</v>
      </c>
      <c r="C3355" t="s">
        <v>144</v>
      </c>
      <c r="D3355" t="s">
        <v>72</v>
      </c>
      <c r="E3355" t="s">
        <v>18</v>
      </c>
      <c r="F3355">
        <v>66</v>
      </c>
      <c r="G3355" t="s">
        <v>114</v>
      </c>
      <c r="H3355" t="s">
        <v>20</v>
      </c>
      <c r="I3355" t="s">
        <v>76</v>
      </c>
      <c r="J3355" t="s">
        <v>50</v>
      </c>
      <c r="K3355">
        <v>4.5999999999999996</v>
      </c>
      <c r="L3355" t="s">
        <v>143</v>
      </c>
      <c r="M3355" t="s">
        <v>143</v>
      </c>
      <c r="N3355">
        <v>19</v>
      </c>
      <c r="O3355" t="s">
        <v>34</v>
      </c>
      <c r="P3355" t="s">
        <v>88</v>
      </c>
    </row>
    <row r="3356" spans="1:16" ht="14.5" x14ac:dyDescent="0.35">
      <c r="A3356">
        <v>3355</v>
      </c>
      <c r="B3356">
        <v>42</v>
      </c>
      <c r="C3356" t="s">
        <v>144</v>
      </c>
      <c r="D3356" t="s">
        <v>78</v>
      </c>
      <c r="E3356" t="s">
        <v>18</v>
      </c>
      <c r="F3356">
        <v>45</v>
      </c>
      <c r="G3356" t="s">
        <v>119</v>
      </c>
      <c r="H3356" t="s">
        <v>39</v>
      </c>
      <c r="I3356" t="s">
        <v>112</v>
      </c>
      <c r="J3356" t="s">
        <v>50</v>
      </c>
      <c r="K3356">
        <v>2.8</v>
      </c>
      <c r="L3356" t="s">
        <v>143</v>
      </c>
      <c r="M3356" t="s">
        <v>143</v>
      </c>
      <c r="N3356">
        <v>15</v>
      </c>
      <c r="O3356" t="s">
        <v>40</v>
      </c>
      <c r="P3356" t="s">
        <v>35</v>
      </c>
    </row>
    <row r="3357" spans="1:16" ht="14.5" x14ac:dyDescent="0.35">
      <c r="A3357">
        <v>3356</v>
      </c>
      <c r="B3357">
        <v>40</v>
      </c>
      <c r="C3357" t="s">
        <v>144</v>
      </c>
      <c r="D3357" t="s">
        <v>17</v>
      </c>
      <c r="E3357" t="s">
        <v>18</v>
      </c>
      <c r="F3357">
        <v>28</v>
      </c>
      <c r="G3357" t="s">
        <v>70</v>
      </c>
      <c r="H3357" t="s">
        <v>39</v>
      </c>
      <c r="I3357" t="s">
        <v>91</v>
      </c>
      <c r="J3357" t="s">
        <v>33</v>
      </c>
      <c r="K3357">
        <v>2.6</v>
      </c>
      <c r="L3357" t="s">
        <v>143</v>
      </c>
      <c r="M3357" t="s">
        <v>143</v>
      </c>
      <c r="N3357">
        <v>3</v>
      </c>
      <c r="O3357" t="s">
        <v>66</v>
      </c>
      <c r="P3357" t="s">
        <v>67</v>
      </c>
    </row>
    <row r="3358" spans="1:16" ht="14.5" x14ac:dyDescent="0.35">
      <c r="A3358">
        <v>3357</v>
      </c>
      <c r="B3358">
        <v>39</v>
      </c>
      <c r="C3358" t="s">
        <v>144</v>
      </c>
      <c r="D3358" t="s">
        <v>30</v>
      </c>
      <c r="E3358" t="s">
        <v>18</v>
      </c>
      <c r="F3358">
        <v>48</v>
      </c>
      <c r="G3358" t="s">
        <v>113</v>
      </c>
      <c r="H3358" t="s">
        <v>39</v>
      </c>
      <c r="I3358" t="s">
        <v>58</v>
      </c>
      <c r="J3358" t="s">
        <v>47</v>
      </c>
      <c r="K3358">
        <v>3.5</v>
      </c>
      <c r="L3358" t="s">
        <v>143</v>
      </c>
      <c r="M3358" t="s">
        <v>143</v>
      </c>
      <c r="N3358">
        <v>13</v>
      </c>
      <c r="O3358" t="s">
        <v>40</v>
      </c>
      <c r="P3358" t="s">
        <v>67</v>
      </c>
    </row>
    <row r="3359" spans="1:16" ht="14.5" x14ac:dyDescent="0.35">
      <c r="A3359">
        <v>3358</v>
      </c>
      <c r="B3359">
        <v>41</v>
      </c>
      <c r="C3359" t="s">
        <v>144</v>
      </c>
      <c r="D3359" t="s">
        <v>95</v>
      </c>
      <c r="E3359" t="s">
        <v>18</v>
      </c>
      <c r="F3359">
        <v>67</v>
      </c>
      <c r="G3359" t="s">
        <v>64</v>
      </c>
      <c r="H3359" t="s">
        <v>39</v>
      </c>
      <c r="I3359" t="s">
        <v>62</v>
      </c>
      <c r="J3359" t="s">
        <v>22</v>
      </c>
      <c r="K3359">
        <v>3.5</v>
      </c>
      <c r="L3359" t="s">
        <v>143</v>
      </c>
      <c r="M3359" t="s">
        <v>143</v>
      </c>
      <c r="N3359">
        <v>37</v>
      </c>
      <c r="O3359" t="s">
        <v>34</v>
      </c>
      <c r="P3359" t="s">
        <v>79</v>
      </c>
    </row>
    <row r="3360" spans="1:16" ht="14.5" x14ac:dyDescent="0.35">
      <c r="A3360">
        <v>3359</v>
      </c>
      <c r="B3360">
        <v>56</v>
      </c>
      <c r="C3360" t="s">
        <v>144</v>
      </c>
      <c r="D3360" t="s">
        <v>104</v>
      </c>
      <c r="E3360" t="s">
        <v>18</v>
      </c>
      <c r="F3360">
        <v>59</v>
      </c>
      <c r="G3360" t="s">
        <v>113</v>
      </c>
      <c r="H3360" t="s">
        <v>39</v>
      </c>
      <c r="I3360" t="s">
        <v>127</v>
      </c>
      <c r="J3360" t="s">
        <v>50</v>
      </c>
      <c r="K3360">
        <v>3.4</v>
      </c>
      <c r="L3360" t="s">
        <v>143</v>
      </c>
      <c r="M3360" t="s">
        <v>143</v>
      </c>
      <c r="N3360">
        <v>26</v>
      </c>
      <c r="O3360" t="s">
        <v>29</v>
      </c>
      <c r="P3360" t="s">
        <v>43</v>
      </c>
    </row>
    <row r="3361" spans="1:16" ht="14.5" x14ac:dyDescent="0.35">
      <c r="A3361">
        <v>3360</v>
      </c>
      <c r="B3361">
        <v>43</v>
      </c>
      <c r="C3361" t="s">
        <v>144</v>
      </c>
      <c r="D3361" t="s">
        <v>80</v>
      </c>
      <c r="E3361" t="s">
        <v>60</v>
      </c>
      <c r="F3361">
        <v>74</v>
      </c>
      <c r="G3361" t="s">
        <v>73</v>
      </c>
      <c r="H3361" t="s">
        <v>20</v>
      </c>
      <c r="I3361" t="s">
        <v>99</v>
      </c>
      <c r="J3361" t="s">
        <v>50</v>
      </c>
      <c r="K3361">
        <v>3.9</v>
      </c>
      <c r="L3361" t="s">
        <v>143</v>
      </c>
      <c r="M3361" t="s">
        <v>143</v>
      </c>
      <c r="N3361">
        <v>29</v>
      </c>
      <c r="O3361" t="s">
        <v>77</v>
      </c>
      <c r="P3361" t="s">
        <v>79</v>
      </c>
    </row>
    <row r="3362" spans="1:16" ht="14.5" x14ac:dyDescent="0.35">
      <c r="A3362">
        <v>3361</v>
      </c>
      <c r="B3362">
        <v>22</v>
      </c>
      <c r="C3362" t="s">
        <v>144</v>
      </c>
      <c r="D3362" t="s">
        <v>93</v>
      </c>
      <c r="E3362" t="s">
        <v>56</v>
      </c>
      <c r="F3362">
        <v>81</v>
      </c>
      <c r="G3362" t="s">
        <v>139</v>
      </c>
      <c r="H3362" t="s">
        <v>39</v>
      </c>
      <c r="I3362" t="s">
        <v>28</v>
      </c>
      <c r="J3362" t="s">
        <v>33</v>
      </c>
      <c r="K3362">
        <v>3.3</v>
      </c>
      <c r="L3362" t="s">
        <v>143</v>
      </c>
      <c r="M3362" t="s">
        <v>143</v>
      </c>
      <c r="N3362">
        <v>47</v>
      </c>
      <c r="O3362" t="s">
        <v>29</v>
      </c>
      <c r="P3362" t="s">
        <v>88</v>
      </c>
    </row>
    <row r="3363" spans="1:16" ht="14.5" x14ac:dyDescent="0.35">
      <c r="A3363">
        <v>3362</v>
      </c>
      <c r="B3363">
        <v>47</v>
      </c>
      <c r="C3363" t="s">
        <v>144</v>
      </c>
      <c r="D3363" t="s">
        <v>63</v>
      </c>
      <c r="E3363" t="s">
        <v>37</v>
      </c>
      <c r="F3363">
        <v>26</v>
      </c>
      <c r="G3363" t="s">
        <v>94</v>
      </c>
      <c r="H3363" t="s">
        <v>39</v>
      </c>
      <c r="I3363" t="s">
        <v>58</v>
      </c>
      <c r="J3363" t="s">
        <v>33</v>
      </c>
      <c r="K3363">
        <v>4.0999999999999996</v>
      </c>
      <c r="L3363" t="s">
        <v>143</v>
      </c>
      <c r="M3363" t="s">
        <v>143</v>
      </c>
      <c r="N3363">
        <v>47</v>
      </c>
      <c r="O3363" t="s">
        <v>34</v>
      </c>
      <c r="P3363" t="s">
        <v>67</v>
      </c>
    </row>
    <row r="3364" spans="1:16" ht="14.5" x14ac:dyDescent="0.35">
      <c r="A3364">
        <v>3363</v>
      </c>
      <c r="B3364">
        <v>50</v>
      </c>
      <c r="C3364" t="s">
        <v>144</v>
      </c>
      <c r="D3364" t="s">
        <v>59</v>
      </c>
      <c r="E3364" t="s">
        <v>60</v>
      </c>
      <c r="F3364">
        <v>61</v>
      </c>
      <c r="G3364" t="s">
        <v>113</v>
      </c>
      <c r="H3364" t="s">
        <v>39</v>
      </c>
      <c r="I3364" t="s">
        <v>21</v>
      </c>
      <c r="J3364" t="s">
        <v>47</v>
      </c>
      <c r="K3364">
        <v>3</v>
      </c>
      <c r="L3364" t="s">
        <v>143</v>
      </c>
      <c r="M3364" t="s">
        <v>143</v>
      </c>
      <c r="N3364">
        <v>48</v>
      </c>
      <c r="O3364" t="s">
        <v>24</v>
      </c>
      <c r="P3364" t="s">
        <v>25</v>
      </c>
    </row>
    <row r="3365" spans="1:16" ht="14.5" x14ac:dyDescent="0.35">
      <c r="A3365">
        <v>3364</v>
      </c>
      <c r="B3365">
        <v>58</v>
      </c>
      <c r="C3365" t="s">
        <v>144</v>
      </c>
      <c r="D3365" t="s">
        <v>26</v>
      </c>
      <c r="E3365" t="s">
        <v>18</v>
      </c>
      <c r="F3365">
        <v>23</v>
      </c>
      <c r="G3365" t="s">
        <v>90</v>
      </c>
      <c r="H3365" t="s">
        <v>39</v>
      </c>
      <c r="I3365" t="s">
        <v>42</v>
      </c>
      <c r="J3365" t="s">
        <v>22</v>
      </c>
      <c r="K3365">
        <v>3</v>
      </c>
      <c r="L3365" t="s">
        <v>143</v>
      </c>
      <c r="M3365" t="s">
        <v>143</v>
      </c>
      <c r="N3365">
        <v>46</v>
      </c>
      <c r="O3365" t="s">
        <v>66</v>
      </c>
      <c r="P3365" t="s">
        <v>67</v>
      </c>
    </row>
    <row r="3366" spans="1:16" ht="14.5" x14ac:dyDescent="0.35">
      <c r="A3366">
        <v>3365</v>
      </c>
      <c r="B3366">
        <v>50</v>
      </c>
      <c r="C3366" t="s">
        <v>144</v>
      </c>
      <c r="D3366" t="s">
        <v>110</v>
      </c>
      <c r="E3366" t="s">
        <v>60</v>
      </c>
      <c r="F3366">
        <v>33</v>
      </c>
      <c r="G3366" t="s">
        <v>41</v>
      </c>
      <c r="H3366" t="s">
        <v>39</v>
      </c>
      <c r="I3366" t="s">
        <v>91</v>
      </c>
      <c r="J3366" t="s">
        <v>50</v>
      </c>
      <c r="K3366">
        <v>3.2</v>
      </c>
      <c r="L3366" t="s">
        <v>143</v>
      </c>
      <c r="M3366" t="s">
        <v>143</v>
      </c>
      <c r="N3366">
        <v>7</v>
      </c>
      <c r="O3366" t="s">
        <v>34</v>
      </c>
      <c r="P3366" t="s">
        <v>79</v>
      </c>
    </row>
    <row r="3367" spans="1:16" ht="14.5" x14ac:dyDescent="0.35">
      <c r="A3367">
        <v>3366</v>
      </c>
      <c r="B3367">
        <v>43</v>
      </c>
      <c r="C3367" t="s">
        <v>144</v>
      </c>
      <c r="D3367" t="s">
        <v>78</v>
      </c>
      <c r="E3367" t="s">
        <v>18</v>
      </c>
      <c r="F3367">
        <v>58</v>
      </c>
      <c r="G3367" t="s">
        <v>113</v>
      </c>
      <c r="H3367" t="s">
        <v>20</v>
      </c>
      <c r="I3367" t="s">
        <v>76</v>
      </c>
      <c r="J3367" t="s">
        <v>50</v>
      </c>
      <c r="K3367">
        <v>3.9</v>
      </c>
      <c r="L3367" t="s">
        <v>143</v>
      </c>
      <c r="M3367" t="s">
        <v>143</v>
      </c>
      <c r="N3367">
        <v>45</v>
      </c>
      <c r="O3367" t="s">
        <v>34</v>
      </c>
      <c r="P3367" t="s">
        <v>88</v>
      </c>
    </row>
    <row r="3368" spans="1:16" ht="14.5" x14ac:dyDescent="0.35">
      <c r="A3368">
        <v>3367</v>
      </c>
      <c r="B3368">
        <v>38</v>
      </c>
      <c r="C3368" t="s">
        <v>144</v>
      </c>
      <c r="D3368" t="s">
        <v>134</v>
      </c>
      <c r="E3368" t="s">
        <v>60</v>
      </c>
      <c r="F3368">
        <v>65</v>
      </c>
      <c r="G3368" t="s">
        <v>89</v>
      </c>
      <c r="H3368" t="s">
        <v>39</v>
      </c>
      <c r="I3368" t="s">
        <v>99</v>
      </c>
      <c r="J3368" t="s">
        <v>33</v>
      </c>
      <c r="K3368">
        <v>3.6</v>
      </c>
      <c r="L3368" t="s">
        <v>143</v>
      </c>
      <c r="M3368" t="s">
        <v>143</v>
      </c>
      <c r="N3368">
        <v>47</v>
      </c>
      <c r="O3368" t="s">
        <v>77</v>
      </c>
      <c r="P3368" t="s">
        <v>51</v>
      </c>
    </row>
    <row r="3369" spans="1:16" ht="14.5" x14ac:dyDescent="0.35">
      <c r="A3369">
        <v>3368</v>
      </c>
      <c r="B3369">
        <v>44</v>
      </c>
      <c r="C3369" t="s">
        <v>144</v>
      </c>
      <c r="D3369" t="s">
        <v>104</v>
      </c>
      <c r="E3369" t="s">
        <v>18</v>
      </c>
      <c r="F3369">
        <v>48</v>
      </c>
      <c r="G3369" t="s">
        <v>113</v>
      </c>
      <c r="H3369" t="s">
        <v>39</v>
      </c>
      <c r="I3369" t="s">
        <v>135</v>
      </c>
      <c r="J3369" t="s">
        <v>47</v>
      </c>
      <c r="K3369">
        <v>3.1</v>
      </c>
      <c r="L3369" t="s">
        <v>143</v>
      </c>
      <c r="M3369" t="s">
        <v>143</v>
      </c>
      <c r="N3369">
        <v>6</v>
      </c>
      <c r="O3369" t="s">
        <v>24</v>
      </c>
      <c r="P3369" t="s">
        <v>25</v>
      </c>
    </row>
    <row r="3370" spans="1:16" ht="14.5" x14ac:dyDescent="0.35">
      <c r="A3370">
        <v>3369</v>
      </c>
      <c r="B3370">
        <v>30</v>
      </c>
      <c r="C3370" t="s">
        <v>144</v>
      </c>
      <c r="D3370" t="s">
        <v>36</v>
      </c>
      <c r="E3370" t="s">
        <v>37</v>
      </c>
      <c r="F3370">
        <v>25</v>
      </c>
      <c r="G3370" t="s">
        <v>136</v>
      </c>
      <c r="H3370" t="s">
        <v>39</v>
      </c>
      <c r="I3370" t="s">
        <v>135</v>
      </c>
      <c r="J3370" t="s">
        <v>33</v>
      </c>
      <c r="K3370">
        <v>4.8</v>
      </c>
      <c r="L3370" t="s">
        <v>143</v>
      </c>
      <c r="M3370" t="s">
        <v>143</v>
      </c>
      <c r="N3370">
        <v>29</v>
      </c>
      <c r="O3370" t="s">
        <v>66</v>
      </c>
      <c r="P3370" t="s">
        <v>88</v>
      </c>
    </row>
    <row r="3371" spans="1:16" ht="14.5" x14ac:dyDescent="0.35">
      <c r="A3371">
        <v>3370</v>
      </c>
      <c r="B3371">
        <v>47</v>
      </c>
      <c r="C3371" t="s">
        <v>144</v>
      </c>
      <c r="D3371" t="s">
        <v>26</v>
      </c>
      <c r="E3371" t="s">
        <v>18</v>
      </c>
      <c r="F3371">
        <v>51</v>
      </c>
      <c r="G3371" t="s">
        <v>27</v>
      </c>
      <c r="H3371" t="s">
        <v>39</v>
      </c>
      <c r="I3371" t="s">
        <v>117</v>
      </c>
      <c r="J3371" t="s">
        <v>22</v>
      </c>
      <c r="K3371">
        <v>3.8</v>
      </c>
      <c r="L3371" t="s">
        <v>143</v>
      </c>
      <c r="M3371" t="s">
        <v>143</v>
      </c>
      <c r="N3371">
        <v>42</v>
      </c>
      <c r="O3371" t="s">
        <v>29</v>
      </c>
      <c r="P3371" t="s">
        <v>79</v>
      </c>
    </row>
    <row r="3372" spans="1:16" ht="14.5" x14ac:dyDescent="0.35">
      <c r="A3372">
        <v>3371</v>
      </c>
      <c r="B3372">
        <v>30</v>
      </c>
      <c r="C3372" t="s">
        <v>144</v>
      </c>
      <c r="D3372" t="s">
        <v>124</v>
      </c>
      <c r="E3372" t="s">
        <v>60</v>
      </c>
      <c r="F3372">
        <v>31</v>
      </c>
      <c r="G3372" t="s">
        <v>106</v>
      </c>
      <c r="H3372" t="s">
        <v>39</v>
      </c>
      <c r="I3372" t="s">
        <v>54</v>
      </c>
      <c r="J3372" t="s">
        <v>47</v>
      </c>
      <c r="K3372">
        <v>2.8</v>
      </c>
      <c r="L3372" t="s">
        <v>143</v>
      </c>
      <c r="M3372" t="s">
        <v>143</v>
      </c>
      <c r="N3372">
        <v>46</v>
      </c>
      <c r="O3372" t="s">
        <v>29</v>
      </c>
      <c r="P3372" t="s">
        <v>25</v>
      </c>
    </row>
    <row r="3373" spans="1:16" ht="14.5" x14ac:dyDescent="0.35">
      <c r="A3373">
        <v>3372</v>
      </c>
      <c r="B3373">
        <v>49</v>
      </c>
      <c r="C3373" t="s">
        <v>144</v>
      </c>
      <c r="D3373" t="s">
        <v>95</v>
      </c>
      <c r="E3373" t="s">
        <v>18</v>
      </c>
      <c r="F3373">
        <v>99</v>
      </c>
      <c r="G3373" t="s">
        <v>103</v>
      </c>
      <c r="H3373" t="s">
        <v>32</v>
      </c>
      <c r="I3373" t="s">
        <v>42</v>
      </c>
      <c r="J3373" t="s">
        <v>22</v>
      </c>
      <c r="K3373">
        <v>4</v>
      </c>
      <c r="L3373" t="s">
        <v>143</v>
      </c>
      <c r="M3373" t="s">
        <v>143</v>
      </c>
      <c r="N3373">
        <v>28</v>
      </c>
      <c r="O3373" t="s">
        <v>40</v>
      </c>
      <c r="P3373" t="s">
        <v>43</v>
      </c>
    </row>
    <row r="3374" spans="1:16" ht="14.5" x14ac:dyDescent="0.35">
      <c r="A3374">
        <v>3373</v>
      </c>
      <c r="B3374">
        <v>56</v>
      </c>
      <c r="C3374" t="s">
        <v>144</v>
      </c>
      <c r="D3374" t="s">
        <v>116</v>
      </c>
      <c r="E3374" t="s">
        <v>18</v>
      </c>
      <c r="F3374">
        <v>25</v>
      </c>
      <c r="G3374" t="s">
        <v>129</v>
      </c>
      <c r="H3374" t="s">
        <v>39</v>
      </c>
      <c r="I3374" t="s">
        <v>28</v>
      </c>
      <c r="J3374" t="s">
        <v>22</v>
      </c>
      <c r="K3374">
        <v>4.5999999999999996</v>
      </c>
      <c r="L3374" t="s">
        <v>143</v>
      </c>
      <c r="M3374" t="s">
        <v>143</v>
      </c>
      <c r="N3374">
        <v>14</v>
      </c>
      <c r="O3374" t="s">
        <v>34</v>
      </c>
      <c r="P3374" t="s">
        <v>88</v>
      </c>
    </row>
    <row r="3375" spans="1:16" ht="14.5" x14ac:dyDescent="0.35">
      <c r="A3375">
        <v>3374</v>
      </c>
      <c r="B3375">
        <v>70</v>
      </c>
      <c r="C3375" t="s">
        <v>144</v>
      </c>
      <c r="D3375" t="s">
        <v>36</v>
      </c>
      <c r="E3375" t="s">
        <v>37</v>
      </c>
      <c r="F3375">
        <v>52</v>
      </c>
      <c r="G3375" t="s">
        <v>139</v>
      </c>
      <c r="H3375" t="s">
        <v>39</v>
      </c>
      <c r="I3375" t="s">
        <v>65</v>
      </c>
      <c r="J3375" t="s">
        <v>33</v>
      </c>
      <c r="K3375">
        <v>3.5</v>
      </c>
      <c r="L3375" t="s">
        <v>143</v>
      </c>
      <c r="M3375" t="s">
        <v>143</v>
      </c>
      <c r="N3375">
        <v>12</v>
      </c>
      <c r="O3375" t="s">
        <v>77</v>
      </c>
      <c r="P3375" t="s">
        <v>88</v>
      </c>
    </row>
    <row r="3376" spans="1:16" ht="14.5" x14ac:dyDescent="0.35">
      <c r="A3376">
        <v>3375</v>
      </c>
      <c r="B3376">
        <v>22</v>
      </c>
      <c r="C3376" t="s">
        <v>144</v>
      </c>
      <c r="D3376" t="s">
        <v>17</v>
      </c>
      <c r="E3376" t="s">
        <v>18</v>
      </c>
      <c r="F3376">
        <v>47</v>
      </c>
      <c r="G3376" t="s">
        <v>98</v>
      </c>
      <c r="H3376" t="s">
        <v>32</v>
      </c>
      <c r="I3376" t="s">
        <v>84</v>
      </c>
      <c r="J3376" t="s">
        <v>33</v>
      </c>
      <c r="K3376">
        <v>3.7</v>
      </c>
      <c r="L3376" t="s">
        <v>143</v>
      </c>
      <c r="M3376" t="s">
        <v>143</v>
      </c>
      <c r="N3376">
        <v>41</v>
      </c>
      <c r="O3376" t="s">
        <v>77</v>
      </c>
      <c r="P3376" t="s">
        <v>43</v>
      </c>
    </row>
    <row r="3377" spans="1:16" ht="14.5" x14ac:dyDescent="0.35">
      <c r="A3377">
        <v>3376</v>
      </c>
      <c r="B3377">
        <v>51</v>
      </c>
      <c r="C3377" t="s">
        <v>144</v>
      </c>
      <c r="D3377" t="s">
        <v>128</v>
      </c>
      <c r="E3377" t="s">
        <v>37</v>
      </c>
      <c r="F3377">
        <v>98</v>
      </c>
      <c r="G3377" t="s">
        <v>130</v>
      </c>
      <c r="H3377" t="s">
        <v>83</v>
      </c>
      <c r="I3377" t="s">
        <v>125</v>
      </c>
      <c r="J3377" t="s">
        <v>50</v>
      </c>
      <c r="K3377">
        <v>4.9000000000000004</v>
      </c>
      <c r="L3377" t="s">
        <v>143</v>
      </c>
      <c r="M3377" t="s">
        <v>143</v>
      </c>
      <c r="N3377">
        <v>8</v>
      </c>
      <c r="O3377" t="s">
        <v>34</v>
      </c>
      <c r="P3377" t="s">
        <v>43</v>
      </c>
    </row>
    <row r="3378" spans="1:16" ht="14.5" x14ac:dyDescent="0.35">
      <c r="A3378">
        <v>3377</v>
      </c>
      <c r="B3378">
        <v>22</v>
      </c>
      <c r="C3378" t="s">
        <v>144</v>
      </c>
      <c r="D3378" t="s">
        <v>115</v>
      </c>
      <c r="E3378" t="s">
        <v>60</v>
      </c>
      <c r="F3378">
        <v>46</v>
      </c>
      <c r="G3378" t="s">
        <v>114</v>
      </c>
      <c r="H3378" t="s">
        <v>39</v>
      </c>
      <c r="I3378" t="s">
        <v>87</v>
      </c>
      <c r="J3378" t="s">
        <v>22</v>
      </c>
      <c r="K3378">
        <v>4.0999999999999996</v>
      </c>
      <c r="L3378" t="s">
        <v>143</v>
      </c>
      <c r="M3378" t="s">
        <v>143</v>
      </c>
      <c r="N3378">
        <v>24</v>
      </c>
      <c r="O3378" t="s">
        <v>29</v>
      </c>
      <c r="P3378" t="s">
        <v>51</v>
      </c>
    </row>
    <row r="3379" spans="1:16" ht="14.5" x14ac:dyDescent="0.35">
      <c r="A3379">
        <v>3378</v>
      </c>
      <c r="B3379">
        <v>37</v>
      </c>
      <c r="C3379" t="s">
        <v>144</v>
      </c>
      <c r="D3379" t="s">
        <v>48</v>
      </c>
      <c r="E3379" t="s">
        <v>18</v>
      </c>
      <c r="F3379">
        <v>32</v>
      </c>
      <c r="G3379" t="s">
        <v>19</v>
      </c>
      <c r="H3379" t="s">
        <v>39</v>
      </c>
      <c r="I3379" t="s">
        <v>125</v>
      </c>
      <c r="J3379" t="s">
        <v>22</v>
      </c>
      <c r="K3379">
        <v>4.5999999999999996</v>
      </c>
      <c r="L3379" t="s">
        <v>143</v>
      </c>
      <c r="M3379" t="s">
        <v>143</v>
      </c>
      <c r="N3379">
        <v>18</v>
      </c>
      <c r="O3379" t="s">
        <v>40</v>
      </c>
      <c r="P3379" t="s">
        <v>25</v>
      </c>
    </row>
    <row r="3380" spans="1:16" ht="14.5" x14ac:dyDescent="0.35">
      <c r="A3380">
        <v>3379</v>
      </c>
      <c r="B3380">
        <v>49</v>
      </c>
      <c r="C3380" t="s">
        <v>144</v>
      </c>
      <c r="D3380" t="s">
        <v>52</v>
      </c>
      <c r="E3380" t="s">
        <v>18</v>
      </c>
      <c r="F3380">
        <v>75</v>
      </c>
      <c r="G3380" t="s">
        <v>139</v>
      </c>
      <c r="H3380" t="s">
        <v>20</v>
      </c>
      <c r="I3380" t="s">
        <v>71</v>
      </c>
      <c r="J3380" t="s">
        <v>50</v>
      </c>
      <c r="K3380">
        <v>4.5</v>
      </c>
      <c r="L3380" t="s">
        <v>143</v>
      </c>
      <c r="M3380" t="s">
        <v>143</v>
      </c>
      <c r="N3380">
        <v>6</v>
      </c>
      <c r="O3380" t="s">
        <v>29</v>
      </c>
      <c r="P3380" t="s">
        <v>51</v>
      </c>
    </row>
    <row r="3381" spans="1:16" ht="14.5" x14ac:dyDescent="0.35">
      <c r="A3381">
        <v>3380</v>
      </c>
      <c r="B3381">
        <v>61</v>
      </c>
      <c r="C3381" t="s">
        <v>144</v>
      </c>
      <c r="D3381" t="s">
        <v>59</v>
      </c>
      <c r="E3381" t="s">
        <v>60</v>
      </c>
      <c r="F3381">
        <v>51</v>
      </c>
      <c r="G3381" t="s">
        <v>113</v>
      </c>
      <c r="H3381" t="s">
        <v>20</v>
      </c>
      <c r="I3381" t="s">
        <v>42</v>
      </c>
      <c r="J3381" t="s">
        <v>47</v>
      </c>
      <c r="K3381">
        <v>5</v>
      </c>
      <c r="L3381" t="s">
        <v>143</v>
      </c>
      <c r="M3381" t="s">
        <v>143</v>
      </c>
      <c r="N3381">
        <v>40</v>
      </c>
      <c r="O3381" t="s">
        <v>29</v>
      </c>
      <c r="P3381" t="s">
        <v>35</v>
      </c>
    </row>
    <row r="3382" spans="1:16" ht="14.5" x14ac:dyDescent="0.35">
      <c r="A3382">
        <v>3381</v>
      </c>
      <c r="B3382">
        <v>41</v>
      </c>
      <c r="C3382" t="s">
        <v>144</v>
      </c>
      <c r="D3382" t="s">
        <v>72</v>
      </c>
      <c r="E3382" t="s">
        <v>18</v>
      </c>
      <c r="F3382">
        <v>52</v>
      </c>
      <c r="G3382" t="s">
        <v>105</v>
      </c>
      <c r="H3382" t="s">
        <v>20</v>
      </c>
      <c r="I3382" t="s">
        <v>135</v>
      </c>
      <c r="J3382" t="s">
        <v>47</v>
      </c>
      <c r="K3382">
        <v>3.8</v>
      </c>
      <c r="L3382" t="s">
        <v>143</v>
      </c>
      <c r="M3382" t="s">
        <v>143</v>
      </c>
      <c r="N3382">
        <v>6</v>
      </c>
      <c r="O3382" t="s">
        <v>40</v>
      </c>
      <c r="P3382" t="s">
        <v>88</v>
      </c>
    </row>
    <row r="3383" spans="1:16" ht="14.5" x14ac:dyDescent="0.35">
      <c r="A3383">
        <v>3382</v>
      </c>
      <c r="B3383">
        <v>57</v>
      </c>
      <c r="C3383" t="s">
        <v>144</v>
      </c>
      <c r="D3383" t="s">
        <v>115</v>
      </c>
      <c r="E3383" t="s">
        <v>60</v>
      </c>
      <c r="F3383">
        <v>66</v>
      </c>
      <c r="G3383" t="s">
        <v>139</v>
      </c>
      <c r="H3383" t="s">
        <v>20</v>
      </c>
      <c r="I3383" t="s">
        <v>42</v>
      </c>
      <c r="J3383" t="s">
        <v>22</v>
      </c>
      <c r="K3383">
        <v>4.7</v>
      </c>
      <c r="L3383" t="s">
        <v>143</v>
      </c>
      <c r="M3383" t="s">
        <v>143</v>
      </c>
      <c r="N3383">
        <v>27</v>
      </c>
      <c r="O3383" t="s">
        <v>34</v>
      </c>
      <c r="P3383" t="s">
        <v>51</v>
      </c>
    </row>
    <row r="3384" spans="1:16" ht="14.5" x14ac:dyDescent="0.35">
      <c r="A3384">
        <v>3383</v>
      </c>
      <c r="B3384">
        <v>34</v>
      </c>
      <c r="C3384" t="s">
        <v>144</v>
      </c>
      <c r="D3384" t="s">
        <v>26</v>
      </c>
      <c r="E3384" t="s">
        <v>18</v>
      </c>
      <c r="F3384">
        <v>35</v>
      </c>
      <c r="G3384" t="s">
        <v>136</v>
      </c>
      <c r="H3384" t="s">
        <v>39</v>
      </c>
      <c r="I3384" t="s">
        <v>28</v>
      </c>
      <c r="J3384" t="s">
        <v>33</v>
      </c>
      <c r="K3384">
        <v>2.8</v>
      </c>
      <c r="L3384" t="s">
        <v>143</v>
      </c>
      <c r="M3384" t="s">
        <v>143</v>
      </c>
      <c r="N3384">
        <v>2</v>
      </c>
      <c r="O3384" t="s">
        <v>66</v>
      </c>
      <c r="P3384" t="s">
        <v>35</v>
      </c>
    </row>
    <row r="3385" spans="1:16" ht="14.5" x14ac:dyDescent="0.35">
      <c r="A3385">
        <v>3384</v>
      </c>
      <c r="B3385">
        <v>27</v>
      </c>
      <c r="C3385" t="s">
        <v>144</v>
      </c>
      <c r="D3385" t="s">
        <v>55</v>
      </c>
      <c r="E3385" t="s">
        <v>56</v>
      </c>
      <c r="F3385">
        <v>43</v>
      </c>
      <c r="G3385" t="s">
        <v>70</v>
      </c>
      <c r="H3385" t="s">
        <v>39</v>
      </c>
      <c r="I3385" t="s">
        <v>62</v>
      </c>
      <c r="J3385" t="s">
        <v>50</v>
      </c>
      <c r="K3385">
        <v>2.6</v>
      </c>
      <c r="L3385" t="s">
        <v>143</v>
      </c>
      <c r="M3385" t="s">
        <v>143</v>
      </c>
      <c r="N3385">
        <v>39</v>
      </c>
      <c r="O3385" t="s">
        <v>24</v>
      </c>
      <c r="P3385" t="s">
        <v>67</v>
      </c>
    </row>
    <row r="3386" spans="1:16" ht="14.5" x14ac:dyDescent="0.35">
      <c r="A3386">
        <v>3385</v>
      </c>
      <c r="B3386">
        <v>39</v>
      </c>
      <c r="C3386" t="s">
        <v>144</v>
      </c>
      <c r="D3386" t="s">
        <v>95</v>
      </c>
      <c r="E3386" t="s">
        <v>18</v>
      </c>
      <c r="F3386">
        <v>24</v>
      </c>
      <c r="G3386" t="s">
        <v>139</v>
      </c>
      <c r="H3386" t="s">
        <v>20</v>
      </c>
      <c r="I3386" t="s">
        <v>28</v>
      </c>
      <c r="J3386" t="s">
        <v>47</v>
      </c>
      <c r="K3386">
        <v>3.8</v>
      </c>
      <c r="L3386" t="s">
        <v>143</v>
      </c>
      <c r="M3386" t="s">
        <v>143</v>
      </c>
      <c r="N3386">
        <v>9</v>
      </c>
      <c r="O3386" t="s">
        <v>24</v>
      </c>
      <c r="P3386" t="s">
        <v>51</v>
      </c>
    </row>
    <row r="3387" spans="1:16" ht="14.5" x14ac:dyDescent="0.35">
      <c r="A3387">
        <v>3386</v>
      </c>
      <c r="B3387">
        <v>62</v>
      </c>
      <c r="C3387" t="s">
        <v>144</v>
      </c>
      <c r="D3387" t="s">
        <v>97</v>
      </c>
      <c r="E3387" t="s">
        <v>60</v>
      </c>
      <c r="F3387">
        <v>83</v>
      </c>
      <c r="G3387" t="s">
        <v>38</v>
      </c>
      <c r="H3387" t="s">
        <v>39</v>
      </c>
      <c r="I3387" t="s">
        <v>69</v>
      </c>
      <c r="J3387" t="s">
        <v>22</v>
      </c>
      <c r="K3387">
        <v>2.8</v>
      </c>
      <c r="L3387" t="s">
        <v>143</v>
      </c>
      <c r="M3387" t="s">
        <v>143</v>
      </c>
      <c r="N3387">
        <v>16</v>
      </c>
      <c r="O3387" t="s">
        <v>34</v>
      </c>
      <c r="P3387" t="s">
        <v>88</v>
      </c>
    </row>
    <row r="3388" spans="1:16" ht="14.5" x14ac:dyDescent="0.35">
      <c r="A3388">
        <v>3387</v>
      </c>
      <c r="B3388">
        <v>34</v>
      </c>
      <c r="C3388" t="s">
        <v>144</v>
      </c>
      <c r="D3388" t="s">
        <v>104</v>
      </c>
      <c r="E3388" t="s">
        <v>18</v>
      </c>
      <c r="F3388">
        <v>62</v>
      </c>
      <c r="G3388" t="s">
        <v>142</v>
      </c>
      <c r="H3388" t="s">
        <v>39</v>
      </c>
      <c r="I3388" t="s">
        <v>84</v>
      </c>
      <c r="J3388" t="s">
        <v>50</v>
      </c>
      <c r="K3388">
        <v>2.6</v>
      </c>
      <c r="L3388" t="s">
        <v>143</v>
      </c>
      <c r="M3388" t="s">
        <v>143</v>
      </c>
      <c r="N3388">
        <v>36</v>
      </c>
      <c r="O3388" t="s">
        <v>29</v>
      </c>
      <c r="P3388" t="s">
        <v>51</v>
      </c>
    </row>
    <row r="3389" spans="1:16" ht="14.5" x14ac:dyDescent="0.35">
      <c r="A3389">
        <v>3388</v>
      </c>
      <c r="B3389">
        <v>53</v>
      </c>
      <c r="C3389" t="s">
        <v>144</v>
      </c>
      <c r="D3389" t="s">
        <v>86</v>
      </c>
      <c r="E3389" t="s">
        <v>18</v>
      </c>
      <c r="F3389">
        <v>78</v>
      </c>
      <c r="G3389" t="s">
        <v>118</v>
      </c>
      <c r="H3389" t="s">
        <v>32</v>
      </c>
      <c r="I3389" t="s">
        <v>62</v>
      </c>
      <c r="J3389" t="s">
        <v>33</v>
      </c>
      <c r="K3389">
        <v>3.4</v>
      </c>
      <c r="L3389" t="s">
        <v>143</v>
      </c>
      <c r="M3389" t="s">
        <v>143</v>
      </c>
      <c r="N3389">
        <v>2</v>
      </c>
      <c r="O3389" t="s">
        <v>34</v>
      </c>
      <c r="P3389" t="s">
        <v>67</v>
      </c>
    </row>
    <row r="3390" spans="1:16" ht="14.5" x14ac:dyDescent="0.35">
      <c r="A3390">
        <v>3389</v>
      </c>
      <c r="B3390">
        <v>35</v>
      </c>
      <c r="C3390" t="s">
        <v>144</v>
      </c>
      <c r="D3390" t="s">
        <v>26</v>
      </c>
      <c r="E3390" t="s">
        <v>18</v>
      </c>
      <c r="F3390">
        <v>61</v>
      </c>
      <c r="G3390" t="s">
        <v>138</v>
      </c>
      <c r="H3390" t="s">
        <v>39</v>
      </c>
      <c r="I3390" t="s">
        <v>100</v>
      </c>
      <c r="J3390" t="s">
        <v>33</v>
      </c>
      <c r="K3390">
        <v>4.5</v>
      </c>
      <c r="L3390" t="s">
        <v>143</v>
      </c>
      <c r="M3390" t="s">
        <v>143</v>
      </c>
      <c r="N3390">
        <v>21</v>
      </c>
      <c r="O3390" t="s">
        <v>34</v>
      </c>
      <c r="P3390" t="s">
        <v>35</v>
      </c>
    </row>
    <row r="3391" spans="1:16" ht="14.5" x14ac:dyDescent="0.35">
      <c r="A3391">
        <v>3390</v>
      </c>
      <c r="B3391">
        <v>38</v>
      </c>
      <c r="C3391" t="s">
        <v>144</v>
      </c>
      <c r="D3391" t="s">
        <v>86</v>
      </c>
      <c r="E3391" t="s">
        <v>18</v>
      </c>
      <c r="F3391">
        <v>57</v>
      </c>
      <c r="G3391" t="s">
        <v>89</v>
      </c>
      <c r="H3391" t="s">
        <v>20</v>
      </c>
      <c r="I3391" t="s">
        <v>28</v>
      </c>
      <c r="J3391" t="s">
        <v>50</v>
      </c>
      <c r="K3391">
        <v>3.8</v>
      </c>
      <c r="L3391" t="s">
        <v>143</v>
      </c>
      <c r="M3391" t="s">
        <v>143</v>
      </c>
      <c r="N3391">
        <v>39</v>
      </c>
      <c r="O3391" t="s">
        <v>24</v>
      </c>
      <c r="P3391" t="s">
        <v>43</v>
      </c>
    </row>
    <row r="3392" spans="1:16" ht="14.5" x14ac:dyDescent="0.35">
      <c r="A3392">
        <v>3391</v>
      </c>
      <c r="B3392">
        <v>32</v>
      </c>
      <c r="C3392" t="s">
        <v>144</v>
      </c>
      <c r="D3392" t="s">
        <v>116</v>
      </c>
      <c r="E3392" t="s">
        <v>18</v>
      </c>
      <c r="F3392">
        <v>70</v>
      </c>
      <c r="G3392" t="s">
        <v>41</v>
      </c>
      <c r="H3392" t="s">
        <v>32</v>
      </c>
      <c r="I3392" t="s">
        <v>99</v>
      </c>
      <c r="J3392" t="s">
        <v>47</v>
      </c>
      <c r="K3392">
        <v>3</v>
      </c>
      <c r="L3392" t="s">
        <v>143</v>
      </c>
      <c r="M3392" t="s">
        <v>143</v>
      </c>
      <c r="N3392">
        <v>38</v>
      </c>
      <c r="O3392" t="s">
        <v>40</v>
      </c>
      <c r="P3392" t="s">
        <v>43</v>
      </c>
    </row>
    <row r="3393" spans="1:16" ht="14.5" x14ac:dyDescent="0.35">
      <c r="A3393">
        <v>3392</v>
      </c>
      <c r="B3393">
        <v>47</v>
      </c>
      <c r="C3393" t="s">
        <v>144</v>
      </c>
      <c r="D3393" t="s">
        <v>95</v>
      </c>
      <c r="E3393" t="s">
        <v>18</v>
      </c>
      <c r="F3393">
        <v>57</v>
      </c>
      <c r="G3393" t="s">
        <v>49</v>
      </c>
      <c r="H3393" t="s">
        <v>39</v>
      </c>
      <c r="I3393" t="s">
        <v>58</v>
      </c>
      <c r="J3393" t="s">
        <v>50</v>
      </c>
      <c r="K3393">
        <v>3.7</v>
      </c>
      <c r="L3393" t="s">
        <v>143</v>
      </c>
      <c r="M3393" t="s">
        <v>143</v>
      </c>
      <c r="N3393">
        <v>6</v>
      </c>
      <c r="O3393" t="s">
        <v>77</v>
      </c>
      <c r="P3393" t="s">
        <v>88</v>
      </c>
    </row>
    <row r="3394" spans="1:16" ht="14.5" x14ac:dyDescent="0.35">
      <c r="A3394">
        <v>3393</v>
      </c>
      <c r="B3394">
        <v>53</v>
      </c>
      <c r="C3394" t="s">
        <v>144</v>
      </c>
      <c r="D3394" t="s">
        <v>110</v>
      </c>
      <c r="E3394" t="s">
        <v>60</v>
      </c>
      <c r="F3394">
        <v>74</v>
      </c>
      <c r="G3394" t="s">
        <v>118</v>
      </c>
      <c r="H3394" t="s">
        <v>83</v>
      </c>
      <c r="I3394" t="s">
        <v>135</v>
      </c>
      <c r="J3394" t="s">
        <v>22</v>
      </c>
      <c r="K3394">
        <v>4.4000000000000004</v>
      </c>
      <c r="L3394" t="s">
        <v>143</v>
      </c>
      <c r="M3394" t="s">
        <v>143</v>
      </c>
      <c r="N3394">
        <v>6</v>
      </c>
      <c r="O3394" t="s">
        <v>24</v>
      </c>
      <c r="P3394" t="s">
        <v>67</v>
      </c>
    </row>
    <row r="3395" spans="1:16" ht="14.5" x14ac:dyDescent="0.35">
      <c r="A3395">
        <v>3394</v>
      </c>
      <c r="B3395">
        <v>60</v>
      </c>
      <c r="C3395" t="s">
        <v>144</v>
      </c>
      <c r="D3395" t="s">
        <v>72</v>
      </c>
      <c r="E3395" t="s">
        <v>18</v>
      </c>
      <c r="F3395">
        <v>90</v>
      </c>
      <c r="G3395" t="s">
        <v>108</v>
      </c>
      <c r="H3395" t="s">
        <v>39</v>
      </c>
      <c r="I3395" t="s">
        <v>71</v>
      </c>
      <c r="J3395" t="s">
        <v>50</v>
      </c>
      <c r="K3395">
        <v>3.1</v>
      </c>
      <c r="L3395" t="s">
        <v>143</v>
      </c>
      <c r="M3395" t="s">
        <v>143</v>
      </c>
      <c r="N3395">
        <v>50</v>
      </c>
      <c r="O3395" t="s">
        <v>77</v>
      </c>
      <c r="P3395" t="s">
        <v>79</v>
      </c>
    </row>
    <row r="3396" spans="1:16" ht="14.5" x14ac:dyDescent="0.35">
      <c r="A3396">
        <v>3395</v>
      </c>
      <c r="B3396">
        <v>31</v>
      </c>
      <c r="C3396" t="s">
        <v>144</v>
      </c>
      <c r="D3396" t="s">
        <v>36</v>
      </c>
      <c r="E3396" t="s">
        <v>37</v>
      </c>
      <c r="F3396">
        <v>98</v>
      </c>
      <c r="G3396" t="s">
        <v>120</v>
      </c>
      <c r="H3396" t="s">
        <v>32</v>
      </c>
      <c r="I3396" t="s">
        <v>125</v>
      </c>
      <c r="J3396" t="s">
        <v>33</v>
      </c>
      <c r="K3396">
        <v>4.2</v>
      </c>
      <c r="L3396" t="s">
        <v>143</v>
      </c>
      <c r="M3396" t="s">
        <v>143</v>
      </c>
      <c r="N3396">
        <v>9</v>
      </c>
      <c r="O3396" t="s">
        <v>40</v>
      </c>
      <c r="P3396" t="s">
        <v>43</v>
      </c>
    </row>
    <row r="3397" spans="1:16" ht="14.5" x14ac:dyDescent="0.35">
      <c r="A3397">
        <v>3396</v>
      </c>
      <c r="B3397">
        <v>44</v>
      </c>
      <c r="C3397" t="s">
        <v>144</v>
      </c>
      <c r="D3397" t="s">
        <v>72</v>
      </c>
      <c r="E3397" t="s">
        <v>18</v>
      </c>
      <c r="F3397">
        <v>43</v>
      </c>
      <c r="G3397" t="s">
        <v>103</v>
      </c>
      <c r="H3397" t="s">
        <v>39</v>
      </c>
      <c r="I3397" t="s">
        <v>58</v>
      </c>
      <c r="J3397" t="s">
        <v>22</v>
      </c>
      <c r="K3397">
        <v>3.1</v>
      </c>
      <c r="L3397" t="s">
        <v>143</v>
      </c>
      <c r="M3397" t="s">
        <v>143</v>
      </c>
      <c r="N3397">
        <v>15</v>
      </c>
      <c r="O3397" t="s">
        <v>77</v>
      </c>
      <c r="P3397" t="s">
        <v>88</v>
      </c>
    </row>
    <row r="3398" spans="1:16" ht="14.5" x14ac:dyDescent="0.35">
      <c r="A3398">
        <v>3397</v>
      </c>
      <c r="B3398">
        <v>29</v>
      </c>
      <c r="C3398" t="s">
        <v>144</v>
      </c>
      <c r="D3398" t="s">
        <v>86</v>
      </c>
      <c r="E3398" t="s">
        <v>18</v>
      </c>
      <c r="F3398">
        <v>37</v>
      </c>
      <c r="G3398" t="s">
        <v>113</v>
      </c>
      <c r="H3398" t="s">
        <v>83</v>
      </c>
      <c r="I3398" t="s">
        <v>85</v>
      </c>
      <c r="J3398" t="s">
        <v>22</v>
      </c>
      <c r="K3398">
        <v>5</v>
      </c>
      <c r="L3398" t="s">
        <v>143</v>
      </c>
      <c r="M3398" t="s">
        <v>143</v>
      </c>
      <c r="N3398">
        <v>5</v>
      </c>
      <c r="O3398" t="s">
        <v>40</v>
      </c>
      <c r="P3398" t="s">
        <v>51</v>
      </c>
    </row>
    <row r="3399" spans="1:16" ht="14.5" x14ac:dyDescent="0.35">
      <c r="A3399">
        <v>3398</v>
      </c>
      <c r="B3399">
        <v>19</v>
      </c>
      <c r="C3399" t="s">
        <v>144</v>
      </c>
      <c r="D3399" t="s">
        <v>17</v>
      </c>
      <c r="E3399" t="s">
        <v>18</v>
      </c>
      <c r="F3399">
        <v>38</v>
      </c>
      <c r="G3399" t="s">
        <v>118</v>
      </c>
      <c r="H3399" t="s">
        <v>20</v>
      </c>
      <c r="I3399" t="s">
        <v>125</v>
      </c>
      <c r="J3399" t="s">
        <v>47</v>
      </c>
      <c r="K3399">
        <v>2.7</v>
      </c>
      <c r="L3399" t="s">
        <v>143</v>
      </c>
      <c r="M3399" t="s">
        <v>143</v>
      </c>
      <c r="N3399">
        <v>13</v>
      </c>
      <c r="O3399" t="s">
        <v>66</v>
      </c>
      <c r="P3399" t="s">
        <v>67</v>
      </c>
    </row>
    <row r="3400" spans="1:16" ht="14.5" x14ac:dyDescent="0.35">
      <c r="A3400">
        <v>3399</v>
      </c>
      <c r="B3400">
        <v>54</v>
      </c>
      <c r="C3400" t="s">
        <v>144</v>
      </c>
      <c r="D3400" t="s">
        <v>30</v>
      </c>
      <c r="E3400" t="s">
        <v>18</v>
      </c>
      <c r="F3400">
        <v>60</v>
      </c>
      <c r="G3400" t="s">
        <v>49</v>
      </c>
      <c r="H3400" t="s">
        <v>20</v>
      </c>
      <c r="I3400" t="s">
        <v>62</v>
      </c>
      <c r="J3400" t="s">
        <v>22</v>
      </c>
      <c r="K3400">
        <v>3.8</v>
      </c>
      <c r="L3400" t="s">
        <v>143</v>
      </c>
      <c r="M3400" t="s">
        <v>143</v>
      </c>
      <c r="N3400">
        <v>44</v>
      </c>
      <c r="O3400" t="s">
        <v>29</v>
      </c>
      <c r="P3400" t="s">
        <v>25</v>
      </c>
    </row>
    <row r="3401" spans="1:16" ht="14.5" x14ac:dyDescent="0.35">
      <c r="A3401">
        <v>3400</v>
      </c>
      <c r="B3401">
        <v>40</v>
      </c>
      <c r="C3401" t="s">
        <v>144</v>
      </c>
      <c r="D3401" t="s">
        <v>86</v>
      </c>
      <c r="E3401" t="s">
        <v>18</v>
      </c>
      <c r="F3401">
        <v>55</v>
      </c>
      <c r="G3401" t="s">
        <v>49</v>
      </c>
      <c r="H3401" t="s">
        <v>83</v>
      </c>
      <c r="I3401" t="s">
        <v>125</v>
      </c>
      <c r="J3401" t="s">
        <v>22</v>
      </c>
      <c r="K3401">
        <v>3.3</v>
      </c>
      <c r="L3401" t="s">
        <v>143</v>
      </c>
      <c r="M3401" t="s">
        <v>143</v>
      </c>
      <c r="N3401">
        <v>36</v>
      </c>
      <c r="O3401" t="s">
        <v>77</v>
      </c>
      <c r="P3401" t="s">
        <v>43</v>
      </c>
    </row>
    <row r="3402" spans="1:16" ht="14.5" x14ac:dyDescent="0.35">
      <c r="A3402">
        <v>3401</v>
      </c>
      <c r="B3402">
        <v>39</v>
      </c>
      <c r="C3402" t="s">
        <v>144</v>
      </c>
      <c r="D3402" t="s">
        <v>80</v>
      </c>
      <c r="E3402" t="s">
        <v>60</v>
      </c>
      <c r="F3402">
        <v>51</v>
      </c>
      <c r="G3402" t="s">
        <v>98</v>
      </c>
      <c r="H3402" t="s">
        <v>39</v>
      </c>
      <c r="I3402" t="s">
        <v>84</v>
      </c>
      <c r="J3402" t="s">
        <v>50</v>
      </c>
      <c r="K3402">
        <v>4.8</v>
      </c>
      <c r="L3402" t="s">
        <v>143</v>
      </c>
      <c r="M3402" t="s">
        <v>143</v>
      </c>
      <c r="N3402">
        <v>18</v>
      </c>
      <c r="O3402" t="s">
        <v>24</v>
      </c>
      <c r="P3402" t="s">
        <v>25</v>
      </c>
    </row>
    <row r="3403" spans="1:16" ht="14.5" x14ac:dyDescent="0.35">
      <c r="A3403">
        <v>3402</v>
      </c>
      <c r="B3403">
        <v>44</v>
      </c>
      <c r="C3403" t="s">
        <v>144</v>
      </c>
      <c r="D3403" t="s">
        <v>123</v>
      </c>
      <c r="E3403" t="s">
        <v>60</v>
      </c>
      <c r="F3403">
        <v>71</v>
      </c>
      <c r="G3403" t="s">
        <v>98</v>
      </c>
      <c r="H3403" t="s">
        <v>20</v>
      </c>
      <c r="I3403" t="s">
        <v>91</v>
      </c>
      <c r="J3403" t="s">
        <v>22</v>
      </c>
      <c r="K3403">
        <v>3.4</v>
      </c>
      <c r="L3403" t="s">
        <v>143</v>
      </c>
      <c r="M3403" t="s">
        <v>143</v>
      </c>
      <c r="N3403">
        <v>39</v>
      </c>
      <c r="O3403" t="s">
        <v>34</v>
      </c>
      <c r="P3403" t="s">
        <v>35</v>
      </c>
    </row>
    <row r="3404" spans="1:16" ht="14.5" x14ac:dyDescent="0.35">
      <c r="A3404">
        <v>3403</v>
      </c>
      <c r="B3404">
        <v>22</v>
      </c>
      <c r="C3404" t="s">
        <v>144</v>
      </c>
      <c r="D3404" t="s">
        <v>95</v>
      </c>
      <c r="E3404" t="s">
        <v>18</v>
      </c>
      <c r="F3404">
        <v>61</v>
      </c>
      <c r="G3404" t="s">
        <v>53</v>
      </c>
      <c r="H3404" t="s">
        <v>39</v>
      </c>
      <c r="I3404" t="s">
        <v>85</v>
      </c>
      <c r="J3404" t="s">
        <v>33</v>
      </c>
      <c r="K3404">
        <v>4.4000000000000004</v>
      </c>
      <c r="L3404" t="s">
        <v>143</v>
      </c>
      <c r="M3404" t="s">
        <v>143</v>
      </c>
      <c r="N3404">
        <v>11</v>
      </c>
      <c r="O3404" t="s">
        <v>40</v>
      </c>
      <c r="P3404" t="s">
        <v>88</v>
      </c>
    </row>
    <row r="3405" spans="1:16" ht="14.5" x14ac:dyDescent="0.35">
      <c r="A3405">
        <v>3404</v>
      </c>
      <c r="B3405">
        <v>30</v>
      </c>
      <c r="C3405" t="s">
        <v>144</v>
      </c>
      <c r="D3405" t="s">
        <v>128</v>
      </c>
      <c r="E3405" t="s">
        <v>37</v>
      </c>
      <c r="F3405">
        <v>65</v>
      </c>
      <c r="G3405" t="s">
        <v>106</v>
      </c>
      <c r="H3405" t="s">
        <v>39</v>
      </c>
      <c r="I3405" t="s">
        <v>69</v>
      </c>
      <c r="J3405" t="s">
        <v>47</v>
      </c>
      <c r="K3405">
        <v>3.9</v>
      </c>
      <c r="L3405" t="s">
        <v>143</v>
      </c>
      <c r="M3405" t="s">
        <v>143</v>
      </c>
      <c r="N3405">
        <v>1</v>
      </c>
      <c r="O3405" t="s">
        <v>29</v>
      </c>
      <c r="P3405" t="s">
        <v>67</v>
      </c>
    </row>
    <row r="3406" spans="1:16" ht="14.5" x14ac:dyDescent="0.35">
      <c r="A3406">
        <v>3405</v>
      </c>
      <c r="B3406">
        <v>69</v>
      </c>
      <c r="C3406" t="s">
        <v>144</v>
      </c>
      <c r="D3406" t="s">
        <v>134</v>
      </c>
      <c r="E3406" t="s">
        <v>60</v>
      </c>
      <c r="F3406">
        <v>34</v>
      </c>
      <c r="G3406" t="s">
        <v>122</v>
      </c>
      <c r="H3406" t="s">
        <v>20</v>
      </c>
      <c r="I3406" t="s">
        <v>69</v>
      </c>
      <c r="J3406" t="s">
        <v>50</v>
      </c>
      <c r="K3406">
        <v>3.9</v>
      </c>
      <c r="L3406" t="s">
        <v>143</v>
      </c>
      <c r="M3406" t="s">
        <v>143</v>
      </c>
      <c r="N3406">
        <v>34</v>
      </c>
      <c r="O3406" t="s">
        <v>34</v>
      </c>
      <c r="P3406" t="s">
        <v>43</v>
      </c>
    </row>
    <row r="3407" spans="1:16" ht="14.5" x14ac:dyDescent="0.35">
      <c r="A3407">
        <v>3406</v>
      </c>
      <c r="B3407">
        <v>28</v>
      </c>
      <c r="C3407" t="s">
        <v>144</v>
      </c>
      <c r="D3407" t="s">
        <v>17</v>
      </c>
      <c r="E3407" t="s">
        <v>18</v>
      </c>
      <c r="F3407">
        <v>87</v>
      </c>
      <c r="G3407" t="s">
        <v>140</v>
      </c>
      <c r="H3407" t="s">
        <v>39</v>
      </c>
      <c r="I3407" t="s">
        <v>46</v>
      </c>
      <c r="J3407" t="s">
        <v>47</v>
      </c>
      <c r="K3407">
        <v>4.2</v>
      </c>
      <c r="L3407" t="s">
        <v>143</v>
      </c>
      <c r="M3407" t="s">
        <v>143</v>
      </c>
      <c r="N3407">
        <v>47</v>
      </c>
      <c r="O3407" t="s">
        <v>66</v>
      </c>
      <c r="P3407" t="s">
        <v>67</v>
      </c>
    </row>
    <row r="3408" spans="1:16" ht="14.5" x14ac:dyDescent="0.35">
      <c r="A3408">
        <v>3407</v>
      </c>
      <c r="B3408">
        <v>57</v>
      </c>
      <c r="C3408" t="s">
        <v>144</v>
      </c>
      <c r="D3408" t="s">
        <v>26</v>
      </c>
      <c r="E3408" t="s">
        <v>18</v>
      </c>
      <c r="F3408">
        <v>79</v>
      </c>
      <c r="G3408" t="s">
        <v>136</v>
      </c>
      <c r="H3408" t="s">
        <v>39</v>
      </c>
      <c r="I3408" t="s">
        <v>99</v>
      </c>
      <c r="J3408" t="s">
        <v>33</v>
      </c>
      <c r="K3408">
        <v>4</v>
      </c>
      <c r="L3408" t="s">
        <v>143</v>
      </c>
      <c r="M3408" t="s">
        <v>143</v>
      </c>
      <c r="N3408">
        <v>24</v>
      </c>
      <c r="O3408" t="s">
        <v>24</v>
      </c>
      <c r="P3408" t="s">
        <v>51</v>
      </c>
    </row>
    <row r="3409" spans="1:16" ht="14.5" x14ac:dyDescent="0.35">
      <c r="A3409">
        <v>3408</v>
      </c>
      <c r="B3409">
        <v>46</v>
      </c>
      <c r="C3409" t="s">
        <v>144</v>
      </c>
      <c r="D3409" t="s">
        <v>72</v>
      </c>
      <c r="E3409" t="s">
        <v>18</v>
      </c>
      <c r="F3409">
        <v>46</v>
      </c>
      <c r="G3409" t="s">
        <v>81</v>
      </c>
      <c r="H3409" t="s">
        <v>32</v>
      </c>
      <c r="I3409" t="s">
        <v>65</v>
      </c>
      <c r="J3409" t="s">
        <v>33</v>
      </c>
      <c r="K3409">
        <v>2.6</v>
      </c>
      <c r="L3409" t="s">
        <v>143</v>
      </c>
      <c r="M3409" t="s">
        <v>143</v>
      </c>
      <c r="N3409">
        <v>20</v>
      </c>
      <c r="O3409" t="s">
        <v>29</v>
      </c>
      <c r="P3409" t="s">
        <v>51</v>
      </c>
    </row>
    <row r="3410" spans="1:16" ht="14.5" x14ac:dyDescent="0.35">
      <c r="A3410">
        <v>3409</v>
      </c>
      <c r="B3410">
        <v>48</v>
      </c>
      <c r="C3410" t="s">
        <v>144</v>
      </c>
      <c r="D3410" t="s">
        <v>116</v>
      </c>
      <c r="E3410" t="s">
        <v>18</v>
      </c>
      <c r="F3410">
        <v>72</v>
      </c>
      <c r="G3410" t="s">
        <v>49</v>
      </c>
      <c r="H3410" t="s">
        <v>20</v>
      </c>
      <c r="I3410" t="s">
        <v>65</v>
      </c>
      <c r="J3410" t="s">
        <v>47</v>
      </c>
      <c r="K3410">
        <v>4.4000000000000004</v>
      </c>
      <c r="L3410" t="s">
        <v>143</v>
      </c>
      <c r="M3410" t="s">
        <v>143</v>
      </c>
      <c r="N3410">
        <v>11</v>
      </c>
      <c r="O3410" t="s">
        <v>66</v>
      </c>
      <c r="P3410" t="s">
        <v>43</v>
      </c>
    </row>
    <row r="3411" spans="1:16" ht="14.5" x14ac:dyDescent="0.35">
      <c r="A3411">
        <v>3410</v>
      </c>
      <c r="B3411">
        <v>24</v>
      </c>
      <c r="C3411" t="s">
        <v>144</v>
      </c>
      <c r="D3411" t="s">
        <v>48</v>
      </c>
      <c r="E3411" t="s">
        <v>18</v>
      </c>
      <c r="F3411">
        <v>93</v>
      </c>
      <c r="G3411" t="s">
        <v>139</v>
      </c>
      <c r="H3411" t="s">
        <v>39</v>
      </c>
      <c r="I3411" t="s">
        <v>76</v>
      </c>
      <c r="J3411" t="s">
        <v>47</v>
      </c>
      <c r="K3411">
        <v>3.2</v>
      </c>
      <c r="L3411" t="s">
        <v>143</v>
      </c>
      <c r="M3411" t="s">
        <v>143</v>
      </c>
      <c r="N3411">
        <v>3</v>
      </c>
      <c r="O3411" t="s">
        <v>34</v>
      </c>
      <c r="P3411" t="s">
        <v>88</v>
      </c>
    </row>
    <row r="3412" spans="1:16" ht="14.5" x14ac:dyDescent="0.35">
      <c r="A3412">
        <v>3411</v>
      </c>
      <c r="B3412">
        <v>50</v>
      </c>
      <c r="C3412" t="s">
        <v>144</v>
      </c>
      <c r="D3412" t="s">
        <v>36</v>
      </c>
      <c r="E3412" t="s">
        <v>37</v>
      </c>
      <c r="F3412">
        <v>76</v>
      </c>
      <c r="G3412" t="s">
        <v>114</v>
      </c>
      <c r="H3412" t="s">
        <v>20</v>
      </c>
      <c r="I3412" t="s">
        <v>76</v>
      </c>
      <c r="J3412" t="s">
        <v>47</v>
      </c>
      <c r="K3412">
        <v>4.3</v>
      </c>
      <c r="L3412" t="s">
        <v>143</v>
      </c>
      <c r="M3412" t="s">
        <v>143</v>
      </c>
      <c r="N3412">
        <v>38</v>
      </c>
      <c r="O3412" t="s">
        <v>66</v>
      </c>
      <c r="P3412" t="s">
        <v>67</v>
      </c>
    </row>
    <row r="3413" spans="1:16" ht="14.5" x14ac:dyDescent="0.35">
      <c r="A3413">
        <v>3412</v>
      </c>
      <c r="B3413">
        <v>29</v>
      </c>
      <c r="C3413" t="s">
        <v>144</v>
      </c>
      <c r="D3413" t="s">
        <v>63</v>
      </c>
      <c r="E3413" t="s">
        <v>37</v>
      </c>
      <c r="F3413">
        <v>56</v>
      </c>
      <c r="G3413" t="s">
        <v>75</v>
      </c>
      <c r="H3413" t="s">
        <v>20</v>
      </c>
      <c r="I3413" t="s">
        <v>21</v>
      </c>
      <c r="J3413" t="s">
        <v>22</v>
      </c>
      <c r="K3413">
        <v>4.9000000000000004</v>
      </c>
      <c r="L3413" t="s">
        <v>143</v>
      </c>
      <c r="M3413" t="s">
        <v>143</v>
      </c>
      <c r="N3413">
        <v>45</v>
      </c>
      <c r="O3413" t="s">
        <v>29</v>
      </c>
      <c r="P3413" t="s">
        <v>35</v>
      </c>
    </row>
    <row r="3414" spans="1:16" ht="14.5" x14ac:dyDescent="0.35">
      <c r="A3414">
        <v>3413</v>
      </c>
      <c r="B3414">
        <v>61</v>
      </c>
      <c r="C3414" t="s">
        <v>144</v>
      </c>
      <c r="D3414" t="s">
        <v>36</v>
      </c>
      <c r="E3414" t="s">
        <v>37</v>
      </c>
      <c r="F3414">
        <v>83</v>
      </c>
      <c r="G3414" t="s">
        <v>107</v>
      </c>
      <c r="H3414" t="s">
        <v>39</v>
      </c>
      <c r="I3414" t="s">
        <v>127</v>
      </c>
      <c r="J3414" t="s">
        <v>50</v>
      </c>
      <c r="K3414">
        <v>3.8</v>
      </c>
      <c r="L3414" t="s">
        <v>143</v>
      </c>
      <c r="M3414" t="s">
        <v>143</v>
      </c>
      <c r="N3414">
        <v>31</v>
      </c>
      <c r="O3414" t="s">
        <v>24</v>
      </c>
      <c r="P3414" t="s">
        <v>51</v>
      </c>
    </row>
    <row r="3415" spans="1:16" ht="14.5" x14ac:dyDescent="0.35">
      <c r="A3415">
        <v>3414</v>
      </c>
      <c r="B3415">
        <v>34</v>
      </c>
      <c r="C3415" t="s">
        <v>144</v>
      </c>
      <c r="D3415" t="s">
        <v>134</v>
      </c>
      <c r="E3415" t="s">
        <v>60</v>
      </c>
      <c r="F3415">
        <v>90</v>
      </c>
      <c r="G3415" t="s">
        <v>70</v>
      </c>
      <c r="H3415" t="s">
        <v>83</v>
      </c>
      <c r="I3415" t="s">
        <v>85</v>
      </c>
      <c r="J3415" t="s">
        <v>22</v>
      </c>
      <c r="K3415">
        <v>2.5</v>
      </c>
      <c r="L3415" t="s">
        <v>143</v>
      </c>
      <c r="M3415" t="s">
        <v>143</v>
      </c>
      <c r="N3415">
        <v>16</v>
      </c>
      <c r="O3415" t="s">
        <v>40</v>
      </c>
      <c r="P3415" t="s">
        <v>67</v>
      </c>
    </row>
    <row r="3416" spans="1:16" ht="14.5" x14ac:dyDescent="0.35">
      <c r="A3416">
        <v>3415</v>
      </c>
      <c r="B3416">
        <v>27</v>
      </c>
      <c r="C3416" t="s">
        <v>144</v>
      </c>
      <c r="D3416" t="s">
        <v>128</v>
      </c>
      <c r="E3416" t="s">
        <v>37</v>
      </c>
      <c r="F3416">
        <v>94</v>
      </c>
      <c r="G3416" t="s">
        <v>130</v>
      </c>
      <c r="H3416" t="s">
        <v>39</v>
      </c>
      <c r="I3416" t="s">
        <v>28</v>
      </c>
      <c r="J3416" t="s">
        <v>33</v>
      </c>
      <c r="K3416">
        <v>4.9000000000000004</v>
      </c>
      <c r="L3416" t="s">
        <v>143</v>
      </c>
      <c r="M3416" t="s">
        <v>143</v>
      </c>
      <c r="N3416">
        <v>3</v>
      </c>
      <c r="O3416" t="s">
        <v>66</v>
      </c>
      <c r="P3416" t="s">
        <v>51</v>
      </c>
    </row>
    <row r="3417" spans="1:16" ht="14.5" x14ac:dyDescent="0.35">
      <c r="A3417">
        <v>3416</v>
      </c>
      <c r="B3417">
        <v>38</v>
      </c>
      <c r="C3417" t="s">
        <v>144</v>
      </c>
      <c r="D3417" t="s">
        <v>17</v>
      </c>
      <c r="E3417" t="s">
        <v>18</v>
      </c>
      <c r="F3417">
        <v>68</v>
      </c>
      <c r="G3417" t="s">
        <v>75</v>
      </c>
      <c r="H3417" t="s">
        <v>39</v>
      </c>
      <c r="I3417" t="s">
        <v>71</v>
      </c>
      <c r="J3417" t="s">
        <v>50</v>
      </c>
      <c r="K3417">
        <v>3</v>
      </c>
      <c r="L3417" t="s">
        <v>143</v>
      </c>
      <c r="M3417" t="s">
        <v>143</v>
      </c>
      <c r="N3417">
        <v>15</v>
      </c>
      <c r="O3417" t="s">
        <v>66</v>
      </c>
      <c r="P3417" t="s">
        <v>43</v>
      </c>
    </row>
    <row r="3418" spans="1:16" ht="14.5" x14ac:dyDescent="0.35">
      <c r="A3418">
        <v>3417</v>
      </c>
      <c r="B3418">
        <v>25</v>
      </c>
      <c r="C3418" t="s">
        <v>144</v>
      </c>
      <c r="D3418" t="s">
        <v>36</v>
      </c>
      <c r="E3418" t="s">
        <v>37</v>
      </c>
      <c r="F3418">
        <v>53</v>
      </c>
      <c r="G3418" t="s">
        <v>81</v>
      </c>
      <c r="H3418" t="s">
        <v>39</v>
      </c>
      <c r="I3418" t="s">
        <v>65</v>
      </c>
      <c r="J3418" t="s">
        <v>33</v>
      </c>
      <c r="K3418">
        <v>3.2</v>
      </c>
      <c r="L3418" t="s">
        <v>143</v>
      </c>
      <c r="M3418" t="s">
        <v>143</v>
      </c>
      <c r="N3418">
        <v>11</v>
      </c>
      <c r="O3418" t="s">
        <v>66</v>
      </c>
      <c r="P3418" t="s">
        <v>88</v>
      </c>
    </row>
    <row r="3419" spans="1:16" ht="14.5" x14ac:dyDescent="0.35">
      <c r="A3419">
        <v>3418</v>
      </c>
      <c r="B3419">
        <v>54</v>
      </c>
      <c r="C3419" t="s">
        <v>144</v>
      </c>
      <c r="D3419" t="s">
        <v>55</v>
      </c>
      <c r="E3419" t="s">
        <v>56</v>
      </c>
      <c r="F3419">
        <v>35</v>
      </c>
      <c r="G3419" t="s">
        <v>31</v>
      </c>
      <c r="H3419" t="s">
        <v>39</v>
      </c>
      <c r="I3419" t="s">
        <v>135</v>
      </c>
      <c r="J3419" t="s">
        <v>47</v>
      </c>
      <c r="K3419">
        <v>2.9</v>
      </c>
      <c r="L3419" t="s">
        <v>143</v>
      </c>
      <c r="M3419" t="s">
        <v>143</v>
      </c>
      <c r="N3419">
        <v>22</v>
      </c>
      <c r="O3419" t="s">
        <v>77</v>
      </c>
      <c r="P3419" t="s">
        <v>25</v>
      </c>
    </row>
    <row r="3420" spans="1:16" ht="14.5" x14ac:dyDescent="0.35">
      <c r="A3420">
        <v>3419</v>
      </c>
      <c r="B3420">
        <v>53</v>
      </c>
      <c r="C3420" t="s">
        <v>144</v>
      </c>
      <c r="D3420" t="s">
        <v>93</v>
      </c>
      <c r="E3420" t="s">
        <v>56</v>
      </c>
      <c r="F3420">
        <v>30</v>
      </c>
      <c r="G3420" t="s">
        <v>122</v>
      </c>
      <c r="H3420" t="s">
        <v>39</v>
      </c>
      <c r="I3420" t="s">
        <v>109</v>
      </c>
      <c r="J3420" t="s">
        <v>47</v>
      </c>
      <c r="K3420">
        <v>2.8</v>
      </c>
      <c r="L3420" t="s">
        <v>143</v>
      </c>
      <c r="M3420" t="s">
        <v>143</v>
      </c>
      <c r="N3420">
        <v>35</v>
      </c>
      <c r="O3420" t="s">
        <v>77</v>
      </c>
      <c r="P3420" t="s">
        <v>43</v>
      </c>
    </row>
    <row r="3421" spans="1:16" ht="14.5" x14ac:dyDescent="0.35">
      <c r="A3421">
        <v>3420</v>
      </c>
      <c r="B3421">
        <v>23</v>
      </c>
      <c r="C3421" t="s">
        <v>144</v>
      </c>
      <c r="D3421" t="s">
        <v>97</v>
      </c>
      <c r="E3421" t="s">
        <v>60</v>
      </c>
      <c r="F3421">
        <v>26</v>
      </c>
      <c r="G3421" t="s">
        <v>57</v>
      </c>
      <c r="H3421" t="s">
        <v>20</v>
      </c>
      <c r="I3421" t="s">
        <v>117</v>
      </c>
      <c r="J3421" t="s">
        <v>22</v>
      </c>
      <c r="K3421">
        <v>3.1</v>
      </c>
      <c r="L3421" t="s">
        <v>143</v>
      </c>
      <c r="M3421" t="s">
        <v>143</v>
      </c>
      <c r="N3421">
        <v>5</v>
      </c>
      <c r="O3421" t="s">
        <v>24</v>
      </c>
      <c r="P3421" t="s">
        <v>67</v>
      </c>
    </row>
    <row r="3422" spans="1:16" ht="14.5" x14ac:dyDescent="0.35">
      <c r="A3422">
        <v>3421</v>
      </c>
      <c r="B3422">
        <v>19</v>
      </c>
      <c r="C3422" t="s">
        <v>144</v>
      </c>
      <c r="D3422" t="s">
        <v>115</v>
      </c>
      <c r="E3422" t="s">
        <v>60</v>
      </c>
      <c r="F3422">
        <v>60</v>
      </c>
      <c r="G3422" t="s">
        <v>19</v>
      </c>
      <c r="H3422" t="s">
        <v>39</v>
      </c>
      <c r="I3422" t="s">
        <v>65</v>
      </c>
      <c r="J3422" t="s">
        <v>22</v>
      </c>
      <c r="K3422">
        <v>3.4</v>
      </c>
      <c r="L3422" t="s">
        <v>143</v>
      </c>
      <c r="M3422" t="s">
        <v>143</v>
      </c>
      <c r="N3422">
        <v>35</v>
      </c>
      <c r="O3422" t="s">
        <v>40</v>
      </c>
      <c r="P3422" t="s">
        <v>67</v>
      </c>
    </row>
    <row r="3423" spans="1:16" ht="14.5" x14ac:dyDescent="0.35">
      <c r="A3423">
        <v>3422</v>
      </c>
      <c r="B3423">
        <v>57</v>
      </c>
      <c r="C3423" t="s">
        <v>144</v>
      </c>
      <c r="D3423" t="s">
        <v>63</v>
      </c>
      <c r="E3423" t="s">
        <v>37</v>
      </c>
      <c r="F3423">
        <v>30</v>
      </c>
      <c r="G3423" t="s">
        <v>118</v>
      </c>
      <c r="H3423" t="s">
        <v>39</v>
      </c>
      <c r="I3423" t="s">
        <v>28</v>
      </c>
      <c r="J3423" t="s">
        <v>47</v>
      </c>
      <c r="K3423">
        <v>2.9</v>
      </c>
      <c r="L3423" t="s">
        <v>143</v>
      </c>
      <c r="M3423" t="s">
        <v>143</v>
      </c>
      <c r="N3423">
        <v>27</v>
      </c>
      <c r="O3423" t="s">
        <v>40</v>
      </c>
      <c r="P3423" t="s">
        <v>35</v>
      </c>
    </row>
    <row r="3424" spans="1:16" ht="14.5" x14ac:dyDescent="0.35">
      <c r="A3424">
        <v>3423</v>
      </c>
      <c r="B3424">
        <v>19</v>
      </c>
      <c r="C3424" t="s">
        <v>144</v>
      </c>
      <c r="D3424" t="s">
        <v>55</v>
      </c>
      <c r="E3424" t="s">
        <v>56</v>
      </c>
      <c r="F3424">
        <v>91</v>
      </c>
      <c r="G3424" t="s">
        <v>75</v>
      </c>
      <c r="H3424" t="s">
        <v>20</v>
      </c>
      <c r="I3424" t="s">
        <v>109</v>
      </c>
      <c r="J3424" t="s">
        <v>22</v>
      </c>
      <c r="K3424">
        <v>3.2</v>
      </c>
      <c r="L3424" t="s">
        <v>143</v>
      </c>
      <c r="M3424" t="s">
        <v>143</v>
      </c>
      <c r="N3424">
        <v>9</v>
      </c>
      <c r="O3424" t="s">
        <v>24</v>
      </c>
      <c r="P3424" t="s">
        <v>79</v>
      </c>
    </row>
    <row r="3425" spans="1:16" ht="14.5" x14ac:dyDescent="0.35">
      <c r="A3425">
        <v>3424</v>
      </c>
      <c r="B3425">
        <v>33</v>
      </c>
      <c r="C3425" t="s">
        <v>144</v>
      </c>
      <c r="D3425" t="s">
        <v>128</v>
      </c>
      <c r="E3425" t="s">
        <v>37</v>
      </c>
      <c r="F3425">
        <v>71</v>
      </c>
      <c r="G3425" t="s">
        <v>31</v>
      </c>
      <c r="H3425" t="s">
        <v>39</v>
      </c>
      <c r="I3425" t="s">
        <v>101</v>
      </c>
      <c r="J3425" t="s">
        <v>33</v>
      </c>
      <c r="K3425">
        <v>3.8</v>
      </c>
      <c r="L3425" t="s">
        <v>143</v>
      </c>
      <c r="M3425" t="s">
        <v>143</v>
      </c>
      <c r="N3425">
        <v>21</v>
      </c>
      <c r="O3425" t="s">
        <v>40</v>
      </c>
      <c r="P3425" t="s">
        <v>67</v>
      </c>
    </row>
    <row r="3426" spans="1:16" ht="14.5" x14ac:dyDescent="0.35">
      <c r="A3426">
        <v>3425</v>
      </c>
      <c r="B3426">
        <v>33</v>
      </c>
      <c r="C3426" t="s">
        <v>144</v>
      </c>
      <c r="D3426" t="s">
        <v>110</v>
      </c>
      <c r="E3426" t="s">
        <v>60</v>
      </c>
      <c r="F3426">
        <v>64</v>
      </c>
      <c r="G3426" t="s">
        <v>94</v>
      </c>
      <c r="H3426" t="s">
        <v>20</v>
      </c>
      <c r="I3426" t="s">
        <v>87</v>
      </c>
      <c r="J3426" t="s">
        <v>47</v>
      </c>
      <c r="K3426">
        <v>3.6</v>
      </c>
      <c r="L3426" t="s">
        <v>143</v>
      </c>
      <c r="M3426" t="s">
        <v>143</v>
      </c>
      <c r="N3426">
        <v>23</v>
      </c>
      <c r="O3426" t="s">
        <v>34</v>
      </c>
      <c r="P3426" t="s">
        <v>79</v>
      </c>
    </row>
    <row r="3427" spans="1:16" ht="14.5" x14ac:dyDescent="0.35">
      <c r="A3427">
        <v>3426</v>
      </c>
      <c r="B3427">
        <v>38</v>
      </c>
      <c r="C3427" t="s">
        <v>144</v>
      </c>
      <c r="D3427" t="s">
        <v>115</v>
      </c>
      <c r="E3427" t="s">
        <v>60</v>
      </c>
      <c r="F3427">
        <v>54</v>
      </c>
      <c r="G3427" t="s">
        <v>142</v>
      </c>
      <c r="H3427" t="s">
        <v>39</v>
      </c>
      <c r="I3427" t="s">
        <v>135</v>
      </c>
      <c r="J3427" t="s">
        <v>47</v>
      </c>
      <c r="K3427">
        <v>4.3</v>
      </c>
      <c r="L3427" t="s">
        <v>143</v>
      </c>
      <c r="M3427" t="s">
        <v>143</v>
      </c>
      <c r="N3427">
        <v>3</v>
      </c>
      <c r="O3427" t="s">
        <v>77</v>
      </c>
      <c r="P3427" t="s">
        <v>67</v>
      </c>
    </row>
    <row r="3428" spans="1:16" ht="14.5" x14ac:dyDescent="0.35">
      <c r="A3428">
        <v>3427</v>
      </c>
      <c r="B3428">
        <v>47</v>
      </c>
      <c r="C3428" t="s">
        <v>144</v>
      </c>
      <c r="D3428" t="s">
        <v>116</v>
      </c>
      <c r="E3428" t="s">
        <v>18</v>
      </c>
      <c r="F3428">
        <v>35</v>
      </c>
      <c r="G3428" t="s">
        <v>41</v>
      </c>
      <c r="H3428" t="s">
        <v>83</v>
      </c>
      <c r="I3428" t="s">
        <v>127</v>
      </c>
      <c r="J3428" t="s">
        <v>50</v>
      </c>
      <c r="K3428">
        <v>4.8</v>
      </c>
      <c r="L3428" t="s">
        <v>143</v>
      </c>
      <c r="M3428" t="s">
        <v>143</v>
      </c>
      <c r="N3428">
        <v>31</v>
      </c>
      <c r="O3428" t="s">
        <v>34</v>
      </c>
      <c r="P3428" t="s">
        <v>43</v>
      </c>
    </row>
    <row r="3429" spans="1:16" ht="14.5" x14ac:dyDescent="0.35">
      <c r="A3429">
        <v>3428</v>
      </c>
      <c r="B3429">
        <v>39</v>
      </c>
      <c r="C3429" t="s">
        <v>144</v>
      </c>
      <c r="D3429" t="s">
        <v>104</v>
      </c>
      <c r="E3429" t="s">
        <v>18</v>
      </c>
      <c r="F3429">
        <v>38</v>
      </c>
      <c r="G3429" t="s">
        <v>142</v>
      </c>
      <c r="H3429" t="s">
        <v>83</v>
      </c>
      <c r="I3429" t="s">
        <v>42</v>
      </c>
      <c r="J3429" t="s">
        <v>22</v>
      </c>
      <c r="K3429">
        <v>2.5</v>
      </c>
      <c r="L3429" t="s">
        <v>143</v>
      </c>
      <c r="M3429" t="s">
        <v>143</v>
      </c>
      <c r="N3429">
        <v>44</v>
      </c>
      <c r="O3429" t="s">
        <v>29</v>
      </c>
      <c r="P3429" t="s">
        <v>43</v>
      </c>
    </row>
    <row r="3430" spans="1:16" ht="14.5" x14ac:dyDescent="0.35">
      <c r="A3430">
        <v>3429</v>
      </c>
      <c r="B3430">
        <v>32</v>
      </c>
      <c r="C3430" t="s">
        <v>144</v>
      </c>
      <c r="D3430" t="s">
        <v>97</v>
      </c>
      <c r="E3430" t="s">
        <v>60</v>
      </c>
      <c r="F3430">
        <v>69</v>
      </c>
      <c r="G3430" t="s">
        <v>140</v>
      </c>
      <c r="H3430" t="s">
        <v>39</v>
      </c>
      <c r="I3430" t="s">
        <v>21</v>
      </c>
      <c r="J3430" t="s">
        <v>50</v>
      </c>
      <c r="K3430">
        <v>2.5</v>
      </c>
      <c r="L3430" t="s">
        <v>143</v>
      </c>
      <c r="M3430" t="s">
        <v>143</v>
      </c>
      <c r="N3430">
        <v>20</v>
      </c>
      <c r="O3430" t="s">
        <v>24</v>
      </c>
      <c r="P3430" t="s">
        <v>79</v>
      </c>
    </row>
    <row r="3431" spans="1:16" ht="14.5" x14ac:dyDescent="0.35">
      <c r="A3431">
        <v>3430</v>
      </c>
      <c r="B3431">
        <v>27</v>
      </c>
      <c r="C3431" t="s">
        <v>144</v>
      </c>
      <c r="D3431" t="s">
        <v>78</v>
      </c>
      <c r="E3431" t="s">
        <v>18</v>
      </c>
      <c r="F3431">
        <v>96</v>
      </c>
      <c r="G3431" t="s">
        <v>111</v>
      </c>
      <c r="H3431" t="s">
        <v>32</v>
      </c>
      <c r="I3431" t="s">
        <v>65</v>
      </c>
      <c r="J3431" t="s">
        <v>22</v>
      </c>
      <c r="K3431">
        <v>4.5999999999999996</v>
      </c>
      <c r="L3431" t="s">
        <v>143</v>
      </c>
      <c r="M3431" t="s">
        <v>143</v>
      </c>
      <c r="N3431">
        <v>34</v>
      </c>
      <c r="O3431" t="s">
        <v>77</v>
      </c>
      <c r="P3431" t="s">
        <v>35</v>
      </c>
    </row>
    <row r="3432" spans="1:16" ht="14.5" x14ac:dyDescent="0.35">
      <c r="A3432">
        <v>3431</v>
      </c>
      <c r="B3432">
        <v>67</v>
      </c>
      <c r="C3432" t="s">
        <v>144</v>
      </c>
      <c r="D3432" t="s">
        <v>116</v>
      </c>
      <c r="E3432" t="s">
        <v>18</v>
      </c>
      <c r="F3432">
        <v>73</v>
      </c>
      <c r="G3432" t="s">
        <v>49</v>
      </c>
      <c r="H3432" t="s">
        <v>39</v>
      </c>
      <c r="I3432" t="s">
        <v>84</v>
      </c>
      <c r="J3432" t="s">
        <v>22</v>
      </c>
      <c r="K3432">
        <v>4.2</v>
      </c>
      <c r="L3432" t="s">
        <v>143</v>
      </c>
      <c r="M3432" t="s">
        <v>143</v>
      </c>
      <c r="N3432">
        <v>17</v>
      </c>
      <c r="O3432" t="s">
        <v>66</v>
      </c>
      <c r="P3432" t="s">
        <v>88</v>
      </c>
    </row>
    <row r="3433" spans="1:16" ht="14.5" x14ac:dyDescent="0.35">
      <c r="A3433">
        <v>3432</v>
      </c>
      <c r="B3433">
        <v>46</v>
      </c>
      <c r="C3433" t="s">
        <v>144</v>
      </c>
      <c r="D3433" t="s">
        <v>124</v>
      </c>
      <c r="E3433" t="s">
        <v>60</v>
      </c>
      <c r="F3433">
        <v>49</v>
      </c>
      <c r="G3433" t="s">
        <v>121</v>
      </c>
      <c r="H3433" t="s">
        <v>32</v>
      </c>
      <c r="I3433" t="s">
        <v>87</v>
      </c>
      <c r="J3433" t="s">
        <v>47</v>
      </c>
      <c r="K3433">
        <v>4.2</v>
      </c>
      <c r="L3433" t="s">
        <v>143</v>
      </c>
      <c r="M3433" t="s">
        <v>143</v>
      </c>
      <c r="N3433">
        <v>20</v>
      </c>
      <c r="O3433" t="s">
        <v>24</v>
      </c>
      <c r="P3433" t="s">
        <v>43</v>
      </c>
    </row>
    <row r="3434" spans="1:16" ht="14.5" x14ac:dyDescent="0.35">
      <c r="A3434">
        <v>3433</v>
      </c>
      <c r="B3434">
        <v>36</v>
      </c>
      <c r="C3434" t="s">
        <v>144</v>
      </c>
      <c r="D3434" t="s">
        <v>128</v>
      </c>
      <c r="E3434" t="s">
        <v>37</v>
      </c>
      <c r="F3434">
        <v>44</v>
      </c>
      <c r="G3434" t="s">
        <v>130</v>
      </c>
      <c r="H3434" t="s">
        <v>39</v>
      </c>
      <c r="I3434" t="s">
        <v>21</v>
      </c>
      <c r="J3434" t="s">
        <v>47</v>
      </c>
      <c r="K3434">
        <v>4.8</v>
      </c>
      <c r="L3434" t="s">
        <v>143</v>
      </c>
      <c r="M3434" t="s">
        <v>143</v>
      </c>
      <c r="N3434">
        <v>46</v>
      </c>
      <c r="O3434" t="s">
        <v>40</v>
      </c>
      <c r="P3434" t="s">
        <v>88</v>
      </c>
    </row>
    <row r="3435" spans="1:16" ht="14.5" x14ac:dyDescent="0.35">
      <c r="A3435">
        <v>3434</v>
      </c>
      <c r="B3435">
        <v>62</v>
      </c>
      <c r="C3435" t="s">
        <v>144</v>
      </c>
      <c r="D3435" t="s">
        <v>116</v>
      </c>
      <c r="E3435" t="s">
        <v>18</v>
      </c>
      <c r="F3435">
        <v>93</v>
      </c>
      <c r="G3435" t="s">
        <v>111</v>
      </c>
      <c r="H3435" t="s">
        <v>39</v>
      </c>
      <c r="I3435" t="s">
        <v>125</v>
      </c>
      <c r="J3435" t="s">
        <v>33</v>
      </c>
      <c r="K3435">
        <v>4.5</v>
      </c>
      <c r="L3435" t="s">
        <v>143</v>
      </c>
      <c r="M3435" t="s">
        <v>143</v>
      </c>
      <c r="N3435">
        <v>28</v>
      </c>
      <c r="O3435" t="s">
        <v>40</v>
      </c>
      <c r="P3435" t="s">
        <v>43</v>
      </c>
    </row>
    <row r="3436" spans="1:16" ht="14.5" x14ac:dyDescent="0.35">
      <c r="A3436">
        <v>3435</v>
      </c>
      <c r="B3436">
        <v>31</v>
      </c>
      <c r="C3436" t="s">
        <v>144</v>
      </c>
      <c r="D3436" t="s">
        <v>86</v>
      </c>
      <c r="E3436" t="s">
        <v>18</v>
      </c>
      <c r="F3436">
        <v>72</v>
      </c>
      <c r="G3436" t="s">
        <v>114</v>
      </c>
      <c r="H3436" t="s">
        <v>32</v>
      </c>
      <c r="I3436" t="s">
        <v>112</v>
      </c>
      <c r="J3436" t="s">
        <v>47</v>
      </c>
      <c r="K3436">
        <v>3.3</v>
      </c>
      <c r="L3436" t="s">
        <v>143</v>
      </c>
      <c r="M3436" t="s">
        <v>143</v>
      </c>
      <c r="N3436">
        <v>6</v>
      </c>
      <c r="O3436" t="s">
        <v>24</v>
      </c>
      <c r="P3436" t="s">
        <v>25</v>
      </c>
    </row>
    <row r="3437" spans="1:16" ht="14.5" x14ac:dyDescent="0.35">
      <c r="A3437">
        <v>3436</v>
      </c>
      <c r="B3437">
        <v>68</v>
      </c>
      <c r="C3437" t="s">
        <v>144</v>
      </c>
      <c r="D3437" t="s">
        <v>116</v>
      </c>
      <c r="E3437" t="s">
        <v>18</v>
      </c>
      <c r="F3437">
        <v>91</v>
      </c>
      <c r="G3437" t="s">
        <v>49</v>
      </c>
      <c r="H3437" t="s">
        <v>39</v>
      </c>
      <c r="I3437" t="s">
        <v>109</v>
      </c>
      <c r="J3437" t="s">
        <v>47</v>
      </c>
      <c r="K3437">
        <v>2.7</v>
      </c>
      <c r="L3437" t="s">
        <v>143</v>
      </c>
      <c r="M3437" t="s">
        <v>143</v>
      </c>
      <c r="N3437">
        <v>50</v>
      </c>
      <c r="O3437" t="s">
        <v>77</v>
      </c>
      <c r="P3437" t="s">
        <v>67</v>
      </c>
    </row>
    <row r="3438" spans="1:16" ht="14.5" x14ac:dyDescent="0.35">
      <c r="A3438">
        <v>3437</v>
      </c>
      <c r="B3438">
        <v>57</v>
      </c>
      <c r="C3438" t="s">
        <v>144</v>
      </c>
      <c r="D3438" t="s">
        <v>124</v>
      </c>
      <c r="E3438" t="s">
        <v>60</v>
      </c>
      <c r="F3438">
        <v>83</v>
      </c>
      <c r="G3438" t="s">
        <v>136</v>
      </c>
      <c r="H3438" t="s">
        <v>20</v>
      </c>
      <c r="I3438" t="s">
        <v>91</v>
      </c>
      <c r="J3438" t="s">
        <v>22</v>
      </c>
      <c r="K3438">
        <v>2.8</v>
      </c>
      <c r="L3438" t="s">
        <v>143</v>
      </c>
      <c r="M3438" t="s">
        <v>143</v>
      </c>
      <c r="N3438">
        <v>41</v>
      </c>
      <c r="O3438" t="s">
        <v>66</v>
      </c>
      <c r="P3438" t="s">
        <v>79</v>
      </c>
    </row>
    <row r="3439" spans="1:16" ht="14.5" x14ac:dyDescent="0.35">
      <c r="A3439">
        <v>3438</v>
      </c>
      <c r="B3439">
        <v>22</v>
      </c>
      <c r="C3439" t="s">
        <v>144</v>
      </c>
      <c r="D3439" t="s">
        <v>93</v>
      </c>
      <c r="E3439" t="s">
        <v>56</v>
      </c>
      <c r="F3439">
        <v>62</v>
      </c>
      <c r="G3439" t="s">
        <v>92</v>
      </c>
      <c r="H3439" t="s">
        <v>32</v>
      </c>
      <c r="I3439" t="s">
        <v>87</v>
      </c>
      <c r="J3439" t="s">
        <v>22</v>
      </c>
      <c r="K3439">
        <v>3.5</v>
      </c>
      <c r="L3439" t="s">
        <v>143</v>
      </c>
      <c r="M3439" t="s">
        <v>143</v>
      </c>
      <c r="N3439">
        <v>50</v>
      </c>
      <c r="O3439" t="s">
        <v>40</v>
      </c>
      <c r="P3439" t="s">
        <v>43</v>
      </c>
    </row>
    <row r="3440" spans="1:16" ht="14.5" x14ac:dyDescent="0.35">
      <c r="A3440">
        <v>3439</v>
      </c>
      <c r="B3440">
        <v>26</v>
      </c>
      <c r="C3440" t="s">
        <v>144</v>
      </c>
      <c r="D3440" t="s">
        <v>48</v>
      </c>
      <c r="E3440" t="s">
        <v>18</v>
      </c>
      <c r="F3440">
        <v>71</v>
      </c>
      <c r="G3440" t="s">
        <v>19</v>
      </c>
      <c r="H3440" t="s">
        <v>39</v>
      </c>
      <c r="I3440" t="s">
        <v>74</v>
      </c>
      <c r="J3440" t="s">
        <v>50</v>
      </c>
      <c r="K3440">
        <v>3</v>
      </c>
      <c r="L3440" t="s">
        <v>143</v>
      </c>
      <c r="M3440" t="s">
        <v>143</v>
      </c>
      <c r="N3440">
        <v>33</v>
      </c>
      <c r="O3440" t="s">
        <v>34</v>
      </c>
      <c r="P3440" t="s">
        <v>79</v>
      </c>
    </row>
    <row r="3441" spans="1:16" ht="14.5" x14ac:dyDescent="0.35">
      <c r="A3441">
        <v>3440</v>
      </c>
      <c r="B3441">
        <v>43</v>
      </c>
      <c r="C3441" t="s">
        <v>144</v>
      </c>
      <c r="D3441" t="s">
        <v>134</v>
      </c>
      <c r="E3441" t="s">
        <v>60</v>
      </c>
      <c r="F3441">
        <v>93</v>
      </c>
      <c r="G3441" t="s">
        <v>126</v>
      </c>
      <c r="H3441" t="s">
        <v>39</v>
      </c>
      <c r="I3441" t="s">
        <v>21</v>
      </c>
      <c r="J3441" t="s">
        <v>47</v>
      </c>
      <c r="K3441">
        <v>4.5</v>
      </c>
      <c r="L3441" t="s">
        <v>143</v>
      </c>
      <c r="M3441" t="s">
        <v>143</v>
      </c>
      <c r="N3441">
        <v>25</v>
      </c>
      <c r="O3441" t="s">
        <v>24</v>
      </c>
      <c r="P3441" t="s">
        <v>51</v>
      </c>
    </row>
    <row r="3442" spans="1:16" ht="14.5" x14ac:dyDescent="0.35">
      <c r="A3442">
        <v>3441</v>
      </c>
      <c r="B3442">
        <v>45</v>
      </c>
      <c r="C3442" t="s">
        <v>144</v>
      </c>
      <c r="D3442" t="s">
        <v>59</v>
      </c>
      <c r="E3442" t="s">
        <v>60</v>
      </c>
      <c r="F3442">
        <v>63</v>
      </c>
      <c r="G3442" t="s">
        <v>119</v>
      </c>
      <c r="H3442" t="s">
        <v>20</v>
      </c>
      <c r="I3442" t="s">
        <v>127</v>
      </c>
      <c r="J3442" t="s">
        <v>50</v>
      </c>
      <c r="K3442">
        <v>4.3</v>
      </c>
      <c r="L3442" t="s">
        <v>143</v>
      </c>
      <c r="M3442" t="s">
        <v>143</v>
      </c>
      <c r="N3442">
        <v>2</v>
      </c>
      <c r="O3442" t="s">
        <v>40</v>
      </c>
      <c r="P3442" t="s">
        <v>35</v>
      </c>
    </row>
    <row r="3443" spans="1:16" ht="14.5" x14ac:dyDescent="0.35">
      <c r="A3443">
        <v>3442</v>
      </c>
      <c r="B3443">
        <v>64</v>
      </c>
      <c r="C3443" t="s">
        <v>144</v>
      </c>
      <c r="D3443" t="s">
        <v>26</v>
      </c>
      <c r="E3443" t="s">
        <v>18</v>
      </c>
      <c r="F3443">
        <v>96</v>
      </c>
      <c r="G3443" t="s">
        <v>113</v>
      </c>
      <c r="H3443" t="s">
        <v>83</v>
      </c>
      <c r="I3443" t="s">
        <v>54</v>
      </c>
      <c r="J3443" t="s">
        <v>50</v>
      </c>
      <c r="K3443">
        <v>4.0999999999999996</v>
      </c>
      <c r="L3443" t="s">
        <v>143</v>
      </c>
      <c r="M3443" t="s">
        <v>143</v>
      </c>
      <c r="N3443">
        <v>15</v>
      </c>
      <c r="O3443" t="s">
        <v>34</v>
      </c>
      <c r="P3443" t="s">
        <v>43</v>
      </c>
    </row>
    <row r="3444" spans="1:16" ht="14.5" x14ac:dyDescent="0.35">
      <c r="A3444">
        <v>3443</v>
      </c>
      <c r="B3444">
        <v>28</v>
      </c>
      <c r="C3444" t="s">
        <v>144</v>
      </c>
      <c r="D3444" t="s">
        <v>78</v>
      </c>
      <c r="E3444" t="s">
        <v>18</v>
      </c>
      <c r="F3444">
        <v>78</v>
      </c>
      <c r="G3444" t="s">
        <v>142</v>
      </c>
      <c r="H3444" t="s">
        <v>39</v>
      </c>
      <c r="I3444" t="s">
        <v>74</v>
      </c>
      <c r="J3444" t="s">
        <v>33</v>
      </c>
      <c r="K3444">
        <v>4.3</v>
      </c>
      <c r="L3444" t="s">
        <v>143</v>
      </c>
      <c r="M3444" t="s">
        <v>143</v>
      </c>
      <c r="N3444">
        <v>12</v>
      </c>
      <c r="O3444" t="s">
        <v>40</v>
      </c>
      <c r="P3444" t="s">
        <v>35</v>
      </c>
    </row>
    <row r="3445" spans="1:16" ht="14.5" x14ac:dyDescent="0.35">
      <c r="A3445">
        <v>3444</v>
      </c>
      <c r="B3445">
        <v>47</v>
      </c>
      <c r="C3445" t="s">
        <v>144</v>
      </c>
      <c r="D3445" t="s">
        <v>72</v>
      </c>
      <c r="E3445" t="s">
        <v>18</v>
      </c>
      <c r="F3445">
        <v>24</v>
      </c>
      <c r="G3445" t="s">
        <v>113</v>
      </c>
      <c r="H3445" t="s">
        <v>20</v>
      </c>
      <c r="I3445" t="s">
        <v>58</v>
      </c>
      <c r="J3445" t="s">
        <v>47</v>
      </c>
      <c r="K3445">
        <v>5</v>
      </c>
      <c r="L3445" t="s">
        <v>143</v>
      </c>
      <c r="M3445" t="s">
        <v>143</v>
      </c>
      <c r="N3445">
        <v>28</v>
      </c>
      <c r="O3445" t="s">
        <v>29</v>
      </c>
      <c r="P3445" t="s">
        <v>67</v>
      </c>
    </row>
    <row r="3446" spans="1:16" ht="14.5" x14ac:dyDescent="0.35">
      <c r="A3446">
        <v>3445</v>
      </c>
      <c r="B3446">
        <v>53</v>
      </c>
      <c r="C3446" t="s">
        <v>144</v>
      </c>
      <c r="D3446" t="s">
        <v>86</v>
      </c>
      <c r="E3446" t="s">
        <v>18</v>
      </c>
      <c r="F3446">
        <v>63</v>
      </c>
      <c r="G3446" t="s">
        <v>38</v>
      </c>
      <c r="H3446" t="s">
        <v>32</v>
      </c>
      <c r="I3446" t="s">
        <v>87</v>
      </c>
      <c r="J3446" t="s">
        <v>47</v>
      </c>
      <c r="K3446">
        <v>3.8</v>
      </c>
      <c r="L3446" t="s">
        <v>143</v>
      </c>
      <c r="M3446" t="s">
        <v>143</v>
      </c>
      <c r="N3446">
        <v>12</v>
      </c>
      <c r="O3446" t="s">
        <v>66</v>
      </c>
      <c r="P3446" t="s">
        <v>67</v>
      </c>
    </row>
    <row r="3447" spans="1:16" ht="14.5" x14ac:dyDescent="0.35">
      <c r="A3447">
        <v>3446</v>
      </c>
      <c r="B3447">
        <v>42</v>
      </c>
      <c r="C3447" t="s">
        <v>144</v>
      </c>
      <c r="D3447" t="s">
        <v>115</v>
      </c>
      <c r="E3447" t="s">
        <v>60</v>
      </c>
      <c r="F3447">
        <v>58</v>
      </c>
      <c r="G3447" t="s">
        <v>94</v>
      </c>
      <c r="H3447" t="s">
        <v>39</v>
      </c>
      <c r="I3447" t="s">
        <v>127</v>
      </c>
      <c r="J3447" t="s">
        <v>50</v>
      </c>
      <c r="K3447">
        <v>4.9000000000000004</v>
      </c>
      <c r="L3447" t="s">
        <v>143</v>
      </c>
      <c r="M3447" t="s">
        <v>143</v>
      </c>
      <c r="N3447">
        <v>3</v>
      </c>
      <c r="O3447" t="s">
        <v>77</v>
      </c>
      <c r="P3447" t="s">
        <v>43</v>
      </c>
    </row>
    <row r="3448" spans="1:16" ht="14.5" x14ac:dyDescent="0.35">
      <c r="A3448">
        <v>3447</v>
      </c>
      <c r="B3448">
        <v>51</v>
      </c>
      <c r="C3448" t="s">
        <v>144</v>
      </c>
      <c r="D3448" t="s">
        <v>128</v>
      </c>
      <c r="E3448" t="s">
        <v>37</v>
      </c>
      <c r="F3448">
        <v>55</v>
      </c>
      <c r="G3448" t="s">
        <v>53</v>
      </c>
      <c r="H3448" t="s">
        <v>32</v>
      </c>
      <c r="I3448" t="s">
        <v>65</v>
      </c>
      <c r="J3448" t="s">
        <v>33</v>
      </c>
      <c r="K3448">
        <v>5</v>
      </c>
      <c r="L3448" t="s">
        <v>143</v>
      </c>
      <c r="M3448" t="s">
        <v>143</v>
      </c>
      <c r="N3448">
        <v>20</v>
      </c>
      <c r="O3448" t="s">
        <v>29</v>
      </c>
      <c r="P3448" t="s">
        <v>35</v>
      </c>
    </row>
    <row r="3449" spans="1:16" ht="14.5" x14ac:dyDescent="0.35">
      <c r="A3449">
        <v>3448</v>
      </c>
      <c r="B3449">
        <v>62</v>
      </c>
      <c r="C3449" t="s">
        <v>144</v>
      </c>
      <c r="D3449" t="s">
        <v>36</v>
      </c>
      <c r="E3449" t="s">
        <v>37</v>
      </c>
      <c r="F3449">
        <v>58</v>
      </c>
      <c r="G3449" t="s">
        <v>64</v>
      </c>
      <c r="H3449" t="s">
        <v>39</v>
      </c>
      <c r="I3449" t="s">
        <v>135</v>
      </c>
      <c r="J3449" t="s">
        <v>50</v>
      </c>
      <c r="K3449">
        <v>4.3</v>
      </c>
      <c r="L3449" t="s">
        <v>143</v>
      </c>
      <c r="M3449" t="s">
        <v>143</v>
      </c>
      <c r="N3449">
        <v>3</v>
      </c>
      <c r="O3449" t="s">
        <v>66</v>
      </c>
      <c r="P3449" t="s">
        <v>67</v>
      </c>
    </row>
    <row r="3450" spans="1:16" ht="14.5" x14ac:dyDescent="0.35">
      <c r="A3450">
        <v>3449</v>
      </c>
      <c r="B3450">
        <v>18</v>
      </c>
      <c r="C3450" t="s">
        <v>144</v>
      </c>
      <c r="D3450" t="s">
        <v>55</v>
      </c>
      <c r="E3450" t="s">
        <v>56</v>
      </c>
      <c r="F3450">
        <v>28</v>
      </c>
      <c r="G3450" t="s">
        <v>19</v>
      </c>
      <c r="H3450" t="s">
        <v>32</v>
      </c>
      <c r="I3450" t="s">
        <v>125</v>
      </c>
      <c r="J3450" t="s">
        <v>22</v>
      </c>
      <c r="K3450">
        <v>4.0999999999999996</v>
      </c>
      <c r="L3450" t="s">
        <v>143</v>
      </c>
      <c r="M3450" t="s">
        <v>143</v>
      </c>
      <c r="N3450">
        <v>32</v>
      </c>
      <c r="O3450" t="s">
        <v>66</v>
      </c>
      <c r="P3450" t="s">
        <v>25</v>
      </c>
    </row>
    <row r="3451" spans="1:16" ht="14.5" x14ac:dyDescent="0.35">
      <c r="A3451">
        <v>3450</v>
      </c>
      <c r="B3451">
        <v>48</v>
      </c>
      <c r="C3451" t="s">
        <v>144</v>
      </c>
      <c r="D3451" t="s">
        <v>17</v>
      </c>
      <c r="E3451" t="s">
        <v>18</v>
      </c>
      <c r="F3451">
        <v>37</v>
      </c>
      <c r="G3451" t="s">
        <v>102</v>
      </c>
      <c r="H3451" t="s">
        <v>39</v>
      </c>
      <c r="I3451" t="s">
        <v>101</v>
      </c>
      <c r="J3451" t="s">
        <v>33</v>
      </c>
      <c r="K3451">
        <v>4.5</v>
      </c>
      <c r="L3451" t="s">
        <v>143</v>
      </c>
      <c r="M3451" t="s">
        <v>143</v>
      </c>
      <c r="N3451">
        <v>35</v>
      </c>
      <c r="O3451" t="s">
        <v>29</v>
      </c>
      <c r="P3451" t="s">
        <v>79</v>
      </c>
    </row>
    <row r="3452" spans="1:16" ht="14.5" x14ac:dyDescent="0.35">
      <c r="A3452">
        <v>3451</v>
      </c>
      <c r="B3452">
        <v>20</v>
      </c>
      <c r="C3452" t="s">
        <v>144</v>
      </c>
      <c r="D3452" t="s">
        <v>52</v>
      </c>
      <c r="E3452" t="s">
        <v>18</v>
      </c>
      <c r="F3452">
        <v>78</v>
      </c>
      <c r="G3452" t="s">
        <v>120</v>
      </c>
      <c r="H3452" t="s">
        <v>39</v>
      </c>
      <c r="I3452" t="s">
        <v>62</v>
      </c>
      <c r="J3452" t="s">
        <v>33</v>
      </c>
      <c r="K3452">
        <v>3.6</v>
      </c>
      <c r="L3452" t="s">
        <v>143</v>
      </c>
      <c r="M3452" t="s">
        <v>143</v>
      </c>
      <c r="N3452">
        <v>31</v>
      </c>
      <c r="O3452" t="s">
        <v>40</v>
      </c>
      <c r="P3452" t="s">
        <v>79</v>
      </c>
    </row>
    <row r="3453" spans="1:16" ht="14.5" x14ac:dyDescent="0.35">
      <c r="A3453">
        <v>3452</v>
      </c>
      <c r="B3453">
        <v>32</v>
      </c>
      <c r="C3453" t="s">
        <v>144</v>
      </c>
      <c r="D3453" t="s">
        <v>17</v>
      </c>
      <c r="E3453" t="s">
        <v>18</v>
      </c>
      <c r="F3453">
        <v>73</v>
      </c>
      <c r="G3453" t="s">
        <v>98</v>
      </c>
      <c r="H3453" t="s">
        <v>83</v>
      </c>
      <c r="I3453" t="s">
        <v>58</v>
      </c>
      <c r="J3453" t="s">
        <v>50</v>
      </c>
      <c r="K3453">
        <v>3</v>
      </c>
      <c r="L3453" t="s">
        <v>143</v>
      </c>
      <c r="M3453" t="s">
        <v>143</v>
      </c>
      <c r="N3453">
        <v>13</v>
      </c>
      <c r="O3453" t="s">
        <v>34</v>
      </c>
      <c r="P3453" t="s">
        <v>43</v>
      </c>
    </row>
    <row r="3454" spans="1:16" ht="14.5" x14ac:dyDescent="0.35">
      <c r="A3454">
        <v>3453</v>
      </c>
      <c r="B3454">
        <v>26</v>
      </c>
      <c r="C3454" t="s">
        <v>144</v>
      </c>
      <c r="D3454" t="s">
        <v>93</v>
      </c>
      <c r="E3454" t="s">
        <v>56</v>
      </c>
      <c r="F3454">
        <v>20</v>
      </c>
      <c r="G3454" t="s">
        <v>92</v>
      </c>
      <c r="H3454" t="s">
        <v>39</v>
      </c>
      <c r="I3454" t="s">
        <v>117</v>
      </c>
      <c r="J3454" t="s">
        <v>33</v>
      </c>
      <c r="K3454">
        <v>3.7</v>
      </c>
      <c r="L3454" t="s">
        <v>143</v>
      </c>
      <c r="M3454" t="s">
        <v>143</v>
      </c>
      <c r="N3454">
        <v>3</v>
      </c>
      <c r="O3454" t="s">
        <v>24</v>
      </c>
      <c r="P3454" t="s">
        <v>25</v>
      </c>
    </row>
    <row r="3455" spans="1:16" ht="14.5" x14ac:dyDescent="0.35">
      <c r="A3455">
        <v>3454</v>
      </c>
      <c r="B3455">
        <v>31</v>
      </c>
      <c r="C3455" t="s">
        <v>144</v>
      </c>
      <c r="D3455" t="s">
        <v>48</v>
      </c>
      <c r="E3455" t="s">
        <v>18</v>
      </c>
      <c r="F3455">
        <v>60</v>
      </c>
      <c r="G3455" t="s">
        <v>81</v>
      </c>
      <c r="H3455" t="s">
        <v>20</v>
      </c>
      <c r="I3455" t="s">
        <v>62</v>
      </c>
      <c r="J3455" t="s">
        <v>22</v>
      </c>
      <c r="K3455">
        <v>4.3</v>
      </c>
      <c r="L3455" t="s">
        <v>143</v>
      </c>
      <c r="M3455" t="s">
        <v>143</v>
      </c>
      <c r="N3455">
        <v>48</v>
      </c>
      <c r="O3455" t="s">
        <v>24</v>
      </c>
      <c r="P3455" t="s">
        <v>67</v>
      </c>
    </row>
    <row r="3456" spans="1:16" ht="14.5" x14ac:dyDescent="0.35">
      <c r="A3456">
        <v>3455</v>
      </c>
      <c r="B3456">
        <v>55</v>
      </c>
      <c r="C3456" t="s">
        <v>144</v>
      </c>
      <c r="D3456" t="s">
        <v>59</v>
      </c>
      <c r="E3456" t="s">
        <v>60</v>
      </c>
      <c r="F3456">
        <v>71</v>
      </c>
      <c r="G3456" t="s">
        <v>53</v>
      </c>
      <c r="H3456" t="s">
        <v>32</v>
      </c>
      <c r="I3456" t="s">
        <v>84</v>
      </c>
      <c r="J3456" t="s">
        <v>50</v>
      </c>
      <c r="K3456">
        <v>4.5999999999999996</v>
      </c>
      <c r="L3456" t="s">
        <v>143</v>
      </c>
      <c r="M3456" t="s">
        <v>143</v>
      </c>
      <c r="N3456">
        <v>15</v>
      </c>
      <c r="O3456" t="s">
        <v>40</v>
      </c>
      <c r="P3456" t="s">
        <v>67</v>
      </c>
    </row>
    <row r="3457" spans="1:16" ht="14.5" x14ac:dyDescent="0.35">
      <c r="A3457">
        <v>3456</v>
      </c>
      <c r="B3457">
        <v>49</v>
      </c>
      <c r="C3457" t="s">
        <v>144</v>
      </c>
      <c r="D3457" t="s">
        <v>104</v>
      </c>
      <c r="E3457" t="s">
        <v>18</v>
      </c>
      <c r="F3457">
        <v>89</v>
      </c>
      <c r="G3457" t="s">
        <v>114</v>
      </c>
      <c r="H3457" t="s">
        <v>39</v>
      </c>
      <c r="I3457" t="s">
        <v>112</v>
      </c>
      <c r="J3457" t="s">
        <v>50</v>
      </c>
      <c r="K3457">
        <v>4.7</v>
      </c>
      <c r="L3457" t="s">
        <v>143</v>
      </c>
      <c r="M3457" t="s">
        <v>143</v>
      </c>
      <c r="N3457">
        <v>13</v>
      </c>
      <c r="O3457" t="s">
        <v>24</v>
      </c>
      <c r="P3457" t="s">
        <v>43</v>
      </c>
    </row>
    <row r="3458" spans="1:16" ht="14.5" x14ac:dyDescent="0.35">
      <c r="A3458">
        <v>3457</v>
      </c>
      <c r="B3458">
        <v>42</v>
      </c>
      <c r="C3458" t="s">
        <v>144</v>
      </c>
      <c r="D3458" t="s">
        <v>95</v>
      </c>
      <c r="E3458" t="s">
        <v>18</v>
      </c>
      <c r="F3458">
        <v>53</v>
      </c>
      <c r="G3458" t="s">
        <v>96</v>
      </c>
      <c r="H3458" t="s">
        <v>39</v>
      </c>
      <c r="I3458" t="s">
        <v>99</v>
      </c>
      <c r="J3458" t="s">
        <v>50</v>
      </c>
      <c r="K3458">
        <v>4.5999999999999996</v>
      </c>
      <c r="L3458" t="s">
        <v>143</v>
      </c>
      <c r="M3458" t="s">
        <v>143</v>
      </c>
      <c r="N3458">
        <v>21</v>
      </c>
      <c r="O3458" t="s">
        <v>24</v>
      </c>
      <c r="P3458" t="s">
        <v>79</v>
      </c>
    </row>
    <row r="3459" spans="1:16" ht="14.5" x14ac:dyDescent="0.35">
      <c r="A3459">
        <v>3458</v>
      </c>
      <c r="B3459">
        <v>64</v>
      </c>
      <c r="C3459" t="s">
        <v>144</v>
      </c>
      <c r="D3459" t="s">
        <v>97</v>
      </c>
      <c r="E3459" t="s">
        <v>60</v>
      </c>
      <c r="F3459">
        <v>87</v>
      </c>
      <c r="G3459" t="s">
        <v>119</v>
      </c>
      <c r="H3459" t="s">
        <v>39</v>
      </c>
      <c r="I3459" t="s">
        <v>21</v>
      </c>
      <c r="J3459" t="s">
        <v>47</v>
      </c>
      <c r="K3459">
        <v>3</v>
      </c>
      <c r="L3459" t="s">
        <v>143</v>
      </c>
      <c r="M3459" t="s">
        <v>143</v>
      </c>
      <c r="N3459">
        <v>29</v>
      </c>
      <c r="O3459" t="s">
        <v>29</v>
      </c>
      <c r="P3459" t="s">
        <v>25</v>
      </c>
    </row>
    <row r="3460" spans="1:16" ht="14.5" x14ac:dyDescent="0.35">
      <c r="A3460">
        <v>3459</v>
      </c>
      <c r="B3460">
        <v>68</v>
      </c>
      <c r="C3460" t="s">
        <v>144</v>
      </c>
      <c r="D3460" t="s">
        <v>97</v>
      </c>
      <c r="E3460" t="s">
        <v>60</v>
      </c>
      <c r="F3460">
        <v>37</v>
      </c>
      <c r="G3460" t="s">
        <v>57</v>
      </c>
      <c r="H3460" t="s">
        <v>20</v>
      </c>
      <c r="I3460" t="s">
        <v>74</v>
      </c>
      <c r="J3460" t="s">
        <v>33</v>
      </c>
      <c r="K3460">
        <v>3.4</v>
      </c>
      <c r="L3460" t="s">
        <v>143</v>
      </c>
      <c r="M3460" t="s">
        <v>143</v>
      </c>
      <c r="N3460">
        <v>24</v>
      </c>
      <c r="O3460" t="s">
        <v>24</v>
      </c>
      <c r="P3460" t="s">
        <v>51</v>
      </c>
    </row>
    <row r="3461" spans="1:16" ht="14.5" x14ac:dyDescent="0.35">
      <c r="A3461">
        <v>3460</v>
      </c>
      <c r="B3461">
        <v>68</v>
      </c>
      <c r="C3461" t="s">
        <v>144</v>
      </c>
      <c r="D3461" t="s">
        <v>95</v>
      </c>
      <c r="E3461" t="s">
        <v>18</v>
      </c>
      <c r="F3461">
        <v>37</v>
      </c>
      <c r="G3461" t="s">
        <v>114</v>
      </c>
      <c r="H3461" t="s">
        <v>20</v>
      </c>
      <c r="I3461" t="s">
        <v>87</v>
      </c>
      <c r="J3461" t="s">
        <v>50</v>
      </c>
      <c r="K3461">
        <v>3.8</v>
      </c>
      <c r="L3461" t="s">
        <v>143</v>
      </c>
      <c r="M3461" t="s">
        <v>143</v>
      </c>
      <c r="N3461">
        <v>21</v>
      </c>
      <c r="O3461" t="s">
        <v>40</v>
      </c>
      <c r="P3461" t="s">
        <v>43</v>
      </c>
    </row>
    <row r="3462" spans="1:16" ht="14.5" x14ac:dyDescent="0.35">
      <c r="A3462">
        <v>3461</v>
      </c>
      <c r="B3462">
        <v>41</v>
      </c>
      <c r="C3462" t="s">
        <v>144</v>
      </c>
      <c r="D3462" t="s">
        <v>110</v>
      </c>
      <c r="E3462" t="s">
        <v>60</v>
      </c>
      <c r="F3462">
        <v>78</v>
      </c>
      <c r="G3462" t="s">
        <v>107</v>
      </c>
      <c r="H3462" t="s">
        <v>39</v>
      </c>
      <c r="I3462" t="s">
        <v>71</v>
      </c>
      <c r="J3462" t="s">
        <v>33</v>
      </c>
      <c r="K3462">
        <v>3.1</v>
      </c>
      <c r="L3462" t="s">
        <v>143</v>
      </c>
      <c r="M3462" t="s">
        <v>143</v>
      </c>
      <c r="N3462">
        <v>5</v>
      </c>
      <c r="O3462" t="s">
        <v>66</v>
      </c>
      <c r="P3462" t="s">
        <v>67</v>
      </c>
    </row>
    <row r="3463" spans="1:16" ht="14.5" x14ac:dyDescent="0.35">
      <c r="A3463">
        <v>3462</v>
      </c>
      <c r="B3463">
        <v>51</v>
      </c>
      <c r="C3463" t="s">
        <v>144</v>
      </c>
      <c r="D3463" t="s">
        <v>63</v>
      </c>
      <c r="E3463" t="s">
        <v>37</v>
      </c>
      <c r="F3463">
        <v>23</v>
      </c>
      <c r="G3463" t="s">
        <v>45</v>
      </c>
      <c r="H3463" t="s">
        <v>32</v>
      </c>
      <c r="I3463" t="s">
        <v>28</v>
      </c>
      <c r="J3463" t="s">
        <v>33</v>
      </c>
      <c r="K3463">
        <v>4.4000000000000004</v>
      </c>
      <c r="L3463" t="s">
        <v>143</v>
      </c>
      <c r="M3463" t="s">
        <v>143</v>
      </c>
      <c r="N3463">
        <v>47</v>
      </c>
      <c r="O3463" t="s">
        <v>29</v>
      </c>
      <c r="P3463" t="s">
        <v>51</v>
      </c>
    </row>
    <row r="3464" spans="1:16" ht="14.5" x14ac:dyDescent="0.35">
      <c r="A3464">
        <v>3463</v>
      </c>
      <c r="B3464">
        <v>44</v>
      </c>
      <c r="C3464" t="s">
        <v>144</v>
      </c>
      <c r="D3464" t="s">
        <v>30</v>
      </c>
      <c r="E3464" t="s">
        <v>18</v>
      </c>
      <c r="F3464">
        <v>73</v>
      </c>
      <c r="G3464" t="s">
        <v>142</v>
      </c>
      <c r="H3464" t="s">
        <v>20</v>
      </c>
      <c r="I3464" t="s">
        <v>69</v>
      </c>
      <c r="J3464" t="s">
        <v>33</v>
      </c>
      <c r="K3464">
        <v>4.5</v>
      </c>
      <c r="L3464" t="s">
        <v>143</v>
      </c>
      <c r="M3464" t="s">
        <v>143</v>
      </c>
      <c r="N3464">
        <v>34</v>
      </c>
      <c r="O3464" t="s">
        <v>34</v>
      </c>
      <c r="P3464" t="s">
        <v>88</v>
      </c>
    </row>
    <row r="3465" spans="1:16" ht="14.5" x14ac:dyDescent="0.35">
      <c r="A3465">
        <v>3464</v>
      </c>
      <c r="B3465">
        <v>27</v>
      </c>
      <c r="C3465" t="s">
        <v>144</v>
      </c>
      <c r="D3465" t="s">
        <v>97</v>
      </c>
      <c r="E3465" t="s">
        <v>60</v>
      </c>
      <c r="F3465">
        <v>27</v>
      </c>
      <c r="G3465" t="s">
        <v>27</v>
      </c>
      <c r="H3465" t="s">
        <v>39</v>
      </c>
      <c r="I3465" t="s">
        <v>125</v>
      </c>
      <c r="J3465" t="s">
        <v>50</v>
      </c>
      <c r="K3465">
        <v>2.8</v>
      </c>
      <c r="L3465" t="s">
        <v>143</v>
      </c>
      <c r="M3465" t="s">
        <v>143</v>
      </c>
      <c r="N3465">
        <v>45</v>
      </c>
      <c r="O3465" t="s">
        <v>40</v>
      </c>
      <c r="P3465" t="s">
        <v>25</v>
      </c>
    </row>
    <row r="3466" spans="1:16" ht="14.5" x14ac:dyDescent="0.35">
      <c r="A3466">
        <v>3465</v>
      </c>
      <c r="B3466">
        <v>36</v>
      </c>
      <c r="C3466" t="s">
        <v>144</v>
      </c>
      <c r="D3466" t="s">
        <v>55</v>
      </c>
      <c r="E3466" t="s">
        <v>56</v>
      </c>
      <c r="F3466">
        <v>59</v>
      </c>
      <c r="G3466" t="s">
        <v>131</v>
      </c>
      <c r="H3466" t="s">
        <v>32</v>
      </c>
      <c r="I3466" t="s">
        <v>91</v>
      </c>
      <c r="J3466" t="s">
        <v>22</v>
      </c>
      <c r="K3466">
        <v>2.7</v>
      </c>
      <c r="L3466" t="s">
        <v>143</v>
      </c>
      <c r="M3466" t="s">
        <v>143</v>
      </c>
      <c r="N3466">
        <v>12</v>
      </c>
      <c r="O3466" t="s">
        <v>40</v>
      </c>
      <c r="P3466" t="s">
        <v>43</v>
      </c>
    </row>
    <row r="3467" spans="1:16" ht="14.5" x14ac:dyDescent="0.35">
      <c r="A3467">
        <v>3466</v>
      </c>
      <c r="B3467">
        <v>19</v>
      </c>
      <c r="C3467" t="s">
        <v>144</v>
      </c>
      <c r="D3467" t="s">
        <v>123</v>
      </c>
      <c r="E3467" t="s">
        <v>60</v>
      </c>
      <c r="F3467">
        <v>53</v>
      </c>
      <c r="G3467" t="s">
        <v>137</v>
      </c>
      <c r="H3467" t="s">
        <v>39</v>
      </c>
      <c r="I3467" t="s">
        <v>71</v>
      </c>
      <c r="J3467" t="s">
        <v>33</v>
      </c>
      <c r="K3467">
        <v>3.4</v>
      </c>
      <c r="L3467" t="s">
        <v>143</v>
      </c>
      <c r="M3467" t="s">
        <v>143</v>
      </c>
      <c r="N3467">
        <v>31</v>
      </c>
      <c r="O3467" t="s">
        <v>77</v>
      </c>
      <c r="P3467" t="s">
        <v>35</v>
      </c>
    </row>
    <row r="3468" spans="1:16" ht="14.5" x14ac:dyDescent="0.35">
      <c r="A3468">
        <v>3467</v>
      </c>
      <c r="B3468">
        <v>49</v>
      </c>
      <c r="C3468" t="s">
        <v>144</v>
      </c>
      <c r="D3468" t="s">
        <v>116</v>
      </c>
      <c r="E3468" t="s">
        <v>18</v>
      </c>
      <c r="F3468">
        <v>42</v>
      </c>
      <c r="G3468" t="s">
        <v>119</v>
      </c>
      <c r="H3468" t="s">
        <v>32</v>
      </c>
      <c r="I3468" t="s">
        <v>65</v>
      </c>
      <c r="J3468" t="s">
        <v>47</v>
      </c>
      <c r="K3468">
        <v>4.5999999999999996</v>
      </c>
      <c r="L3468" t="s">
        <v>143</v>
      </c>
      <c r="M3468" t="s">
        <v>143</v>
      </c>
      <c r="N3468">
        <v>43</v>
      </c>
      <c r="O3468" t="s">
        <v>66</v>
      </c>
      <c r="P3468" t="s">
        <v>43</v>
      </c>
    </row>
    <row r="3469" spans="1:16" ht="14.5" x14ac:dyDescent="0.35">
      <c r="A3469">
        <v>3468</v>
      </c>
      <c r="B3469">
        <v>18</v>
      </c>
      <c r="C3469" t="s">
        <v>144</v>
      </c>
      <c r="D3469" t="s">
        <v>110</v>
      </c>
      <c r="E3469" t="s">
        <v>60</v>
      </c>
      <c r="F3469">
        <v>45</v>
      </c>
      <c r="G3469" t="s">
        <v>96</v>
      </c>
      <c r="H3469" t="s">
        <v>39</v>
      </c>
      <c r="I3469" t="s">
        <v>54</v>
      </c>
      <c r="J3469" t="s">
        <v>50</v>
      </c>
      <c r="K3469">
        <v>5</v>
      </c>
      <c r="L3469" t="s">
        <v>143</v>
      </c>
      <c r="M3469" t="s">
        <v>143</v>
      </c>
      <c r="N3469">
        <v>5</v>
      </c>
      <c r="O3469" t="s">
        <v>34</v>
      </c>
      <c r="P3469" t="s">
        <v>43</v>
      </c>
    </row>
    <row r="3470" spans="1:16" ht="14.5" x14ac:dyDescent="0.35">
      <c r="A3470">
        <v>3469</v>
      </c>
      <c r="B3470">
        <v>36</v>
      </c>
      <c r="C3470" t="s">
        <v>144</v>
      </c>
      <c r="D3470" t="s">
        <v>80</v>
      </c>
      <c r="E3470" t="s">
        <v>60</v>
      </c>
      <c r="F3470">
        <v>89</v>
      </c>
      <c r="G3470" t="s">
        <v>114</v>
      </c>
      <c r="H3470" t="s">
        <v>32</v>
      </c>
      <c r="I3470" t="s">
        <v>117</v>
      </c>
      <c r="J3470" t="s">
        <v>22</v>
      </c>
      <c r="K3470">
        <v>3.5</v>
      </c>
      <c r="L3470" t="s">
        <v>143</v>
      </c>
      <c r="M3470" t="s">
        <v>143</v>
      </c>
      <c r="N3470">
        <v>36</v>
      </c>
      <c r="O3470" t="s">
        <v>77</v>
      </c>
      <c r="P3470" t="s">
        <v>51</v>
      </c>
    </row>
    <row r="3471" spans="1:16" ht="14.5" x14ac:dyDescent="0.35">
      <c r="A3471">
        <v>3470</v>
      </c>
      <c r="B3471">
        <v>36</v>
      </c>
      <c r="C3471" t="s">
        <v>144</v>
      </c>
      <c r="D3471" t="s">
        <v>116</v>
      </c>
      <c r="E3471" t="s">
        <v>18</v>
      </c>
      <c r="F3471">
        <v>85</v>
      </c>
      <c r="G3471" t="s">
        <v>105</v>
      </c>
      <c r="H3471" t="s">
        <v>20</v>
      </c>
      <c r="I3471" t="s">
        <v>127</v>
      </c>
      <c r="J3471" t="s">
        <v>50</v>
      </c>
      <c r="K3471">
        <v>3.3</v>
      </c>
      <c r="L3471" t="s">
        <v>143</v>
      </c>
      <c r="M3471" t="s">
        <v>143</v>
      </c>
      <c r="N3471">
        <v>12</v>
      </c>
      <c r="O3471" t="s">
        <v>29</v>
      </c>
      <c r="P3471" t="s">
        <v>43</v>
      </c>
    </row>
    <row r="3472" spans="1:16" ht="14.5" x14ac:dyDescent="0.35">
      <c r="A3472">
        <v>3471</v>
      </c>
      <c r="B3472">
        <v>19</v>
      </c>
      <c r="C3472" t="s">
        <v>144</v>
      </c>
      <c r="D3472" t="s">
        <v>55</v>
      </c>
      <c r="E3472" t="s">
        <v>56</v>
      </c>
      <c r="F3472">
        <v>69</v>
      </c>
      <c r="G3472" t="s">
        <v>57</v>
      </c>
      <c r="H3472" t="s">
        <v>32</v>
      </c>
      <c r="I3472" t="s">
        <v>69</v>
      </c>
      <c r="J3472" t="s">
        <v>47</v>
      </c>
      <c r="K3472">
        <v>4.5</v>
      </c>
      <c r="L3472" t="s">
        <v>143</v>
      </c>
      <c r="M3472" t="s">
        <v>143</v>
      </c>
      <c r="N3472">
        <v>31</v>
      </c>
      <c r="O3472" t="s">
        <v>29</v>
      </c>
      <c r="P3472" t="s">
        <v>67</v>
      </c>
    </row>
    <row r="3473" spans="1:16" ht="14.5" x14ac:dyDescent="0.35">
      <c r="A3473">
        <v>3472</v>
      </c>
      <c r="B3473">
        <v>43</v>
      </c>
      <c r="C3473" t="s">
        <v>144</v>
      </c>
      <c r="D3473" t="s">
        <v>36</v>
      </c>
      <c r="E3473" t="s">
        <v>37</v>
      </c>
      <c r="F3473">
        <v>66</v>
      </c>
      <c r="G3473" t="s">
        <v>89</v>
      </c>
      <c r="H3473" t="s">
        <v>32</v>
      </c>
      <c r="I3473" t="s">
        <v>135</v>
      </c>
      <c r="J3473" t="s">
        <v>33</v>
      </c>
      <c r="K3473">
        <v>3.1</v>
      </c>
      <c r="L3473" t="s">
        <v>143</v>
      </c>
      <c r="M3473" t="s">
        <v>143</v>
      </c>
      <c r="N3473">
        <v>31</v>
      </c>
      <c r="O3473" t="s">
        <v>29</v>
      </c>
      <c r="P3473" t="s">
        <v>67</v>
      </c>
    </row>
    <row r="3474" spans="1:16" ht="14.5" x14ac:dyDescent="0.35">
      <c r="A3474">
        <v>3473</v>
      </c>
      <c r="B3474">
        <v>31</v>
      </c>
      <c r="C3474" t="s">
        <v>144</v>
      </c>
      <c r="D3474" t="s">
        <v>17</v>
      </c>
      <c r="E3474" t="s">
        <v>18</v>
      </c>
      <c r="F3474">
        <v>42</v>
      </c>
      <c r="G3474" t="s">
        <v>133</v>
      </c>
      <c r="H3474" t="s">
        <v>32</v>
      </c>
      <c r="I3474" t="s">
        <v>46</v>
      </c>
      <c r="J3474" t="s">
        <v>47</v>
      </c>
      <c r="K3474">
        <v>4</v>
      </c>
      <c r="L3474" t="s">
        <v>143</v>
      </c>
      <c r="M3474" t="s">
        <v>143</v>
      </c>
      <c r="N3474">
        <v>15</v>
      </c>
      <c r="O3474" t="s">
        <v>77</v>
      </c>
      <c r="P3474" t="s">
        <v>35</v>
      </c>
    </row>
    <row r="3475" spans="1:16" ht="14.5" x14ac:dyDescent="0.35">
      <c r="A3475">
        <v>3474</v>
      </c>
      <c r="B3475">
        <v>63</v>
      </c>
      <c r="C3475" t="s">
        <v>144</v>
      </c>
      <c r="D3475" t="s">
        <v>72</v>
      </c>
      <c r="E3475" t="s">
        <v>18</v>
      </c>
      <c r="F3475">
        <v>40</v>
      </c>
      <c r="G3475" t="s">
        <v>102</v>
      </c>
      <c r="H3475" t="s">
        <v>39</v>
      </c>
      <c r="I3475" t="s">
        <v>100</v>
      </c>
      <c r="J3475" t="s">
        <v>33</v>
      </c>
      <c r="K3475">
        <v>2.5</v>
      </c>
      <c r="L3475" t="s">
        <v>143</v>
      </c>
      <c r="M3475" t="s">
        <v>143</v>
      </c>
      <c r="N3475">
        <v>11</v>
      </c>
      <c r="O3475" t="s">
        <v>29</v>
      </c>
      <c r="P3475" t="s">
        <v>35</v>
      </c>
    </row>
    <row r="3476" spans="1:16" ht="14.5" x14ac:dyDescent="0.35">
      <c r="A3476">
        <v>3475</v>
      </c>
      <c r="B3476">
        <v>41</v>
      </c>
      <c r="C3476" t="s">
        <v>144</v>
      </c>
      <c r="D3476" t="s">
        <v>86</v>
      </c>
      <c r="E3476" t="s">
        <v>18</v>
      </c>
      <c r="F3476">
        <v>82</v>
      </c>
      <c r="G3476" t="s">
        <v>27</v>
      </c>
      <c r="H3476" t="s">
        <v>39</v>
      </c>
      <c r="I3476" t="s">
        <v>100</v>
      </c>
      <c r="J3476" t="s">
        <v>22</v>
      </c>
      <c r="K3476">
        <v>4.4000000000000004</v>
      </c>
      <c r="L3476" t="s">
        <v>143</v>
      </c>
      <c r="M3476" t="s">
        <v>143</v>
      </c>
      <c r="N3476">
        <v>18</v>
      </c>
      <c r="O3476" t="s">
        <v>24</v>
      </c>
      <c r="P3476" t="s">
        <v>79</v>
      </c>
    </row>
    <row r="3477" spans="1:16" ht="14.5" x14ac:dyDescent="0.35">
      <c r="A3477">
        <v>3476</v>
      </c>
      <c r="B3477">
        <v>48</v>
      </c>
      <c r="C3477" t="s">
        <v>144</v>
      </c>
      <c r="D3477" t="s">
        <v>44</v>
      </c>
      <c r="E3477" t="s">
        <v>37</v>
      </c>
      <c r="F3477">
        <v>88</v>
      </c>
      <c r="G3477" t="s">
        <v>122</v>
      </c>
      <c r="H3477" t="s">
        <v>39</v>
      </c>
      <c r="I3477" t="s">
        <v>112</v>
      </c>
      <c r="J3477" t="s">
        <v>33</v>
      </c>
      <c r="K3477">
        <v>4.4000000000000004</v>
      </c>
      <c r="L3477" t="s">
        <v>143</v>
      </c>
      <c r="M3477" t="s">
        <v>143</v>
      </c>
      <c r="N3477">
        <v>9</v>
      </c>
      <c r="O3477" t="s">
        <v>29</v>
      </c>
      <c r="P3477" t="s">
        <v>51</v>
      </c>
    </row>
    <row r="3478" spans="1:16" ht="14.5" x14ac:dyDescent="0.35">
      <c r="A3478">
        <v>3477</v>
      </c>
      <c r="B3478">
        <v>68</v>
      </c>
      <c r="C3478" t="s">
        <v>144</v>
      </c>
      <c r="D3478" t="s">
        <v>128</v>
      </c>
      <c r="E3478" t="s">
        <v>37</v>
      </c>
      <c r="F3478">
        <v>99</v>
      </c>
      <c r="G3478" t="s">
        <v>122</v>
      </c>
      <c r="H3478" t="s">
        <v>83</v>
      </c>
      <c r="I3478" t="s">
        <v>112</v>
      </c>
      <c r="J3478" t="s">
        <v>47</v>
      </c>
      <c r="K3478">
        <v>3.2</v>
      </c>
      <c r="L3478" t="s">
        <v>143</v>
      </c>
      <c r="M3478" t="s">
        <v>143</v>
      </c>
      <c r="N3478">
        <v>11</v>
      </c>
      <c r="O3478" t="s">
        <v>29</v>
      </c>
      <c r="P3478" t="s">
        <v>35</v>
      </c>
    </row>
    <row r="3479" spans="1:16" ht="14.5" x14ac:dyDescent="0.35">
      <c r="A3479">
        <v>3478</v>
      </c>
      <c r="B3479">
        <v>53</v>
      </c>
      <c r="C3479" t="s">
        <v>144</v>
      </c>
      <c r="D3479" t="s">
        <v>59</v>
      </c>
      <c r="E3479" t="s">
        <v>60</v>
      </c>
      <c r="F3479">
        <v>85</v>
      </c>
      <c r="G3479" t="s">
        <v>19</v>
      </c>
      <c r="H3479" t="s">
        <v>32</v>
      </c>
      <c r="I3479" t="s">
        <v>76</v>
      </c>
      <c r="J3479" t="s">
        <v>33</v>
      </c>
      <c r="K3479">
        <v>3.8</v>
      </c>
      <c r="L3479" t="s">
        <v>143</v>
      </c>
      <c r="M3479" t="s">
        <v>143</v>
      </c>
      <c r="N3479">
        <v>38</v>
      </c>
      <c r="O3479" t="s">
        <v>77</v>
      </c>
      <c r="P3479" t="s">
        <v>67</v>
      </c>
    </row>
    <row r="3480" spans="1:16" ht="14.5" x14ac:dyDescent="0.35">
      <c r="A3480">
        <v>3479</v>
      </c>
      <c r="B3480">
        <v>36</v>
      </c>
      <c r="C3480" t="s">
        <v>144</v>
      </c>
      <c r="D3480" t="s">
        <v>59</v>
      </c>
      <c r="E3480" t="s">
        <v>60</v>
      </c>
      <c r="F3480">
        <v>57</v>
      </c>
      <c r="G3480" t="s">
        <v>108</v>
      </c>
      <c r="H3480" t="s">
        <v>39</v>
      </c>
      <c r="I3480" t="s">
        <v>127</v>
      </c>
      <c r="J3480" t="s">
        <v>50</v>
      </c>
      <c r="K3480">
        <v>4.5999999999999996</v>
      </c>
      <c r="L3480" t="s">
        <v>143</v>
      </c>
      <c r="M3480" t="s">
        <v>143</v>
      </c>
      <c r="N3480">
        <v>42</v>
      </c>
      <c r="O3480" t="s">
        <v>40</v>
      </c>
      <c r="P3480" t="s">
        <v>51</v>
      </c>
    </row>
    <row r="3481" spans="1:16" ht="14.5" x14ac:dyDescent="0.35">
      <c r="A3481">
        <v>3480</v>
      </c>
      <c r="B3481">
        <v>46</v>
      </c>
      <c r="C3481" t="s">
        <v>144</v>
      </c>
      <c r="D3481" t="s">
        <v>26</v>
      </c>
      <c r="E3481" t="s">
        <v>18</v>
      </c>
      <c r="F3481">
        <v>56</v>
      </c>
      <c r="G3481" t="s">
        <v>75</v>
      </c>
      <c r="H3481" t="s">
        <v>32</v>
      </c>
      <c r="I3481" t="s">
        <v>112</v>
      </c>
      <c r="J3481" t="s">
        <v>47</v>
      </c>
      <c r="K3481">
        <v>4.9000000000000004</v>
      </c>
      <c r="L3481" t="s">
        <v>143</v>
      </c>
      <c r="M3481" t="s">
        <v>143</v>
      </c>
      <c r="N3481">
        <v>41</v>
      </c>
      <c r="O3481" t="s">
        <v>29</v>
      </c>
      <c r="P3481" t="s">
        <v>79</v>
      </c>
    </row>
    <row r="3482" spans="1:16" ht="14.5" x14ac:dyDescent="0.35">
      <c r="A3482">
        <v>3481</v>
      </c>
      <c r="B3482">
        <v>21</v>
      </c>
      <c r="C3482" t="s">
        <v>144</v>
      </c>
      <c r="D3482" t="s">
        <v>36</v>
      </c>
      <c r="E3482" t="s">
        <v>37</v>
      </c>
      <c r="F3482">
        <v>79</v>
      </c>
      <c r="G3482" t="s">
        <v>73</v>
      </c>
      <c r="H3482" t="s">
        <v>20</v>
      </c>
      <c r="I3482" t="s">
        <v>91</v>
      </c>
      <c r="J3482" t="s">
        <v>22</v>
      </c>
      <c r="K3482">
        <v>3.5</v>
      </c>
      <c r="L3482" t="s">
        <v>143</v>
      </c>
      <c r="M3482" t="s">
        <v>143</v>
      </c>
      <c r="N3482">
        <v>45</v>
      </c>
      <c r="O3482" t="s">
        <v>40</v>
      </c>
      <c r="P3482" t="s">
        <v>79</v>
      </c>
    </row>
    <row r="3483" spans="1:16" ht="14.5" x14ac:dyDescent="0.35">
      <c r="A3483">
        <v>3482</v>
      </c>
      <c r="B3483">
        <v>52</v>
      </c>
      <c r="C3483" t="s">
        <v>144</v>
      </c>
      <c r="D3483" t="s">
        <v>116</v>
      </c>
      <c r="E3483" t="s">
        <v>18</v>
      </c>
      <c r="F3483">
        <v>67</v>
      </c>
      <c r="G3483" t="s">
        <v>114</v>
      </c>
      <c r="H3483" t="s">
        <v>32</v>
      </c>
      <c r="I3483" t="s">
        <v>28</v>
      </c>
      <c r="J3483" t="s">
        <v>47</v>
      </c>
      <c r="K3483">
        <v>3.4</v>
      </c>
      <c r="L3483" t="s">
        <v>143</v>
      </c>
      <c r="M3483" t="s">
        <v>143</v>
      </c>
      <c r="N3483">
        <v>41</v>
      </c>
      <c r="O3483" t="s">
        <v>77</v>
      </c>
      <c r="P3483" t="s">
        <v>67</v>
      </c>
    </row>
    <row r="3484" spans="1:16" ht="14.5" x14ac:dyDescent="0.35">
      <c r="A3484">
        <v>3483</v>
      </c>
      <c r="B3484">
        <v>66</v>
      </c>
      <c r="C3484" t="s">
        <v>144</v>
      </c>
      <c r="D3484" t="s">
        <v>134</v>
      </c>
      <c r="E3484" t="s">
        <v>60</v>
      </c>
      <c r="F3484">
        <v>61</v>
      </c>
      <c r="G3484" t="s">
        <v>68</v>
      </c>
      <c r="H3484" t="s">
        <v>39</v>
      </c>
      <c r="I3484" t="s">
        <v>71</v>
      </c>
      <c r="J3484" t="s">
        <v>22</v>
      </c>
      <c r="K3484">
        <v>3.9</v>
      </c>
      <c r="L3484" t="s">
        <v>143</v>
      </c>
      <c r="M3484" t="s">
        <v>143</v>
      </c>
      <c r="N3484">
        <v>35</v>
      </c>
      <c r="O3484" t="s">
        <v>77</v>
      </c>
      <c r="P3484" t="s">
        <v>35</v>
      </c>
    </row>
    <row r="3485" spans="1:16" ht="14.5" x14ac:dyDescent="0.35">
      <c r="A3485">
        <v>3484</v>
      </c>
      <c r="B3485">
        <v>19</v>
      </c>
      <c r="C3485" t="s">
        <v>144</v>
      </c>
      <c r="D3485" t="s">
        <v>95</v>
      </c>
      <c r="E3485" t="s">
        <v>18</v>
      </c>
      <c r="F3485">
        <v>37</v>
      </c>
      <c r="G3485" t="s">
        <v>96</v>
      </c>
      <c r="H3485" t="s">
        <v>20</v>
      </c>
      <c r="I3485" t="s">
        <v>46</v>
      </c>
      <c r="J3485" t="s">
        <v>22</v>
      </c>
      <c r="K3485">
        <v>3.9</v>
      </c>
      <c r="L3485" t="s">
        <v>143</v>
      </c>
      <c r="M3485" t="s">
        <v>143</v>
      </c>
      <c r="N3485">
        <v>21</v>
      </c>
      <c r="O3485" t="s">
        <v>34</v>
      </c>
      <c r="P3485" t="s">
        <v>88</v>
      </c>
    </row>
    <row r="3486" spans="1:16" ht="14.5" x14ac:dyDescent="0.35">
      <c r="A3486">
        <v>3485</v>
      </c>
      <c r="B3486">
        <v>44</v>
      </c>
      <c r="C3486" t="s">
        <v>144</v>
      </c>
      <c r="D3486" t="s">
        <v>72</v>
      </c>
      <c r="E3486" t="s">
        <v>18</v>
      </c>
      <c r="F3486">
        <v>75</v>
      </c>
      <c r="G3486" t="s">
        <v>106</v>
      </c>
      <c r="H3486" t="s">
        <v>20</v>
      </c>
      <c r="I3486" t="s">
        <v>21</v>
      </c>
      <c r="J3486" t="s">
        <v>50</v>
      </c>
      <c r="K3486">
        <v>4.2</v>
      </c>
      <c r="L3486" t="s">
        <v>143</v>
      </c>
      <c r="M3486" t="s">
        <v>143</v>
      </c>
      <c r="N3486">
        <v>13</v>
      </c>
      <c r="O3486" t="s">
        <v>34</v>
      </c>
      <c r="P3486" t="s">
        <v>67</v>
      </c>
    </row>
    <row r="3487" spans="1:16" ht="14.5" x14ac:dyDescent="0.35">
      <c r="A3487">
        <v>3486</v>
      </c>
      <c r="B3487">
        <v>50</v>
      </c>
      <c r="C3487" t="s">
        <v>144</v>
      </c>
      <c r="D3487" t="s">
        <v>48</v>
      </c>
      <c r="E3487" t="s">
        <v>18</v>
      </c>
      <c r="F3487">
        <v>21</v>
      </c>
      <c r="G3487" t="s">
        <v>31</v>
      </c>
      <c r="H3487" t="s">
        <v>83</v>
      </c>
      <c r="I3487" t="s">
        <v>101</v>
      </c>
      <c r="J3487" t="s">
        <v>22</v>
      </c>
      <c r="K3487">
        <v>3.4</v>
      </c>
      <c r="L3487" t="s">
        <v>143</v>
      </c>
      <c r="M3487" t="s">
        <v>143</v>
      </c>
      <c r="N3487">
        <v>23</v>
      </c>
      <c r="O3487" t="s">
        <v>77</v>
      </c>
      <c r="P3487" t="s">
        <v>25</v>
      </c>
    </row>
    <row r="3488" spans="1:16" ht="14.5" x14ac:dyDescent="0.35">
      <c r="A3488">
        <v>3487</v>
      </c>
      <c r="B3488">
        <v>51</v>
      </c>
      <c r="C3488" t="s">
        <v>144</v>
      </c>
      <c r="D3488" t="s">
        <v>52</v>
      </c>
      <c r="E3488" t="s">
        <v>18</v>
      </c>
      <c r="F3488">
        <v>89</v>
      </c>
      <c r="G3488" t="s">
        <v>89</v>
      </c>
      <c r="H3488" t="s">
        <v>20</v>
      </c>
      <c r="I3488" t="s">
        <v>54</v>
      </c>
      <c r="J3488" t="s">
        <v>22</v>
      </c>
      <c r="K3488">
        <v>4.9000000000000004</v>
      </c>
      <c r="L3488" t="s">
        <v>143</v>
      </c>
      <c r="M3488" t="s">
        <v>143</v>
      </c>
      <c r="N3488">
        <v>6</v>
      </c>
      <c r="O3488" t="s">
        <v>40</v>
      </c>
      <c r="P3488" t="s">
        <v>35</v>
      </c>
    </row>
    <row r="3489" spans="1:16" ht="14.5" x14ac:dyDescent="0.35">
      <c r="A3489">
        <v>3488</v>
      </c>
      <c r="B3489">
        <v>25</v>
      </c>
      <c r="C3489" t="s">
        <v>144</v>
      </c>
      <c r="D3489" t="s">
        <v>36</v>
      </c>
      <c r="E3489" t="s">
        <v>37</v>
      </c>
      <c r="F3489">
        <v>24</v>
      </c>
      <c r="G3489" t="s">
        <v>57</v>
      </c>
      <c r="H3489" t="s">
        <v>20</v>
      </c>
      <c r="I3489" t="s">
        <v>109</v>
      </c>
      <c r="J3489" t="s">
        <v>50</v>
      </c>
      <c r="K3489">
        <v>2.9</v>
      </c>
      <c r="L3489" t="s">
        <v>143</v>
      </c>
      <c r="M3489" t="s">
        <v>143</v>
      </c>
      <c r="N3489">
        <v>39</v>
      </c>
      <c r="O3489" t="s">
        <v>66</v>
      </c>
      <c r="P3489" t="s">
        <v>43</v>
      </c>
    </row>
    <row r="3490" spans="1:16" ht="14.5" x14ac:dyDescent="0.35">
      <c r="A3490">
        <v>3489</v>
      </c>
      <c r="B3490">
        <v>62</v>
      </c>
      <c r="C3490" t="s">
        <v>144</v>
      </c>
      <c r="D3490" t="s">
        <v>26</v>
      </c>
      <c r="E3490" t="s">
        <v>18</v>
      </c>
      <c r="F3490">
        <v>27</v>
      </c>
      <c r="G3490" t="s">
        <v>70</v>
      </c>
      <c r="H3490" t="s">
        <v>83</v>
      </c>
      <c r="I3490" t="s">
        <v>76</v>
      </c>
      <c r="J3490" t="s">
        <v>33</v>
      </c>
      <c r="K3490">
        <v>4.9000000000000004</v>
      </c>
      <c r="L3490" t="s">
        <v>143</v>
      </c>
      <c r="M3490" t="s">
        <v>143</v>
      </c>
      <c r="N3490">
        <v>7</v>
      </c>
      <c r="O3490" t="s">
        <v>29</v>
      </c>
      <c r="P3490" t="s">
        <v>51</v>
      </c>
    </row>
    <row r="3491" spans="1:16" ht="14.5" x14ac:dyDescent="0.35">
      <c r="A3491">
        <v>3490</v>
      </c>
      <c r="B3491">
        <v>48</v>
      </c>
      <c r="C3491" t="s">
        <v>144</v>
      </c>
      <c r="D3491" t="s">
        <v>72</v>
      </c>
      <c r="E3491" t="s">
        <v>18</v>
      </c>
      <c r="F3491">
        <v>26</v>
      </c>
      <c r="G3491" t="s">
        <v>126</v>
      </c>
      <c r="H3491" t="s">
        <v>20</v>
      </c>
      <c r="I3491" t="s">
        <v>85</v>
      </c>
      <c r="J3491" t="s">
        <v>47</v>
      </c>
      <c r="K3491">
        <v>4.5999999999999996</v>
      </c>
      <c r="L3491" t="s">
        <v>143</v>
      </c>
      <c r="M3491" t="s">
        <v>143</v>
      </c>
      <c r="N3491">
        <v>32</v>
      </c>
      <c r="O3491" t="s">
        <v>40</v>
      </c>
      <c r="P3491" t="s">
        <v>88</v>
      </c>
    </row>
    <row r="3492" spans="1:16" ht="14.5" x14ac:dyDescent="0.35">
      <c r="A3492">
        <v>3491</v>
      </c>
      <c r="B3492">
        <v>62</v>
      </c>
      <c r="C3492" t="s">
        <v>144</v>
      </c>
      <c r="D3492" t="s">
        <v>128</v>
      </c>
      <c r="E3492" t="s">
        <v>37</v>
      </c>
      <c r="F3492">
        <v>82</v>
      </c>
      <c r="G3492" t="s">
        <v>41</v>
      </c>
      <c r="H3492" t="s">
        <v>39</v>
      </c>
      <c r="I3492" t="s">
        <v>74</v>
      </c>
      <c r="J3492" t="s">
        <v>33</v>
      </c>
      <c r="K3492">
        <v>3.6</v>
      </c>
      <c r="L3492" t="s">
        <v>143</v>
      </c>
      <c r="M3492" t="s">
        <v>143</v>
      </c>
      <c r="N3492">
        <v>43</v>
      </c>
      <c r="O3492" t="s">
        <v>34</v>
      </c>
      <c r="P3492" t="s">
        <v>51</v>
      </c>
    </row>
    <row r="3493" spans="1:16" ht="14.5" x14ac:dyDescent="0.35">
      <c r="A3493">
        <v>3492</v>
      </c>
      <c r="B3493">
        <v>22</v>
      </c>
      <c r="C3493" t="s">
        <v>144</v>
      </c>
      <c r="D3493" t="s">
        <v>86</v>
      </c>
      <c r="E3493" t="s">
        <v>18</v>
      </c>
      <c r="F3493">
        <v>28</v>
      </c>
      <c r="G3493" t="s">
        <v>27</v>
      </c>
      <c r="H3493" t="s">
        <v>39</v>
      </c>
      <c r="I3493" t="s">
        <v>112</v>
      </c>
      <c r="J3493" t="s">
        <v>22</v>
      </c>
      <c r="K3493">
        <v>4.3</v>
      </c>
      <c r="L3493" t="s">
        <v>143</v>
      </c>
      <c r="M3493" t="s">
        <v>143</v>
      </c>
      <c r="N3493">
        <v>15</v>
      </c>
      <c r="O3493" t="s">
        <v>29</v>
      </c>
      <c r="P3493" t="s">
        <v>79</v>
      </c>
    </row>
    <row r="3494" spans="1:16" ht="14.5" x14ac:dyDescent="0.35">
      <c r="A3494">
        <v>3493</v>
      </c>
      <c r="B3494">
        <v>48</v>
      </c>
      <c r="C3494" t="s">
        <v>144</v>
      </c>
      <c r="D3494" t="s">
        <v>134</v>
      </c>
      <c r="E3494" t="s">
        <v>60</v>
      </c>
      <c r="F3494">
        <v>65</v>
      </c>
      <c r="G3494" t="s">
        <v>138</v>
      </c>
      <c r="H3494" t="s">
        <v>39</v>
      </c>
      <c r="I3494" t="s">
        <v>42</v>
      </c>
      <c r="J3494" t="s">
        <v>50</v>
      </c>
      <c r="K3494">
        <v>4.5999999999999996</v>
      </c>
      <c r="L3494" t="s">
        <v>143</v>
      </c>
      <c r="M3494" t="s">
        <v>143</v>
      </c>
      <c r="N3494">
        <v>48</v>
      </c>
      <c r="O3494" t="s">
        <v>66</v>
      </c>
      <c r="P3494" t="s">
        <v>43</v>
      </c>
    </row>
    <row r="3495" spans="1:16" ht="14.5" x14ac:dyDescent="0.35">
      <c r="A3495">
        <v>3494</v>
      </c>
      <c r="B3495">
        <v>48</v>
      </c>
      <c r="C3495" t="s">
        <v>144</v>
      </c>
      <c r="D3495" t="s">
        <v>86</v>
      </c>
      <c r="E3495" t="s">
        <v>18</v>
      </c>
      <c r="F3495">
        <v>82</v>
      </c>
      <c r="G3495" t="s">
        <v>121</v>
      </c>
      <c r="H3495" t="s">
        <v>83</v>
      </c>
      <c r="I3495" t="s">
        <v>85</v>
      </c>
      <c r="J3495" t="s">
        <v>22</v>
      </c>
      <c r="K3495">
        <v>4.7</v>
      </c>
      <c r="L3495" t="s">
        <v>143</v>
      </c>
      <c r="M3495" t="s">
        <v>143</v>
      </c>
      <c r="N3495">
        <v>35</v>
      </c>
      <c r="O3495" t="s">
        <v>34</v>
      </c>
      <c r="P3495" t="s">
        <v>35</v>
      </c>
    </row>
    <row r="3496" spans="1:16" ht="14.5" x14ac:dyDescent="0.35">
      <c r="A3496">
        <v>3495</v>
      </c>
      <c r="B3496">
        <v>62</v>
      </c>
      <c r="C3496" t="s">
        <v>144</v>
      </c>
      <c r="D3496" t="s">
        <v>110</v>
      </c>
      <c r="E3496" t="s">
        <v>60</v>
      </c>
      <c r="F3496">
        <v>38</v>
      </c>
      <c r="G3496" t="s">
        <v>140</v>
      </c>
      <c r="H3496" t="s">
        <v>39</v>
      </c>
      <c r="I3496" t="s">
        <v>58</v>
      </c>
      <c r="J3496" t="s">
        <v>22</v>
      </c>
      <c r="K3496">
        <v>3.5</v>
      </c>
      <c r="L3496" t="s">
        <v>143</v>
      </c>
      <c r="M3496" t="s">
        <v>143</v>
      </c>
      <c r="N3496">
        <v>41</v>
      </c>
      <c r="O3496" t="s">
        <v>40</v>
      </c>
      <c r="P3496" t="s">
        <v>51</v>
      </c>
    </row>
    <row r="3497" spans="1:16" ht="14.5" x14ac:dyDescent="0.35">
      <c r="A3497">
        <v>3496</v>
      </c>
      <c r="B3497">
        <v>24</v>
      </c>
      <c r="C3497" t="s">
        <v>144</v>
      </c>
      <c r="D3497" t="s">
        <v>52</v>
      </c>
      <c r="E3497" t="s">
        <v>18</v>
      </c>
      <c r="F3497">
        <v>33</v>
      </c>
      <c r="G3497" t="s">
        <v>133</v>
      </c>
      <c r="H3497" t="s">
        <v>83</v>
      </c>
      <c r="I3497" t="s">
        <v>21</v>
      </c>
      <c r="J3497" t="s">
        <v>33</v>
      </c>
      <c r="K3497">
        <v>2.8</v>
      </c>
      <c r="L3497" t="s">
        <v>143</v>
      </c>
      <c r="M3497" t="s">
        <v>143</v>
      </c>
      <c r="N3497">
        <v>14</v>
      </c>
      <c r="O3497" t="s">
        <v>29</v>
      </c>
      <c r="P3497" t="s">
        <v>35</v>
      </c>
    </row>
    <row r="3498" spans="1:16" ht="14.5" x14ac:dyDescent="0.35">
      <c r="A3498">
        <v>3497</v>
      </c>
      <c r="B3498">
        <v>39</v>
      </c>
      <c r="C3498" t="s">
        <v>144</v>
      </c>
      <c r="D3498" t="s">
        <v>63</v>
      </c>
      <c r="E3498" t="s">
        <v>37</v>
      </c>
      <c r="F3498">
        <v>38</v>
      </c>
      <c r="G3498" t="s">
        <v>126</v>
      </c>
      <c r="H3498" t="s">
        <v>39</v>
      </c>
      <c r="I3498" t="s">
        <v>62</v>
      </c>
      <c r="J3498" t="s">
        <v>47</v>
      </c>
      <c r="K3498">
        <v>4</v>
      </c>
      <c r="L3498" t="s">
        <v>143</v>
      </c>
      <c r="M3498" t="s">
        <v>143</v>
      </c>
      <c r="N3498">
        <v>22</v>
      </c>
      <c r="O3498" t="s">
        <v>40</v>
      </c>
      <c r="P3498" t="s">
        <v>79</v>
      </c>
    </row>
    <row r="3499" spans="1:16" ht="14.5" x14ac:dyDescent="0.35">
      <c r="A3499">
        <v>3498</v>
      </c>
      <c r="B3499">
        <v>35</v>
      </c>
      <c r="C3499" t="s">
        <v>144</v>
      </c>
      <c r="D3499" t="s">
        <v>59</v>
      </c>
      <c r="E3499" t="s">
        <v>60</v>
      </c>
      <c r="F3499">
        <v>48</v>
      </c>
      <c r="G3499" t="s">
        <v>103</v>
      </c>
      <c r="H3499" t="s">
        <v>39</v>
      </c>
      <c r="I3499" t="s">
        <v>99</v>
      </c>
      <c r="J3499" t="s">
        <v>33</v>
      </c>
      <c r="K3499">
        <v>4.3</v>
      </c>
      <c r="L3499" t="s">
        <v>143</v>
      </c>
      <c r="M3499" t="s">
        <v>143</v>
      </c>
      <c r="N3499">
        <v>16</v>
      </c>
      <c r="O3499" t="s">
        <v>24</v>
      </c>
      <c r="P3499" t="s">
        <v>88</v>
      </c>
    </row>
    <row r="3500" spans="1:16" ht="14.5" x14ac:dyDescent="0.35">
      <c r="A3500">
        <v>3499</v>
      </c>
      <c r="B3500">
        <v>47</v>
      </c>
      <c r="C3500" t="s">
        <v>144</v>
      </c>
      <c r="D3500" t="s">
        <v>36</v>
      </c>
      <c r="E3500" t="s">
        <v>37</v>
      </c>
      <c r="F3500">
        <v>35</v>
      </c>
      <c r="G3500" t="s">
        <v>19</v>
      </c>
      <c r="H3500" t="s">
        <v>39</v>
      </c>
      <c r="I3500" t="s">
        <v>84</v>
      </c>
      <c r="J3500" t="s">
        <v>47</v>
      </c>
      <c r="K3500">
        <v>3.8</v>
      </c>
      <c r="L3500" t="s">
        <v>143</v>
      </c>
      <c r="M3500" t="s">
        <v>143</v>
      </c>
      <c r="N3500">
        <v>2</v>
      </c>
      <c r="O3500" t="s">
        <v>66</v>
      </c>
      <c r="P3500" t="s">
        <v>67</v>
      </c>
    </row>
    <row r="3501" spans="1:16" ht="14.5" x14ac:dyDescent="0.35">
      <c r="A3501">
        <v>3500</v>
      </c>
      <c r="B3501">
        <v>22</v>
      </c>
      <c r="C3501" t="s">
        <v>144</v>
      </c>
      <c r="D3501" t="s">
        <v>116</v>
      </c>
      <c r="E3501" t="s">
        <v>18</v>
      </c>
      <c r="F3501">
        <v>29</v>
      </c>
      <c r="G3501" t="s">
        <v>118</v>
      </c>
      <c r="H3501" t="s">
        <v>20</v>
      </c>
      <c r="I3501" t="s">
        <v>117</v>
      </c>
      <c r="J3501" t="s">
        <v>50</v>
      </c>
      <c r="K3501">
        <v>3</v>
      </c>
      <c r="L3501" t="s">
        <v>143</v>
      </c>
      <c r="M3501" t="s">
        <v>143</v>
      </c>
      <c r="N3501">
        <v>13</v>
      </c>
      <c r="O3501" t="s">
        <v>40</v>
      </c>
      <c r="P3501" t="s">
        <v>88</v>
      </c>
    </row>
    <row r="3502" spans="1:16" ht="14.5" x14ac:dyDescent="0.35">
      <c r="A3502">
        <v>3501</v>
      </c>
      <c r="B3502">
        <v>38</v>
      </c>
      <c r="C3502" t="s">
        <v>144</v>
      </c>
      <c r="D3502" t="s">
        <v>48</v>
      </c>
      <c r="E3502" t="s">
        <v>18</v>
      </c>
      <c r="F3502">
        <v>48</v>
      </c>
      <c r="G3502" t="s">
        <v>41</v>
      </c>
      <c r="H3502" t="s">
        <v>32</v>
      </c>
      <c r="I3502" t="s">
        <v>58</v>
      </c>
      <c r="J3502" t="s">
        <v>50</v>
      </c>
      <c r="K3502">
        <v>4.5999999999999996</v>
      </c>
      <c r="L3502" t="s">
        <v>143</v>
      </c>
      <c r="M3502" t="s">
        <v>143</v>
      </c>
      <c r="N3502">
        <v>38</v>
      </c>
      <c r="O3502" t="s">
        <v>77</v>
      </c>
      <c r="P3502" t="s">
        <v>25</v>
      </c>
    </row>
    <row r="3503" spans="1:16" ht="14.5" x14ac:dyDescent="0.35">
      <c r="A3503">
        <v>3502</v>
      </c>
      <c r="B3503">
        <v>53</v>
      </c>
      <c r="C3503" t="s">
        <v>144</v>
      </c>
      <c r="D3503" t="s">
        <v>63</v>
      </c>
      <c r="E3503" t="s">
        <v>37</v>
      </c>
      <c r="F3503">
        <v>87</v>
      </c>
      <c r="G3503" t="s">
        <v>136</v>
      </c>
      <c r="H3503" t="s">
        <v>39</v>
      </c>
      <c r="I3503" t="s">
        <v>58</v>
      </c>
      <c r="J3503" t="s">
        <v>50</v>
      </c>
      <c r="K3503">
        <v>4.8</v>
      </c>
      <c r="L3503" t="s">
        <v>143</v>
      </c>
      <c r="M3503" t="s">
        <v>143</v>
      </c>
      <c r="N3503">
        <v>43</v>
      </c>
      <c r="O3503" t="s">
        <v>66</v>
      </c>
      <c r="P3503" t="s">
        <v>35</v>
      </c>
    </row>
    <row r="3504" spans="1:16" ht="14.5" x14ac:dyDescent="0.35">
      <c r="A3504">
        <v>3503</v>
      </c>
      <c r="B3504">
        <v>31</v>
      </c>
      <c r="C3504" t="s">
        <v>144</v>
      </c>
      <c r="D3504" t="s">
        <v>123</v>
      </c>
      <c r="E3504" t="s">
        <v>60</v>
      </c>
      <c r="F3504">
        <v>62</v>
      </c>
      <c r="G3504" t="s">
        <v>31</v>
      </c>
      <c r="H3504" t="s">
        <v>39</v>
      </c>
      <c r="I3504" t="s">
        <v>87</v>
      </c>
      <c r="J3504" t="s">
        <v>50</v>
      </c>
      <c r="K3504">
        <v>4.7</v>
      </c>
      <c r="L3504" t="s">
        <v>143</v>
      </c>
      <c r="M3504" t="s">
        <v>143</v>
      </c>
      <c r="N3504">
        <v>26</v>
      </c>
      <c r="O3504" t="s">
        <v>66</v>
      </c>
      <c r="P3504" t="s">
        <v>51</v>
      </c>
    </row>
    <row r="3505" spans="1:16" ht="14.5" x14ac:dyDescent="0.35">
      <c r="A3505">
        <v>3504</v>
      </c>
      <c r="B3505">
        <v>31</v>
      </c>
      <c r="C3505" t="s">
        <v>144</v>
      </c>
      <c r="D3505" t="s">
        <v>48</v>
      </c>
      <c r="E3505" t="s">
        <v>18</v>
      </c>
      <c r="F3505">
        <v>96</v>
      </c>
      <c r="G3505" t="s">
        <v>136</v>
      </c>
      <c r="H3505" t="s">
        <v>39</v>
      </c>
      <c r="I3505" t="s">
        <v>62</v>
      </c>
      <c r="J3505" t="s">
        <v>33</v>
      </c>
      <c r="K3505">
        <v>3.9</v>
      </c>
      <c r="L3505" t="s">
        <v>143</v>
      </c>
      <c r="M3505" t="s">
        <v>143</v>
      </c>
      <c r="N3505">
        <v>39</v>
      </c>
      <c r="O3505" t="s">
        <v>29</v>
      </c>
      <c r="P3505" t="s">
        <v>35</v>
      </c>
    </row>
    <row r="3506" spans="1:16" ht="14.5" x14ac:dyDescent="0.35">
      <c r="A3506">
        <v>3505</v>
      </c>
      <c r="B3506">
        <v>65</v>
      </c>
      <c r="C3506" t="s">
        <v>144</v>
      </c>
      <c r="D3506" t="s">
        <v>59</v>
      </c>
      <c r="E3506" t="s">
        <v>60</v>
      </c>
      <c r="F3506">
        <v>41</v>
      </c>
      <c r="G3506" t="s">
        <v>68</v>
      </c>
      <c r="H3506" t="s">
        <v>32</v>
      </c>
      <c r="I3506" t="s">
        <v>74</v>
      </c>
      <c r="J3506" t="s">
        <v>50</v>
      </c>
      <c r="K3506">
        <v>4</v>
      </c>
      <c r="L3506" t="s">
        <v>143</v>
      </c>
      <c r="M3506" t="s">
        <v>143</v>
      </c>
      <c r="N3506">
        <v>50</v>
      </c>
      <c r="O3506" t="s">
        <v>24</v>
      </c>
      <c r="P3506" t="s">
        <v>79</v>
      </c>
    </row>
    <row r="3507" spans="1:16" ht="14.5" x14ac:dyDescent="0.35">
      <c r="A3507">
        <v>3506</v>
      </c>
      <c r="B3507">
        <v>48</v>
      </c>
      <c r="C3507" t="s">
        <v>144</v>
      </c>
      <c r="D3507" t="s">
        <v>97</v>
      </c>
      <c r="E3507" t="s">
        <v>60</v>
      </c>
      <c r="F3507">
        <v>42</v>
      </c>
      <c r="G3507" t="s">
        <v>107</v>
      </c>
      <c r="H3507" t="s">
        <v>20</v>
      </c>
      <c r="I3507" t="s">
        <v>99</v>
      </c>
      <c r="J3507" t="s">
        <v>22</v>
      </c>
      <c r="K3507">
        <v>3.7</v>
      </c>
      <c r="L3507" t="s">
        <v>143</v>
      </c>
      <c r="M3507" t="s">
        <v>143</v>
      </c>
      <c r="N3507">
        <v>40</v>
      </c>
      <c r="O3507" t="s">
        <v>66</v>
      </c>
      <c r="P3507" t="s">
        <v>88</v>
      </c>
    </row>
    <row r="3508" spans="1:16" ht="14.5" x14ac:dyDescent="0.35">
      <c r="A3508">
        <v>3507</v>
      </c>
      <c r="B3508">
        <v>18</v>
      </c>
      <c r="C3508" t="s">
        <v>144</v>
      </c>
      <c r="D3508" t="s">
        <v>48</v>
      </c>
      <c r="E3508" t="s">
        <v>18</v>
      </c>
      <c r="F3508">
        <v>57</v>
      </c>
      <c r="G3508" t="s">
        <v>106</v>
      </c>
      <c r="H3508" t="s">
        <v>20</v>
      </c>
      <c r="I3508" t="s">
        <v>69</v>
      </c>
      <c r="J3508" t="s">
        <v>22</v>
      </c>
      <c r="K3508">
        <v>3.7</v>
      </c>
      <c r="L3508" t="s">
        <v>143</v>
      </c>
      <c r="M3508" t="s">
        <v>143</v>
      </c>
      <c r="N3508">
        <v>12</v>
      </c>
      <c r="O3508" t="s">
        <v>29</v>
      </c>
      <c r="P3508" t="s">
        <v>25</v>
      </c>
    </row>
    <row r="3509" spans="1:16" ht="14.5" x14ac:dyDescent="0.35">
      <c r="A3509">
        <v>3508</v>
      </c>
      <c r="B3509">
        <v>46</v>
      </c>
      <c r="C3509" t="s">
        <v>144</v>
      </c>
      <c r="D3509" t="s">
        <v>59</v>
      </c>
      <c r="E3509" t="s">
        <v>60</v>
      </c>
      <c r="F3509">
        <v>65</v>
      </c>
      <c r="G3509" t="s">
        <v>103</v>
      </c>
      <c r="H3509" t="s">
        <v>32</v>
      </c>
      <c r="I3509" t="s">
        <v>65</v>
      </c>
      <c r="J3509" t="s">
        <v>33</v>
      </c>
      <c r="K3509">
        <v>4.2</v>
      </c>
      <c r="L3509" t="s">
        <v>143</v>
      </c>
      <c r="M3509" t="s">
        <v>143</v>
      </c>
      <c r="N3509">
        <v>33</v>
      </c>
      <c r="O3509" t="s">
        <v>34</v>
      </c>
      <c r="P3509" t="s">
        <v>88</v>
      </c>
    </row>
    <row r="3510" spans="1:16" ht="14.5" x14ac:dyDescent="0.35">
      <c r="A3510">
        <v>3509</v>
      </c>
      <c r="B3510">
        <v>52</v>
      </c>
      <c r="C3510" t="s">
        <v>144</v>
      </c>
      <c r="D3510" t="s">
        <v>86</v>
      </c>
      <c r="E3510" t="s">
        <v>18</v>
      </c>
      <c r="F3510">
        <v>54</v>
      </c>
      <c r="G3510" t="s">
        <v>129</v>
      </c>
      <c r="H3510" t="s">
        <v>39</v>
      </c>
      <c r="I3510" t="s">
        <v>21</v>
      </c>
      <c r="J3510" t="s">
        <v>50</v>
      </c>
      <c r="K3510">
        <v>4.7</v>
      </c>
      <c r="L3510" t="s">
        <v>143</v>
      </c>
      <c r="M3510" t="s">
        <v>143</v>
      </c>
      <c r="N3510">
        <v>49</v>
      </c>
      <c r="O3510" t="s">
        <v>66</v>
      </c>
      <c r="P3510" t="s">
        <v>35</v>
      </c>
    </row>
    <row r="3511" spans="1:16" ht="14.5" x14ac:dyDescent="0.35">
      <c r="A3511">
        <v>3510</v>
      </c>
      <c r="B3511">
        <v>50</v>
      </c>
      <c r="C3511" t="s">
        <v>144</v>
      </c>
      <c r="D3511" t="s">
        <v>104</v>
      </c>
      <c r="E3511" t="s">
        <v>18</v>
      </c>
      <c r="F3511">
        <v>22</v>
      </c>
      <c r="G3511" t="s">
        <v>114</v>
      </c>
      <c r="H3511" t="s">
        <v>20</v>
      </c>
      <c r="I3511" t="s">
        <v>101</v>
      </c>
      <c r="J3511" t="s">
        <v>22</v>
      </c>
      <c r="K3511">
        <v>4.3</v>
      </c>
      <c r="L3511" t="s">
        <v>143</v>
      </c>
      <c r="M3511" t="s">
        <v>143</v>
      </c>
      <c r="N3511">
        <v>43</v>
      </c>
      <c r="O3511" t="s">
        <v>24</v>
      </c>
      <c r="P3511" t="s">
        <v>67</v>
      </c>
    </row>
    <row r="3512" spans="1:16" ht="14.5" x14ac:dyDescent="0.35">
      <c r="A3512">
        <v>3511</v>
      </c>
      <c r="B3512">
        <v>49</v>
      </c>
      <c r="C3512" t="s">
        <v>144</v>
      </c>
      <c r="D3512" t="s">
        <v>44</v>
      </c>
      <c r="E3512" t="s">
        <v>37</v>
      </c>
      <c r="F3512">
        <v>96</v>
      </c>
      <c r="G3512" t="s">
        <v>129</v>
      </c>
      <c r="H3512" t="s">
        <v>32</v>
      </c>
      <c r="I3512" t="s">
        <v>112</v>
      </c>
      <c r="J3512" t="s">
        <v>50</v>
      </c>
      <c r="K3512">
        <v>4.9000000000000004</v>
      </c>
      <c r="L3512" t="s">
        <v>143</v>
      </c>
      <c r="M3512" t="s">
        <v>143</v>
      </c>
      <c r="N3512">
        <v>14</v>
      </c>
      <c r="O3512" t="s">
        <v>24</v>
      </c>
      <c r="P3512" t="s">
        <v>79</v>
      </c>
    </row>
    <row r="3513" spans="1:16" ht="14.5" x14ac:dyDescent="0.35">
      <c r="A3513">
        <v>3512</v>
      </c>
      <c r="B3513">
        <v>69</v>
      </c>
      <c r="C3513" t="s">
        <v>144</v>
      </c>
      <c r="D3513" t="s">
        <v>97</v>
      </c>
      <c r="E3513" t="s">
        <v>60</v>
      </c>
      <c r="F3513">
        <v>81</v>
      </c>
      <c r="G3513" t="s">
        <v>82</v>
      </c>
      <c r="H3513" t="s">
        <v>39</v>
      </c>
      <c r="I3513" t="s">
        <v>135</v>
      </c>
      <c r="J3513" t="s">
        <v>47</v>
      </c>
      <c r="K3513">
        <v>3.9</v>
      </c>
      <c r="L3513" t="s">
        <v>143</v>
      </c>
      <c r="M3513" t="s">
        <v>143</v>
      </c>
      <c r="N3513">
        <v>21</v>
      </c>
      <c r="O3513" t="s">
        <v>34</v>
      </c>
      <c r="P3513" t="s">
        <v>88</v>
      </c>
    </row>
    <row r="3514" spans="1:16" ht="14.5" x14ac:dyDescent="0.35">
      <c r="A3514">
        <v>3513</v>
      </c>
      <c r="B3514">
        <v>36</v>
      </c>
      <c r="C3514" t="s">
        <v>144</v>
      </c>
      <c r="D3514" t="s">
        <v>48</v>
      </c>
      <c r="E3514" t="s">
        <v>18</v>
      </c>
      <c r="F3514">
        <v>46</v>
      </c>
      <c r="G3514" t="s">
        <v>19</v>
      </c>
      <c r="H3514" t="s">
        <v>39</v>
      </c>
      <c r="I3514" t="s">
        <v>46</v>
      </c>
      <c r="J3514" t="s">
        <v>50</v>
      </c>
      <c r="K3514">
        <v>3.4</v>
      </c>
      <c r="L3514" t="s">
        <v>143</v>
      </c>
      <c r="M3514" t="s">
        <v>143</v>
      </c>
      <c r="N3514">
        <v>31</v>
      </c>
      <c r="O3514" t="s">
        <v>77</v>
      </c>
      <c r="P3514" t="s">
        <v>51</v>
      </c>
    </row>
    <row r="3515" spans="1:16" ht="14.5" x14ac:dyDescent="0.35">
      <c r="A3515">
        <v>3514</v>
      </c>
      <c r="B3515">
        <v>30</v>
      </c>
      <c r="C3515" t="s">
        <v>144</v>
      </c>
      <c r="D3515" t="s">
        <v>17</v>
      </c>
      <c r="E3515" t="s">
        <v>18</v>
      </c>
      <c r="F3515">
        <v>74</v>
      </c>
      <c r="G3515" t="s">
        <v>111</v>
      </c>
      <c r="H3515" t="s">
        <v>83</v>
      </c>
      <c r="I3515" t="s">
        <v>54</v>
      </c>
      <c r="J3515" t="s">
        <v>33</v>
      </c>
      <c r="K3515">
        <v>4.2</v>
      </c>
      <c r="L3515" t="s">
        <v>143</v>
      </c>
      <c r="M3515" t="s">
        <v>143</v>
      </c>
      <c r="N3515">
        <v>29</v>
      </c>
      <c r="O3515" t="s">
        <v>34</v>
      </c>
      <c r="P3515" t="s">
        <v>25</v>
      </c>
    </row>
    <row r="3516" spans="1:16" ht="14.5" x14ac:dyDescent="0.35">
      <c r="A3516">
        <v>3515</v>
      </c>
      <c r="B3516">
        <v>25</v>
      </c>
      <c r="C3516" t="s">
        <v>144</v>
      </c>
      <c r="D3516" t="s">
        <v>44</v>
      </c>
      <c r="E3516" t="s">
        <v>37</v>
      </c>
      <c r="F3516">
        <v>50</v>
      </c>
      <c r="G3516" t="s">
        <v>133</v>
      </c>
      <c r="H3516" t="s">
        <v>83</v>
      </c>
      <c r="I3516" t="s">
        <v>21</v>
      </c>
      <c r="J3516" t="s">
        <v>22</v>
      </c>
      <c r="K3516">
        <v>4.7</v>
      </c>
      <c r="L3516" t="s">
        <v>143</v>
      </c>
      <c r="M3516" t="s">
        <v>143</v>
      </c>
      <c r="N3516">
        <v>32</v>
      </c>
      <c r="O3516" t="s">
        <v>29</v>
      </c>
      <c r="P3516" t="s">
        <v>79</v>
      </c>
    </row>
    <row r="3517" spans="1:16" ht="14.5" x14ac:dyDescent="0.35">
      <c r="A3517">
        <v>3516</v>
      </c>
      <c r="B3517">
        <v>19</v>
      </c>
      <c r="C3517" t="s">
        <v>144</v>
      </c>
      <c r="D3517" t="s">
        <v>72</v>
      </c>
      <c r="E3517" t="s">
        <v>18</v>
      </c>
      <c r="F3517">
        <v>80</v>
      </c>
      <c r="G3517" t="s">
        <v>138</v>
      </c>
      <c r="H3517" t="s">
        <v>83</v>
      </c>
      <c r="I3517" t="s">
        <v>54</v>
      </c>
      <c r="J3517" t="s">
        <v>22</v>
      </c>
      <c r="K3517">
        <v>4</v>
      </c>
      <c r="L3517" t="s">
        <v>143</v>
      </c>
      <c r="M3517" t="s">
        <v>143</v>
      </c>
      <c r="N3517">
        <v>16</v>
      </c>
      <c r="O3517" t="s">
        <v>77</v>
      </c>
      <c r="P3517" t="s">
        <v>67</v>
      </c>
    </row>
    <row r="3518" spans="1:16" ht="14.5" x14ac:dyDescent="0.35">
      <c r="A3518">
        <v>3517</v>
      </c>
      <c r="B3518">
        <v>34</v>
      </c>
      <c r="C3518" t="s">
        <v>144</v>
      </c>
      <c r="D3518" t="s">
        <v>128</v>
      </c>
      <c r="E3518" t="s">
        <v>37</v>
      </c>
      <c r="F3518">
        <v>56</v>
      </c>
      <c r="G3518" t="s">
        <v>122</v>
      </c>
      <c r="H3518" t="s">
        <v>32</v>
      </c>
      <c r="I3518" t="s">
        <v>46</v>
      </c>
      <c r="J3518" t="s">
        <v>47</v>
      </c>
      <c r="K3518">
        <v>4</v>
      </c>
      <c r="L3518" t="s">
        <v>143</v>
      </c>
      <c r="M3518" t="s">
        <v>143</v>
      </c>
      <c r="N3518">
        <v>38</v>
      </c>
      <c r="O3518" t="s">
        <v>40</v>
      </c>
      <c r="P3518" t="s">
        <v>67</v>
      </c>
    </row>
    <row r="3519" spans="1:16" ht="14.5" x14ac:dyDescent="0.35">
      <c r="A3519">
        <v>3518</v>
      </c>
      <c r="B3519">
        <v>29</v>
      </c>
      <c r="C3519" t="s">
        <v>144</v>
      </c>
      <c r="D3519" t="s">
        <v>78</v>
      </c>
      <c r="E3519" t="s">
        <v>18</v>
      </c>
      <c r="F3519">
        <v>69</v>
      </c>
      <c r="G3519" t="s">
        <v>113</v>
      </c>
      <c r="H3519" t="s">
        <v>39</v>
      </c>
      <c r="I3519" t="s">
        <v>112</v>
      </c>
      <c r="J3519" t="s">
        <v>22</v>
      </c>
      <c r="K3519">
        <v>3.1</v>
      </c>
      <c r="L3519" t="s">
        <v>143</v>
      </c>
      <c r="M3519" t="s">
        <v>143</v>
      </c>
      <c r="N3519">
        <v>34</v>
      </c>
      <c r="O3519" t="s">
        <v>77</v>
      </c>
      <c r="P3519" t="s">
        <v>88</v>
      </c>
    </row>
    <row r="3520" spans="1:16" ht="14.5" x14ac:dyDescent="0.35">
      <c r="A3520">
        <v>3519</v>
      </c>
      <c r="B3520">
        <v>50</v>
      </c>
      <c r="C3520" t="s">
        <v>144</v>
      </c>
      <c r="D3520" t="s">
        <v>48</v>
      </c>
      <c r="E3520" t="s">
        <v>18</v>
      </c>
      <c r="F3520">
        <v>97</v>
      </c>
      <c r="G3520" t="s">
        <v>103</v>
      </c>
      <c r="H3520" t="s">
        <v>39</v>
      </c>
      <c r="I3520" t="s">
        <v>85</v>
      </c>
      <c r="J3520" t="s">
        <v>33</v>
      </c>
      <c r="K3520">
        <v>4.2</v>
      </c>
      <c r="L3520" t="s">
        <v>143</v>
      </c>
      <c r="M3520" t="s">
        <v>143</v>
      </c>
      <c r="N3520">
        <v>30</v>
      </c>
      <c r="O3520" t="s">
        <v>40</v>
      </c>
      <c r="P3520" t="s">
        <v>51</v>
      </c>
    </row>
    <row r="3521" spans="1:16" ht="14.5" x14ac:dyDescent="0.35">
      <c r="A3521">
        <v>3520</v>
      </c>
      <c r="B3521">
        <v>31</v>
      </c>
      <c r="C3521" t="s">
        <v>144</v>
      </c>
      <c r="D3521" t="s">
        <v>52</v>
      </c>
      <c r="E3521" t="s">
        <v>18</v>
      </c>
      <c r="F3521">
        <v>66</v>
      </c>
      <c r="G3521" t="s">
        <v>141</v>
      </c>
      <c r="H3521" t="s">
        <v>39</v>
      </c>
      <c r="I3521" t="s">
        <v>46</v>
      </c>
      <c r="J3521" t="s">
        <v>22</v>
      </c>
      <c r="K3521">
        <v>3.7</v>
      </c>
      <c r="L3521" t="s">
        <v>143</v>
      </c>
      <c r="M3521" t="s">
        <v>143</v>
      </c>
      <c r="N3521">
        <v>14</v>
      </c>
      <c r="O3521" t="s">
        <v>66</v>
      </c>
      <c r="P3521" t="s">
        <v>25</v>
      </c>
    </row>
    <row r="3522" spans="1:16" ht="14.5" x14ac:dyDescent="0.35">
      <c r="A3522">
        <v>3521</v>
      </c>
      <c r="B3522">
        <v>41</v>
      </c>
      <c r="C3522" t="s">
        <v>144</v>
      </c>
      <c r="D3522" t="s">
        <v>115</v>
      </c>
      <c r="E3522" t="s">
        <v>60</v>
      </c>
      <c r="F3522">
        <v>70</v>
      </c>
      <c r="G3522" t="s">
        <v>133</v>
      </c>
      <c r="H3522" t="s">
        <v>32</v>
      </c>
      <c r="I3522" t="s">
        <v>101</v>
      </c>
      <c r="J3522" t="s">
        <v>33</v>
      </c>
      <c r="K3522">
        <v>3.1</v>
      </c>
      <c r="L3522" t="s">
        <v>143</v>
      </c>
      <c r="M3522" t="s">
        <v>143</v>
      </c>
      <c r="N3522">
        <v>33</v>
      </c>
      <c r="O3522" t="s">
        <v>66</v>
      </c>
      <c r="P3522" t="s">
        <v>79</v>
      </c>
    </row>
    <row r="3523" spans="1:16" ht="14.5" x14ac:dyDescent="0.35">
      <c r="A3523">
        <v>3522</v>
      </c>
      <c r="B3523">
        <v>52</v>
      </c>
      <c r="C3523" t="s">
        <v>144</v>
      </c>
      <c r="D3523" t="s">
        <v>63</v>
      </c>
      <c r="E3523" t="s">
        <v>37</v>
      </c>
      <c r="F3523">
        <v>50</v>
      </c>
      <c r="G3523" t="s">
        <v>119</v>
      </c>
      <c r="H3523" t="s">
        <v>39</v>
      </c>
      <c r="I3523" t="s">
        <v>62</v>
      </c>
      <c r="J3523" t="s">
        <v>22</v>
      </c>
      <c r="K3523">
        <v>3.7</v>
      </c>
      <c r="L3523" t="s">
        <v>143</v>
      </c>
      <c r="M3523" t="s">
        <v>143</v>
      </c>
      <c r="N3523">
        <v>35</v>
      </c>
      <c r="O3523" t="s">
        <v>24</v>
      </c>
      <c r="P3523" t="s">
        <v>35</v>
      </c>
    </row>
    <row r="3524" spans="1:16" ht="14.5" x14ac:dyDescent="0.35">
      <c r="A3524">
        <v>3523</v>
      </c>
      <c r="B3524">
        <v>27</v>
      </c>
      <c r="C3524" t="s">
        <v>144</v>
      </c>
      <c r="D3524" t="s">
        <v>86</v>
      </c>
      <c r="E3524" t="s">
        <v>18</v>
      </c>
      <c r="F3524">
        <v>85</v>
      </c>
      <c r="G3524" t="s">
        <v>118</v>
      </c>
      <c r="H3524" t="s">
        <v>39</v>
      </c>
      <c r="I3524" t="s">
        <v>125</v>
      </c>
      <c r="J3524" t="s">
        <v>33</v>
      </c>
      <c r="K3524">
        <v>3.2</v>
      </c>
      <c r="L3524" t="s">
        <v>143</v>
      </c>
      <c r="M3524" t="s">
        <v>143</v>
      </c>
      <c r="N3524">
        <v>13</v>
      </c>
      <c r="O3524" t="s">
        <v>29</v>
      </c>
      <c r="P3524" t="s">
        <v>51</v>
      </c>
    </row>
    <row r="3525" spans="1:16" ht="14.5" x14ac:dyDescent="0.35">
      <c r="A3525">
        <v>3524</v>
      </c>
      <c r="B3525">
        <v>49</v>
      </c>
      <c r="C3525" t="s">
        <v>144</v>
      </c>
      <c r="D3525" t="s">
        <v>123</v>
      </c>
      <c r="E3525" t="s">
        <v>60</v>
      </c>
      <c r="F3525">
        <v>59</v>
      </c>
      <c r="G3525" t="s">
        <v>98</v>
      </c>
      <c r="H3525" t="s">
        <v>39</v>
      </c>
      <c r="I3525" t="s">
        <v>100</v>
      </c>
      <c r="J3525" t="s">
        <v>47</v>
      </c>
      <c r="K3525">
        <v>2.8</v>
      </c>
      <c r="L3525" t="s">
        <v>143</v>
      </c>
      <c r="M3525" t="s">
        <v>143</v>
      </c>
      <c r="N3525">
        <v>30</v>
      </c>
      <c r="O3525" t="s">
        <v>29</v>
      </c>
      <c r="P3525" t="s">
        <v>25</v>
      </c>
    </row>
    <row r="3526" spans="1:16" ht="14.5" x14ac:dyDescent="0.35">
      <c r="A3526">
        <v>3525</v>
      </c>
      <c r="B3526">
        <v>69</v>
      </c>
      <c r="C3526" t="s">
        <v>144</v>
      </c>
      <c r="D3526" t="s">
        <v>86</v>
      </c>
      <c r="E3526" t="s">
        <v>18</v>
      </c>
      <c r="F3526">
        <v>74</v>
      </c>
      <c r="G3526" t="s">
        <v>142</v>
      </c>
      <c r="H3526" t="s">
        <v>20</v>
      </c>
      <c r="I3526" t="s">
        <v>58</v>
      </c>
      <c r="J3526" t="s">
        <v>47</v>
      </c>
      <c r="K3526">
        <v>2.9</v>
      </c>
      <c r="L3526" t="s">
        <v>143</v>
      </c>
      <c r="M3526" t="s">
        <v>143</v>
      </c>
      <c r="N3526">
        <v>30</v>
      </c>
      <c r="O3526" t="s">
        <v>34</v>
      </c>
      <c r="P3526" t="s">
        <v>79</v>
      </c>
    </row>
    <row r="3527" spans="1:16" ht="14.5" x14ac:dyDescent="0.35">
      <c r="A3527">
        <v>3526</v>
      </c>
      <c r="B3527">
        <v>45</v>
      </c>
      <c r="C3527" t="s">
        <v>144</v>
      </c>
      <c r="D3527" t="s">
        <v>80</v>
      </c>
      <c r="E3527" t="s">
        <v>60</v>
      </c>
      <c r="F3527">
        <v>38</v>
      </c>
      <c r="G3527" t="s">
        <v>45</v>
      </c>
      <c r="H3527" t="s">
        <v>20</v>
      </c>
      <c r="I3527" t="s">
        <v>69</v>
      </c>
      <c r="J3527" t="s">
        <v>22</v>
      </c>
      <c r="K3527">
        <v>3.5</v>
      </c>
      <c r="L3527" t="s">
        <v>143</v>
      </c>
      <c r="M3527" t="s">
        <v>143</v>
      </c>
      <c r="N3527">
        <v>47</v>
      </c>
      <c r="O3527" t="s">
        <v>66</v>
      </c>
      <c r="P3527" t="s">
        <v>43</v>
      </c>
    </row>
    <row r="3528" spans="1:16" ht="14.5" x14ac:dyDescent="0.35">
      <c r="A3528">
        <v>3527</v>
      </c>
      <c r="B3528">
        <v>20</v>
      </c>
      <c r="C3528" t="s">
        <v>144</v>
      </c>
      <c r="D3528" t="s">
        <v>26</v>
      </c>
      <c r="E3528" t="s">
        <v>18</v>
      </c>
      <c r="F3528">
        <v>99</v>
      </c>
      <c r="G3528" t="s">
        <v>31</v>
      </c>
      <c r="H3528" t="s">
        <v>39</v>
      </c>
      <c r="I3528" t="s">
        <v>69</v>
      </c>
      <c r="J3528" t="s">
        <v>33</v>
      </c>
      <c r="K3528">
        <v>3.8</v>
      </c>
      <c r="L3528" t="s">
        <v>143</v>
      </c>
      <c r="M3528" t="s">
        <v>143</v>
      </c>
      <c r="N3528">
        <v>1</v>
      </c>
      <c r="O3528" t="s">
        <v>40</v>
      </c>
      <c r="P3528" t="s">
        <v>88</v>
      </c>
    </row>
    <row r="3529" spans="1:16" ht="14.5" x14ac:dyDescent="0.35">
      <c r="A3529">
        <v>3528</v>
      </c>
      <c r="B3529">
        <v>25</v>
      </c>
      <c r="C3529" t="s">
        <v>144</v>
      </c>
      <c r="D3529" t="s">
        <v>17</v>
      </c>
      <c r="E3529" t="s">
        <v>18</v>
      </c>
      <c r="F3529">
        <v>97</v>
      </c>
      <c r="G3529" t="s">
        <v>140</v>
      </c>
      <c r="H3529" t="s">
        <v>32</v>
      </c>
      <c r="I3529" t="s">
        <v>54</v>
      </c>
      <c r="J3529" t="s">
        <v>33</v>
      </c>
      <c r="K3529">
        <v>4.7</v>
      </c>
      <c r="L3529" t="s">
        <v>143</v>
      </c>
      <c r="M3529" t="s">
        <v>143</v>
      </c>
      <c r="N3529">
        <v>1</v>
      </c>
      <c r="O3529" t="s">
        <v>29</v>
      </c>
      <c r="P3529" t="s">
        <v>35</v>
      </c>
    </row>
    <row r="3530" spans="1:16" ht="14.5" x14ac:dyDescent="0.35">
      <c r="A3530">
        <v>3529</v>
      </c>
      <c r="B3530">
        <v>38</v>
      </c>
      <c r="C3530" t="s">
        <v>144</v>
      </c>
      <c r="D3530" t="s">
        <v>110</v>
      </c>
      <c r="E3530" t="s">
        <v>60</v>
      </c>
      <c r="F3530">
        <v>67</v>
      </c>
      <c r="G3530" t="s">
        <v>27</v>
      </c>
      <c r="H3530" t="s">
        <v>20</v>
      </c>
      <c r="I3530" t="s">
        <v>21</v>
      </c>
      <c r="J3530" t="s">
        <v>47</v>
      </c>
      <c r="K3530">
        <v>4.5</v>
      </c>
      <c r="L3530" t="s">
        <v>143</v>
      </c>
      <c r="M3530" t="s">
        <v>143</v>
      </c>
      <c r="N3530">
        <v>33</v>
      </c>
      <c r="O3530" t="s">
        <v>40</v>
      </c>
      <c r="P3530" t="s">
        <v>43</v>
      </c>
    </row>
    <row r="3531" spans="1:16" ht="14.5" x14ac:dyDescent="0.35">
      <c r="A3531">
        <v>3530</v>
      </c>
      <c r="B3531">
        <v>55</v>
      </c>
      <c r="C3531" t="s">
        <v>144</v>
      </c>
      <c r="D3531" t="s">
        <v>104</v>
      </c>
      <c r="E3531" t="s">
        <v>18</v>
      </c>
      <c r="F3531">
        <v>20</v>
      </c>
      <c r="G3531" t="s">
        <v>49</v>
      </c>
      <c r="H3531" t="s">
        <v>32</v>
      </c>
      <c r="I3531" t="s">
        <v>28</v>
      </c>
      <c r="J3531" t="s">
        <v>22</v>
      </c>
      <c r="K3531">
        <v>3.9</v>
      </c>
      <c r="L3531" t="s">
        <v>143</v>
      </c>
      <c r="M3531" t="s">
        <v>143</v>
      </c>
      <c r="N3531">
        <v>43</v>
      </c>
      <c r="O3531" t="s">
        <v>66</v>
      </c>
      <c r="P3531" t="s">
        <v>35</v>
      </c>
    </row>
    <row r="3532" spans="1:16" ht="14.5" x14ac:dyDescent="0.35">
      <c r="A3532">
        <v>3531</v>
      </c>
      <c r="B3532">
        <v>62</v>
      </c>
      <c r="C3532" t="s">
        <v>144</v>
      </c>
      <c r="D3532" t="s">
        <v>80</v>
      </c>
      <c r="E3532" t="s">
        <v>60</v>
      </c>
      <c r="F3532">
        <v>45</v>
      </c>
      <c r="G3532" t="s">
        <v>92</v>
      </c>
      <c r="H3532" t="s">
        <v>20</v>
      </c>
      <c r="I3532" t="s">
        <v>85</v>
      </c>
      <c r="J3532" t="s">
        <v>33</v>
      </c>
      <c r="K3532">
        <v>3.4</v>
      </c>
      <c r="L3532" t="s">
        <v>143</v>
      </c>
      <c r="M3532" t="s">
        <v>143</v>
      </c>
      <c r="N3532">
        <v>37</v>
      </c>
      <c r="O3532" t="s">
        <v>40</v>
      </c>
      <c r="P3532" t="s">
        <v>35</v>
      </c>
    </row>
    <row r="3533" spans="1:16" ht="14.5" x14ac:dyDescent="0.35">
      <c r="A3533">
        <v>3532</v>
      </c>
      <c r="B3533">
        <v>54</v>
      </c>
      <c r="C3533" t="s">
        <v>144</v>
      </c>
      <c r="D3533" t="s">
        <v>63</v>
      </c>
      <c r="E3533" t="s">
        <v>37</v>
      </c>
      <c r="F3533">
        <v>52</v>
      </c>
      <c r="G3533" t="s">
        <v>105</v>
      </c>
      <c r="H3533" t="s">
        <v>83</v>
      </c>
      <c r="I3533" t="s">
        <v>74</v>
      </c>
      <c r="J3533" t="s">
        <v>22</v>
      </c>
      <c r="K3533">
        <v>4.5999999999999996</v>
      </c>
      <c r="L3533" t="s">
        <v>143</v>
      </c>
      <c r="M3533" t="s">
        <v>143</v>
      </c>
      <c r="N3533">
        <v>23</v>
      </c>
      <c r="O3533" t="s">
        <v>29</v>
      </c>
      <c r="P3533" t="s">
        <v>51</v>
      </c>
    </row>
    <row r="3534" spans="1:16" ht="14.5" x14ac:dyDescent="0.35">
      <c r="A3534">
        <v>3533</v>
      </c>
      <c r="B3534">
        <v>61</v>
      </c>
      <c r="C3534" t="s">
        <v>144</v>
      </c>
      <c r="D3534" t="s">
        <v>86</v>
      </c>
      <c r="E3534" t="s">
        <v>18</v>
      </c>
      <c r="F3534">
        <v>68</v>
      </c>
      <c r="G3534" t="s">
        <v>130</v>
      </c>
      <c r="H3534" t="s">
        <v>20</v>
      </c>
      <c r="I3534" t="s">
        <v>117</v>
      </c>
      <c r="J3534" t="s">
        <v>50</v>
      </c>
      <c r="K3534">
        <v>4.5999999999999996</v>
      </c>
      <c r="L3534" t="s">
        <v>143</v>
      </c>
      <c r="M3534" t="s">
        <v>143</v>
      </c>
      <c r="N3534">
        <v>12</v>
      </c>
      <c r="O3534" t="s">
        <v>34</v>
      </c>
      <c r="P3534" t="s">
        <v>43</v>
      </c>
    </row>
    <row r="3535" spans="1:16" ht="14.5" x14ac:dyDescent="0.35">
      <c r="A3535">
        <v>3534</v>
      </c>
      <c r="B3535">
        <v>50</v>
      </c>
      <c r="C3535" t="s">
        <v>144</v>
      </c>
      <c r="D3535" t="s">
        <v>44</v>
      </c>
      <c r="E3535" t="s">
        <v>37</v>
      </c>
      <c r="F3535">
        <v>98</v>
      </c>
      <c r="G3535" t="s">
        <v>96</v>
      </c>
      <c r="H3535" t="s">
        <v>20</v>
      </c>
      <c r="I3535" t="s">
        <v>125</v>
      </c>
      <c r="J3535" t="s">
        <v>50</v>
      </c>
      <c r="K3535">
        <v>4.7</v>
      </c>
      <c r="L3535" t="s">
        <v>143</v>
      </c>
      <c r="M3535" t="s">
        <v>143</v>
      </c>
      <c r="N3535">
        <v>30</v>
      </c>
      <c r="O3535" t="s">
        <v>24</v>
      </c>
      <c r="P3535" t="s">
        <v>25</v>
      </c>
    </row>
    <row r="3536" spans="1:16" ht="14.5" x14ac:dyDescent="0.35">
      <c r="A3536">
        <v>3535</v>
      </c>
      <c r="B3536">
        <v>65</v>
      </c>
      <c r="C3536" t="s">
        <v>144</v>
      </c>
      <c r="D3536" t="s">
        <v>63</v>
      </c>
      <c r="E3536" t="s">
        <v>37</v>
      </c>
      <c r="F3536">
        <v>83</v>
      </c>
      <c r="G3536" t="s">
        <v>70</v>
      </c>
      <c r="H3536" t="s">
        <v>39</v>
      </c>
      <c r="I3536" t="s">
        <v>21</v>
      </c>
      <c r="J3536" t="s">
        <v>50</v>
      </c>
      <c r="K3536">
        <v>3.2</v>
      </c>
      <c r="L3536" t="s">
        <v>143</v>
      </c>
      <c r="M3536" t="s">
        <v>143</v>
      </c>
      <c r="N3536">
        <v>7</v>
      </c>
      <c r="O3536" t="s">
        <v>29</v>
      </c>
      <c r="P3536" t="s">
        <v>35</v>
      </c>
    </row>
    <row r="3537" spans="1:16" ht="14.5" x14ac:dyDescent="0.35">
      <c r="A3537">
        <v>3536</v>
      </c>
      <c r="B3537">
        <v>68</v>
      </c>
      <c r="C3537" t="s">
        <v>144</v>
      </c>
      <c r="D3537" t="s">
        <v>52</v>
      </c>
      <c r="E3537" t="s">
        <v>18</v>
      </c>
      <c r="F3537">
        <v>51</v>
      </c>
      <c r="G3537" t="s">
        <v>82</v>
      </c>
      <c r="H3537" t="s">
        <v>39</v>
      </c>
      <c r="I3537" t="s">
        <v>99</v>
      </c>
      <c r="J3537" t="s">
        <v>47</v>
      </c>
      <c r="K3537">
        <v>5</v>
      </c>
      <c r="L3537" t="s">
        <v>143</v>
      </c>
      <c r="M3537" t="s">
        <v>143</v>
      </c>
      <c r="N3537">
        <v>20</v>
      </c>
      <c r="O3537" t="s">
        <v>77</v>
      </c>
      <c r="P3537" t="s">
        <v>79</v>
      </c>
    </row>
    <row r="3538" spans="1:16" ht="14.5" x14ac:dyDescent="0.35">
      <c r="A3538">
        <v>3537</v>
      </c>
      <c r="B3538">
        <v>55</v>
      </c>
      <c r="C3538" t="s">
        <v>144</v>
      </c>
      <c r="D3538" t="s">
        <v>59</v>
      </c>
      <c r="E3538" t="s">
        <v>60</v>
      </c>
      <c r="F3538">
        <v>21</v>
      </c>
      <c r="G3538" t="s">
        <v>139</v>
      </c>
      <c r="H3538" t="s">
        <v>20</v>
      </c>
      <c r="I3538" t="s">
        <v>91</v>
      </c>
      <c r="J3538" t="s">
        <v>33</v>
      </c>
      <c r="K3538">
        <v>4.5</v>
      </c>
      <c r="L3538" t="s">
        <v>143</v>
      </c>
      <c r="M3538" t="s">
        <v>143</v>
      </c>
      <c r="N3538">
        <v>10</v>
      </c>
      <c r="O3538" t="s">
        <v>24</v>
      </c>
      <c r="P3538" t="s">
        <v>79</v>
      </c>
    </row>
    <row r="3539" spans="1:16" ht="14.5" x14ac:dyDescent="0.35">
      <c r="A3539">
        <v>3538</v>
      </c>
      <c r="B3539">
        <v>57</v>
      </c>
      <c r="C3539" t="s">
        <v>144</v>
      </c>
      <c r="D3539" t="s">
        <v>59</v>
      </c>
      <c r="E3539" t="s">
        <v>60</v>
      </c>
      <c r="F3539">
        <v>92</v>
      </c>
      <c r="G3539" t="s">
        <v>133</v>
      </c>
      <c r="H3539" t="s">
        <v>39</v>
      </c>
      <c r="I3539" t="s">
        <v>21</v>
      </c>
      <c r="J3539" t="s">
        <v>33</v>
      </c>
      <c r="K3539">
        <v>3.5</v>
      </c>
      <c r="L3539" t="s">
        <v>143</v>
      </c>
      <c r="M3539" t="s">
        <v>143</v>
      </c>
      <c r="N3539">
        <v>40</v>
      </c>
      <c r="O3539" t="s">
        <v>34</v>
      </c>
      <c r="P3539" t="s">
        <v>88</v>
      </c>
    </row>
    <row r="3540" spans="1:16" ht="14.5" x14ac:dyDescent="0.35">
      <c r="A3540">
        <v>3539</v>
      </c>
      <c r="B3540">
        <v>56</v>
      </c>
      <c r="C3540" t="s">
        <v>144</v>
      </c>
      <c r="D3540" t="s">
        <v>63</v>
      </c>
      <c r="E3540" t="s">
        <v>37</v>
      </c>
      <c r="F3540">
        <v>63</v>
      </c>
      <c r="G3540" t="s">
        <v>137</v>
      </c>
      <c r="H3540" t="s">
        <v>32</v>
      </c>
      <c r="I3540" t="s">
        <v>46</v>
      </c>
      <c r="J3540" t="s">
        <v>33</v>
      </c>
      <c r="K3540">
        <v>4.5</v>
      </c>
      <c r="L3540" t="s">
        <v>143</v>
      </c>
      <c r="M3540" t="s">
        <v>143</v>
      </c>
      <c r="N3540">
        <v>21</v>
      </c>
      <c r="O3540" t="s">
        <v>24</v>
      </c>
      <c r="P3540" t="s">
        <v>79</v>
      </c>
    </row>
    <row r="3541" spans="1:16" ht="14.5" x14ac:dyDescent="0.35">
      <c r="A3541">
        <v>3540</v>
      </c>
      <c r="B3541">
        <v>29</v>
      </c>
      <c r="C3541" t="s">
        <v>144</v>
      </c>
      <c r="D3541" t="s">
        <v>97</v>
      </c>
      <c r="E3541" t="s">
        <v>60</v>
      </c>
      <c r="F3541">
        <v>56</v>
      </c>
      <c r="G3541" t="s">
        <v>75</v>
      </c>
      <c r="H3541" t="s">
        <v>32</v>
      </c>
      <c r="I3541" t="s">
        <v>87</v>
      </c>
      <c r="J3541" t="s">
        <v>33</v>
      </c>
      <c r="K3541">
        <v>3.2</v>
      </c>
      <c r="L3541" t="s">
        <v>143</v>
      </c>
      <c r="M3541" t="s">
        <v>143</v>
      </c>
      <c r="N3541">
        <v>17</v>
      </c>
      <c r="O3541" t="s">
        <v>34</v>
      </c>
      <c r="P3541" t="s">
        <v>67</v>
      </c>
    </row>
    <row r="3542" spans="1:16" ht="14.5" x14ac:dyDescent="0.35">
      <c r="A3542">
        <v>3541</v>
      </c>
      <c r="B3542">
        <v>24</v>
      </c>
      <c r="C3542" t="s">
        <v>144</v>
      </c>
      <c r="D3542" t="s">
        <v>52</v>
      </c>
      <c r="E3542" t="s">
        <v>18</v>
      </c>
      <c r="F3542">
        <v>95</v>
      </c>
      <c r="G3542" t="s">
        <v>98</v>
      </c>
      <c r="H3542" t="s">
        <v>39</v>
      </c>
      <c r="I3542" t="s">
        <v>127</v>
      </c>
      <c r="J3542" t="s">
        <v>33</v>
      </c>
      <c r="K3542">
        <v>4.5999999999999996</v>
      </c>
      <c r="L3542" t="s">
        <v>143</v>
      </c>
      <c r="M3542" t="s">
        <v>143</v>
      </c>
      <c r="N3542">
        <v>5</v>
      </c>
      <c r="O3542" t="s">
        <v>66</v>
      </c>
      <c r="P3542" t="s">
        <v>35</v>
      </c>
    </row>
    <row r="3543" spans="1:16" ht="14.5" x14ac:dyDescent="0.35">
      <c r="A3543">
        <v>3542</v>
      </c>
      <c r="B3543">
        <v>59</v>
      </c>
      <c r="C3543" t="s">
        <v>144</v>
      </c>
      <c r="D3543" t="s">
        <v>17</v>
      </c>
      <c r="E3543" t="s">
        <v>18</v>
      </c>
      <c r="F3543">
        <v>66</v>
      </c>
      <c r="G3543" t="s">
        <v>132</v>
      </c>
      <c r="H3543" t="s">
        <v>39</v>
      </c>
      <c r="I3543" t="s">
        <v>69</v>
      </c>
      <c r="J3543" t="s">
        <v>22</v>
      </c>
      <c r="K3543">
        <v>4</v>
      </c>
      <c r="L3543" t="s">
        <v>143</v>
      </c>
      <c r="M3543" t="s">
        <v>143</v>
      </c>
      <c r="N3543">
        <v>22</v>
      </c>
      <c r="O3543" t="s">
        <v>40</v>
      </c>
      <c r="P3543" t="s">
        <v>43</v>
      </c>
    </row>
    <row r="3544" spans="1:16" ht="14.5" x14ac:dyDescent="0.35">
      <c r="A3544">
        <v>3543</v>
      </c>
      <c r="B3544">
        <v>62</v>
      </c>
      <c r="C3544" t="s">
        <v>144</v>
      </c>
      <c r="D3544" t="s">
        <v>55</v>
      </c>
      <c r="E3544" t="s">
        <v>56</v>
      </c>
      <c r="F3544">
        <v>28</v>
      </c>
      <c r="G3544" t="s">
        <v>126</v>
      </c>
      <c r="H3544" t="s">
        <v>32</v>
      </c>
      <c r="I3544" t="s">
        <v>69</v>
      </c>
      <c r="J3544" t="s">
        <v>33</v>
      </c>
      <c r="K3544">
        <v>4.2</v>
      </c>
      <c r="L3544" t="s">
        <v>143</v>
      </c>
      <c r="M3544" t="s">
        <v>143</v>
      </c>
      <c r="N3544">
        <v>5</v>
      </c>
      <c r="O3544" t="s">
        <v>24</v>
      </c>
      <c r="P3544" t="s">
        <v>35</v>
      </c>
    </row>
    <row r="3545" spans="1:16" ht="14.5" x14ac:dyDescent="0.35">
      <c r="A3545">
        <v>3544</v>
      </c>
      <c r="B3545">
        <v>58</v>
      </c>
      <c r="C3545" t="s">
        <v>144</v>
      </c>
      <c r="D3545" t="s">
        <v>115</v>
      </c>
      <c r="E3545" t="s">
        <v>60</v>
      </c>
      <c r="F3545">
        <v>83</v>
      </c>
      <c r="G3545" t="s">
        <v>103</v>
      </c>
      <c r="H3545" t="s">
        <v>39</v>
      </c>
      <c r="I3545" t="s">
        <v>135</v>
      </c>
      <c r="J3545" t="s">
        <v>22</v>
      </c>
      <c r="K3545">
        <v>4.0999999999999996</v>
      </c>
      <c r="L3545" t="s">
        <v>143</v>
      </c>
      <c r="M3545" t="s">
        <v>143</v>
      </c>
      <c r="N3545">
        <v>18</v>
      </c>
      <c r="O3545" t="s">
        <v>40</v>
      </c>
      <c r="P3545" t="s">
        <v>88</v>
      </c>
    </row>
    <row r="3546" spans="1:16" ht="14.5" x14ac:dyDescent="0.35">
      <c r="A3546">
        <v>3545</v>
      </c>
      <c r="B3546">
        <v>64</v>
      </c>
      <c r="C3546" t="s">
        <v>144</v>
      </c>
      <c r="D3546" t="s">
        <v>116</v>
      </c>
      <c r="E3546" t="s">
        <v>18</v>
      </c>
      <c r="F3546">
        <v>55</v>
      </c>
      <c r="G3546" t="s">
        <v>141</v>
      </c>
      <c r="H3546" t="s">
        <v>83</v>
      </c>
      <c r="I3546" t="s">
        <v>54</v>
      </c>
      <c r="J3546" t="s">
        <v>50</v>
      </c>
      <c r="K3546">
        <v>3.6</v>
      </c>
      <c r="L3546" t="s">
        <v>143</v>
      </c>
      <c r="M3546" t="s">
        <v>143</v>
      </c>
      <c r="N3546">
        <v>42</v>
      </c>
      <c r="O3546" t="s">
        <v>29</v>
      </c>
      <c r="P3546" t="s">
        <v>88</v>
      </c>
    </row>
    <row r="3547" spans="1:16" ht="14.5" x14ac:dyDescent="0.35">
      <c r="A3547">
        <v>3546</v>
      </c>
      <c r="B3547">
        <v>48</v>
      </c>
      <c r="C3547" t="s">
        <v>144</v>
      </c>
      <c r="D3547" t="s">
        <v>36</v>
      </c>
      <c r="E3547" t="s">
        <v>37</v>
      </c>
      <c r="F3547">
        <v>28</v>
      </c>
      <c r="G3547" t="s">
        <v>130</v>
      </c>
      <c r="H3547" t="s">
        <v>39</v>
      </c>
      <c r="I3547" t="s">
        <v>125</v>
      </c>
      <c r="J3547" t="s">
        <v>33</v>
      </c>
      <c r="K3547">
        <v>3.7</v>
      </c>
      <c r="L3547" t="s">
        <v>143</v>
      </c>
      <c r="M3547" t="s">
        <v>143</v>
      </c>
      <c r="N3547">
        <v>22</v>
      </c>
      <c r="O3547" t="s">
        <v>77</v>
      </c>
      <c r="P3547" t="s">
        <v>43</v>
      </c>
    </row>
    <row r="3548" spans="1:16" ht="14.5" x14ac:dyDescent="0.35">
      <c r="A3548">
        <v>3547</v>
      </c>
      <c r="B3548">
        <v>60</v>
      </c>
      <c r="C3548" t="s">
        <v>144</v>
      </c>
      <c r="D3548" t="s">
        <v>110</v>
      </c>
      <c r="E3548" t="s">
        <v>60</v>
      </c>
      <c r="F3548">
        <v>79</v>
      </c>
      <c r="G3548" t="s">
        <v>102</v>
      </c>
      <c r="H3548" t="s">
        <v>39</v>
      </c>
      <c r="I3548" t="s">
        <v>74</v>
      </c>
      <c r="J3548" t="s">
        <v>47</v>
      </c>
      <c r="K3548">
        <v>3.6</v>
      </c>
      <c r="L3548" t="s">
        <v>143</v>
      </c>
      <c r="M3548" t="s">
        <v>143</v>
      </c>
      <c r="N3548">
        <v>37</v>
      </c>
      <c r="O3548" t="s">
        <v>66</v>
      </c>
      <c r="P3548" t="s">
        <v>67</v>
      </c>
    </row>
    <row r="3549" spans="1:16" ht="14.5" x14ac:dyDescent="0.35">
      <c r="A3549">
        <v>3548</v>
      </c>
      <c r="B3549">
        <v>52</v>
      </c>
      <c r="C3549" t="s">
        <v>144</v>
      </c>
      <c r="D3549" t="s">
        <v>110</v>
      </c>
      <c r="E3549" t="s">
        <v>60</v>
      </c>
      <c r="F3549">
        <v>31</v>
      </c>
      <c r="G3549" t="s">
        <v>129</v>
      </c>
      <c r="H3549" t="s">
        <v>20</v>
      </c>
      <c r="I3549" t="s">
        <v>127</v>
      </c>
      <c r="J3549" t="s">
        <v>47</v>
      </c>
      <c r="K3549">
        <v>3.8</v>
      </c>
      <c r="L3549" t="s">
        <v>143</v>
      </c>
      <c r="M3549" t="s">
        <v>143</v>
      </c>
      <c r="N3549">
        <v>23</v>
      </c>
      <c r="O3549" t="s">
        <v>34</v>
      </c>
      <c r="P3549" t="s">
        <v>43</v>
      </c>
    </row>
    <row r="3550" spans="1:16" ht="14.5" x14ac:dyDescent="0.35">
      <c r="A3550">
        <v>3549</v>
      </c>
      <c r="B3550">
        <v>63</v>
      </c>
      <c r="C3550" t="s">
        <v>144</v>
      </c>
      <c r="D3550" t="s">
        <v>17</v>
      </c>
      <c r="E3550" t="s">
        <v>18</v>
      </c>
      <c r="F3550">
        <v>37</v>
      </c>
      <c r="G3550" t="s">
        <v>131</v>
      </c>
      <c r="H3550" t="s">
        <v>39</v>
      </c>
      <c r="I3550" t="s">
        <v>99</v>
      </c>
      <c r="J3550" t="s">
        <v>50</v>
      </c>
      <c r="K3550">
        <v>3</v>
      </c>
      <c r="L3550" t="s">
        <v>143</v>
      </c>
      <c r="M3550" t="s">
        <v>143</v>
      </c>
      <c r="N3550">
        <v>47</v>
      </c>
      <c r="O3550" t="s">
        <v>77</v>
      </c>
      <c r="P3550" t="s">
        <v>25</v>
      </c>
    </row>
    <row r="3551" spans="1:16" ht="14.5" x14ac:dyDescent="0.35">
      <c r="A3551">
        <v>3550</v>
      </c>
      <c r="B3551">
        <v>44</v>
      </c>
      <c r="C3551" t="s">
        <v>144</v>
      </c>
      <c r="D3551" t="s">
        <v>104</v>
      </c>
      <c r="E3551" t="s">
        <v>18</v>
      </c>
      <c r="F3551">
        <v>34</v>
      </c>
      <c r="G3551" t="s">
        <v>41</v>
      </c>
      <c r="H3551" t="s">
        <v>39</v>
      </c>
      <c r="I3551" t="s">
        <v>100</v>
      </c>
      <c r="J3551" t="s">
        <v>47</v>
      </c>
      <c r="K3551">
        <v>3.4</v>
      </c>
      <c r="L3551" t="s">
        <v>143</v>
      </c>
      <c r="M3551" t="s">
        <v>143</v>
      </c>
      <c r="N3551">
        <v>11</v>
      </c>
      <c r="O3551" t="s">
        <v>66</v>
      </c>
      <c r="P3551" t="s">
        <v>25</v>
      </c>
    </row>
    <row r="3552" spans="1:16" ht="14.5" x14ac:dyDescent="0.35">
      <c r="A3552">
        <v>3551</v>
      </c>
      <c r="B3552">
        <v>63</v>
      </c>
      <c r="C3552" t="s">
        <v>144</v>
      </c>
      <c r="D3552" t="s">
        <v>63</v>
      </c>
      <c r="E3552" t="s">
        <v>37</v>
      </c>
      <c r="F3552">
        <v>74</v>
      </c>
      <c r="G3552" t="s">
        <v>57</v>
      </c>
      <c r="H3552" t="s">
        <v>32</v>
      </c>
      <c r="I3552" t="s">
        <v>112</v>
      </c>
      <c r="J3552" t="s">
        <v>22</v>
      </c>
      <c r="K3552">
        <v>4.8</v>
      </c>
      <c r="L3552" t="s">
        <v>143</v>
      </c>
      <c r="M3552" t="s">
        <v>143</v>
      </c>
      <c r="N3552">
        <v>32</v>
      </c>
      <c r="O3552" t="s">
        <v>29</v>
      </c>
      <c r="P3552" t="s">
        <v>35</v>
      </c>
    </row>
    <row r="3553" spans="1:16" ht="14.5" x14ac:dyDescent="0.35">
      <c r="A3553">
        <v>3552</v>
      </c>
      <c r="B3553">
        <v>66</v>
      </c>
      <c r="C3553" t="s">
        <v>144</v>
      </c>
      <c r="D3553" t="s">
        <v>134</v>
      </c>
      <c r="E3553" t="s">
        <v>60</v>
      </c>
      <c r="F3553">
        <v>31</v>
      </c>
      <c r="G3553" t="s">
        <v>49</v>
      </c>
      <c r="H3553" t="s">
        <v>20</v>
      </c>
      <c r="I3553" t="s">
        <v>85</v>
      </c>
      <c r="J3553" t="s">
        <v>33</v>
      </c>
      <c r="K3553">
        <v>2.6</v>
      </c>
      <c r="L3553" t="s">
        <v>143</v>
      </c>
      <c r="M3553" t="s">
        <v>143</v>
      </c>
      <c r="N3553">
        <v>20</v>
      </c>
      <c r="O3553" t="s">
        <v>24</v>
      </c>
      <c r="P3553" t="s">
        <v>35</v>
      </c>
    </row>
    <row r="3554" spans="1:16" ht="14.5" x14ac:dyDescent="0.35">
      <c r="A3554">
        <v>3553</v>
      </c>
      <c r="B3554">
        <v>22</v>
      </c>
      <c r="C3554" t="s">
        <v>144</v>
      </c>
      <c r="D3554" t="s">
        <v>80</v>
      </c>
      <c r="E3554" t="s">
        <v>60</v>
      </c>
      <c r="F3554">
        <v>66</v>
      </c>
      <c r="G3554" t="s">
        <v>19</v>
      </c>
      <c r="H3554" t="s">
        <v>39</v>
      </c>
      <c r="I3554" t="s">
        <v>135</v>
      </c>
      <c r="J3554" t="s">
        <v>22</v>
      </c>
      <c r="K3554">
        <v>2.9</v>
      </c>
      <c r="L3554" t="s">
        <v>143</v>
      </c>
      <c r="M3554" t="s">
        <v>143</v>
      </c>
      <c r="N3554">
        <v>3</v>
      </c>
      <c r="O3554" t="s">
        <v>40</v>
      </c>
      <c r="P3554" t="s">
        <v>51</v>
      </c>
    </row>
    <row r="3555" spans="1:16" ht="14.5" x14ac:dyDescent="0.35">
      <c r="A3555">
        <v>3554</v>
      </c>
      <c r="B3555">
        <v>62</v>
      </c>
      <c r="C3555" t="s">
        <v>144</v>
      </c>
      <c r="D3555" t="s">
        <v>63</v>
      </c>
      <c r="E3555" t="s">
        <v>37</v>
      </c>
      <c r="F3555">
        <v>99</v>
      </c>
      <c r="G3555" t="s">
        <v>139</v>
      </c>
      <c r="H3555" t="s">
        <v>39</v>
      </c>
      <c r="I3555" t="s">
        <v>54</v>
      </c>
      <c r="J3555" t="s">
        <v>33</v>
      </c>
      <c r="K3555">
        <v>4.9000000000000004</v>
      </c>
      <c r="L3555" t="s">
        <v>143</v>
      </c>
      <c r="M3555" t="s">
        <v>143</v>
      </c>
      <c r="N3555">
        <v>32</v>
      </c>
      <c r="O3555" t="s">
        <v>66</v>
      </c>
      <c r="P3555" t="s">
        <v>35</v>
      </c>
    </row>
    <row r="3556" spans="1:16" ht="14.5" x14ac:dyDescent="0.35">
      <c r="A3556">
        <v>3555</v>
      </c>
      <c r="B3556">
        <v>39</v>
      </c>
      <c r="C3556" t="s">
        <v>144</v>
      </c>
      <c r="D3556" t="s">
        <v>72</v>
      </c>
      <c r="E3556" t="s">
        <v>18</v>
      </c>
      <c r="F3556">
        <v>55</v>
      </c>
      <c r="G3556" t="s">
        <v>53</v>
      </c>
      <c r="H3556" t="s">
        <v>39</v>
      </c>
      <c r="I3556" t="s">
        <v>117</v>
      </c>
      <c r="J3556" t="s">
        <v>33</v>
      </c>
      <c r="K3556">
        <v>5</v>
      </c>
      <c r="L3556" t="s">
        <v>143</v>
      </c>
      <c r="M3556" t="s">
        <v>143</v>
      </c>
      <c r="N3556">
        <v>5</v>
      </c>
      <c r="O3556" t="s">
        <v>34</v>
      </c>
      <c r="P3556" t="s">
        <v>25</v>
      </c>
    </row>
    <row r="3557" spans="1:16" ht="14.5" x14ac:dyDescent="0.35">
      <c r="A3557">
        <v>3556</v>
      </c>
      <c r="B3557">
        <v>25</v>
      </c>
      <c r="C3557" t="s">
        <v>144</v>
      </c>
      <c r="D3557" t="s">
        <v>17</v>
      </c>
      <c r="E3557" t="s">
        <v>18</v>
      </c>
      <c r="F3557">
        <v>23</v>
      </c>
      <c r="G3557" t="s">
        <v>70</v>
      </c>
      <c r="H3557" t="s">
        <v>20</v>
      </c>
      <c r="I3557" t="s">
        <v>58</v>
      </c>
      <c r="J3557" t="s">
        <v>33</v>
      </c>
      <c r="K3557">
        <v>4.5999999999999996</v>
      </c>
      <c r="L3557" t="s">
        <v>143</v>
      </c>
      <c r="M3557" t="s">
        <v>143</v>
      </c>
      <c r="N3557">
        <v>45</v>
      </c>
      <c r="O3557" t="s">
        <v>29</v>
      </c>
      <c r="P3557" t="s">
        <v>51</v>
      </c>
    </row>
    <row r="3558" spans="1:16" ht="14.5" x14ac:dyDescent="0.35">
      <c r="A3558">
        <v>3557</v>
      </c>
      <c r="B3558">
        <v>70</v>
      </c>
      <c r="C3558" t="s">
        <v>144</v>
      </c>
      <c r="D3558" t="s">
        <v>26</v>
      </c>
      <c r="E3558" t="s">
        <v>18</v>
      </c>
      <c r="F3558">
        <v>88</v>
      </c>
      <c r="G3558" t="s">
        <v>108</v>
      </c>
      <c r="H3558" t="s">
        <v>39</v>
      </c>
      <c r="I3558" t="s">
        <v>101</v>
      </c>
      <c r="J3558" t="s">
        <v>50</v>
      </c>
      <c r="K3558">
        <v>4.2</v>
      </c>
      <c r="L3558" t="s">
        <v>143</v>
      </c>
      <c r="M3558" t="s">
        <v>143</v>
      </c>
      <c r="N3558">
        <v>43</v>
      </c>
      <c r="O3558" t="s">
        <v>29</v>
      </c>
      <c r="P3558" t="s">
        <v>67</v>
      </c>
    </row>
    <row r="3559" spans="1:16" ht="14.5" x14ac:dyDescent="0.35">
      <c r="A3559">
        <v>3558</v>
      </c>
      <c r="B3559">
        <v>52</v>
      </c>
      <c r="C3559" t="s">
        <v>144</v>
      </c>
      <c r="D3559" t="s">
        <v>93</v>
      </c>
      <c r="E3559" t="s">
        <v>56</v>
      </c>
      <c r="F3559">
        <v>26</v>
      </c>
      <c r="G3559" t="s">
        <v>98</v>
      </c>
      <c r="H3559" t="s">
        <v>39</v>
      </c>
      <c r="I3559" t="s">
        <v>91</v>
      </c>
      <c r="J3559" t="s">
        <v>47</v>
      </c>
      <c r="K3559">
        <v>4.9000000000000004</v>
      </c>
      <c r="L3559" t="s">
        <v>143</v>
      </c>
      <c r="M3559" t="s">
        <v>143</v>
      </c>
      <c r="N3559">
        <v>1</v>
      </c>
      <c r="O3559" t="s">
        <v>40</v>
      </c>
      <c r="P3559" t="s">
        <v>88</v>
      </c>
    </row>
    <row r="3560" spans="1:16" ht="14.5" x14ac:dyDescent="0.35">
      <c r="A3560">
        <v>3559</v>
      </c>
      <c r="B3560">
        <v>68</v>
      </c>
      <c r="C3560" t="s">
        <v>144</v>
      </c>
      <c r="D3560" t="s">
        <v>123</v>
      </c>
      <c r="E3560" t="s">
        <v>60</v>
      </c>
      <c r="F3560">
        <v>94</v>
      </c>
      <c r="G3560" t="s">
        <v>111</v>
      </c>
      <c r="H3560" t="s">
        <v>20</v>
      </c>
      <c r="I3560" t="s">
        <v>127</v>
      </c>
      <c r="J3560" t="s">
        <v>47</v>
      </c>
      <c r="K3560">
        <v>4.8</v>
      </c>
      <c r="L3560" t="s">
        <v>143</v>
      </c>
      <c r="M3560" t="s">
        <v>143</v>
      </c>
      <c r="N3560">
        <v>9</v>
      </c>
      <c r="O3560" t="s">
        <v>24</v>
      </c>
      <c r="P3560" t="s">
        <v>51</v>
      </c>
    </row>
    <row r="3561" spans="1:16" ht="14.5" x14ac:dyDescent="0.35">
      <c r="A3561">
        <v>3560</v>
      </c>
      <c r="B3561">
        <v>18</v>
      </c>
      <c r="C3561" t="s">
        <v>144</v>
      </c>
      <c r="D3561" t="s">
        <v>52</v>
      </c>
      <c r="E3561" t="s">
        <v>18</v>
      </c>
      <c r="F3561">
        <v>25</v>
      </c>
      <c r="G3561" t="s">
        <v>131</v>
      </c>
      <c r="H3561" t="s">
        <v>39</v>
      </c>
      <c r="I3561" t="s">
        <v>109</v>
      </c>
      <c r="J3561" t="s">
        <v>50</v>
      </c>
      <c r="K3561">
        <v>3</v>
      </c>
      <c r="L3561" t="s">
        <v>143</v>
      </c>
      <c r="M3561" t="s">
        <v>143</v>
      </c>
      <c r="N3561">
        <v>13</v>
      </c>
      <c r="O3561" t="s">
        <v>24</v>
      </c>
      <c r="P3561" t="s">
        <v>88</v>
      </c>
    </row>
    <row r="3562" spans="1:16" ht="14.5" x14ac:dyDescent="0.35">
      <c r="A3562">
        <v>3561</v>
      </c>
      <c r="B3562">
        <v>18</v>
      </c>
      <c r="C3562" t="s">
        <v>144</v>
      </c>
      <c r="D3562" t="s">
        <v>116</v>
      </c>
      <c r="E3562" t="s">
        <v>18</v>
      </c>
      <c r="F3562">
        <v>96</v>
      </c>
      <c r="G3562" t="s">
        <v>102</v>
      </c>
      <c r="H3562" t="s">
        <v>83</v>
      </c>
      <c r="I3562" t="s">
        <v>74</v>
      </c>
      <c r="J3562" t="s">
        <v>50</v>
      </c>
      <c r="K3562">
        <v>3.5</v>
      </c>
      <c r="L3562" t="s">
        <v>143</v>
      </c>
      <c r="M3562" t="s">
        <v>143</v>
      </c>
      <c r="N3562">
        <v>5</v>
      </c>
      <c r="O3562" t="s">
        <v>34</v>
      </c>
      <c r="P3562" t="s">
        <v>43</v>
      </c>
    </row>
    <row r="3563" spans="1:16" ht="14.5" x14ac:dyDescent="0.35">
      <c r="A3563">
        <v>3562</v>
      </c>
      <c r="B3563">
        <v>63</v>
      </c>
      <c r="C3563" t="s">
        <v>144</v>
      </c>
      <c r="D3563" t="s">
        <v>44</v>
      </c>
      <c r="E3563" t="s">
        <v>37</v>
      </c>
      <c r="F3563">
        <v>29</v>
      </c>
      <c r="G3563" t="s">
        <v>89</v>
      </c>
      <c r="H3563" t="s">
        <v>20</v>
      </c>
      <c r="I3563" t="s">
        <v>85</v>
      </c>
      <c r="J3563" t="s">
        <v>33</v>
      </c>
      <c r="K3563">
        <v>3.4</v>
      </c>
      <c r="L3563" t="s">
        <v>143</v>
      </c>
      <c r="M3563" t="s">
        <v>143</v>
      </c>
      <c r="N3563">
        <v>39</v>
      </c>
      <c r="O3563" t="s">
        <v>34</v>
      </c>
      <c r="P3563" t="s">
        <v>25</v>
      </c>
    </row>
    <row r="3564" spans="1:16" ht="14.5" x14ac:dyDescent="0.35">
      <c r="A3564">
        <v>3563</v>
      </c>
      <c r="B3564">
        <v>47</v>
      </c>
      <c r="C3564" t="s">
        <v>144</v>
      </c>
      <c r="D3564" t="s">
        <v>44</v>
      </c>
      <c r="E3564" t="s">
        <v>37</v>
      </c>
      <c r="F3564">
        <v>36</v>
      </c>
      <c r="G3564" t="s">
        <v>119</v>
      </c>
      <c r="H3564" t="s">
        <v>39</v>
      </c>
      <c r="I3564" t="s">
        <v>100</v>
      </c>
      <c r="J3564" t="s">
        <v>22</v>
      </c>
      <c r="K3564">
        <v>3.4</v>
      </c>
      <c r="L3564" t="s">
        <v>143</v>
      </c>
      <c r="M3564" t="s">
        <v>143</v>
      </c>
      <c r="N3564">
        <v>7</v>
      </c>
      <c r="O3564" t="s">
        <v>66</v>
      </c>
      <c r="P3564" t="s">
        <v>35</v>
      </c>
    </row>
    <row r="3565" spans="1:16" ht="14.5" x14ac:dyDescent="0.35">
      <c r="A3565">
        <v>3564</v>
      </c>
      <c r="B3565">
        <v>43</v>
      </c>
      <c r="C3565" t="s">
        <v>144</v>
      </c>
      <c r="D3565" t="s">
        <v>17</v>
      </c>
      <c r="E3565" t="s">
        <v>18</v>
      </c>
      <c r="F3565">
        <v>90</v>
      </c>
      <c r="G3565" t="s">
        <v>27</v>
      </c>
      <c r="H3565" t="s">
        <v>39</v>
      </c>
      <c r="I3565" t="s">
        <v>87</v>
      </c>
      <c r="J3565" t="s">
        <v>47</v>
      </c>
      <c r="K3565">
        <v>4.9000000000000004</v>
      </c>
      <c r="L3565" t="s">
        <v>143</v>
      </c>
      <c r="M3565" t="s">
        <v>143</v>
      </c>
      <c r="N3565">
        <v>8</v>
      </c>
      <c r="O3565" t="s">
        <v>34</v>
      </c>
      <c r="P3565" t="s">
        <v>88</v>
      </c>
    </row>
    <row r="3566" spans="1:16" ht="14.5" x14ac:dyDescent="0.35">
      <c r="A3566">
        <v>3565</v>
      </c>
      <c r="B3566">
        <v>60</v>
      </c>
      <c r="C3566" t="s">
        <v>144</v>
      </c>
      <c r="D3566" t="s">
        <v>134</v>
      </c>
      <c r="E3566" t="s">
        <v>60</v>
      </c>
      <c r="F3566">
        <v>38</v>
      </c>
      <c r="G3566" t="s">
        <v>106</v>
      </c>
      <c r="H3566" t="s">
        <v>32</v>
      </c>
      <c r="I3566" t="s">
        <v>101</v>
      </c>
      <c r="J3566" t="s">
        <v>47</v>
      </c>
      <c r="K3566">
        <v>4.4000000000000004</v>
      </c>
      <c r="L3566" t="s">
        <v>143</v>
      </c>
      <c r="M3566" t="s">
        <v>143</v>
      </c>
      <c r="N3566">
        <v>40</v>
      </c>
      <c r="O3566" t="s">
        <v>24</v>
      </c>
      <c r="P3566" t="s">
        <v>43</v>
      </c>
    </row>
    <row r="3567" spans="1:16" ht="14.5" x14ac:dyDescent="0.35">
      <c r="A3567">
        <v>3566</v>
      </c>
      <c r="B3567">
        <v>49</v>
      </c>
      <c r="C3567" t="s">
        <v>144</v>
      </c>
      <c r="D3567" t="s">
        <v>59</v>
      </c>
      <c r="E3567" t="s">
        <v>60</v>
      </c>
      <c r="F3567">
        <v>52</v>
      </c>
      <c r="G3567" t="s">
        <v>129</v>
      </c>
      <c r="H3567" t="s">
        <v>32</v>
      </c>
      <c r="I3567" t="s">
        <v>21</v>
      </c>
      <c r="J3567" t="s">
        <v>33</v>
      </c>
      <c r="K3567">
        <v>4.2</v>
      </c>
      <c r="L3567" t="s">
        <v>143</v>
      </c>
      <c r="M3567" t="s">
        <v>143</v>
      </c>
      <c r="N3567">
        <v>35</v>
      </c>
      <c r="O3567" t="s">
        <v>40</v>
      </c>
      <c r="P3567" t="s">
        <v>79</v>
      </c>
    </row>
    <row r="3568" spans="1:16" ht="14.5" x14ac:dyDescent="0.35">
      <c r="A3568">
        <v>3567</v>
      </c>
      <c r="B3568">
        <v>28</v>
      </c>
      <c r="C3568" t="s">
        <v>144</v>
      </c>
      <c r="D3568" t="s">
        <v>30</v>
      </c>
      <c r="E3568" t="s">
        <v>18</v>
      </c>
      <c r="F3568">
        <v>88</v>
      </c>
      <c r="G3568" t="s">
        <v>111</v>
      </c>
      <c r="H3568" t="s">
        <v>32</v>
      </c>
      <c r="I3568" t="s">
        <v>112</v>
      </c>
      <c r="J3568" t="s">
        <v>33</v>
      </c>
      <c r="K3568">
        <v>3.1</v>
      </c>
      <c r="L3568" t="s">
        <v>143</v>
      </c>
      <c r="M3568" t="s">
        <v>143</v>
      </c>
      <c r="N3568">
        <v>14</v>
      </c>
      <c r="O3568" t="s">
        <v>24</v>
      </c>
      <c r="P3568" t="s">
        <v>79</v>
      </c>
    </row>
    <row r="3569" spans="1:16" ht="14.5" x14ac:dyDescent="0.35">
      <c r="A3569">
        <v>3568</v>
      </c>
      <c r="B3569">
        <v>32</v>
      </c>
      <c r="C3569" t="s">
        <v>144</v>
      </c>
      <c r="D3569" t="s">
        <v>110</v>
      </c>
      <c r="E3569" t="s">
        <v>60</v>
      </c>
      <c r="F3569">
        <v>56</v>
      </c>
      <c r="G3569" t="s">
        <v>121</v>
      </c>
      <c r="H3569" t="s">
        <v>32</v>
      </c>
      <c r="I3569" t="s">
        <v>58</v>
      </c>
      <c r="J3569" t="s">
        <v>47</v>
      </c>
      <c r="K3569">
        <v>4</v>
      </c>
      <c r="L3569" t="s">
        <v>143</v>
      </c>
      <c r="M3569" t="s">
        <v>143</v>
      </c>
      <c r="N3569">
        <v>26</v>
      </c>
      <c r="O3569" t="s">
        <v>34</v>
      </c>
      <c r="P3569" t="s">
        <v>79</v>
      </c>
    </row>
    <row r="3570" spans="1:16" ht="14.5" x14ac:dyDescent="0.35">
      <c r="A3570">
        <v>3569</v>
      </c>
      <c r="B3570">
        <v>29</v>
      </c>
      <c r="C3570" t="s">
        <v>144</v>
      </c>
      <c r="D3570" t="s">
        <v>36</v>
      </c>
      <c r="E3570" t="s">
        <v>37</v>
      </c>
      <c r="F3570">
        <v>71</v>
      </c>
      <c r="G3570" t="s">
        <v>64</v>
      </c>
      <c r="H3570" t="s">
        <v>39</v>
      </c>
      <c r="I3570" t="s">
        <v>65</v>
      </c>
      <c r="J3570" t="s">
        <v>33</v>
      </c>
      <c r="K3570">
        <v>4.8</v>
      </c>
      <c r="L3570" t="s">
        <v>143</v>
      </c>
      <c r="M3570" t="s">
        <v>143</v>
      </c>
      <c r="N3570">
        <v>14</v>
      </c>
      <c r="O3570" t="s">
        <v>40</v>
      </c>
      <c r="P3570" t="s">
        <v>51</v>
      </c>
    </row>
    <row r="3571" spans="1:16" ht="14.5" x14ac:dyDescent="0.35">
      <c r="A3571">
        <v>3570</v>
      </c>
      <c r="B3571">
        <v>35</v>
      </c>
      <c r="C3571" t="s">
        <v>144</v>
      </c>
      <c r="D3571" t="s">
        <v>36</v>
      </c>
      <c r="E3571" t="s">
        <v>37</v>
      </c>
      <c r="F3571">
        <v>94</v>
      </c>
      <c r="G3571" t="s">
        <v>111</v>
      </c>
      <c r="H3571" t="s">
        <v>39</v>
      </c>
      <c r="I3571" t="s">
        <v>69</v>
      </c>
      <c r="J3571" t="s">
        <v>50</v>
      </c>
      <c r="K3571">
        <v>3.3</v>
      </c>
      <c r="L3571" t="s">
        <v>143</v>
      </c>
      <c r="M3571" t="s">
        <v>143</v>
      </c>
      <c r="N3571">
        <v>9</v>
      </c>
      <c r="O3571" t="s">
        <v>66</v>
      </c>
      <c r="P3571" t="s">
        <v>25</v>
      </c>
    </row>
    <row r="3572" spans="1:16" ht="14.5" x14ac:dyDescent="0.35">
      <c r="A3572">
        <v>3571</v>
      </c>
      <c r="B3572">
        <v>23</v>
      </c>
      <c r="C3572" t="s">
        <v>144</v>
      </c>
      <c r="D3572" t="s">
        <v>72</v>
      </c>
      <c r="E3572" t="s">
        <v>18</v>
      </c>
      <c r="F3572">
        <v>97</v>
      </c>
      <c r="G3572" t="s">
        <v>53</v>
      </c>
      <c r="H3572" t="s">
        <v>83</v>
      </c>
      <c r="I3572" t="s">
        <v>76</v>
      </c>
      <c r="J3572" t="s">
        <v>22</v>
      </c>
      <c r="K3572">
        <v>4.7</v>
      </c>
      <c r="L3572" t="s">
        <v>143</v>
      </c>
      <c r="M3572" t="s">
        <v>143</v>
      </c>
      <c r="N3572">
        <v>32</v>
      </c>
      <c r="O3572" t="s">
        <v>77</v>
      </c>
      <c r="P3572" t="s">
        <v>43</v>
      </c>
    </row>
    <row r="3573" spans="1:16" ht="14.5" x14ac:dyDescent="0.35">
      <c r="A3573">
        <v>3572</v>
      </c>
      <c r="B3573">
        <v>70</v>
      </c>
      <c r="C3573" t="s">
        <v>144</v>
      </c>
      <c r="D3573" t="s">
        <v>78</v>
      </c>
      <c r="E3573" t="s">
        <v>18</v>
      </c>
      <c r="F3573">
        <v>27</v>
      </c>
      <c r="G3573" t="s">
        <v>105</v>
      </c>
      <c r="H3573" t="s">
        <v>39</v>
      </c>
      <c r="I3573" t="s">
        <v>46</v>
      </c>
      <c r="J3573" t="s">
        <v>47</v>
      </c>
      <c r="K3573">
        <v>3.2</v>
      </c>
      <c r="L3573" t="s">
        <v>143</v>
      </c>
      <c r="M3573" t="s">
        <v>143</v>
      </c>
      <c r="N3573">
        <v>15</v>
      </c>
      <c r="O3573" t="s">
        <v>66</v>
      </c>
      <c r="P3573" t="s">
        <v>88</v>
      </c>
    </row>
    <row r="3574" spans="1:16" ht="14.5" x14ac:dyDescent="0.35">
      <c r="A3574">
        <v>3573</v>
      </c>
      <c r="B3574">
        <v>23</v>
      </c>
      <c r="C3574" t="s">
        <v>144</v>
      </c>
      <c r="D3574" t="s">
        <v>52</v>
      </c>
      <c r="E3574" t="s">
        <v>18</v>
      </c>
      <c r="F3574">
        <v>28</v>
      </c>
      <c r="G3574" t="s">
        <v>38</v>
      </c>
      <c r="H3574" t="s">
        <v>39</v>
      </c>
      <c r="I3574" t="s">
        <v>85</v>
      </c>
      <c r="J3574" t="s">
        <v>33</v>
      </c>
      <c r="K3574">
        <v>5</v>
      </c>
      <c r="L3574" t="s">
        <v>143</v>
      </c>
      <c r="M3574" t="s">
        <v>143</v>
      </c>
      <c r="N3574">
        <v>25</v>
      </c>
      <c r="O3574" t="s">
        <v>34</v>
      </c>
      <c r="P3574" t="s">
        <v>79</v>
      </c>
    </row>
    <row r="3575" spans="1:16" ht="14.5" x14ac:dyDescent="0.35">
      <c r="A3575">
        <v>3574</v>
      </c>
      <c r="B3575">
        <v>43</v>
      </c>
      <c r="C3575" t="s">
        <v>144</v>
      </c>
      <c r="D3575" t="s">
        <v>30</v>
      </c>
      <c r="E3575" t="s">
        <v>18</v>
      </c>
      <c r="F3575">
        <v>67</v>
      </c>
      <c r="G3575" t="s">
        <v>130</v>
      </c>
      <c r="H3575" t="s">
        <v>20</v>
      </c>
      <c r="I3575" t="s">
        <v>28</v>
      </c>
      <c r="J3575" t="s">
        <v>50</v>
      </c>
      <c r="K3575">
        <v>4.9000000000000004</v>
      </c>
      <c r="L3575" t="s">
        <v>143</v>
      </c>
      <c r="M3575" t="s">
        <v>143</v>
      </c>
      <c r="N3575">
        <v>27</v>
      </c>
      <c r="O3575" t="s">
        <v>40</v>
      </c>
      <c r="P3575" t="s">
        <v>79</v>
      </c>
    </row>
    <row r="3576" spans="1:16" ht="14.5" x14ac:dyDescent="0.35">
      <c r="A3576">
        <v>3575</v>
      </c>
      <c r="B3576">
        <v>29</v>
      </c>
      <c r="C3576" t="s">
        <v>144</v>
      </c>
      <c r="D3576" t="s">
        <v>116</v>
      </c>
      <c r="E3576" t="s">
        <v>18</v>
      </c>
      <c r="F3576">
        <v>70</v>
      </c>
      <c r="G3576" t="s">
        <v>75</v>
      </c>
      <c r="H3576" t="s">
        <v>39</v>
      </c>
      <c r="I3576" t="s">
        <v>100</v>
      </c>
      <c r="J3576" t="s">
        <v>50</v>
      </c>
      <c r="K3576">
        <v>4.9000000000000004</v>
      </c>
      <c r="L3576" t="s">
        <v>143</v>
      </c>
      <c r="M3576" t="s">
        <v>143</v>
      </c>
      <c r="N3576">
        <v>39</v>
      </c>
      <c r="O3576" t="s">
        <v>66</v>
      </c>
      <c r="P3576" t="s">
        <v>51</v>
      </c>
    </row>
    <row r="3577" spans="1:16" ht="14.5" x14ac:dyDescent="0.35">
      <c r="A3577">
        <v>3576</v>
      </c>
      <c r="B3577">
        <v>61</v>
      </c>
      <c r="C3577" t="s">
        <v>144</v>
      </c>
      <c r="D3577" t="s">
        <v>55</v>
      </c>
      <c r="E3577" t="s">
        <v>56</v>
      </c>
      <c r="F3577">
        <v>95</v>
      </c>
      <c r="G3577" t="s">
        <v>19</v>
      </c>
      <c r="H3577" t="s">
        <v>39</v>
      </c>
      <c r="I3577" t="s">
        <v>74</v>
      </c>
      <c r="J3577" t="s">
        <v>50</v>
      </c>
      <c r="K3577">
        <v>3.7</v>
      </c>
      <c r="L3577" t="s">
        <v>143</v>
      </c>
      <c r="M3577" t="s">
        <v>143</v>
      </c>
      <c r="N3577">
        <v>49</v>
      </c>
      <c r="O3577" t="s">
        <v>24</v>
      </c>
      <c r="P3577" t="s">
        <v>67</v>
      </c>
    </row>
    <row r="3578" spans="1:16" ht="14.5" x14ac:dyDescent="0.35">
      <c r="A3578">
        <v>3577</v>
      </c>
      <c r="B3578">
        <v>29</v>
      </c>
      <c r="C3578" t="s">
        <v>144</v>
      </c>
      <c r="D3578" t="s">
        <v>128</v>
      </c>
      <c r="E3578" t="s">
        <v>37</v>
      </c>
      <c r="F3578">
        <v>24</v>
      </c>
      <c r="G3578" t="s">
        <v>27</v>
      </c>
      <c r="H3578" t="s">
        <v>20</v>
      </c>
      <c r="I3578" t="s">
        <v>125</v>
      </c>
      <c r="J3578" t="s">
        <v>33</v>
      </c>
      <c r="K3578">
        <v>3</v>
      </c>
      <c r="L3578" t="s">
        <v>143</v>
      </c>
      <c r="M3578" t="s">
        <v>143</v>
      </c>
      <c r="N3578">
        <v>12</v>
      </c>
      <c r="O3578" t="s">
        <v>24</v>
      </c>
      <c r="P3578" t="s">
        <v>67</v>
      </c>
    </row>
    <row r="3579" spans="1:16" ht="14.5" x14ac:dyDescent="0.35">
      <c r="A3579">
        <v>3578</v>
      </c>
      <c r="B3579">
        <v>66</v>
      </c>
      <c r="C3579" t="s">
        <v>144</v>
      </c>
      <c r="D3579" t="s">
        <v>124</v>
      </c>
      <c r="E3579" t="s">
        <v>60</v>
      </c>
      <c r="F3579">
        <v>35</v>
      </c>
      <c r="G3579" t="s">
        <v>61</v>
      </c>
      <c r="H3579" t="s">
        <v>32</v>
      </c>
      <c r="I3579" t="s">
        <v>125</v>
      </c>
      <c r="J3579" t="s">
        <v>22</v>
      </c>
      <c r="K3579">
        <v>2.6</v>
      </c>
      <c r="L3579" t="s">
        <v>143</v>
      </c>
      <c r="M3579" t="s">
        <v>143</v>
      </c>
      <c r="N3579">
        <v>13</v>
      </c>
      <c r="O3579" t="s">
        <v>66</v>
      </c>
      <c r="P3579" t="s">
        <v>35</v>
      </c>
    </row>
    <row r="3580" spans="1:16" ht="14.5" x14ac:dyDescent="0.35">
      <c r="A3580">
        <v>3579</v>
      </c>
      <c r="B3580">
        <v>46</v>
      </c>
      <c r="C3580" t="s">
        <v>144</v>
      </c>
      <c r="D3580" t="s">
        <v>63</v>
      </c>
      <c r="E3580" t="s">
        <v>37</v>
      </c>
      <c r="F3580">
        <v>22</v>
      </c>
      <c r="G3580" t="s">
        <v>133</v>
      </c>
      <c r="H3580" t="s">
        <v>20</v>
      </c>
      <c r="I3580" t="s">
        <v>69</v>
      </c>
      <c r="J3580" t="s">
        <v>22</v>
      </c>
      <c r="K3580">
        <v>2.6</v>
      </c>
      <c r="L3580" t="s">
        <v>143</v>
      </c>
      <c r="M3580" t="s">
        <v>143</v>
      </c>
      <c r="N3580">
        <v>22</v>
      </c>
      <c r="O3580" t="s">
        <v>66</v>
      </c>
      <c r="P3580" t="s">
        <v>51</v>
      </c>
    </row>
    <row r="3581" spans="1:16" ht="14.5" x14ac:dyDescent="0.35">
      <c r="A3581">
        <v>3580</v>
      </c>
      <c r="B3581">
        <v>34</v>
      </c>
      <c r="C3581" t="s">
        <v>144</v>
      </c>
      <c r="D3581" t="s">
        <v>110</v>
      </c>
      <c r="E3581" t="s">
        <v>60</v>
      </c>
      <c r="F3581">
        <v>66</v>
      </c>
      <c r="G3581" t="s">
        <v>108</v>
      </c>
      <c r="H3581" t="s">
        <v>20</v>
      </c>
      <c r="I3581" t="s">
        <v>69</v>
      </c>
      <c r="J3581" t="s">
        <v>50</v>
      </c>
      <c r="K3581">
        <v>4.8</v>
      </c>
      <c r="L3581" t="s">
        <v>143</v>
      </c>
      <c r="M3581" t="s">
        <v>143</v>
      </c>
      <c r="N3581">
        <v>19</v>
      </c>
      <c r="O3581" t="s">
        <v>34</v>
      </c>
      <c r="P3581" t="s">
        <v>88</v>
      </c>
    </row>
    <row r="3582" spans="1:16" ht="14.5" x14ac:dyDescent="0.35">
      <c r="A3582">
        <v>3581</v>
      </c>
      <c r="B3582">
        <v>51</v>
      </c>
      <c r="C3582" t="s">
        <v>144</v>
      </c>
      <c r="D3582" t="s">
        <v>17</v>
      </c>
      <c r="E3582" t="s">
        <v>18</v>
      </c>
      <c r="F3582">
        <v>83</v>
      </c>
      <c r="G3582" t="s">
        <v>73</v>
      </c>
      <c r="H3582" t="s">
        <v>39</v>
      </c>
      <c r="I3582" t="s">
        <v>127</v>
      </c>
      <c r="J3582" t="s">
        <v>47</v>
      </c>
      <c r="K3582">
        <v>3.2</v>
      </c>
      <c r="L3582" t="s">
        <v>143</v>
      </c>
      <c r="M3582" t="s">
        <v>143</v>
      </c>
      <c r="N3582">
        <v>3</v>
      </c>
      <c r="O3582" t="s">
        <v>29</v>
      </c>
      <c r="P3582" t="s">
        <v>67</v>
      </c>
    </row>
    <row r="3583" spans="1:16" ht="14.5" x14ac:dyDescent="0.35">
      <c r="A3583">
        <v>3582</v>
      </c>
      <c r="B3583">
        <v>26</v>
      </c>
      <c r="C3583" t="s">
        <v>144</v>
      </c>
      <c r="D3583" t="s">
        <v>72</v>
      </c>
      <c r="E3583" t="s">
        <v>18</v>
      </c>
      <c r="F3583">
        <v>95</v>
      </c>
      <c r="G3583" t="s">
        <v>133</v>
      </c>
      <c r="H3583" t="s">
        <v>39</v>
      </c>
      <c r="I3583" t="s">
        <v>112</v>
      </c>
      <c r="J3583" t="s">
        <v>50</v>
      </c>
      <c r="K3583">
        <v>4.9000000000000004</v>
      </c>
      <c r="L3583" t="s">
        <v>143</v>
      </c>
      <c r="M3583" t="s">
        <v>143</v>
      </c>
      <c r="N3583">
        <v>50</v>
      </c>
      <c r="O3583" t="s">
        <v>34</v>
      </c>
      <c r="P3583" t="s">
        <v>35</v>
      </c>
    </row>
    <row r="3584" spans="1:16" ht="14.5" x14ac:dyDescent="0.35">
      <c r="A3584">
        <v>3583</v>
      </c>
      <c r="B3584">
        <v>23</v>
      </c>
      <c r="C3584" t="s">
        <v>144</v>
      </c>
      <c r="D3584" t="s">
        <v>52</v>
      </c>
      <c r="E3584" t="s">
        <v>18</v>
      </c>
      <c r="F3584">
        <v>41</v>
      </c>
      <c r="G3584" t="s">
        <v>90</v>
      </c>
      <c r="H3584" t="s">
        <v>32</v>
      </c>
      <c r="I3584" t="s">
        <v>109</v>
      </c>
      <c r="J3584" t="s">
        <v>47</v>
      </c>
      <c r="K3584">
        <v>3.4</v>
      </c>
      <c r="L3584" t="s">
        <v>143</v>
      </c>
      <c r="M3584" t="s">
        <v>143</v>
      </c>
      <c r="N3584">
        <v>15</v>
      </c>
      <c r="O3584" t="s">
        <v>40</v>
      </c>
      <c r="P3584" t="s">
        <v>43</v>
      </c>
    </row>
    <row r="3585" spans="1:16" ht="14.5" x14ac:dyDescent="0.35">
      <c r="A3585">
        <v>3584</v>
      </c>
      <c r="B3585">
        <v>52</v>
      </c>
      <c r="C3585" t="s">
        <v>144</v>
      </c>
      <c r="D3585" t="s">
        <v>17</v>
      </c>
      <c r="E3585" t="s">
        <v>18</v>
      </c>
      <c r="F3585">
        <v>77</v>
      </c>
      <c r="G3585" t="s">
        <v>108</v>
      </c>
      <c r="H3585" t="s">
        <v>20</v>
      </c>
      <c r="I3585" t="s">
        <v>101</v>
      </c>
      <c r="J3585" t="s">
        <v>47</v>
      </c>
      <c r="K3585">
        <v>2.7</v>
      </c>
      <c r="L3585" t="s">
        <v>143</v>
      </c>
      <c r="M3585" t="s">
        <v>143</v>
      </c>
      <c r="N3585">
        <v>44</v>
      </c>
      <c r="O3585" t="s">
        <v>34</v>
      </c>
      <c r="P3585" t="s">
        <v>88</v>
      </c>
    </row>
    <row r="3586" spans="1:16" ht="14.5" x14ac:dyDescent="0.35">
      <c r="A3586">
        <v>3585</v>
      </c>
      <c r="B3586">
        <v>39</v>
      </c>
      <c r="C3586" t="s">
        <v>144</v>
      </c>
      <c r="D3586" t="s">
        <v>44</v>
      </c>
      <c r="E3586" t="s">
        <v>37</v>
      </c>
      <c r="F3586">
        <v>52</v>
      </c>
      <c r="G3586" t="s">
        <v>94</v>
      </c>
      <c r="H3586" t="s">
        <v>20</v>
      </c>
      <c r="I3586" t="s">
        <v>117</v>
      </c>
      <c r="J3586" t="s">
        <v>50</v>
      </c>
      <c r="K3586">
        <v>4.8</v>
      </c>
      <c r="L3586" t="s">
        <v>143</v>
      </c>
      <c r="M3586" t="s">
        <v>143</v>
      </c>
      <c r="N3586">
        <v>48</v>
      </c>
      <c r="O3586" t="s">
        <v>77</v>
      </c>
      <c r="P3586" t="s">
        <v>79</v>
      </c>
    </row>
    <row r="3587" spans="1:16" ht="14.5" x14ac:dyDescent="0.35">
      <c r="A3587">
        <v>3586</v>
      </c>
      <c r="B3587">
        <v>39</v>
      </c>
      <c r="C3587" t="s">
        <v>144</v>
      </c>
      <c r="D3587" t="s">
        <v>134</v>
      </c>
      <c r="E3587" t="s">
        <v>60</v>
      </c>
      <c r="F3587">
        <v>41</v>
      </c>
      <c r="G3587" t="s">
        <v>75</v>
      </c>
      <c r="H3587" t="s">
        <v>83</v>
      </c>
      <c r="I3587" t="s">
        <v>21</v>
      </c>
      <c r="J3587" t="s">
        <v>22</v>
      </c>
      <c r="K3587">
        <v>4.0999999999999996</v>
      </c>
      <c r="L3587" t="s">
        <v>143</v>
      </c>
      <c r="M3587" t="s">
        <v>143</v>
      </c>
      <c r="N3587">
        <v>4</v>
      </c>
      <c r="O3587" t="s">
        <v>24</v>
      </c>
      <c r="P3587" t="s">
        <v>67</v>
      </c>
    </row>
    <row r="3588" spans="1:16" ht="14.5" x14ac:dyDescent="0.35">
      <c r="A3588">
        <v>3587</v>
      </c>
      <c r="B3588">
        <v>33</v>
      </c>
      <c r="C3588" t="s">
        <v>144</v>
      </c>
      <c r="D3588" t="s">
        <v>95</v>
      </c>
      <c r="E3588" t="s">
        <v>18</v>
      </c>
      <c r="F3588">
        <v>28</v>
      </c>
      <c r="G3588" t="s">
        <v>126</v>
      </c>
      <c r="H3588" t="s">
        <v>39</v>
      </c>
      <c r="I3588" t="s">
        <v>125</v>
      </c>
      <c r="J3588" t="s">
        <v>22</v>
      </c>
      <c r="K3588">
        <v>4.5999999999999996</v>
      </c>
      <c r="L3588" t="s">
        <v>143</v>
      </c>
      <c r="M3588" t="s">
        <v>143</v>
      </c>
      <c r="N3588">
        <v>12</v>
      </c>
      <c r="O3588" t="s">
        <v>40</v>
      </c>
      <c r="P3588" t="s">
        <v>67</v>
      </c>
    </row>
    <row r="3589" spans="1:16" ht="14.5" x14ac:dyDescent="0.35">
      <c r="A3589">
        <v>3588</v>
      </c>
      <c r="B3589">
        <v>33</v>
      </c>
      <c r="C3589" t="s">
        <v>144</v>
      </c>
      <c r="D3589" t="s">
        <v>26</v>
      </c>
      <c r="E3589" t="s">
        <v>18</v>
      </c>
      <c r="F3589">
        <v>90</v>
      </c>
      <c r="G3589" t="s">
        <v>132</v>
      </c>
      <c r="H3589" t="s">
        <v>32</v>
      </c>
      <c r="I3589" t="s">
        <v>74</v>
      </c>
      <c r="J3589" t="s">
        <v>47</v>
      </c>
      <c r="K3589">
        <v>4.4000000000000004</v>
      </c>
      <c r="L3589" t="s">
        <v>143</v>
      </c>
      <c r="M3589" t="s">
        <v>143</v>
      </c>
      <c r="N3589">
        <v>33</v>
      </c>
      <c r="O3589" t="s">
        <v>77</v>
      </c>
      <c r="P3589" t="s">
        <v>43</v>
      </c>
    </row>
    <row r="3590" spans="1:16" ht="14.5" x14ac:dyDescent="0.35">
      <c r="A3590">
        <v>3589</v>
      </c>
      <c r="B3590">
        <v>23</v>
      </c>
      <c r="C3590" t="s">
        <v>144</v>
      </c>
      <c r="D3590" t="s">
        <v>80</v>
      </c>
      <c r="E3590" t="s">
        <v>60</v>
      </c>
      <c r="F3590">
        <v>55</v>
      </c>
      <c r="G3590" t="s">
        <v>142</v>
      </c>
      <c r="H3590" t="s">
        <v>39</v>
      </c>
      <c r="I3590" t="s">
        <v>127</v>
      </c>
      <c r="J3590" t="s">
        <v>33</v>
      </c>
      <c r="K3590">
        <v>3.5</v>
      </c>
      <c r="L3590" t="s">
        <v>143</v>
      </c>
      <c r="M3590" t="s">
        <v>143</v>
      </c>
      <c r="N3590">
        <v>40</v>
      </c>
      <c r="O3590" t="s">
        <v>29</v>
      </c>
      <c r="P3590" t="s">
        <v>43</v>
      </c>
    </row>
    <row r="3591" spans="1:16" ht="14.5" x14ac:dyDescent="0.35">
      <c r="A3591">
        <v>3590</v>
      </c>
      <c r="B3591">
        <v>31</v>
      </c>
      <c r="C3591" t="s">
        <v>144</v>
      </c>
      <c r="D3591" t="s">
        <v>124</v>
      </c>
      <c r="E3591" t="s">
        <v>60</v>
      </c>
      <c r="F3591">
        <v>73</v>
      </c>
      <c r="G3591" t="s">
        <v>73</v>
      </c>
      <c r="H3591" t="s">
        <v>39</v>
      </c>
      <c r="I3591" t="s">
        <v>135</v>
      </c>
      <c r="J3591" t="s">
        <v>33</v>
      </c>
      <c r="K3591">
        <v>4.8</v>
      </c>
      <c r="L3591" t="s">
        <v>143</v>
      </c>
      <c r="M3591" t="s">
        <v>143</v>
      </c>
      <c r="N3591">
        <v>38</v>
      </c>
      <c r="O3591" t="s">
        <v>29</v>
      </c>
      <c r="P3591" t="s">
        <v>88</v>
      </c>
    </row>
    <row r="3592" spans="1:16" ht="14.5" x14ac:dyDescent="0.35">
      <c r="A3592">
        <v>3591</v>
      </c>
      <c r="B3592">
        <v>27</v>
      </c>
      <c r="C3592" t="s">
        <v>144</v>
      </c>
      <c r="D3592" t="s">
        <v>72</v>
      </c>
      <c r="E3592" t="s">
        <v>18</v>
      </c>
      <c r="F3592">
        <v>87</v>
      </c>
      <c r="G3592" t="s">
        <v>138</v>
      </c>
      <c r="H3592" t="s">
        <v>39</v>
      </c>
      <c r="I3592" t="s">
        <v>21</v>
      </c>
      <c r="J3592" t="s">
        <v>50</v>
      </c>
      <c r="K3592">
        <v>2.9</v>
      </c>
      <c r="L3592" t="s">
        <v>143</v>
      </c>
      <c r="M3592" t="s">
        <v>143</v>
      </c>
      <c r="N3592">
        <v>19</v>
      </c>
      <c r="O3592" t="s">
        <v>24</v>
      </c>
      <c r="P3592" t="s">
        <v>88</v>
      </c>
    </row>
    <row r="3593" spans="1:16" ht="14.5" x14ac:dyDescent="0.35">
      <c r="A3593">
        <v>3592</v>
      </c>
      <c r="B3593">
        <v>48</v>
      </c>
      <c r="C3593" t="s">
        <v>144</v>
      </c>
      <c r="D3593" t="s">
        <v>93</v>
      </c>
      <c r="E3593" t="s">
        <v>56</v>
      </c>
      <c r="F3593">
        <v>89</v>
      </c>
      <c r="G3593" t="s">
        <v>138</v>
      </c>
      <c r="H3593" t="s">
        <v>39</v>
      </c>
      <c r="I3593" t="s">
        <v>71</v>
      </c>
      <c r="J3593" t="s">
        <v>22</v>
      </c>
      <c r="K3593">
        <v>3.2</v>
      </c>
      <c r="L3593" t="s">
        <v>143</v>
      </c>
      <c r="M3593" t="s">
        <v>143</v>
      </c>
      <c r="N3593">
        <v>38</v>
      </c>
      <c r="O3593" t="s">
        <v>66</v>
      </c>
      <c r="P3593" t="s">
        <v>51</v>
      </c>
    </row>
    <row r="3594" spans="1:16" ht="14.5" x14ac:dyDescent="0.35">
      <c r="A3594">
        <v>3593</v>
      </c>
      <c r="B3594">
        <v>61</v>
      </c>
      <c r="C3594" t="s">
        <v>144</v>
      </c>
      <c r="D3594" t="s">
        <v>128</v>
      </c>
      <c r="E3594" t="s">
        <v>37</v>
      </c>
      <c r="F3594">
        <v>82</v>
      </c>
      <c r="G3594" t="s">
        <v>118</v>
      </c>
      <c r="H3594" t="s">
        <v>20</v>
      </c>
      <c r="I3594" t="s">
        <v>84</v>
      </c>
      <c r="J3594" t="s">
        <v>33</v>
      </c>
      <c r="K3594">
        <v>4.4000000000000004</v>
      </c>
      <c r="L3594" t="s">
        <v>143</v>
      </c>
      <c r="M3594" t="s">
        <v>143</v>
      </c>
      <c r="N3594">
        <v>18</v>
      </c>
      <c r="O3594" t="s">
        <v>24</v>
      </c>
      <c r="P3594" t="s">
        <v>25</v>
      </c>
    </row>
    <row r="3595" spans="1:16" ht="14.5" x14ac:dyDescent="0.35">
      <c r="A3595">
        <v>3594</v>
      </c>
      <c r="B3595">
        <v>63</v>
      </c>
      <c r="C3595" t="s">
        <v>144</v>
      </c>
      <c r="D3595" t="s">
        <v>36</v>
      </c>
      <c r="E3595" t="s">
        <v>37</v>
      </c>
      <c r="F3595">
        <v>80</v>
      </c>
      <c r="G3595" t="s">
        <v>45</v>
      </c>
      <c r="H3595" t="s">
        <v>39</v>
      </c>
      <c r="I3595" t="s">
        <v>85</v>
      </c>
      <c r="J3595" t="s">
        <v>33</v>
      </c>
      <c r="K3595">
        <v>4.5999999999999996</v>
      </c>
      <c r="L3595" t="s">
        <v>143</v>
      </c>
      <c r="M3595" t="s">
        <v>143</v>
      </c>
      <c r="N3595">
        <v>24</v>
      </c>
      <c r="O3595" t="s">
        <v>40</v>
      </c>
      <c r="P3595" t="s">
        <v>79</v>
      </c>
    </row>
    <row r="3596" spans="1:16" ht="14.5" x14ac:dyDescent="0.35">
      <c r="A3596">
        <v>3595</v>
      </c>
      <c r="B3596">
        <v>19</v>
      </c>
      <c r="C3596" t="s">
        <v>144</v>
      </c>
      <c r="D3596" t="s">
        <v>110</v>
      </c>
      <c r="E3596" t="s">
        <v>60</v>
      </c>
      <c r="F3596">
        <v>87</v>
      </c>
      <c r="G3596" t="s">
        <v>81</v>
      </c>
      <c r="H3596" t="s">
        <v>20</v>
      </c>
      <c r="I3596" t="s">
        <v>54</v>
      </c>
      <c r="J3596" t="s">
        <v>47</v>
      </c>
      <c r="K3596">
        <v>2.6</v>
      </c>
      <c r="L3596" t="s">
        <v>143</v>
      </c>
      <c r="M3596" t="s">
        <v>143</v>
      </c>
      <c r="N3596">
        <v>29</v>
      </c>
      <c r="O3596" t="s">
        <v>24</v>
      </c>
      <c r="P3596" t="s">
        <v>51</v>
      </c>
    </row>
    <row r="3597" spans="1:16" ht="14.5" x14ac:dyDescent="0.35">
      <c r="A3597">
        <v>3596</v>
      </c>
      <c r="B3597">
        <v>21</v>
      </c>
      <c r="C3597" t="s">
        <v>144</v>
      </c>
      <c r="D3597" t="s">
        <v>17</v>
      </c>
      <c r="E3597" t="s">
        <v>18</v>
      </c>
      <c r="F3597">
        <v>41</v>
      </c>
      <c r="G3597" t="s">
        <v>138</v>
      </c>
      <c r="H3597" t="s">
        <v>39</v>
      </c>
      <c r="I3597" t="s">
        <v>74</v>
      </c>
      <c r="J3597" t="s">
        <v>33</v>
      </c>
      <c r="K3597">
        <v>3.1</v>
      </c>
      <c r="L3597" t="s">
        <v>143</v>
      </c>
      <c r="M3597" t="s">
        <v>143</v>
      </c>
      <c r="N3597">
        <v>14</v>
      </c>
      <c r="O3597" t="s">
        <v>40</v>
      </c>
      <c r="P3597" t="s">
        <v>43</v>
      </c>
    </row>
    <row r="3598" spans="1:16" ht="14.5" x14ac:dyDescent="0.35">
      <c r="A3598">
        <v>3597</v>
      </c>
      <c r="B3598">
        <v>28</v>
      </c>
      <c r="C3598" t="s">
        <v>144</v>
      </c>
      <c r="D3598" t="s">
        <v>95</v>
      </c>
      <c r="E3598" t="s">
        <v>18</v>
      </c>
      <c r="F3598">
        <v>83</v>
      </c>
      <c r="G3598" t="s">
        <v>122</v>
      </c>
      <c r="H3598" t="s">
        <v>39</v>
      </c>
      <c r="I3598" t="s">
        <v>54</v>
      </c>
      <c r="J3598" t="s">
        <v>33</v>
      </c>
      <c r="K3598">
        <v>4.3</v>
      </c>
      <c r="L3598" t="s">
        <v>143</v>
      </c>
      <c r="M3598" t="s">
        <v>143</v>
      </c>
      <c r="N3598">
        <v>44</v>
      </c>
      <c r="O3598" t="s">
        <v>29</v>
      </c>
      <c r="P3598" t="s">
        <v>25</v>
      </c>
    </row>
    <row r="3599" spans="1:16" ht="14.5" x14ac:dyDescent="0.35">
      <c r="A3599">
        <v>3598</v>
      </c>
      <c r="B3599">
        <v>29</v>
      </c>
      <c r="C3599" t="s">
        <v>144</v>
      </c>
      <c r="D3599" t="s">
        <v>80</v>
      </c>
      <c r="E3599" t="s">
        <v>60</v>
      </c>
      <c r="F3599">
        <v>71</v>
      </c>
      <c r="G3599" t="s">
        <v>121</v>
      </c>
      <c r="H3599" t="s">
        <v>39</v>
      </c>
      <c r="I3599" t="s">
        <v>28</v>
      </c>
      <c r="J3599" t="s">
        <v>47</v>
      </c>
      <c r="K3599">
        <v>3.1</v>
      </c>
      <c r="L3599" t="s">
        <v>143</v>
      </c>
      <c r="M3599" t="s">
        <v>143</v>
      </c>
      <c r="N3599">
        <v>18</v>
      </c>
      <c r="O3599" t="s">
        <v>66</v>
      </c>
      <c r="P3599" t="s">
        <v>51</v>
      </c>
    </row>
    <row r="3600" spans="1:16" ht="14.5" x14ac:dyDescent="0.35">
      <c r="A3600">
        <v>3599</v>
      </c>
      <c r="B3600">
        <v>23</v>
      </c>
      <c r="C3600" t="s">
        <v>144</v>
      </c>
      <c r="D3600" t="s">
        <v>95</v>
      </c>
      <c r="E3600" t="s">
        <v>18</v>
      </c>
      <c r="F3600">
        <v>76</v>
      </c>
      <c r="G3600" t="s">
        <v>130</v>
      </c>
      <c r="H3600" t="s">
        <v>83</v>
      </c>
      <c r="I3600" t="s">
        <v>65</v>
      </c>
      <c r="J3600" t="s">
        <v>33</v>
      </c>
      <c r="K3600">
        <v>4.5999999999999996</v>
      </c>
      <c r="L3600" t="s">
        <v>143</v>
      </c>
      <c r="M3600" t="s">
        <v>143</v>
      </c>
      <c r="N3600">
        <v>19</v>
      </c>
      <c r="O3600" t="s">
        <v>66</v>
      </c>
      <c r="P3600" t="s">
        <v>67</v>
      </c>
    </row>
    <row r="3601" spans="1:16" ht="14.5" x14ac:dyDescent="0.35">
      <c r="A3601">
        <v>3600</v>
      </c>
      <c r="B3601">
        <v>37</v>
      </c>
      <c r="C3601" t="s">
        <v>144</v>
      </c>
      <c r="D3601" t="s">
        <v>110</v>
      </c>
      <c r="E3601" t="s">
        <v>60</v>
      </c>
      <c r="F3601">
        <v>34</v>
      </c>
      <c r="G3601" t="s">
        <v>102</v>
      </c>
      <c r="H3601" t="s">
        <v>32</v>
      </c>
      <c r="I3601" t="s">
        <v>91</v>
      </c>
      <c r="J3601" t="s">
        <v>33</v>
      </c>
      <c r="K3601">
        <v>4.5999999999999996</v>
      </c>
      <c r="L3601" t="s">
        <v>143</v>
      </c>
      <c r="M3601" t="s">
        <v>143</v>
      </c>
      <c r="N3601">
        <v>4</v>
      </c>
      <c r="O3601" t="s">
        <v>29</v>
      </c>
      <c r="P3601" t="s">
        <v>35</v>
      </c>
    </row>
    <row r="3602" spans="1:16" ht="14.5" x14ac:dyDescent="0.35">
      <c r="A3602">
        <v>3601</v>
      </c>
      <c r="B3602">
        <v>67</v>
      </c>
      <c r="C3602" t="s">
        <v>144</v>
      </c>
      <c r="D3602" t="s">
        <v>72</v>
      </c>
      <c r="E3602" t="s">
        <v>18</v>
      </c>
      <c r="F3602">
        <v>81</v>
      </c>
      <c r="G3602" t="s">
        <v>122</v>
      </c>
      <c r="H3602" t="s">
        <v>83</v>
      </c>
      <c r="I3602" t="s">
        <v>69</v>
      </c>
      <c r="J3602" t="s">
        <v>33</v>
      </c>
      <c r="K3602">
        <v>2.7</v>
      </c>
      <c r="L3602" t="s">
        <v>143</v>
      </c>
      <c r="M3602" t="s">
        <v>143</v>
      </c>
      <c r="N3602">
        <v>25</v>
      </c>
      <c r="O3602" t="s">
        <v>29</v>
      </c>
      <c r="P3602" t="s">
        <v>67</v>
      </c>
    </row>
    <row r="3603" spans="1:16" ht="14.5" x14ac:dyDescent="0.35">
      <c r="A3603">
        <v>3602</v>
      </c>
      <c r="B3603">
        <v>34</v>
      </c>
      <c r="C3603" t="s">
        <v>144</v>
      </c>
      <c r="D3603" t="s">
        <v>104</v>
      </c>
      <c r="E3603" t="s">
        <v>18</v>
      </c>
      <c r="F3603">
        <v>47</v>
      </c>
      <c r="G3603" t="s">
        <v>89</v>
      </c>
      <c r="H3603" t="s">
        <v>39</v>
      </c>
      <c r="I3603" t="s">
        <v>117</v>
      </c>
      <c r="J3603" t="s">
        <v>47</v>
      </c>
      <c r="K3603">
        <v>3</v>
      </c>
      <c r="L3603" t="s">
        <v>143</v>
      </c>
      <c r="M3603" t="s">
        <v>143</v>
      </c>
      <c r="N3603">
        <v>3</v>
      </c>
      <c r="O3603" t="s">
        <v>40</v>
      </c>
      <c r="P3603" t="s">
        <v>79</v>
      </c>
    </row>
    <row r="3604" spans="1:16" ht="14.5" x14ac:dyDescent="0.35">
      <c r="A3604">
        <v>3603</v>
      </c>
      <c r="B3604">
        <v>58</v>
      </c>
      <c r="C3604" t="s">
        <v>144</v>
      </c>
      <c r="D3604" t="s">
        <v>78</v>
      </c>
      <c r="E3604" t="s">
        <v>18</v>
      </c>
      <c r="F3604">
        <v>36</v>
      </c>
      <c r="G3604" t="s">
        <v>45</v>
      </c>
      <c r="H3604" t="s">
        <v>32</v>
      </c>
      <c r="I3604" t="s">
        <v>127</v>
      </c>
      <c r="J3604" t="s">
        <v>47</v>
      </c>
      <c r="K3604">
        <v>3.3</v>
      </c>
      <c r="L3604" t="s">
        <v>143</v>
      </c>
      <c r="M3604" t="s">
        <v>143</v>
      </c>
      <c r="N3604">
        <v>40</v>
      </c>
      <c r="O3604" t="s">
        <v>77</v>
      </c>
      <c r="P3604" t="s">
        <v>51</v>
      </c>
    </row>
    <row r="3605" spans="1:16" ht="14.5" x14ac:dyDescent="0.35">
      <c r="A3605">
        <v>3604</v>
      </c>
      <c r="B3605">
        <v>45</v>
      </c>
      <c r="C3605" t="s">
        <v>144</v>
      </c>
      <c r="D3605" t="s">
        <v>30</v>
      </c>
      <c r="E3605" t="s">
        <v>18</v>
      </c>
      <c r="F3605">
        <v>51</v>
      </c>
      <c r="G3605" t="s">
        <v>53</v>
      </c>
      <c r="H3605" t="s">
        <v>39</v>
      </c>
      <c r="I3605" t="s">
        <v>71</v>
      </c>
      <c r="J3605" t="s">
        <v>33</v>
      </c>
      <c r="K3605">
        <v>2.7</v>
      </c>
      <c r="L3605" t="s">
        <v>143</v>
      </c>
      <c r="M3605" t="s">
        <v>143</v>
      </c>
      <c r="N3605">
        <v>5</v>
      </c>
      <c r="O3605" t="s">
        <v>29</v>
      </c>
      <c r="P3605" t="s">
        <v>35</v>
      </c>
    </row>
    <row r="3606" spans="1:16" ht="14.5" x14ac:dyDescent="0.35">
      <c r="A3606">
        <v>3605</v>
      </c>
      <c r="B3606">
        <v>63</v>
      </c>
      <c r="C3606" t="s">
        <v>144</v>
      </c>
      <c r="D3606" t="s">
        <v>95</v>
      </c>
      <c r="E3606" t="s">
        <v>18</v>
      </c>
      <c r="F3606">
        <v>86</v>
      </c>
      <c r="G3606" t="s">
        <v>53</v>
      </c>
      <c r="H3606" t="s">
        <v>39</v>
      </c>
      <c r="I3606" t="s">
        <v>112</v>
      </c>
      <c r="J3606" t="s">
        <v>50</v>
      </c>
      <c r="K3606">
        <v>3.3</v>
      </c>
      <c r="L3606" t="s">
        <v>143</v>
      </c>
      <c r="M3606" t="s">
        <v>143</v>
      </c>
      <c r="N3606">
        <v>17</v>
      </c>
      <c r="O3606" t="s">
        <v>77</v>
      </c>
      <c r="P3606" t="s">
        <v>43</v>
      </c>
    </row>
    <row r="3607" spans="1:16" ht="14.5" x14ac:dyDescent="0.35">
      <c r="A3607">
        <v>3606</v>
      </c>
      <c r="B3607">
        <v>68</v>
      </c>
      <c r="C3607" t="s">
        <v>144</v>
      </c>
      <c r="D3607" t="s">
        <v>30</v>
      </c>
      <c r="E3607" t="s">
        <v>18</v>
      </c>
      <c r="F3607">
        <v>41</v>
      </c>
      <c r="G3607" t="s">
        <v>81</v>
      </c>
      <c r="H3607" t="s">
        <v>39</v>
      </c>
      <c r="I3607" t="s">
        <v>71</v>
      </c>
      <c r="J3607" t="s">
        <v>50</v>
      </c>
      <c r="K3607">
        <v>4.3</v>
      </c>
      <c r="L3607" t="s">
        <v>143</v>
      </c>
      <c r="M3607" t="s">
        <v>143</v>
      </c>
      <c r="N3607">
        <v>36</v>
      </c>
      <c r="O3607" t="s">
        <v>66</v>
      </c>
      <c r="P3607" t="s">
        <v>88</v>
      </c>
    </row>
    <row r="3608" spans="1:16" ht="14.5" x14ac:dyDescent="0.35">
      <c r="A3608">
        <v>3607</v>
      </c>
      <c r="B3608">
        <v>41</v>
      </c>
      <c r="C3608" t="s">
        <v>144</v>
      </c>
      <c r="D3608" t="s">
        <v>36</v>
      </c>
      <c r="E3608" t="s">
        <v>37</v>
      </c>
      <c r="F3608">
        <v>90</v>
      </c>
      <c r="G3608" t="s">
        <v>139</v>
      </c>
      <c r="H3608" t="s">
        <v>83</v>
      </c>
      <c r="I3608" t="s">
        <v>65</v>
      </c>
      <c r="J3608" t="s">
        <v>50</v>
      </c>
      <c r="K3608">
        <v>4.8</v>
      </c>
      <c r="L3608" t="s">
        <v>143</v>
      </c>
      <c r="M3608" t="s">
        <v>143</v>
      </c>
      <c r="N3608">
        <v>41</v>
      </c>
      <c r="O3608" t="s">
        <v>24</v>
      </c>
      <c r="P3608" t="s">
        <v>43</v>
      </c>
    </row>
    <row r="3609" spans="1:16" ht="14.5" x14ac:dyDescent="0.35">
      <c r="A3609">
        <v>3608</v>
      </c>
      <c r="B3609">
        <v>50</v>
      </c>
      <c r="C3609" t="s">
        <v>144</v>
      </c>
      <c r="D3609" t="s">
        <v>115</v>
      </c>
      <c r="E3609" t="s">
        <v>60</v>
      </c>
      <c r="F3609">
        <v>93</v>
      </c>
      <c r="G3609" t="s">
        <v>121</v>
      </c>
      <c r="H3609" t="s">
        <v>20</v>
      </c>
      <c r="I3609" t="s">
        <v>54</v>
      </c>
      <c r="J3609" t="s">
        <v>50</v>
      </c>
      <c r="K3609">
        <v>3.3</v>
      </c>
      <c r="L3609" t="s">
        <v>143</v>
      </c>
      <c r="M3609" t="s">
        <v>143</v>
      </c>
      <c r="N3609">
        <v>20</v>
      </c>
      <c r="O3609" t="s">
        <v>24</v>
      </c>
      <c r="P3609" t="s">
        <v>67</v>
      </c>
    </row>
    <row r="3610" spans="1:16" ht="14.5" x14ac:dyDescent="0.35">
      <c r="A3610">
        <v>3609</v>
      </c>
      <c r="B3610">
        <v>24</v>
      </c>
      <c r="C3610" t="s">
        <v>144</v>
      </c>
      <c r="D3610" t="s">
        <v>134</v>
      </c>
      <c r="E3610" t="s">
        <v>60</v>
      </c>
      <c r="F3610">
        <v>56</v>
      </c>
      <c r="G3610" t="s">
        <v>113</v>
      </c>
      <c r="H3610" t="s">
        <v>39</v>
      </c>
      <c r="I3610" t="s">
        <v>100</v>
      </c>
      <c r="J3610" t="s">
        <v>50</v>
      </c>
      <c r="K3610">
        <v>4.3</v>
      </c>
      <c r="L3610" t="s">
        <v>143</v>
      </c>
      <c r="M3610" t="s">
        <v>143</v>
      </c>
      <c r="N3610">
        <v>2</v>
      </c>
      <c r="O3610" t="s">
        <v>29</v>
      </c>
      <c r="P3610" t="s">
        <v>88</v>
      </c>
    </row>
    <row r="3611" spans="1:16" ht="14.5" x14ac:dyDescent="0.35">
      <c r="A3611">
        <v>3610</v>
      </c>
      <c r="B3611">
        <v>21</v>
      </c>
      <c r="C3611" t="s">
        <v>144</v>
      </c>
      <c r="D3611" t="s">
        <v>116</v>
      </c>
      <c r="E3611" t="s">
        <v>18</v>
      </c>
      <c r="F3611">
        <v>39</v>
      </c>
      <c r="G3611" t="s">
        <v>121</v>
      </c>
      <c r="H3611" t="s">
        <v>39</v>
      </c>
      <c r="I3611" t="s">
        <v>100</v>
      </c>
      <c r="J3611" t="s">
        <v>47</v>
      </c>
      <c r="K3611">
        <v>3</v>
      </c>
      <c r="L3611" t="s">
        <v>143</v>
      </c>
      <c r="M3611" t="s">
        <v>143</v>
      </c>
      <c r="N3611">
        <v>31</v>
      </c>
      <c r="O3611" t="s">
        <v>77</v>
      </c>
      <c r="P3611" t="s">
        <v>79</v>
      </c>
    </row>
    <row r="3612" spans="1:16" ht="14.5" x14ac:dyDescent="0.35">
      <c r="A3612">
        <v>3611</v>
      </c>
      <c r="B3612">
        <v>18</v>
      </c>
      <c r="C3612" t="s">
        <v>144</v>
      </c>
      <c r="D3612" t="s">
        <v>93</v>
      </c>
      <c r="E3612" t="s">
        <v>56</v>
      </c>
      <c r="F3612">
        <v>86</v>
      </c>
      <c r="G3612" t="s">
        <v>96</v>
      </c>
      <c r="H3612" t="s">
        <v>83</v>
      </c>
      <c r="I3612" t="s">
        <v>87</v>
      </c>
      <c r="J3612" t="s">
        <v>50</v>
      </c>
      <c r="K3612">
        <v>4.8</v>
      </c>
      <c r="L3612" t="s">
        <v>143</v>
      </c>
      <c r="M3612" t="s">
        <v>143</v>
      </c>
      <c r="N3612">
        <v>23</v>
      </c>
      <c r="O3612" t="s">
        <v>66</v>
      </c>
      <c r="P3612" t="s">
        <v>25</v>
      </c>
    </row>
    <row r="3613" spans="1:16" ht="14.5" x14ac:dyDescent="0.35">
      <c r="A3613">
        <v>3612</v>
      </c>
      <c r="B3613">
        <v>63</v>
      </c>
      <c r="C3613" t="s">
        <v>144</v>
      </c>
      <c r="D3613" t="s">
        <v>104</v>
      </c>
      <c r="E3613" t="s">
        <v>18</v>
      </c>
      <c r="F3613">
        <v>82</v>
      </c>
      <c r="G3613" t="s">
        <v>140</v>
      </c>
      <c r="H3613" t="s">
        <v>39</v>
      </c>
      <c r="I3613" t="s">
        <v>58</v>
      </c>
      <c r="J3613" t="s">
        <v>33</v>
      </c>
      <c r="K3613">
        <v>2.9</v>
      </c>
      <c r="L3613" t="s">
        <v>143</v>
      </c>
      <c r="M3613" t="s">
        <v>143</v>
      </c>
      <c r="N3613">
        <v>30</v>
      </c>
      <c r="O3613" t="s">
        <v>34</v>
      </c>
      <c r="P3613" t="s">
        <v>43</v>
      </c>
    </row>
    <row r="3614" spans="1:16" ht="14.5" x14ac:dyDescent="0.35">
      <c r="A3614">
        <v>3613</v>
      </c>
      <c r="B3614">
        <v>47</v>
      </c>
      <c r="C3614" t="s">
        <v>144</v>
      </c>
      <c r="D3614" t="s">
        <v>36</v>
      </c>
      <c r="E3614" t="s">
        <v>37</v>
      </c>
      <c r="F3614">
        <v>29</v>
      </c>
      <c r="G3614" t="s">
        <v>142</v>
      </c>
      <c r="H3614" t="s">
        <v>39</v>
      </c>
      <c r="I3614" t="s">
        <v>76</v>
      </c>
      <c r="J3614" t="s">
        <v>47</v>
      </c>
      <c r="K3614">
        <v>3.6</v>
      </c>
      <c r="L3614" t="s">
        <v>143</v>
      </c>
      <c r="M3614" t="s">
        <v>143</v>
      </c>
      <c r="N3614">
        <v>26</v>
      </c>
      <c r="O3614" t="s">
        <v>29</v>
      </c>
      <c r="P3614" t="s">
        <v>88</v>
      </c>
    </row>
    <row r="3615" spans="1:16" ht="14.5" x14ac:dyDescent="0.35">
      <c r="A3615">
        <v>3614</v>
      </c>
      <c r="B3615">
        <v>58</v>
      </c>
      <c r="C3615" t="s">
        <v>144</v>
      </c>
      <c r="D3615" t="s">
        <v>115</v>
      </c>
      <c r="E3615" t="s">
        <v>60</v>
      </c>
      <c r="F3615">
        <v>27</v>
      </c>
      <c r="G3615" t="s">
        <v>139</v>
      </c>
      <c r="H3615" t="s">
        <v>39</v>
      </c>
      <c r="I3615" t="s">
        <v>127</v>
      </c>
      <c r="J3615" t="s">
        <v>50</v>
      </c>
      <c r="K3615">
        <v>3.5</v>
      </c>
      <c r="L3615" t="s">
        <v>143</v>
      </c>
      <c r="M3615" t="s">
        <v>143</v>
      </c>
      <c r="N3615">
        <v>40</v>
      </c>
      <c r="O3615" t="s">
        <v>24</v>
      </c>
      <c r="P3615" t="s">
        <v>43</v>
      </c>
    </row>
    <row r="3616" spans="1:16" ht="14.5" x14ac:dyDescent="0.35">
      <c r="A3616">
        <v>3615</v>
      </c>
      <c r="B3616">
        <v>46</v>
      </c>
      <c r="C3616" t="s">
        <v>144</v>
      </c>
      <c r="D3616" t="s">
        <v>134</v>
      </c>
      <c r="E3616" t="s">
        <v>60</v>
      </c>
      <c r="F3616">
        <v>25</v>
      </c>
      <c r="G3616" t="s">
        <v>70</v>
      </c>
      <c r="H3616" t="s">
        <v>20</v>
      </c>
      <c r="I3616" t="s">
        <v>28</v>
      </c>
      <c r="J3616" t="s">
        <v>33</v>
      </c>
      <c r="K3616">
        <v>4.7</v>
      </c>
      <c r="L3616" t="s">
        <v>143</v>
      </c>
      <c r="M3616" t="s">
        <v>143</v>
      </c>
      <c r="N3616">
        <v>19</v>
      </c>
      <c r="O3616" t="s">
        <v>66</v>
      </c>
      <c r="P3616" t="s">
        <v>43</v>
      </c>
    </row>
    <row r="3617" spans="1:16" ht="14.5" x14ac:dyDescent="0.35">
      <c r="A3617">
        <v>3616</v>
      </c>
      <c r="B3617">
        <v>35</v>
      </c>
      <c r="C3617" t="s">
        <v>144</v>
      </c>
      <c r="D3617" t="s">
        <v>72</v>
      </c>
      <c r="E3617" t="s">
        <v>18</v>
      </c>
      <c r="F3617">
        <v>31</v>
      </c>
      <c r="G3617" t="s">
        <v>90</v>
      </c>
      <c r="H3617" t="s">
        <v>39</v>
      </c>
      <c r="I3617" t="s">
        <v>71</v>
      </c>
      <c r="J3617" t="s">
        <v>22</v>
      </c>
      <c r="K3617">
        <v>4.4000000000000004</v>
      </c>
      <c r="L3617" t="s">
        <v>143</v>
      </c>
      <c r="M3617" t="s">
        <v>143</v>
      </c>
      <c r="N3617">
        <v>4</v>
      </c>
      <c r="O3617" t="s">
        <v>34</v>
      </c>
      <c r="P3617" t="s">
        <v>79</v>
      </c>
    </row>
    <row r="3618" spans="1:16" ht="14.5" x14ac:dyDescent="0.35">
      <c r="A3618">
        <v>3617</v>
      </c>
      <c r="B3618">
        <v>42</v>
      </c>
      <c r="C3618" t="s">
        <v>144</v>
      </c>
      <c r="D3618" t="s">
        <v>95</v>
      </c>
      <c r="E3618" t="s">
        <v>18</v>
      </c>
      <c r="F3618">
        <v>23</v>
      </c>
      <c r="G3618" t="s">
        <v>141</v>
      </c>
      <c r="H3618" t="s">
        <v>20</v>
      </c>
      <c r="I3618" t="s">
        <v>65</v>
      </c>
      <c r="J3618" t="s">
        <v>22</v>
      </c>
      <c r="K3618">
        <v>3.3</v>
      </c>
      <c r="L3618" t="s">
        <v>143</v>
      </c>
      <c r="M3618" t="s">
        <v>143</v>
      </c>
      <c r="N3618">
        <v>33</v>
      </c>
      <c r="O3618" t="s">
        <v>77</v>
      </c>
      <c r="P3618" t="s">
        <v>25</v>
      </c>
    </row>
    <row r="3619" spans="1:16" ht="14.5" x14ac:dyDescent="0.35">
      <c r="A3619">
        <v>3618</v>
      </c>
      <c r="B3619">
        <v>48</v>
      </c>
      <c r="C3619" t="s">
        <v>144</v>
      </c>
      <c r="D3619" t="s">
        <v>124</v>
      </c>
      <c r="E3619" t="s">
        <v>60</v>
      </c>
      <c r="F3619">
        <v>47</v>
      </c>
      <c r="G3619" t="s">
        <v>19</v>
      </c>
      <c r="H3619" t="s">
        <v>39</v>
      </c>
      <c r="I3619" t="s">
        <v>84</v>
      </c>
      <c r="J3619" t="s">
        <v>50</v>
      </c>
      <c r="K3619">
        <v>4.3</v>
      </c>
      <c r="L3619" t="s">
        <v>143</v>
      </c>
      <c r="M3619" t="s">
        <v>143</v>
      </c>
      <c r="N3619">
        <v>29</v>
      </c>
      <c r="O3619" t="s">
        <v>77</v>
      </c>
      <c r="P3619" t="s">
        <v>79</v>
      </c>
    </row>
    <row r="3620" spans="1:16" ht="14.5" x14ac:dyDescent="0.35">
      <c r="A3620">
        <v>3619</v>
      </c>
      <c r="B3620">
        <v>28</v>
      </c>
      <c r="C3620" t="s">
        <v>144</v>
      </c>
      <c r="D3620" t="s">
        <v>134</v>
      </c>
      <c r="E3620" t="s">
        <v>60</v>
      </c>
      <c r="F3620">
        <v>67</v>
      </c>
      <c r="G3620" t="s">
        <v>98</v>
      </c>
      <c r="H3620" t="s">
        <v>39</v>
      </c>
      <c r="I3620" t="s">
        <v>28</v>
      </c>
      <c r="J3620" t="s">
        <v>50</v>
      </c>
      <c r="K3620">
        <v>4</v>
      </c>
      <c r="L3620" t="s">
        <v>143</v>
      </c>
      <c r="M3620" t="s">
        <v>143</v>
      </c>
      <c r="N3620">
        <v>47</v>
      </c>
      <c r="O3620" t="s">
        <v>40</v>
      </c>
      <c r="P3620" t="s">
        <v>67</v>
      </c>
    </row>
    <row r="3621" spans="1:16" ht="14.5" x14ac:dyDescent="0.35">
      <c r="A3621">
        <v>3620</v>
      </c>
      <c r="B3621">
        <v>44</v>
      </c>
      <c r="C3621" t="s">
        <v>144</v>
      </c>
      <c r="D3621" t="s">
        <v>110</v>
      </c>
      <c r="E3621" t="s">
        <v>60</v>
      </c>
      <c r="F3621">
        <v>75</v>
      </c>
      <c r="G3621" t="s">
        <v>89</v>
      </c>
      <c r="H3621" t="s">
        <v>32</v>
      </c>
      <c r="I3621" t="s">
        <v>127</v>
      </c>
      <c r="J3621" t="s">
        <v>22</v>
      </c>
      <c r="K3621">
        <v>4.9000000000000004</v>
      </c>
      <c r="L3621" t="s">
        <v>143</v>
      </c>
      <c r="M3621" t="s">
        <v>143</v>
      </c>
      <c r="N3621">
        <v>50</v>
      </c>
      <c r="O3621" t="s">
        <v>24</v>
      </c>
      <c r="P3621" t="s">
        <v>35</v>
      </c>
    </row>
    <row r="3622" spans="1:16" ht="14.5" x14ac:dyDescent="0.35">
      <c r="A3622">
        <v>3621</v>
      </c>
      <c r="B3622">
        <v>60</v>
      </c>
      <c r="C3622" t="s">
        <v>144</v>
      </c>
      <c r="D3622" t="s">
        <v>36</v>
      </c>
      <c r="E3622" t="s">
        <v>37</v>
      </c>
      <c r="F3622">
        <v>82</v>
      </c>
      <c r="G3622" t="s">
        <v>53</v>
      </c>
      <c r="H3622" t="s">
        <v>39</v>
      </c>
      <c r="I3622" t="s">
        <v>42</v>
      </c>
      <c r="J3622" t="s">
        <v>47</v>
      </c>
      <c r="K3622">
        <v>2.9</v>
      </c>
      <c r="L3622" t="s">
        <v>143</v>
      </c>
      <c r="M3622" t="s">
        <v>143</v>
      </c>
      <c r="N3622">
        <v>28</v>
      </c>
      <c r="O3622" t="s">
        <v>34</v>
      </c>
      <c r="P3622" t="s">
        <v>25</v>
      </c>
    </row>
    <row r="3623" spans="1:16" ht="14.5" x14ac:dyDescent="0.35">
      <c r="A3623">
        <v>3622</v>
      </c>
      <c r="B3623">
        <v>38</v>
      </c>
      <c r="C3623" t="s">
        <v>144</v>
      </c>
      <c r="D3623" t="s">
        <v>44</v>
      </c>
      <c r="E3623" t="s">
        <v>37</v>
      </c>
      <c r="F3623">
        <v>32</v>
      </c>
      <c r="G3623" t="s">
        <v>118</v>
      </c>
      <c r="H3623" t="s">
        <v>83</v>
      </c>
      <c r="I3623" t="s">
        <v>58</v>
      </c>
      <c r="J3623" t="s">
        <v>47</v>
      </c>
      <c r="K3623">
        <v>4</v>
      </c>
      <c r="L3623" t="s">
        <v>143</v>
      </c>
      <c r="M3623" t="s">
        <v>143</v>
      </c>
      <c r="N3623">
        <v>5</v>
      </c>
      <c r="O3623" t="s">
        <v>29</v>
      </c>
      <c r="P3623" t="s">
        <v>25</v>
      </c>
    </row>
    <row r="3624" spans="1:16" ht="14.5" x14ac:dyDescent="0.35">
      <c r="A3624">
        <v>3623</v>
      </c>
      <c r="B3624">
        <v>46</v>
      </c>
      <c r="C3624" t="s">
        <v>144</v>
      </c>
      <c r="D3624" t="s">
        <v>72</v>
      </c>
      <c r="E3624" t="s">
        <v>18</v>
      </c>
      <c r="F3624">
        <v>41</v>
      </c>
      <c r="G3624" t="s">
        <v>141</v>
      </c>
      <c r="H3624" t="s">
        <v>39</v>
      </c>
      <c r="I3624" t="s">
        <v>65</v>
      </c>
      <c r="J3624" t="s">
        <v>50</v>
      </c>
      <c r="K3624">
        <v>4.3</v>
      </c>
      <c r="L3624" t="s">
        <v>143</v>
      </c>
      <c r="M3624" t="s">
        <v>143</v>
      </c>
      <c r="N3624">
        <v>12</v>
      </c>
      <c r="O3624" t="s">
        <v>34</v>
      </c>
      <c r="P3624" t="s">
        <v>43</v>
      </c>
    </row>
    <row r="3625" spans="1:16" ht="14.5" x14ac:dyDescent="0.35">
      <c r="A3625">
        <v>3624</v>
      </c>
      <c r="B3625">
        <v>39</v>
      </c>
      <c r="C3625" t="s">
        <v>144</v>
      </c>
      <c r="D3625" t="s">
        <v>97</v>
      </c>
      <c r="E3625" t="s">
        <v>60</v>
      </c>
      <c r="F3625">
        <v>89</v>
      </c>
      <c r="G3625" t="s">
        <v>64</v>
      </c>
      <c r="H3625" t="s">
        <v>39</v>
      </c>
      <c r="I3625" t="s">
        <v>74</v>
      </c>
      <c r="J3625" t="s">
        <v>22</v>
      </c>
      <c r="K3625">
        <v>2.7</v>
      </c>
      <c r="L3625" t="s">
        <v>143</v>
      </c>
      <c r="M3625" t="s">
        <v>143</v>
      </c>
      <c r="N3625">
        <v>4</v>
      </c>
      <c r="O3625" t="s">
        <v>40</v>
      </c>
      <c r="P3625" t="s">
        <v>35</v>
      </c>
    </row>
    <row r="3626" spans="1:16" ht="14.5" x14ac:dyDescent="0.35">
      <c r="A3626">
        <v>3625</v>
      </c>
      <c r="B3626">
        <v>22</v>
      </c>
      <c r="C3626" t="s">
        <v>144</v>
      </c>
      <c r="D3626" t="s">
        <v>115</v>
      </c>
      <c r="E3626" t="s">
        <v>60</v>
      </c>
      <c r="F3626">
        <v>82</v>
      </c>
      <c r="G3626" t="s">
        <v>96</v>
      </c>
      <c r="H3626" t="s">
        <v>83</v>
      </c>
      <c r="I3626" t="s">
        <v>91</v>
      </c>
      <c r="J3626" t="s">
        <v>50</v>
      </c>
      <c r="K3626">
        <v>5</v>
      </c>
      <c r="L3626" t="s">
        <v>143</v>
      </c>
      <c r="M3626" t="s">
        <v>143</v>
      </c>
      <c r="N3626">
        <v>22</v>
      </c>
      <c r="O3626" t="s">
        <v>66</v>
      </c>
      <c r="P3626" t="s">
        <v>67</v>
      </c>
    </row>
    <row r="3627" spans="1:16" ht="14.5" x14ac:dyDescent="0.35">
      <c r="A3627">
        <v>3626</v>
      </c>
      <c r="B3627">
        <v>44</v>
      </c>
      <c r="C3627" t="s">
        <v>144</v>
      </c>
      <c r="D3627" t="s">
        <v>110</v>
      </c>
      <c r="E3627" t="s">
        <v>60</v>
      </c>
      <c r="F3627">
        <v>99</v>
      </c>
      <c r="G3627" t="s">
        <v>106</v>
      </c>
      <c r="H3627" t="s">
        <v>20</v>
      </c>
      <c r="I3627" t="s">
        <v>87</v>
      </c>
      <c r="J3627" t="s">
        <v>22</v>
      </c>
      <c r="K3627">
        <v>4.4000000000000004</v>
      </c>
      <c r="L3627" t="s">
        <v>143</v>
      </c>
      <c r="M3627" t="s">
        <v>143</v>
      </c>
      <c r="N3627">
        <v>32</v>
      </c>
      <c r="O3627" t="s">
        <v>40</v>
      </c>
      <c r="P3627" t="s">
        <v>35</v>
      </c>
    </row>
    <row r="3628" spans="1:16" ht="14.5" x14ac:dyDescent="0.35">
      <c r="A3628">
        <v>3627</v>
      </c>
      <c r="B3628">
        <v>69</v>
      </c>
      <c r="C3628" t="s">
        <v>144</v>
      </c>
      <c r="D3628" t="s">
        <v>17</v>
      </c>
      <c r="E3628" t="s">
        <v>18</v>
      </c>
      <c r="F3628">
        <v>98</v>
      </c>
      <c r="G3628" t="s">
        <v>82</v>
      </c>
      <c r="H3628" t="s">
        <v>20</v>
      </c>
      <c r="I3628" t="s">
        <v>76</v>
      </c>
      <c r="J3628" t="s">
        <v>50</v>
      </c>
      <c r="K3628">
        <v>3.5</v>
      </c>
      <c r="L3628" t="s">
        <v>143</v>
      </c>
      <c r="M3628" t="s">
        <v>143</v>
      </c>
      <c r="N3628">
        <v>32</v>
      </c>
      <c r="O3628" t="s">
        <v>24</v>
      </c>
      <c r="P3628" t="s">
        <v>51</v>
      </c>
    </row>
    <row r="3629" spans="1:16" ht="14.5" x14ac:dyDescent="0.35">
      <c r="A3629">
        <v>3628</v>
      </c>
      <c r="B3629">
        <v>39</v>
      </c>
      <c r="C3629" t="s">
        <v>144</v>
      </c>
      <c r="D3629" t="s">
        <v>124</v>
      </c>
      <c r="E3629" t="s">
        <v>60</v>
      </c>
      <c r="F3629">
        <v>54</v>
      </c>
      <c r="G3629" t="s">
        <v>70</v>
      </c>
      <c r="H3629" t="s">
        <v>39</v>
      </c>
      <c r="I3629" t="s">
        <v>58</v>
      </c>
      <c r="J3629" t="s">
        <v>22</v>
      </c>
      <c r="K3629">
        <v>3.3</v>
      </c>
      <c r="L3629" t="s">
        <v>143</v>
      </c>
      <c r="M3629" t="s">
        <v>143</v>
      </c>
      <c r="N3629">
        <v>48</v>
      </c>
      <c r="O3629" t="s">
        <v>29</v>
      </c>
      <c r="P3629" t="s">
        <v>88</v>
      </c>
    </row>
    <row r="3630" spans="1:16" ht="14.5" x14ac:dyDescent="0.35">
      <c r="A3630">
        <v>3629</v>
      </c>
      <c r="B3630">
        <v>53</v>
      </c>
      <c r="C3630" t="s">
        <v>144</v>
      </c>
      <c r="D3630" t="s">
        <v>17</v>
      </c>
      <c r="E3630" t="s">
        <v>18</v>
      </c>
      <c r="F3630">
        <v>88</v>
      </c>
      <c r="G3630" t="s">
        <v>133</v>
      </c>
      <c r="H3630" t="s">
        <v>20</v>
      </c>
      <c r="I3630" t="s">
        <v>65</v>
      </c>
      <c r="J3630" t="s">
        <v>47</v>
      </c>
      <c r="K3630">
        <v>3.8</v>
      </c>
      <c r="L3630" t="s">
        <v>143</v>
      </c>
      <c r="M3630" t="s">
        <v>143</v>
      </c>
      <c r="N3630">
        <v>35</v>
      </c>
      <c r="O3630" t="s">
        <v>34</v>
      </c>
      <c r="P3630" t="s">
        <v>79</v>
      </c>
    </row>
    <row r="3631" spans="1:16" ht="14.5" x14ac:dyDescent="0.35">
      <c r="A3631">
        <v>3630</v>
      </c>
      <c r="B3631">
        <v>52</v>
      </c>
      <c r="C3631" t="s">
        <v>144</v>
      </c>
      <c r="D3631" t="s">
        <v>104</v>
      </c>
      <c r="E3631" t="s">
        <v>18</v>
      </c>
      <c r="F3631">
        <v>43</v>
      </c>
      <c r="G3631" t="s">
        <v>102</v>
      </c>
      <c r="H3631" t="s">
        <v>20</v>
      </c>
      <c r="I3631" t="s">
        <v>84</v>
      </c>
      <c r="J3631" t="s">
        <v>47</v>
      </c>
      <c r="K3631">
        <v>4.5</v>
      </c>
      <c r="L3631" t="s">
        <v>143</v>
      </c>
      <c r="M3631" t="s">
        <v>143</v>
      </c>
      <c r="N3631">
        <v>44</v>
      </c>
      <c r="O3631" t="s">
        <v>77</v>
      </c>
      <c r="P3631" t="s">
        <v>25</v>
      </c>
    </row>
    <row r="3632" spans="1:16" ht="14.5" x14ac:dyDescent="0.35">
      <c r="A3632">
        <v>3631</v>
      </c>
      <c r="B3632">
        <v>65</v>
      </c>
      <c r="C3632" t="s">
        <v>144</v>
      </c>
      <c r="D3632" t="s">
        <v>115</v>
      </c>
      <c r="E3632" t="s">
        <v>60</v>
      </c>
      <c r="F3632">
        <v>73</v>
      </c>
      <c r="G3632" t="s">
        <v>92</v>
      </c>
      <c r="H3632" t="s">
        <v>39</v>
      </c>
      <c r="I3632" t="s">
        <v>84</v>
      </c>
      <c r="J3632" t="s">
        <v>22</v>
      </c>
      <c r="K3632">
        <v>4.8</v>
      </c>
      <c r="L3632" t="s">
        <v>143</v>
      </c>
      <c r="M3632" t="s">
        <v>143</v>
      </c>
      <c r="N3632">
        <v>29</v>
      </c>
      <c r="O3632" t="s">
        <v>29</v>
      </c>
      <c r="P3632" t="s">
        <v>35</v>
      </c>
    </row>
    <row r="3633" spans="1:16" ht="14.5" x14ac:dyDescent="0.35">
      <c r="A3633">
        <v>3632</v>
      </c>
      <c r="B3633">
        <v>48</v>
      </c>
      <c r="C3633" t="s">
        <v>144</v>
      </c>
      <c r="D3633" t="s">
        <v>115</v>
      </c>
      <c r="E3633" t="s">
        <v>60</v>
      </c>
      <c r="F3633">
        <v>50</v>
      </c>
      <c r="G3633" t="s">
        <v>118</v>
      </c>
      <c r="H3633" t="s">
        <v>39</v>
      </c>
      <c r="I3633" t="s">
        <v>91</v>
      </c>
      <c r="J3633" t="s">
        <v>50</v>
      </c>
      <c r="K3633">
        <v>2.9</v>
      </c>
      <c r="L3633" t="s">
        <v>143</v>
      </c>
      <c r="M3633" t="s">
        <v>143</v>
      </c>
      <c r="N3633">
        <v>26</v>
      </c>
      <c r="O3633" t="s">
        <v>34</v>
      </c>
      <c r="P3633" t="s">
        <v>79</v>
      </c>
    </row>
    <row r="3634" spans="1:16" ht="14.5" x14ac:dyDescent="0.35">
      <c r="A3634">
        <v>3633</v>
      </c>
      <c r="B3634">
        <v>27</v>
      </c>
      <c r="C3634" t="s">
        <v>144</v>
      </c>
      <c r="D3634" t="s">
        <v>44</v>
      </c>
      <c r="E3634" t="s">
        <v>37</v>
      </c>
      <c r="F3634">
        <v>73</v>
      </c>
      <c r="G3634" t="s">
        <v>131</v>
      </c>
      <c r="H3634" t="s">
        <v>20</v>
      </c>
      <c r="I3634" t="s">
        <v>87</v>
      </c>
      <c r="J3634" t="s">
        <v>33</v>
      </c>
      <c r="K3634">
        <v>3.2</v>
      </c>
      <c r="L3634" t="s">
        <v>143</v>
      </c>
      <c r="M3634" t="s">
        <v>143</v>
      </c>
      <c r="N3634">
        <v>3</v>
      </c>
      <c r="O3634" t="s">
        <v>77</v>
      </c>
      <c r="P3634" t="s">
        <v>51</v>
      </c>
    </row>
    <row r="3635" spans="1:16" ht="14.5" x14ac:dyDescent="0.35">
      <c r="A3635">
        <v>3634</v>
      </c>
      <c r="B3635">
        <v>39</v>
      </c>
      <c r="C3635" t="s">
        <v>144</v>
      </c>
      <c r="D3635" t="s">
        <v>134</v>
      </c>
      <c r="E3635" t="s">
        <v>60</v>
      </c>
      <c r="F3635">
        <v>51</v>
      </c>
      <c r="G3635" t="s">
        <v>49</v>
      </c>
      <c r="H3635" t="s">
        <v>39</v>
      </c>
      <c r="I3635" t="s">
        <v>112</v>
      </c>
      <c r="J3635" t="s">
        <v>33</v>
      </c>
      <c r="K3635">
        <v>2.8</v>
      </c>
      <c r="L3635" t="s">
        <v>143</v>
      </c>
      <c r="M3635" t="s">
        <v>143</v>
      </c>
      <c r="N3635">
        <v>1</v>
      </c>
      <c r="O3635" t="s">
        <v>66</v>
      </c>
      <c r="P3635" t="s">
        <v>67</v>
      </c>
    </row>
    <row r="3636" spans="1:16" ht="14.5" x14ac:dyDescent="0.35">
      <c r="A3636">
        <v>3635</v>
      </c>
      <c r="B3636">
        <v>59</v>
      </c>
      <c r="C3636" t="s">
        <v>144</v>
      </c>
      <c r="D3636" t="s">
        <v>116</v>
      </c>
      <c r="E3636" t="s">
        <v>18</v>
      </c>
      <c r="F3636">
        <v>22</v>
      </c>
      <c r="G3636" t="s">
        <v>114</v>
      </c>
      <c r="H3636" t="s">
        <v>39</v>
      </c>
      <c r="I3636" t="s">
        <v>62</v>
      </c>
      <c r="J3636" t="s">
        <v>22</v>
      </c>
      <c r="K3636">
        <v>3.3</v>
      </c>
      <c r="L3636" t="s">
        <v>143</v>
      </c>
      <c r="M3636" t="s">
        <v>143</v>
      </c>
      <c r="N3636">
        <v>17</v>
      </c>
      <c r="O3636" t="s">
        <v>40</v>
      </c>
      <c r="P3636" t="s">
        <v>43</v>
      </c>
    </row>
    <row r="3637" spans="1:16" ht="14.5" x14ac:dyDescent="0.35">
      <c r="A3637">
        <v>3636</v>
      </c>
      <c r="B3637">
        <v>52</v>
      </c>
      <c r="C3637" t="s">
        <v>144</v>
      </c>
      <c r="D3637" t="s">
        <v>36</v>
      </c>
      <c r="E3637" t="s">
        <v>37</v>
      </c>
      <c r="F3637">
        <v>32</v>
      </c>
      <c r="G3637" t="s">
        <v>103</v>
      </c>
      <c r="H3637" t="s">
        <v>20</v>
      </c>
      <c r="I3637" t="s">
        <v>100</v>
      </c>
      <c r="J3637" t="s">
        <v>50</v>
      </c>
      <c r="K3637">
        <v>3.3</v>
      </c>
      <c r="L3637" t="s">
        <v>143</v>
      </c>
      <c r="M3637" t="s">
        <v>143</v>
      </c>
      <c r="N3637">
        <v>17</v>
      </c>
      <c r="O3637" t="s">
        <v>34</v>
      </c>
      <c r="P3637" t="s">
        <v>25</v>
      </c>
    </row>
    <row r="3638" spans="1:16" ht="14.5" x14ac:dyDescent="0.35">
      <c r="A3638">
        <v>3637</v>
      </c>
      <c r="B3638">
        <v>50</v>
      </c>
      <c r="C3638" t="s">
        <v>144</v>
      </c>
      <c r="D3638" t="s">
        <v>36</v>
      </c>
      <c r="E3638" t="s">
        <v>37</v>
      </c>
      <c r="F3638">
        <v>38</v>
      </c>
      <c r="G3638" t="s">
        <v>90</v>
      </c>
      <c r="H3638" t="s">
        <v>20</v>
      </c>
      <c r="I3638" t="s">
        <v>84</v>
      </c>
      <c r="J3638" t="s">
        <v>47</v>
      </c>
      <c r="K3638">
        <v>4.2</v>
      </c>
      <c r="L3638" t="s">
        <v>143</v>
      </c>
      <c r="M3638" t="s">
        <v>143</v>
      </c>
      <c r="N3638">
        <v>36</v>
      </c>
      <c r="O3638" t="s">
        <v>29</v>
      </c>
      <c r="P3638" t="s">
        <v>35</v>
      </c>
    </row>
    <row r="3639" spans="1:16" ht="14.5" x14ac:dyDescent="0.35">
      <c r="A3639">
        <v>3638</v>
      </c>
      <c r="B3639">
        <v>32</v>
      </c>
      <c r="C3639" t="s">
        <v>144</v>
      </c>
      <c r="D3639" t="s">
        <v>128</v>
      </c>
      <c r="E3639" t="s">
        <v>37</v>
      </c>
      <c r="F3639">
        <v>66</v>
      </c>
      <c r="G3639" t="s">
        <v>131</v>
      </c>
      <c r="H3639" t="s">
        <v>20</v>
      </c>
      <c r="I3639" t="s">
        <v>125</v>
      </c>
      <c r="J3639" t="s">
        <v>22</v>
      </c>
      <c r="K3639">
        <v>3.6</v>
      </c>
      <c r="L3639" t="s">
        <v>143</v>
      </c>
      <c r="M3639" t="s">
        <v>143</v>
      </c>
      <c r="N3639">
        <v>32</v>
      </c>
      <c r="O3639" t="s">
        <v>34</v>
      </c>
      <c r="P3639" t="s">
        <v>25</v>
      </c>
    </row>
    <row r="3640" spans="1:16" ht="14.5" x14ac:dyDescent="0.35">
      <c r="A3640">
        <v>3639</v>
      </c>
      <c r="B3640">
        <v>40</v>
      </c>
      <c r="C3640" t="s">
        <v>144</v>
      </c>
      <c r="D3640" t="s">
        <v>123</v>
      </c>
      <c r="E3640" t="s">
        <v>60</v>
      </c>
      <c r="F3640">
        <v>20</v>
      </c>
      <c r="G3640" t="s">
        <v>102</v>
      </c>
      <c r="H3640" t="s">
        <v>39</v>
      </c>
      <c r="I3640" t="s">
        <v>69</v>
      </c>
      <c r="J3640" t="s">
        <v>33</v>
      </c>
      <c r="K3640">
        <v>4.5999999999999996</v>
      </c>
      <c r="L3640" t="s">
        <v>143</v>
      </c>
      <c r="M3640" t="s">
        <v>143</v>
      </c>
      <c r="N3640">
        <v>50</v>
      </c>
      <c r="O3640" t="s">
        <v>40</v>
      </c>
      <c r="P3640" t="s">
        <v>67</v>
      </c>
    </row>
    <row r="3641" spans="1:16" ht="14.5" x14ac:dyDescent="0.35">
      <c r="A3641">
        <v>3640</v>
      </c>
      <c r="B3641">
        <v>26</v>
      </c>
      <c r="C3641" t="s">
        <v>144</v>
      </c>
      <c r="D3641" t="s">
        <v>55</v>
      </c>
      <c r="E3641" t="s">
        <v>56</v>
      </c>
      <c r="F3641">
        <v>44</v>
      </c>
      <c r="G3641" t="s">
        <v>106</v>
      </c>
      <c r="H3641" t="s">
        <v>39</v>
      </c>
      <c r="I3641" t="s">
        <v>101</v>
      </c>
      <c r="J3641" t="s">
        <v>47</v>
      </c>
      <c r="K3641">
        <v>3.6</v>
      </c>
      <c r="L3641" t="s">
        <v>143</v>
      </c>
      <c r="M3641" t="s">
        <v>143</v>
      </c>
      <c r="N3641">
        <v>39</v>
      </c>
      <c r="O3641" t="s">
        <v>24</v>
      </c>
      <c r="P3641" t="s">
        <v>43</v>
      </c>
    </row>
    <row r="3642" spans="1:16" ht="14.5" x14ac:dyDescent="0.35">
      <c r="A3642">
        <v>3641</v>
      </c>
      <c r="B3642">
        <v>47</v>
      </c>
      <c r="C3642" t="s">
        <v>144</v>
      </c>
      <c r="D3642" t="s">
        <v>80</v>
      </c>
      <c r="E3642" t="s">
        <v>60</v>
      </c>
      <c r="F3642">
        <v>31</v>
      </c>
      <c r="G3642" t="s">
        <v>139</v>
      </c>
      <c r="H3642" t="s">
        <v>20</v>
      </c>
      <c r="I3642" t="s">
        <v>62</v>
      </c>
      <c r="J3642" t="s">
        <v>33</v>
      </c>
      <c r="K3642">
        <v>4</v>
      </c>
      <c r="L3642" t="s">
        <v>143</v>
      </c>
      <c r="M3642" t="s">
        <v>143</v>
      </c>
      <c r="N3642">
        <v>17</v>
      </c>
      <c r="O3642" t="s">
        <v>40</v>
      </c>
      <c r="P3642" t="s">
        <v>79</v>
      </c>
    </row>
    <row r="3643" spans="1:16" ht="14.5" x14ac:dyDescent="0.35">
      <c r="A3643">
        <v>3642</v>
      </c>
      <c r="B3643">
        <v>51</v>
      </c>
      <c r="C3643" t="s">
        <v>144</v>
      </c>
      <c r="D3643" t="s">
        <v>93</v>
      </c>
      <c r="E3643" t="s">
        <v>56</v>
      </c>
      <c r="F3643">
        <v>45</v>
      </c>
      <c r="G3643" t="s">
        <v>75</v>
      </c>
      <c r="H3643" t="s">
        <v>39</v>
      </c>
      <c r="I3643" t="s">
        <v>100</v>
      </c>
      <c r="J3643" t="s">
        <v>50</v>
      </c>
      <c r="K3643">
        <v>2.7</v>
      </c>
      <c r="L3643" t="s">
        <v>143</v>
      </c>
      <c r="M3643" t="s">
        <v>143</v>
      </c>
      <c r="N3643">
        <v>39</v>
      </c>
      <c r="O3643" t="s">
        <v>66</v>
      </c>
      <c r="P3643" t="s">
        <v>88</v>
      </c>
    </row>
    <row r="3644" spans="1:16" ht="14.5" x14ac:dyDescent="0.35">
      <c r="A3644">
        <v>3643</v>
      </c>
      <c r="B3644">
        <v>47</v>
      </c>
      <c r="C3644" t="s">
        <v>144</v>
      </c>
      <c r="D3644" t="s">
        <v>72</v>
      </c>
      <c r="E3644" t="s">
        <v>18</v>
      </c>
      <c r="F3644">
        <v>71</v>
      </c>
      <c r="G3644" t="s">
        <v>108</v>
      </c>
      <c r="H3644" t="s">
        <v>20</v>
      </c>
      <c r="I3644" t="s">
        <v>28</v>
      </c>
      <c r="J3644" t="s">
        <v>47</v>
      </c>
      <c r="K3644">
        <v>4.4000000000000004</v>
      </c>
      <c r="L3644" t="s">
        <v>143</v>
      </c>
      <c r="M3644" t="s">
        <v>143</v>
      </c>
      <c r="N3644">
        <v>5</v>
      </c>
      <c r="O3644" t="s">
        <v>40</v>
      </c>
      <c r="P3644" t="s">
        <v>43</v>
      </c>
    </row>
    <row r="3645" spans="1:16" ht="14.5" x14ac:dyDescent="0.35">
      <c r="A3645">
        <v>3644</v>
      </c>
      <c r="B3645">
        <v>53</v>
      </c>
      <c r="C3645" t="s">
        <v>144</v>
      </c>
      <c r="D3645" t="s">
        <v>110</v>
      </c>
      <c r="E3645" t="s">
        <v>60</v>
      </c>
      <c r="F3645">
        <v>96</v>
      </c>
      <c r="G3645" t="s">
        <v>113</v>
      </c>
      <c r="H3645" t="s">
        <v>83</v>
      </c>
      <c r="I3645" t="s">
        <v>127</v>
      </c>
      <c r="J3645" t="s">
        <v>50</v>
      </c>
      <c r="K3645">
        <v>3.2</v>
      </c>
      <c r="L3645" t="s">
        <v>143</v>
      </c>
      <c r="M3645" t="s">
        <v>143</v>
      </c>
      <c r="N3645">
        <v>47</v>
      </c>
      <c r="O3645" t="s">
        <v>77</v>
      </c>
      <c r="P3645" t="s">
        <v>43</v>
      </c>
    </row>
    <row r="3646" spans="1:16" ht="14.5" x14ac:dyDescent="0.35">
      <c r="A3646">
        <v>3645</v>
      </c>
      <c r="B3646">
        <v>35</v>
      </c>
      <c r="C3646" t="s">
        <v>144</v>
      </c>
      <c r="D3646" t="s">
        <v>17</v>
      </c>
      <c r="E3646" t="s">
        <v>18</v>
      </c>
      <c r="F3646">
        <v>32</v>
      </c>
      <c r="G3646" t="s">
        <v>64</v>
      </c>
      <c r="H3646" t="s">
        <v>39</v>
      </c>
      <c r="I3646" t="s">
        <v>74</v>
      </c>
      <c r="J3646" t="s">
        <v>22</v>
      </c>
      <c r="K3646">
        <v>2.6</v>
      </c>
      <c r="L3646" t="s">
        <v>143</v>
      </c>
      <c r="M3646" t="s">
        <v>143</v>
      </c>
      <c r="N3646">
        <v>18</v>
      </c>
      <c r="O3646" t="s">
        <v>24</v>
      </c>
      <c r="P3646" t="s">
        <v>35</v>
      </c>
    </row>
    <row r="3647" spans="1:16" ht="14.5" x14ac:dyDescent="0.35">
      <c r="A3647">
        <v>3646</v>
      </c>
      <c r="B3647">
        <v>38</v>
      </c>
      <c r="C3647" t="s">
        <v>144</v>
      </c>
      <c r="D3647" t="s">
        <v>123</v>
      </c>
      <c r="E3647" t="s">
        <v>60</v>
      </c>
      <c r="F3647">
        <v>90</v>
      </c>
      <c r="G3647" t="s">
        <v>103</v>
      </c>
      <c r="H3647" t="s">
        <v>20</v>
      </c>
      <c r="I3647" t="s">
        <v>58</v>
      </c>
      <c r="J3647" t="s">
        <v>47</v>
      </c>
      <c r="K3647">
        <v>3.4</v>
      </c>
      <c r="L3647" t="s">
        <v>143</v>
      </c>
      <c r="M3647" t="s">
        <v>143</v>
      </c>
      <c r="N3647">
        <v>31</v>
      </c>
      <c r="O3647" t="s">
        <v>34</v>
      </c>
      <c r="P3647" t="s">
        <v>88</v>
      </c>
    </row>
    <row r="3648" spans="1:16" ht="14.5" x14ac:dyDescent="0.35">
      <c r="A3648">
        <v>3647</v>
      </c>
      <c r="B3648">
        <v>69</v>
      </c>
      <c r="C3648" t="s">
        <v>144</v>
      </c>
      <c r="D3648" t="s">
        <v>97</v>
      </c>
      <c r="E3648" t="s">
        <v>60</v>
      </c>
      <c r="F3648">
        <v>68</v>
      </c>
      <c r="G3648" t="s">
        <v>98</v>
      </c>
      <c r="H3648" t="s">
        <v>39</v>
      </c>
      <c r="I3648" t="s">
        <v>28</v>
      </c>
      <c r="J3648" t="s">
        <v>33</v>
      </c>
      <c r="K3648">
        <v>5</v>
      </c>
      <c r="L3648" t="s">
        <v>143</v>
      </c>
      <c r="M3648" t="s">
        <v>143</v>
      </c>
      <c r="N3648">
        <v>39</v>
      </c>
      <c r="O3648" t="s">
        <v>77</v>
      </c>
      <c r="P3648" t="s">
        <v>25</v>
      </c>
    </row>
    <row r="3649" spans="1:16" ht="14.5" x14ac:dyDescent="0.35">
      <c r="A3649">
        <v>3648</v>
      </c>
      <c r="B3649">
        <v>47</v>
      </c>
      <c r="C3649" t="s">
        <v>144</v>
      </c>
      <c r="D3649" t="s">
        <v>52</v>
      </c>
      <c r="E3649" t="s">
        <v>18</v>
      </c>
      <c r="F3649">
        <v>45</v>
      </c>
      <c r="G3649" t="s">
        <v>102</v>
      </c>
      <c r="H3649" t="s">
        <v>39</v>
      </c>
      <c r="I3649" t="s">
        <v>21</v>
      </c>
      <c r="J3649" t="s">
        <v>22</v>
      </c>
      <c r="K3649">
        <v>2.9</v>
      </c>
      <c r="L3649" t="s">
        <v>143</v>
      </c>
      <c r="M3649" t="s">
        <v>143</v>
      </c>
      <c r="N3649">
        <v>12</v>
      </c>
      <c r="O3649" t="s">
        <v>66</v>
      </c>
      <c r="P3649" t="s">
        <v>35</v>
      </c>
    </row>
    <row r="3650" spans="1:16" ht="14.5" x14ac:dyDescent="0.35">
      <c r="A3650">
        <v>3649</v>
      </c>
      <c r="B3650">
        <v>31</v>
      </c>
      <c r="C3650" t="s">
        <v>144</v>
      </c>
      <c r="D3650" t="s">
        <v>78</v>
      </c>
      <c r="E3650" t="s">
        <v>18</v>
      </c>
      <c r="F3650">
        <v>67</v>
      </c>
      <c r="G3650" t="s">
        <v>75</v>
      </c>
      <c r="H3650" t="s">
        <v>39</v>
      </c>
      <c r="I3650" t="s">
        <v>46</v>
      </c>
      <c r="J3650" t="s">
        <v>22</v>
      </c>
      <c r="K3650">
        <v>5</v>
      </c>
      <c r="L3650" t="s">
        <v>143</v>
      </c>
      <c r="M3650" t="s">
        <v>143</v>
      </c>
      <c r="N3650">
        <v>45</v>
      </c>
      <c r="O3650" t="s">
        <v>29</v>
      </c>
      <c r="P3650" t="s">
        <v>67</v>
      </c>
    </row>
    <row r="3651" spans="1:16" ht="14.5" x14ac:dyDescent="0.35">
      <c r="A3651">
        <v>3650</v>
      </c>
      <c r="B3651">
        <v>68</v>
      </c>
      <c r="C3651" t="s">
        <v>144</v>
      </c>
      <c r="D3651" t="s">
        <v>78</v>
      </c>
      <c r="E3651" t="s">
        <v>18</v>
      </c>
      <c r="F3651">
        <v>57</v>
      </c>
      <c r="G3651" t="s">
        <v>139</v>
      </c>
      <c r="H3651" t="s">
        <v>39</v>
      </c>
      <c r="I3651" t="s">
        <v>101</v>
      </c>
      <c r="J3651" t="s">
        <v>50</v>
      </c>
      <c r="K3651">
        <v>4.4000000000000004</v>
      </c>
      <c r="L3651" t="s">
        <v>143</v>
      </c>
      <c r="M3651" t="s">
        <v>143</v>
      </c>
      <c r="N3651">
        <v>33</v>
      </c>
      <c r="O3651" t="s">
        <v>34</v>
      </c>
      <c r="P3651" t="s">
        <v>25</v>
      </c>
    </row>
    <row r="3652" spans="1:16" ht="14.5" x14ac:dyDescent="0.35">
      <c r="A3652">
        <v>3651</v>
      </c>
      <c r="B3652">
        <v>51</v>
      </c>
      <c r="C3652" t="s">
        <v>144</v>
      </c>
      <c r="D3652" t="s">
        <v>30</v>
      </c>
      <c r="E3652" t="s">
        <v>18</v>
      </c>
      <c r="F3652">
        <v>60</v>
      </c>
      <c r="G3652" t="s">
        <v>114</v>
      </c>
      <c r="H3652" t="s">
        <v>39</v>
      </c>
      <c r="I3652" t="s">
        <v>58</v>
      </c>
      <c r="J3652" t="s">
        <v>47</v>
      </c>
      <c r="K3652">
        <v>3.5</v>
      </c>
      <c r="L3652" t="s">
        <v>143</v>
      </c>
      <c r="M3652" t="s">
        <v>143</v>
      </c>
      <c r="N3652">
        <v>3</v>
      </c>
      <c r="O3652" t="s">
        <v>40</v>
      </c>
      <c r="P3652" t="s">
        <v>43</v>
      </c>
    </row>
    <row r="3653" spans="1:16" ht="14.5" x14ac:dyDescent="0.35">
      <c r="A3653">
        <v>3652</v>
      </c>
      <c r="B3653">
        <v>20</v>
      </c>
      <c r="C3653" t="s">
        <v>144</v>
      </c>
      <c r="D3653" t="s">
        <v>59</v>
      </c>
      <c r="E3653" t="s">
        <v>60</v>
      </c>
      <c r="F3653">
        <v>32</v>
      </c>
      <c r="G3653" t="s">
        <v>108</v>
      </c>
      <c r="H3653" t="s">
        <v>39</v>
      </c>
      <c r="I3653" t="s">
        <v>125</v>
      </c>
      <c r="J3653" t="s">
        <v>33</v>
      </c>
      <c r="K3653">
        <v>3.8</v>
      </c>
      <c r="L3653" t="s">
        <v>143</v>
      </c>
      <c r="M3653" t="s">
        <v>143</v>
      </c>
      <c r="N3653">
        <v>5</v>
      </c>
      <c r="O3653" t="s">
        <v>24</v>
      </c>
      <c r="P3653" t="s">
        <v>88</v>
      </c>
    </row>
    <row r="3654" spans="1:16" ht="14.5" x14ac:dyDescent="0.35">
      <c r="A3654">
        <v>3653</v>
      </c>
      <c r="B3654">
        <v>27</v>
      </c>
      <c r="C3654" t="s">
        <v>144</v>
      </c>
      <c r="D3654" t="s">
        <v>59</v>
      </c>
      <c r="E3654" t="s">
        <v>60</v>
      </c>
      <c r="F3654">
        <v>29</v>
      </c>
      <c r="G3654" t="s">
        <v>19</v>
      </c>
      <c r="H3654" t="s">
        <v>32</v>
      </c>
      <c r="I3654" t="s">
        <v>127</v>
      </c>
      <c r="J3654" t="s">
        <v>50</v>
      </c>
      <c r="K3654">
        <v>3.8</v>
      </c>
      <c r="L3654" t="s">
        <v>143</v>
      </c>
      <c r="M3654" t="s">
        <v>143</v>
      </c>
      <c r="N3654">
        <v>23</v>
      </c>
      <c r="O3654" t="s">
        <v>77</v>
      </c>
      <c r="P3654" t="s">
        <v>79</v>
      </c>
    </row>
    <row r="3655" spans="1:16" ht="14.5" x14ac:dyDescent="0.35">
      <c r="A3655">
        <v>3654</v>
      </c>
      <c r="B3655">
        <v>67</v>
      </c>
      <c r="C3655" t="s">
        <v>144</v>
      </c>
      <c r="D3655" t="s">
        <v>55</v>
      </c>
      <c r="E3655" t="s">
        <v>56</v>
      </c>
      <c r="F3655">
        <v>20</v>
      </c>
      <c r="G3655" t="s">
        <v>139</v>
      </c>
      <c r="H3655" t="s">
        <v>39</v>
      </c>
      <c r="I3655" t="s">
        <v>135</v>
      </c>
      <c r="J3655" t="s">
        <v>33</v>
      </c>
      <c r="K3655">
        <v>3.9</v>
      </c>
      <c r="L3655" t="s">
        <v>143</v>
      </c>
      <c r="M3655" t="s">
        <v>143</v>
      </c>
      <c r="N3655">
        <v>39</v>
      </c>
      <c r="O3655" t="s">
        <v>34</v>
      </c>
      <c r="P3655" t="s">
        <v>25</v>
      </c>
    </row>
    <row r="3656" spans="1:16" ht="14.5" x14ac:dyDescent="0.35">
      <c r="A3656">
        <v>3655</v>
      </c>
      <c r="B3656">
        <v>21</v>
      </c>
      <c r="C3656" t="s">
        <v>144</v>
      </c>
      <c r="D3656" t="s">
        <v>97</v>
      </c>
      <c r="E3656" t="s">
        <v>60</v>
      </c>
      <c r="F3656">
        <v>98</v>
      </c>
      <c r="G3656" t="s">
        <v>64</v>
      </c>
      <c r="H3656" t="s">
        <v>39</v>
      </c>
      <c r="I3656" t="s">
        <v>87</v>
      </c>
      <c r="J3656" t="s">
        <v>22</v>
      </c>
      <c r="K3656">
        <v>3.3</v>
      </c>
      <c r="L3656" t="s">
        <v>143</v>
      </c>
      <c r="M3656" t="s">
        <v>143</v>
      </c>
      <c r="N3656">
        <v>10</v>
      </c>
      <c r="O3656" t="s">
        <v>34</v>
      </c>
      <c r="P3656" t="s">
        <v>43</v>
      </c>
    </row>
    <row r="3657" spans="1:16" ht="14.5" x14ac:dyDescent="0.35">
      <c r="A3657">
        <v>3656</v>
      </c>
      <c r="B3657">
        <v>20</v>
      </c>
      <c r="C3657" t="s">
        <v>144</v>
      </c>
      <c r="D3657" t="s">
        <v>26</v>
      </c>
      <c r="E3657" t="s">
        <v>18</v>
      </c>
      <c r="F3657">
        <v>27</v>
      </c>
      <c r="G3657" t="s">
        <v>45</v>
      </c>
      <c r="H3657" t="s">
        <v>39</v>
      </c>
      <c r="I3657" t="s">
        <v>125</v>
      </c>
      <c r="J3657" t="s">
        <v>50</v>
      </c>
      <c r="K3657">
        <v>2.9</v>
      </c>
      <c r="L3657" t="s">
        <v>143</v>
      </c>
      <c r="M3657" t="s">
        <v>143</v>
      </c>
      <c r="N3657">
        <v>4</v>
      </c>
      <c r="O3657" t="s">
        <v>34</v>
      </c>
      <c r="P3657" t="s">
        <v>67</v>
      </c>
    </row>
    <row r="3658" spans="1:16" ht="14.5" x14ac:dyDescent="0.35">
      <c r="A3658">
        <v>3657</v>
      </c>
      <c r="B3658">
        <v>35</v>
      </c>
      <c r="C3658" t="s">
        <v>144</v>
      </c>
      <c r="D3658" t="s">
        <v>93</v>
      </c>
      <c r="E3658" t="s">
        <v>56</v>
      </c>
      <c r="F3658">
        <v>67</v>
      </c>
      <c r="G3658" t="s">
        <v>105</v>
      </c>
      <c r="H3658" t="s">
        <v>83</v>
      </c>
      <c r="I3658" t="s">
        <v>100</v>
      </c>
      <c r="J3658" t="s">
        <v>33</v>
      </c>
      <c r="K3658">
        <v>3.7</v>
      </c>
      <c r="L3658" t="s">
        <v>143</v>
      </c>
      <c r="M3658" t="s">
        <v>143</v>
      </c>
      <c r="N3658">
        <v>18</v>
      </c>
      <c r="O3658" t="s">
        <v>34</v>
      </c>
      <c r="P3658" t="s">
        <v>79</v>
      </c>
    </row>
    <row r="3659" spans="1:16" ht="14.5" x14ac:dyDescent="0.35">
      <c r="A3659">
        <v>3658</v>
      </c>
      <c r="B3659">
        <v>58</v>
      </c>
      <c r="C3659" t="s">
        <v>144</v>
      </c>
      <c r="D3659" t="s">
        <v>63</v>
      </c>
      <c r="E3659" t="s">
        <v>37</v>
      </c>
      <c r="F3659">
        <v>82</v>
      </c>
      <c r="G3659" t="s">
        <v>81</v>
      </c>
      <c r="H3659" t="s">
        <v>20</v>
      </c>
      <c r="I3659" t="s">
        <v>71</v>
      </c>
      <c r="J3659" t="s">
        <v>22</v>
      </c>
      <c r="K3659">
        <v>3.7</v>
      </c>
      <c r="L3659" t="s">
        <v>143</v>
      </c>
      <c r="M3659" t="s">
        <v>143</v>
      </c>
      <c r="N3659">
        <v>1</v>
      </c>
      <c r="O3659" t="s">
        <v>77</v>
      </c>
      <c r="P3659" t="s">
        <v>88</v>
      </c>
    </row>
    <row r="3660" spans="1:16" ht="14.5" x14ac:dyDescent="0.35">
      <c r="A3660">
        <v>3659</v>
      </c>
      <c r="B3660">
        <v>28</v>
      </c>
      <c r="C3660" t="s">
        <v>144</v>
      </c>
      <c r="D3660" t="s">
        <v>104</v>
      </c>
      <c r="E3660" t="s">
        <v>18</v>
      </c>
      <c r="F3660">
        <v>72</v>
      </c>
      <c r="G3660" t="s">
        <v>82</v>
      </c>
      <c r="H3660" t="s">
        <v>39</v>
      </c>
      <c r="I3660" t="s">
        <v>127</v>
      </c>
      <c r="J3660" t="s">
        <v>50</v>
      </c>
      <c r="K3660">
        <v>4.5999999999999996</v>
      </c>
      <c r="L3660" t="s">
        <v>143</v>
      </c>
      <c r="M3660" t="s">
        <v>143</v>
      </c>
      <c r="N3660">
        <v>18</v>
      </c>
      <c r="O3660" t="s">
        <v>40</v>
      </c>
      <c r="P3660" t="s">
        <v>25</v>
      </c>
    </row>
    <row r="3661" spans="1:16" ht="14.5" x14ac:dyDescent="0.35">
      <c r="A3661">
        <v>3660</v>
      </c>
      <c r="B3661">
        <v>27</v>
      </c>
      <c r="C3661" t="s">
        <v>144</v>
      </c>
      <c r="D3661" t="s">
        <v>36</v>
      </c>
      <c r="E3661" t="s">
        <v>37</v>
      </c>
      <c r="F3661">
        <v>77</v>
      </c>
      <c r="G3661" t="s">
        <v>106</v>
      </c>
      <c r="H3661" t="s">
        <v>32</v>
      </c>
      <c r="I3661" t="s">
        <v>21</v>
      </c>
      <c r="J3661" t="s">
        <v>50</v>
      </c>
      <c r="K3661">
        <v>4.9000000000000004</v>
      </c>
      <c r="L3661" t="s">
        <v>143</v>
      </c>
      <c r="M3661" t="s">
        <v>143</v>
      </c>
      <c r="N3661">
        <v>46</v>
      </c>
      <c r="O3661" t="s">
        <v>66</v>
      </c>
      <c r="P3661" t="s">
        <v>43</v>
      </c>
    </row>
    <row r="3662" spans="1:16" ht="14.5" x14ac:dyDescent="0.35">
      <c r="A3662">
        <v>3661</v>
      </c>
      <c r="B3662">
        <v>19</v>
      </c>
      <c r="C3662" t="s">
        <v>144</v>
      </c>
      <c r="D3662" t="s">
        <v>63</v>
      </c>
      <c r="E3662" t="s">
        <v>37</v>
      </c>
      <c r="F3662">
        <v>74</v>
      </c>
      <c r="G3662" t="s">
        <v>64</v>
      </c>
      <c r="H3662" t="s">
        <v>20</v>
      </c>
      <c r="I3662" t="s">
        <v>117</v>
      </c>
      <c r="J3662" t="s">
        <v>22</v>
      </c>
      <c r="K3662">
        <v>3.1</v>
      </c>
      <c r="L3662" t="s">
        <v>143</v>
      </c>
      <c r="M3662" t="s">
        <v>143</v>
      </c>
      <c r="N3662">
        <v>13</v>
      </c>
      <c r="O3662" t="s">
        <v>66</v>
      </c>
      <c r="P3662" t="s">
        <v>25</v>
      </c>
    </row>
    <row r="3663" spans="1:16" ht="14.5" x14ac:dyDescent="0.35">
      <c r="A3663">
        <v>3662</v>
      </c>
      <c r="B3663">
        <v>63</v>
      </c>
      <c r="C3663" t="s">
        <v>144</v>
      </c>
      <c r="D3663" t="s">
        <v>36</v>
      </c>
      <c r="E3663" t="s">
        <v>37</v>
      </c>
      <c r="F3663">
        <v>39</v>
      </c>
      <c r="G3663" t="s">
        <v>102</v>
      </c>
      <c r="H3663" t="s">
        <v>32</v>
      </c>
      <c r="I3663" t="s">
        <v>46</v>
      </c>
      <c r="J3663" t="s">
        <v>22</v>
      </c>
      <c r="K3663">
        <v>3.5</v>
      </c>
      <c r="L3663" t="s">
        <v>143</v>
      </c>
      <c r="M3663" t="s">
        <v>143</v>
      </c>
      <c r="N3663">
        <v>5</v>
      </c>
      <c r="O3663" t="s">
        <v>34</v>
      </c>
      <c r="P3663" t="s">
        <v>25</v>
      </c>
    </row>
    <row r="3664" spans="1:16" ht="14.5" x14ac:dyDescent="0.35">
      <c r="A3664">
        <v>3663</v>
      </c>
      <c r="B3664">
        <v>69</v>
      </c>
      <c r="C3664" t="s">
        <v>144</v>
      </c>
      <c r="D3664" t="s">
        <v>52</v>
      </c>
      <c r="E3664" t="s">
        <v>18</v>
      </c>
      <c r="F3664">
        <v>80</v>
      </c>
      <c r="G3664" t="s">
        <v>38</v>
      </c>
      <c r="H3664" t="s">
        <v>39</v>
      </c>
      <c r="I3664" t="s">
        <v>117</v>
      </c>
      <c r="J3664" t="s">
        <v>33</v>
      </c>
      <c r="K3664">
        <v>4.9000000000000004</v>
      </c>
      <c r="L3664" t="s">
        <v>143</v>
      </c>
      <c r="M3664" t="s">
        <v>143</v>
      </c>
      <c r="N3664">
        <v>11</v>
      </c>
      <c r="O3664" t="s">
        <v>77</v>
      </c>
      <c r="P3664" t="s">
        <v>35</v>
      </c>
    </row>
    <row r="3665" spans="1:16" ht="14.5" x14ac:dyDescent="0.35">
      <c r="A3665">
        <v>3664</v>
      </c>
      <c r="B3665">
        <v>65</v>
      </c>
      <c r="C3665" t="s">
        <v>144</v>
      </c>
      <c r="D3665" t="s">
        <v>123</v>
      </c>
      <c r="E3665" t="s">
        <v>60</v>
      </c>
      <c r="F3665">
        <v>59</v>
      </c>
      <c r="G3665" t="s">
        <v>94</v>
      </c>
      <c r="H3665" t="s">
        <v>39</v>
      </c>
      <c r="I3665" t="s">
        <v>87</v>
      </c>
      <c r="J3665" t="s">
        <v>47</v>
      </c>
      <c r="K3665">
        <v>4.4000000000000004</v>
      </c>
      <c r="L3665" t="s">
        <v>143</v>
      </c>
      <c r="M3665" t="s">
        <v>143</v>
      </c>
      <c r="N3665">
        <v>49</v>
      </c>
      <c r="O3665" t="s">
        <v>34</v>
      </c>
      <c r="P3665" t="s">
        <v>35</v>
      </c>
    </row>
    <row r="3666" spans="1:16" ht="14.5" x14ac:dyDescent="0.35">
      <c r="A3666">
        <v>3665</v>
      </c>
      <c r="B3666">
        <v>63</v>
      </c>
      <c r="C3666" t="s">
        <v>144</v>
      </c>
      <c r="D3666" t="s">
        <v>93</v>
      </c>
      <c r="E3666" t="s">
        <v>56</v>
      </c>
      <c r="F3666">
        <v>68</v>
      </c>
      <c r="G3666" t="s">
        <v>61</v>
      </c>
      <c r="H3666" t="s">
        <v>39</v>
      </c>
      <c r="I3666" t="s">
        <v>42</v>
      </c>
      <c r="J3666" t="s">
        <v>50</v>
      </c>
      <c r="K3666">
        <v>4.4000000000000004</v>
      </c>
      <c r="L3666" t="s">
        <v>143</v>
      </c>
      <c r="M3666" t="s">
        <v>143</v>
      </c>
      <c r="N3666">
        <v>1</v>
      </c>
      <c r="O3666" t="s">
        <v>77</v>
      </c>
      <c r="P3666" t="s">
        <v>25</v>
      </c>
    </row>
    <row r="3667" spans="1:16" ht="14.5" x14ac:dyDescent="0.35">
      <c r="A3667">
        <v>3666</v>
      </c>
      <c r="B3667">
        <v>28</v>
      </c>
      <c r="C3667" t="s">
        <v>144</v>
      </c>
      <c r="D3667" t="s">
        <v>116</v>
      </c>
      <c r="E3667" t="s">
        <v>18</v>
      </c>
      <c r="F3667">
        <v>77</v>
      </c>
      <c r="G3667" t="s">
        <v>89</v>
      </c>
      <c r="H3667" t="s">
        <v>39</v>
      </c>
      <c r="I3667" t="s">
        <v>91</v>
      </c>
      <c r="J3667" t="s">
        <v>50</v>
      </c>
      <c r="K3667">
        <v>3.4</v>
      </c>
      <c r="L3667" t="s">
        <v>143</v>
      </c>
      <c r="M3667" t="s">
        <v>143</v>
      </c>
      <c r="N3667">
        <v>11</v>
      </c>
      <c r="O3667" t="s">
        <v>34</v>
      </c>
      <c r="P3667" t="s">
        <v>51</v>
      </c>
    </row>
    <row r="3668" spans="1:16" ht="14.5" x14ac:dyDescent="0.35">
      <c r="A3668">
        <v>3667</v>
      </c>
      <c r="B3668">
        <v>67</v>
      </c>
      <c r="C3668" t="s">
        <v>144</v>
      </c>
      <c r="D3668" t="s">
        <v>97</v>
      </c>
      <c r="E3668" t="s">
        <v>60</v>
      </c>
      <c r="F3668">
        <v>50</v>
      </c>
      <c r="G3668" t="s">
        <v>81</v>
      </c>
      <c r="H3668" t="s">
        <v>39</v>
      </c>
      <c r="I3668" t="s">
        <v>69</v>
      </c>
      <c r="J3668" t="s">
        <v>22</v>
      </c>
      <c r="K3668">
        <v>3</v>
      </c>
      <c r="L3668" t="s">
        <v>143</v>
      </c>
      <c r="M3668" t="s">
        <v>143</v>
      </c>
      <c r="N3668">
        <v>47</v>
      </c>
      <c r="O3668" t="s">
        <v>29</v>
      </c>
      <c r="P3668" t="s">
        <v>88</v>
      </c>
    </row>
    <row r="3669" spans="1:16" ht="14.5" x14ac:dyDescent="0.35">
      <c r="A3669">
        <v>3668</v>
      </c>
      <c r="B3669">
        <v>51</v>
      </c>
      <c r="C3669" t="s">
        <v>144</v>
      </c>
      <c r="D3669" t="s">
        <v>86</v>
      </c>
      <c r="E3669" t="s">
        <v>18</v>
      </c>
      <c r="F3669">
        <v>45</v>
      </c>
      <c r="G3669" t="s">
        <v>140</v>
      </c>
      <c r="H3669" t="s">
        <v>20</v>
      </c>
      <c r="I3669" t="s">
        <v>100</v>
      </c>
      <c r="J3669" t="s">
        <v>50</v>
      </c>
      <c r="K3669">
        <v>2.6</v>
      </c>
      <c r="L3669" t="s">
        <v>143</v>
      </c>
      <c r="M3669" t="s">
        <v>143</v>
      </c>
      <c r="N3669">
        <v>20</v>
      </c>
      <c r="O3669" t="s">
        <v>24</v>
      </c>
      <c r="P3669" t="s">
        <v>79</v>
      </c>
    </row>
    <row r="3670" spans="1:16" ht="14.5" x14ac:dyDescent="0.35">
      <c r="A3670">
        <v>3669</v>
      </c>
      <c r="B3670">
        <v>59</v>
      </c>
      <c r="C3670" t="s">
        <v>144</v>
      </c>
      <c r="D3670" t="s">
        <v>17</v>
      </c>
      <c r="E3670" t="s">
        <v>18</v>
      </c>
      <c r="F3670">
        <v>71</v>
      </c>
      <c r="G3670" t="s">
        <v>142</v>
      </c>
      <c r="H3670" t="s">
        <v>83</v>
      </c>
      <c r="I3670" t="s">
        <v>127</v>
      </c>
      <c r="J3670" t="s">
        <v>47</v>
      </c>
      <c r="K3670">
        <v>3.2</v>
      </c>
      <c r="L3670" t="s">
        <v>143</v>
      </c>
      <c r="M3670" t="s">
        <v>143</v>
      </c>
      <c r="N3670">
        <v>18</v>
      </c>
      <c r="O3670" t="s">
        <v>24</v>
      </c>
      <c r="P3670" t="s">
        <v>43</v>
      </c>
    </row>
    <row r="3671" spans="1:16" ht="14.5" x14ac:dyDescent="0.35">
      <c r="A3671">
        <v>3670</v>
      </c>
      <c r="B3671">
        <v>25</v>
      </c>
      <c r="C3671" t="s">
        <v>144</v>
      </c>
      <c r="D3671" t="s">
        <v>116</v>
      </c>
      <c r="E3671" t="s">
        <v>18</v>
      </c>
      <c r="F3671">
        <v>52</v>
      </c>
      <c r="G3671" t="s">
        <v>140</v>
      </c>
      <c r="H3671" t="s">
        <v>32</v>
      </c>
      <c r="I3671" t="s">
        <v>58</v>
      </c>
      <c r="J3671" t="s">
        <v>50</v>
      </c>
      <c r="K3671">
        <v>4.5999999999999996</v>
      </c>
      <c r="L3671" t="s">
        <v>143</v>
      </c>
      <c r="M3671" t="s">
        <v>143</v>
      </c>
      <c r="N3671">
        <v>43</v>
      </c>
      <c r="O3671" t="s">
        <v>40</v>
      </c>
      <c r="P3671" t="s">
        <v>51</v>
      </c>
    </row>
    <row r="3672" spans="1:16" ht="14.5" x14ac:dyDescent="0.35">
      <c r="A3672">
        <v>3671</v>
      </c>
      <c r="B3672">
        <v>31</v>
      </c>
      <c r="C3672" t="s">
        <v>144</v>
      </c>
      <c r="D3672" t="s">
        <v>63</v>
      </c>
      <c r="E3672" t="s">
        <v>37</v>
      </c>
      <c r="F3672">
        <v>50</v>
      </c>
      <c r="G3672" t="s">
        <v>120</v>
      </c>
      <c r="H3672" t="s">
        <v>32</v>
      </c>
      <c r="I3672" t="s">
        <v>46</v>
      </c>
      <c r="J3672" t="s">
        <v>22</v>
      </c>
      <c r="K3672">
        <v>3.8</v>
      </c>
      <c r="L3672" t="s">
        <v>143</v>
      </c>
      <c r="M3672" t="s">
        <v>143</v>
      </c>
      <c r="N3672">
        <v>4</v>
      </c>
      <c r="O3672" t="s">
        <v>40</v>
      </c>
      <c r="P3672" t="s">
        <v>88</v>
      </c>
    </row>
    <row r="3673" spans="1:16" ht="14.5" x14ac:dyDescent="0.35">
      <c r="A3673">
        <v>3672</v>
      </c>
      <c r="B3673">
        <v>62</v>
      </c>
      <c r="C3673" t="s">
        <v>144</v>
      </c>
      <c r="D3673" t="s">
        <v>59</v>
      </c>
      <c r="E3673" t="s">
        <v>60</v>
      </c>
      <c r="F3673">
        <v>66</v>
      </c>
      <c r="G3673" t="s">
        <v>106</v>
      </c>
      <c r="H3673" t="s">
        <v>20</v>
      </c>
      <c r="I3673" t="s">
        <v>62</v>
      </c>
      <c r="J3673" t="s">
        <v>47</v>
      </c>
      <c r="K3673">
        <v>4.8</v>
      </c>
      <c r="L3673" t="s">
        <v>143</v>
      </c>
      <c r="M3673" t="s">
        <v>143</v>
      </c>
      <c r="N3673">
        <v>20</v>
      </c>
      <c r="O3673" t="s">
        <v>24</v>
      </c>
      <c r="P3673" t="s">
        <v>51</v>
      </c>
    </row>
    <row r="3674" spans="1:16" ht="14.5" x14ac:dyDescent="0.35">
      <c r="A3674">
        <v>3673</v>
      </c>
      <c r="B3674">
        <v>51</v>
      </c>
      <c r="C3674" t="s">
        <v>144</v>
      </c>
      <c r="D3674" t="s">
        <v>36</v>
      </c>
      <c r="E3674" t="s">
        <v>37</v>
      </c>
      <c r="F3674">
        <v>81</v>
      </c>
      <c r="G3674" t="s">
        <v>75</v>
      </c>
      <c r="H3674" t="s">
        <v>32</v>
      </c>
      <c r="I3674" t="s">
        <v>62</v>
      </c>
      <c r="J3674" t="s">
        <v>50</v>
      </c>
      <c r="K3674">
        <v>4.5</v>
      </c>
      <c r="L3674" t="s">
        <v>143</v>
      </c>
      <c r="M3674" t="s">
        <v>143</v>
      </c>
      <c r="N3674">
        <v>7</v>
      </c>
      <c r="O3674" t="s">
        <v>40</v>
      </c>
      <c r="P3674" t="s">
        <v>79</v>
      </c>
    </row>
    <row r="3675" spans="1:16" ht="14.5" x14ac:dyDescent="0.35">
      <c r="A3675">
        <v>3674</v>
      </c>
      <c r="B3675">
        <v>32</v>
      </c>
      <c r="C3675" t="s">
        <v>144</v>
      </c>
      <c r="D3675" t="s">
        <v>116</v>
      </c>
      <c r="E3675" t="s">
        <v>18</v>
      </c>
      <c r="F3675">
        <v>28</v>
      </c>
      <c r="G3675" t="s">
        <v>38</v>
      </c>
      <c r="H3675" t="s">
        <v>39</v>
      </c>
      <c r="I3675" t="s">
        <v>62</v>
      </c>
      <c r="J3675" t="s">
        <v>47</v>
      </c>
      <c r="K3675">
        <v>4.2</v>
      </c>
      <c r="L3675" t="s">
        <v>143</v>
      </c>
      <c r="M3675" t="s">
        <v>143</v>
      </c>
      <c r="N3675">
        <v>31</v>
      </c>
      <c r="O3675" t="s">
        <v>66</v>
      </c>
      <c r="P3675" t="s">
        <v>25</v>
      </c>
    </row>
    <row r="3676" spans="1:16" ht="14.5" x14ac:dyDescent="0.35">
      <c r="A3676">
        <v>3675</v>
      </c>
      <c r="B3676">
        <v>35</v>
      </c>
      <c r="C3676" t="s">
        <v>144</v>
      </c>
      <c r="D3676" t="s">
        <v>59</v>
      </c>
      <c r="E3676" t="s">
        <v>60</v>
      </c>
      <c r="F3676">
        <v>65</v>
      </c>
      <c r="G3676" t="s">
        <v>140</v>
      </c>
      <c r="H3676" t="s">
        <v>39</v>
      </c>
      <c r="I3676" t="s">
        <v>135</v>
      </c>
      <c r="J3676" t="s">
        <v>22</v>
      </c>
      <c r="K3676">
        <v>2.7</v>
      </c>
      <c r="L3676" t="s">
        <v>143</v>
      </c>
      <c r="M3676" t="s">
        <v>143</v>
      </c>
      <c r="N3676">
        <v>41</v>
      </c>
      <c r="O3676" t="s">
        <v>24</v>
      </c>
      <c r="P3676" t="s">
        <v>25</v>
      </c>
    </row>
    <row r="3677" spans="1:16" ht="14.5" x14ac:dyDescent="0.35">
      <c r="A3677">
        <v>3676</v>
      </c>
      <c r="B3677">
        <v>70</v>
      </c>
      <c r="C3677" t="s">
        <v>144</v>
      </c>
      <c r="D3677" t="s">
        <v>115</v>
      </c>
      <c r="E3677" t="s">
        <v>60</v>
      </c>
      <c r="F3677">
        <v>80</v>
      </c>
      <c r="G3677" t="s">
        <v>132</v>
      </c>
      <c r="H3677" t="s">
        <v>39</v>
      </c>
      <c r="I3677" t="s">
        <v>46</v>
      </c>
      <c r="J3677" t="s">
        <v>22</v>
      </c>
      <c r="K3677">
        <v>4.5</v>
      </c>
      <c r="L3677" t="s">
        <v>143</v>
      </c>
      <c r="M3677" t="s">
        <v>143</v>
      </c>
      <c r="N3677">
        <v>3</v>
      </c>
      <c r="O3677" t="s">
        <v>66</v>
      </c>
      <c r="P3677" t="s">
        <v>79</v>
      </c>
    </row>
    <row r="3678" spans="1:16" ht="14.5" x14ac:dyDescent="0.35">
      <c r="A3678">
        <v>3677</v>
      </c>
      <c r="B3678">
        <v>19</v>
      </c>
      <c r="C3678" t="s">
        <v>144</v>
      </c>
      <c r="D3678" t="s">
        <v>97</v>
      </c>
      <c r="E3678" t="s">
        <v>60</v>
      </c>
      <c r="F3678">
        <v>94</v>
      </c>
      <c r="G3678" t="s">
        <v>141</v>
      </c>
      <c r="H3678" t="s">
        <v>32</v>
      </c>
      <c r="I3678" t="s">
        <v>76</v>
      </c>
      <c r="J3678" t="s">
        <v>33</v>
      </c>
      <c r="K3678">
        <v>4.9000000000000004</v>
      </c>
      <c r="L3678" t="s">
        <v>143</v>
      </c>
      <c r="M3678" t="s">
        <v>143</v>
      </c>
      <c r="N3678">
        <v>16</v>
      </c>
      <c r="O3678" t="s">
        <v>40</v>
      </c>
      <c r="P3678" t="s">
        <v>79</v>
      </c>
    </row>
    <row r="3679" spans="1:16" ht="14.5" x14ac:dyDescent="0.35">
      <c r="A3679">
        <v>3678</v>
      </c>
      <c r="B3679">
        <v>32</v>
      </c>
      <c r="C3679" t="s">
        <v>144</v>
      </c>
      <c r="D3679" t="s">
        <v>123</v>
      </c>
      <c r="E3679" t="s">
        <v>60</v>
      </c>
      <c r="F3679">
        <v>30</v>
      </c>
      <c r="G3679" t="s">
        <v>142</v>
      </c>
      <c r="H3679" t="s">
        <v>39</v>
      </c>
      <c r="I3679" t="s">
        <v>21</v>
      </c>
      <c r="J3679" t="s">
        <v>50</v>
      </c>
      <c r="K3679">
        <v>2.8</v>
      </c>
      <c r="L3679" t="s">
        <v>143</v>
      </c>
      <c r="M3679" t="s">
        <v>143</v>
      </c>
      <c r="N3679">
        <v>43</v>
      </c>
      <c r="O3679" t="s">
        <v>29</v>
      </c>
      <c r="P3679" t="s">
        <v>43</v>
      </c>
    </row>
    <row r="3680" spans="1:16" ht="14.5" x14ac:dyDescent="0.35">
      <c r="A3680">
        <v>3679</v>
      </c>
      <c r="B3680">
        <v>56</v>
      </c>
      <c r="C3680" t="s">
        <v>144</v>
      </c>
      <c r="D3680" t="s">
        <v>48</v>
      </c>
      <c r="E3680" t="s">
        <v>18</v>
      </c>
      <c r="F3680">
        <v>45</v>
      </c>
      <c r="G3680" t="s">
        <v>96</v>
      </c>
      <c r="H3680" t="s">
        <v>32</v>
      </c>
      <c r="I3680" t="s">
        <v>109</v>
      </c>
      <c r="J3680" t="s">
        <v>50</v>
      </c>
      <c r="K3680">
        <v>3.5</v>
      </c>
      <c r="L3680" t="s">
        <v>143</v>
      </c>
      <c r="M3680" t="s">
        <v>143</v>
      </c>
      <c r="N3680">
        <v>29</v>
      </c>
      <c r="O3680" t="s">
        <v>66</v>
      </c>
      <c r="P3680" t="s">
        <v>25</v>
      </c>
    </row>
    <row r="3681" spans="1:16" ht="14.5" x14ac:dyDescent="0.35">
      <c r="A3681">
        <v>3680</v>
      </c>
      <c r="B3681">
        <v>53</v>
      </c>
      <c r="C3681" t="s">
        <v>144</v>
      </c>
      <c r="D3681" t="s">
        <v>55</v>
      </c>
      <c r="E3681" t="s">
        <v>56</v>
      </c>
      <c r="F3681">
        <v>91</v>
      </c>
      <c r="G3681" t="s">
        <v>126</v>
      </c>
      <c r="H3681" t="s">
        <v>39</v>
      </c>
      <c r="I3681" t="s">
        <v>74</v>
      </c>
      <c r="J3681" t="s">
        <v>47</v>
      </c>
      <c r="K3681">
        <v>2.5</v>
      </c>
      <c r="L3681" t="s">
        <v>143</v>
      </c>
      <c r="M3681" t="s">
        <v>143</v>
      </c>
      <c r="N3681">
        <v>5</v>
      </c>
      <c r="O3681" t="s">
        <v>29</v>
      </c>
      <c r="P3681" t="s">
        <v>67</v>
      </c>
    </row>
    <row r="3682" spans="1:16" ht="14.5" x14ac:dyDescent="0.35">
      <c r="A3682">
        <v>3681</v>
      </c>
      <c r="B3682">
        <v>22</v>
      </c>
      <c r="C3682" t="s">
        <v>144</v>
      </c>
      <c r="D3682" t="s">
        <v>80</v>
      </c>
      <c r="E3682" t="s">
        <v>60</v>
      </c>
      <c r="F3682">
        <v>36</v>
      </c>
      <c r="G3682" t="s">
        <v>137</v>
      </c>
      <c r="H3682" t="s">
        <v>32</v>
      </c>
      <c r="I3682" t="s">
        <v>135</v>
      </c>
      <c r="J3682" t="s">
        <v>22</v>
      </c>
      <c r="K3682">
        <v>2.9</v>
      </c>
      <c r="L3682" t="s">
        <v>143</v>
      </c>
      <c r="M3682" t="s">
        <v>143</v>
      </c>
      <c r="N3682">
        <v>30</v>
      </c>
      <c r="O3682" t="s">
        <v>77</v>
      </c>
      <c r="P3682" t="s">
        <v>51</v>
      </c>
    </row>
    <row r="3683" spans="1:16" ht="14.5" x14ac:dyDescent="0.35">
      <c r="A3683">
        <v>3682</v>
      </c>
      <c r="B3683">
        <v>26</v>
      </c>
      <c r="C3683" t="s">
        <v>144</v>
      </c>
      <c r="D3683" t="s">
        <v>134</v>
      </c>
      <c r="E3683" t="s">
        <v>60</v>
      </c>
      <c r="F3683">
        <v>73</v>
      </c>
      <c r="G3683" t="s">
        <v>130</v>
      </c>
      <c r="H3683" t="s">
        <v>83</v>
      </c>
      <c r="I3683" t="s">
        <v>127</v>
      </c>
      <c r="J3683" t="s">
        <v>50</v>
      </c>
      <c r="K3683">
        <v>4.2</v>
      </c>
      <c r="L3683" t="s">
        <v>143</v>
      </c>
      <c r="M3683" t="s">
        <v>143</v>
      </c>
      <c r="N3683">
        <v>33</v>
      </c>
      <c r="O3683" t="s">
        <v>77</v>
      </c>
      <c r="P3683" t="s">
        <v>79</v>
      </c>
    </row>
    <row r="3684" spans="1:16" ht="14.5" x14ac:dyDescent="0.35">
      <c r="A3684">
        <v>3683</v>
      </c>
      <c r="B3684">
        <v>42</v>
      </c>
      <c r="C3684" t="s">
        <v>144</v>
      </c>
      <c r="D3684" t="s">
        <v>48</v>
      </c>
      <c r="E3684" t="s">
        <v>18</v>
      </c>
      <c r="F3684">
        <v>60</v>
      </c>
      <c r="G3684" t="s">
        <v>45</v>
      </c>
      <c r="H3684" t="s">
        <v>39</v>
      </c>
      <c r="I3684" t="s">
        <v>28</v>
      </c>
      <c r="J3684" t="s">
        <v>50</v>
      </c>
      <c r="K3684">
        <v>4.5999999999999996</v>
      </c>
      <c r="L3684" t="s">
        <v>143</v>
      </c>
      <c r="M3684" t="s">
        <v>143</v>
      </c>
      <c r="N3684">
        <v>46</v>
      </c>
      <c r="O3684" t="s">
        <v>24</v>
      </c>
      <c r="P3684" t="s">
        <v>67</v>
      </c>
    </row>
    <row r="3685" spans="1:16" ht="14.5" x14ac:dyDescent="0.35">
      <c r="A3685">
        <v>3684</v>
      </c>
      <c r="B3685">
        <v>30</v>
      </c>
      <c r="C3685" t="s">
        <v>144</v>
      </c>
      <c r="D3685" t="s">
        <v>116</v>
      </c>
      <c r="E3685" t="s">
        <v>18</v>
      </c>
      <c r="F3685">
        <v>77</v>
      </c>
      <c r="G3685" t="s">
        <v>82</v>
      </c>
      <c r="H3685" t="s">
        <v>39</v>
      </c>
      <c r="I3685" t="s">
        <v>65</v>
      </c>
      <c r="J3685" t="s">
        <v>22</v>
      </c>
      <c r="K3685">
        <v>3</v>
      </c>
      <c r="L3685" t="s">
        <v>143</v>
      </c>
      <c r="M3685" t="s">
        <v>143</v>
      </c>
      <c r="N3685">
        <v>17</v>
      </c>
      <c r="O3685" t="s">
        <v>24</v>
      </c>
      <c r="P3685" t="s">
        <v>25</v>
      </c>
    </row>
    <row r="3686" spans="1:16" ht="14.5" x14ac:dyDescent="0.35">
      <c r="A3686">
        <v>3685</v>
      </c>
      <c r="B3686">
        <v>29</v>
      </c>
      <c r="C3686" t="s">
        <v>144</v>
      </c>
      <c r="D3686" t="s">
        <v>78</v>
      </c>
      <c r="E3686" t="s">
        <v>18</v>
      </c>
      <c r="F3686">
        <v>86</v>
      </c>
      <c r="G3686" t="s">
        <v>129</v>
      </c>
      <c r="H3686" t="s">
        <v>20</v>
      </c>
      <c r="I3686" t="s">
        <v>54</v>
      </c>
      <c r="J3686" t="s">
        <v>33</v>
      </c>
      <c r="K3686">
        <v>4.4000000000000004</v>
      </c>
      <c r="L3686" t="s">
        <v>143</v>
      </c>
      <c r="M3686" t="s">
        <v>143</v>
      </c>
      <c r="N3686">
        <v>47</v>
      </c>
      <c r="O3686" t="s">
        <v>34</v>
      </c>
      <c r="P3686" t="s">
        <v>67</v>
      </c>
    </row>
    <row r="3687" spans="1:16" ht="14.5" x14ac:dyDescent="0.35">
      <c r="A3687">
        <v>3686</v>
      </c>
      <c r="B3687">
        <v>47</v>
      </c>
      <c r="C3687" t="s">
        <v>144</v>
      </c>
      <c r="D3687" t="s">
        <v>52</v>
      </c>
      <c r="E3687" t="s">
        <v>18</v>
      </c>
      <c r="F3687">
        <v>42</v>
      </c>
      <c r="G3687" t="s">
        <v>113</v>
      </c>
      <c r="H3687" t="s">
        <v>20</v>
      </c>
      <c r="I3687" t="s">
        <v>99</v>
      </c>
      <c r="J3687" t="s">
        <v>47</v>
      </c>
      <c r="K3687">
        <v>2.6</v>
      </c>
      <c r="L3687" t="s">
        <v>143</v>
      </c>
      <c r="M3687" t="s">
        <v>143</v>
      </c>
      <c r="N3687">
        <v>17</v>
      </c>
      <c r="O3687" t="s">
        <v>29</v>
      </c>
      <c r="P3687" t="s">
        <v>67</v>
      </c>
    </row>
    <row r="3688" spans="1:16" ht="14.5" x14ac:dyDescent="0.35">
      <c r="A3688">
        <v>3687</v>
      </c>
      <c r="B3688">
        <v>59</v>
      </c>
      <c r="C3688" t="s">
        <v>144</v>
      </c>
      <c r="D3688" t="s">
        <v>36</v>
      </c>
      <c r="E3688" t="s">
        <v>37</v>
      </c>
      <c r="F3688">
        <v>70</v>
      </c>
      <c r="G3688" t="s">
        <v>53</v>
      </c>
      <c r="H3688" t="s">
        <v>39</v>
      </c>
      <c r="I3688" t="s">
        <v>54</v>
      </c>
      <c r="J3688" t="s">
        <v>33</v>
      </c>
      <c r="K3688">
        <v>4.8</v>
      </c>
      <c r="L3688" t="s">
        <v>143</v>
      </c>
      <c r="M3688" t="s">
        <v>143</v>
      </c>
      <c r="N3688">
        <v>17</v>
      </c>
      <c r="O3688" t="s">
        <v>29</v>
      </c>
      <c r="P3688" t="s">
        <v>67</v>
      </c>
    </row>
    <row r="3689" spans="1:16" ht="14.5" x14ac:dyDescent="0.35">
      <c r="A3689">
        <v>3688</v>
      </c>
      <c r="B3689">
        <v>34</v>
      </c>
      <c r="C3689" t="s">
        <v>144</v>
      </c>
      <c r="D3689" t="s">
        <v>48</v>
      </c>
      <c r="E3689" t="s">
        <v>18</v>
      </c>
      <c r="F3689">
        <v>44</v>
      </c>
      <c r="G3689" t="s">
        <v>64</v>
      </c>
      <c r="H3689" t="s">
        <v>20</v>
      </c>
      <c r="I3689" t="s">
        <v>84</v>
      </c>
      <c r="J3689" t="s">
        <v>47</v>
      </c>
      <c r="K3689">
        <v>2.9</v>
      </c>
      <c r="L3689" t="s">
        <v>143</v>
      </c>
      <c r="M3689" t="s">
        <v>143</v>
      </c>
      <c r="N3689">
        <v>28</v>
      </c>
      <c r="O3689" t="s">
        <v>66</v>
      </c>
      <c r="P3689" t="s">
        <v>88</v>
      </c>
    </row>
    <row r="3690" spans="1:16" ht="14.5" x14ac:dyDescent="0.35">
      <c r="A3690">
        <v>3689</v>
      </c>
      <c r="B3690">
        <v>52</v>
      </c>
      <c r="C3690" t="s">
        <v>144</v>
      </c>
      <c r="D3690" t="s">
        <v>80</v>
      </c>
      <c r="E3690" t="s">
        <v>60</v>
      </c>
      <c r="F3690">
        <v>91</v>
      </c>
      <c r="G3690" t="s">
        <v>57</v>
      </c>
      <c r="H3690" t="s">
        <v>20</v>
      </c>
      <c r="I3690" t="s">
        <v>46</v>
      </c>
      <c r="J3690" t="s">
        <v>33</v>
      </c>
      <c r="K3690">
        <v>3</v>
      </c>
      <c r="L3690" t="s">
        <v>143</v>
      </c>
      <c r="M3690" t="s">
        <v>143</v>
      </c>
      <c r="N3690">
        <v>8</v>
      </c>
      <c r="O3690" t="s">
        <v>29</v>
      </c>
      <c r="P3690" t="s">
        <v>79</v>
      </c>
    </row>
    <row r="3691" spans="1:16" ht="14.5" x14ac:dyDescent="0.35">
      <c r="A3691">
        <v>3690</v>
      </c>
      <c r="B3691">
        <v>47</v>
      </c>
      <c r="C3691" t="s">
        <v>144</v>
      </c>
      <c r="D3691" t="s">
        <v>97</v>
      </c>
      <c r="E3691" t="s">
        <v>60</v>
      </c>
      <c r="F3691">
        <v>30</v>
      </c>
      <c r="G3691" t="s">
        <v>122</v>
      </c>
      <c r="H3691" t="s">
        <v>20</v>
      </c>
      <c r="I3691" t="s">
        <v>99</v>
      </c>
      <c r="J3691" t="s">
        <v>50</v>
      </c>
      <c r="K3691">
        <v>4.5</v>
      </c>
      <c r="L3691" t="s">
        <v>143</v>
      </c>
      <c r="M3691" t="s">
        <v>143</v>
      </c>
      <c r="N3691">
        <v>8</v>
      </c>
      <c r="O3691" t="s">
        <v>66</v>
      </c>
      <c r="P3691" t="s">
        <v>51</v>
      </c>
    </row>
    <row r="3692" spans="1:16" ht="14.5" x14ac:dyDescent="0.35">
      <c r="A3692">
        <v>3691</v>
      </c>
      <c r="B3692">
        <v>24</v>
      </c>
      <c r="C3692" t="s">
        <v>144</v>
      </c>
      <c r="D3692" t="s">
        <v>17</v>
      </c>
      <c r="E3692" t="s">
        <v>18</v>
      </c>
      <c r="F3692">
        <v>23</v>
      </c>
      <c r="G3692" t="s">
        <v>102</v>
      </c>
      <c r="H3692" t="s">
        <v>32</v>
      </c>
      <c r="I3692" t="s">
        <v>74</v>
      </c>
      <c r="J3692" t="s">
        <v>50</v>
      </c>
      <c r="K3692">
        <v>3.7</v>
      </c>
      <c r="L3692" t="s">
        <v>143</v>
      </c>
      <c r="M3692" t="s">
        <v>143</v>
      </c>
      <c r="N3692">
        <v>4</v>
      </c>
      <c r="O3692" t="s">
        <v>66</v>
      </c>
      <c r="P3692" t="s">
        <v>67</v>
      </c>
    </row>
    <row r="3693" spans="1:16" ht="14.5" x14ac:dyDescent="0.35">
      <c r="A3693">
        <v>3692</v>
      </c>
      <c r="B3693">
        <v>63</v>
      </c>
      <c r="C3693" t="s">
        <v>144</v>
      </c>
      <c r="D3693" t="s">
        <v>36</v>
      </c>
      <c r="E3693" t="s">
        <v>37</v>
      </c>
      <c r="F3693">
        <v>21</v>
      </c>
      <c r="G3693" t="s">
        <v>142</v>
      </c>
      <c r="H3693" t="s">
        <v>83</v>
      </c>
      <c r="I3693" t="s">
        <v>112</v>
      </c>
      <c r="J3693" t="s">
        <v>47</v>
      </c>
      <c r="K3693">
        <v>4.8</v>
      </c>
      <c r="L3693" t="s">
        <v>143</v>
      </c>
      <c r="M3693" t="s">
        <v>143</v>
      </c>
      <c r="N3693">
        <v>24</v>
      </c>
      <c r="O3693" t="s">
        <v>40</v>
      </c>
      <c r="P3693" t="s">
        <v>35</v>
      </c>
    </row>
    <row r="3694" spans="1:16" ht="14.5" x14ac:dyDescent="0.35">
      <c r="A3694">
        <v>3693</v>
      </c>
      <c r="B3694">
        <v>59</v>
      </c>
      <c r="C3694" t="s">
        <v>144</v>
      </c>
      <c r="D3694" t="s">
        <v>55</v>
      </c>
      <c r="E3694" t="s">
        <v>56</v>
      </c>
      <c r="F3694">
        <v>34</v>
      </c>
      <c r="G3694" t="s">
        <v>81</v>
      </c>
      <c r="H3694" t="s">
        <v>20</v>
      </c>
      <c r="I3694" t="s">
        <v>42</v>
      </c>
      <c r="J3694" t="s">
        <v>33</v>
      </c>
      <c r="K3694">
        <v>4.8</v>
      </c>
      <c r="L3694" t="s">
        <v>143</v>
      </c>
      <c r="M3694" t="s">
        <v>143</v>
      </c>
      <c r="N3694">
        <v>29</v>
      </c>
      <c r="O3694" t="s">
        <v>29</v>
      </c>
      <c r="P3694" t="s">
        <v>25</v>
      </c>
    </row>
    <row r="3695" spans="1:16" ht="14.5" x14ac:dyDescent="0.35">
      <c r="A3695">
        <v>3694</v>
      </c>
      <c r="B3695">
        <v>66</v>
      </c>
      <c r="C3695" t="s">
        <v>144</v>
      </c>
      <c r="D3695" t="s">
        <v>17</v>
      </c>
      <c r="E3695" t="s">
        <v>18</v>
      </c>
      <c r="F3695">
        <v>46</v>
      </c>
      <c r="G3695" t="s">
        <v>138</v>
      </c>
      <c r="H3695" t="s">
        <v>39</v>
      </c>
      <c r="I3695" t="s">
        <v>74</v>
      </c>
      <c r="J3695" t="s">
        <v>47</v>
      </c>
      <c r="K3695">
        <v>4.7</v>
      </c>
      <c r="L3695" t="s">
        <v>143</v>
      </c>
      <c r="M3695" t="s">
        <v>143</v>
      </c>
      <c r="N3695">
        <v>10</v>
      </c>
      <c r="O3695" t="s">
        <v>24</v>
      </c>
      <c r="P3695" t="s">
        <v>35</v>
      </c>
    </row>
    <row r="3696" spans="1:16" ht="14.5" x14ac:dyDescent="0.35">
      <c r="A3696">
        <v>3695</v>
      </c>
      <c r="B3696">
        <v>45</v>
      </c>
      <c r="C3696" t="s">
        <v>144</v>
      </c>
      <c r="D3696" t="s">
        <v>26</v>
      </c>
      <c r="E3696" t="s">
        <v>18</v>
      </c>
      <c r="F3696">
        <v>41</v>
      </c>
      <c r="G3696" t="s">
        <v>38</v>
      </c>
      <c r="H3696" t="s">
        <v>39</v>
      </c>
      <c r="I3696" t="s">
        <v>135</v>
      </c>
      <c r="J3696" t="s">
        <v>22</v>
      </c>
      <c r="K3696">
        <v>2.6</v>
      </c>
      <c r="L3696" t="s">
        <v>143</v>
      </c>
      <c r="M3696" t="s">
        <v>143</v>
      </c>
      <c r="N3696">
        <v>11</v>
      </c>
      <c r="O3696" t="s">
        <v>40</v>
      </c>
      <c r="P3696" t="s">
        <v>67</v>
      </c>
    </row>
    <row r="3697" spans="1:16" ht="14.5" x14ac:dyDescent="0.35">
      <c r="A3697">
        <v>3696</v>
      </c>
      <c r="B3697">
        <v>38</v>
      </c>
      <c r="C3697" t="s">
        <v>144</v>
      </c>
      <c r="D3697" t="s">
        <v>78</v>
      </c>
      <c r="E3697" t="s">
        <v>18</v>
      </c>
      <c r="F3697">
        <v>33</v>
      </c>
      <c r="G3697" t="s">
        <v>94</v>
      </c>
      <c r="H3697" t="s">
        <v>39</v>
      </c>
      <c r="I3697" t="s">
        <v>46</v>
      </c>
      <c r="J3697" t="s">
        <v>50</v>
      </c>
      <c r="K3697">
        <v>4.5999999999999996</v>
      </c>
      <c r="L3697" t="s">
        <v>143</v>
      </c>
      <c r="M3697" t="s">
        <v>143</v>
      </c>
      <c r="N3697">
        <v>18</v>
      </c>
      <c r="O3697" t="s">
        <v>66</v>
      </c>
      <c r="P3697" t="s">
        <v>25</v>
      </c>
    </row>
    <row r="3698" spans="1:16" ht="14.5" x14ac:dyDescent="0.35">
      <c r="A3698">
        <v>3697</v>
      </c>
      <c r="B3698">
        <v>63</v>
      </c>
      <c r="C3698" t="s">
        <v>144</v>
      </c>
      <c r="D3698" t="s">
        <v>17</v>
      </c>
      <c r="E3698" t="s">
        <v>18</v>
      </c>
      <c r="F3698">
        <v>48</v>
      </c>
      <c r="G3698" t="s">
        <v>130</v>
      </c>
      <c r="H3698" t="s">
        <v>20</v>
      </c>
      <c r="I3698" t="s">
        <v>42</v>
      </c>
      <c r="J3698" t="s">
        <v>50</v>
      </c>
      <c r="K3698">
        <v>3.4</v>
      </c>
      <c r="L3698" t="s">
        <v>143</v>
      </c>
      <c r="M3698" t="s">
        <v>143</v>
      </c>
      <c r="N3698">
        <v>26</v>
      </c>
      <c r="O3698" t="s">
        <v>66</v>
      </c>
      <c r="P3698" t="s">
        <v>43</v>
      </c>
    </row>
    <row r="3699" spans="1:16" ht="14.5" x14ac:dyDescent="0.35">
      <c r="A3699">
        <v>3698</v>
      </c>
      <c r="B3699">
        <v>55</v>
      </c>
      <c r="C3699" t="s">
        <v>144</v>
      </c>
      <c r="D3699" t="s">
        <v>95</v>
      </c>
      <c r="E3699" t="s">
        <v>18</v>
      </c>
      <c r="F3699">
        <v>66</v>
      </c>
      <c r="G3699" t="s">
        <v>129</v>
      </c>
      <c r="H3699" t="s">
        <v>20</v>
      </c>
      <c r="I3699" t="s">
        <v>62</v>
      </c>
      <c r="J3699" t="s">
        <v>22</v>
      </c>
      <c r="K3699">
        <v>3</v>
      </c>
      <c r="L3699" t="s">
        <v>143</v>
      </c>
      <c r="M3699" t="s">
        <v>143</v>
      </c>
      <c r="N3699">
        <v>39</v>
      </c>
      <c r="O3699" t="s">
        <v>29</v>
      </c>
      <c r="P3699" t="s">
        <v>35</v>
      </c>
    </row>
    <row r="3700" spans="1:16" ht="14.5" x14ac:dyDescent="0.35">
      <c r="A3700">
        <v>3699</v>
      </c>
      <c r="B3700">
        <v>25</v>
      </c>
      <c r="C3700" t="s">
        <v>144</v>
      </c>
      <c r="D3700" t="s">
        <v>78</v>
      </c>
      <c r="E3700" t="s">
        <v>18</v>
      </c>
      <c r="F3700">
        <v>54</v>
      </c>
      <c r="G3700" t="s">
        <v>90</v>
      </c>
      <c r="H3700" t="s">
        <v>83</v>
      </c>
      <c r="I3700" t="s">
        <v>28</v>
      </c>
      <c r="J3700" t="s">
        <v>33</v>
      </c>
      <c r="K3700">
        <v>4</v>
      </c>
      <c r="L3700" t="s">
        <v>143</v>
      </c>
      <c r="M3700" t="s">
        <v>143</v>
      </c>
      <c r="N3700">
        <v>4</v>
      </c>
      <c r="O3700" t="s">
        <v>24</v>
      </c>
      <c r="P3700" t="s">
        <v>43</v>
      </c>
    </row>
    <row r="3701" spans="1:16" ht="14.5" x14ac:dyDescent="0.35">
      <c r="A3701">
        <v>3700</v>
      </c>
      <c r="B3701">
        <v>51</v>
      </c>
      <c r="C3701" t="s">
        <v>144</v>
      </c>
      <c r="D3701" t="s">
        <v>123</v>
      </c>
      <c r="E3701" t="s">
        <v>60</v>
      </c>
      <c r="F3701">
        <v>55</v>
      </c>
      <c r="G3701" t="s">
        <v>92</v>
      </c>
      <c r="H3701" t="s">
        <v>39</v>
      </c>
      <c r="I3701" t="s">
        <v>69</v>
      </c>
      <c r="J3701" t="s">
        <v>50</v>
      </c>
      <c r="K3701">
        <v>2.6</v>
      </c>
      <c r="L3701" t="s">
        <v>143</v>
      </c>
      <c r="M3701" t="s">
        <v>143</v>
      </c>
      <c r="N3701">
        <v>24</v>
      </c>
      <c r="O3701" t="s">
        <v>66</v>
      </c>
      <c r="P3701" t="s">
        <v>35</v>
      </c>
    </row>
    <row r="3702" spans="1:16" ht="14.5" x14ac:dyDescent="0.35">
      <c r="A3702">
        <v>3701</v>
      </c>
      <c r="B3702">
        <v>28</v>
      </c>
      <c r="C3702" t="s">
        <v>144</v>
      </c>
      <c r="D3702" t="s">
        <v>59</v>
      </c>
      <c r="E3702" t="s">
        <v>60</v>
      </c>
      <c r="F3702">
        <v>84</v>
      </c>
      <c r="G3702" t="s">
        <v>105</v>
      </c>
      <c r="H3702" t="s">
        <v>83</v>
      </c>
      <c r="I3702" t="s">
        <v>54</v>
      </c>
      <c r="J3702" t="s">
        <v>47</v>
      </c>
      <c r="K3702">
        <v>3.4</v>
      </c>
      <c r="L3702" t="s">
        <v>143</v>
      </c>
      <c r="M3702" t="s">
        <v>143</v>
      </c>
      <c r="N3702">
        <v>2</v>
      </c>
      <c r="O3702" t="s">
        <v>66</v>
      </c>
      <c r="P3702" t="s">
        <v>88</v>
      </c>
    </row>
    <row r="3703" spans="1:16" ht="14.5" x14ac:dyDescent="0.35">
      <c r="A3703">
        <v>3702</v>
      </c>
      <c r="B3703">
        <v>46</v>
      </c>
      <c r="C3703" t="s">
        <v>144</v>
      </c>
      <c r="D3703" t="s">
        <v>36</v>
      </c>
      <c r="E3703" t="s">
        <v>37</v>
      </c>
      <c r="F3703">
        <v>66</v>
      </c>
      <c r="G3703" t="s">
        <v>121</v>
      </c>
      <c r="H3703" t="s">
        <v>39</v>
      </c>
      <c r="I3703" t="s">
        <v>54</v>
      </c>
      <c r="J3703" t="s">
        <v>33</v>
      </c>
      <c r="K3703">
        <v>4.5</v>
      </c>
      <c r="L3703" t="s">
        <v>143</v>
      </c>
      <c r="M3703" t="s">
        <v>143</v>
      </c>
      <c r="N3703">
        <v>36</v>
      </c>
      <c r="O3703" t="s">
        <v>29</v>
      </c>
      <c r="P3703" t="s">
        <v>43</v>
      </c>
    </row>
    <row r="3704" spans="1:16" ht="14.5" x14ac:dyDescent="0.35">
      <c r="A3704">
        <v>3703</v>
      </c>
      <c r="B3704">
        <v>58</v>
      </c>
      <c r="C3704" t="s">
        <v>144</v>
      </c>
      <c r="D3704" t="s">
        <v>63</v>
      </c>
      <c r="E3704" t="s">
        <v>37</v>
      </c>
      <c r="F3704">
        <v>65</v>
      </c>
      <c r="G3704" t="s">
        <v>122</v>
      </c>
      <c r="H3704" t="s">
        <v>39</v>
      </c>
      <c r="I3704" t="s">
        <v>117</v>
      </c>
      <c r="J3704" t="s">
        <v>33</v>
      </c>
      <c r="K3704">
        <v>2.7</v>
      </c>
      <c r="L3704" t="s">
        <v>143</v>
      </c>
      <c r="M3704" t="s">
        <v>143</v>
      </c>
      <c r="N3704">
        <v>36</v>
      </c>
      <c r="O3704" t="s">
        <v>24</v>
      </c>
      <c r="P3704" t="s">
        <v>35</v>
      </c>
    </row>
    <row r="3705" spans="1:16" ht="14.5" x14ac:dyDescent="0.35">
      <c r="A3705">
        <v>3704</v>
      </c>
      <c r="B3705">
        <v>30</v>
      </c>
      <c r="C3705" t="s">
        <v>144</v>
      </c>
      <c r="D3705" t="s">
        <v>36</v>
      </c>
      <c r="E3705" t="s">
        <v>37</v>
      </c>
      <c r="F3705">
        <v>83</v>
      </c>
      <c r="G3705" t="s">
        <v>142</v>
      </c>
      <c r="H3705" t="s">
        <v>32</v>
      </c>
      <c r="I3705" t="s">
        <v>76</v>
      </c>
      <c r="J3705" t="s">
        <v>50</v>
      </c>
      <c r="K3705">
        <v>2.9</v>
      </c>
      <c r="L3705" t="s">
        <v>143</v>
      </c>
      <c r="M3705" t="s">
        <v>143</v>
      </c>
      <c r="N3705">
        <v>23</v>
      </c>
      <c r="O3705" t="s">
        <v>40</v>
      </c>
      <c r="P3705" t="s">
        <v>88</v>
      </c>
    </row>
    <row r="3706" spans="1:16" ht="14.5" x14ac:dyDescent="0.35">
      <c r="A3706">
        <v>3705</v>
      </c>
      <c r="B3706">
        <v>68</v>
      </c>
      <c r="C3706" t="s">
        <v>144</v>
      </c>
      <c r="D3706" t="s">
        <v>80</v>
      </c>
      <c r="E3706" t="s">
        <v>60</v>
      </c>
      <c r="F3706">
        <v>61</v>
      </c>
      <c r="G3706" t="s">
        <v>61</v>
      </c>
      <c r="H3706" t="s">
        <v>20</v>
      </c>
      <c r="I3706" t="s">
        <v>85</v>
      </c>
      <c r="J3706" t="s">
        <v>22</v>
      </c>
      <c r="K3706">
        <v>4</v>
      </c>
      <c r="L3706" t="s">
        <v>143</v>
      </c>
      <c r="M3706" t="s">
        <v>143</v>
      </c>
      <c r="N3706">
        <v>36</v>
      </c>
      <c r="O3706" t="s">
        <v>34</v>
      </c>
      <c r="P3706" t="s">
        <v>51</v>
      </c>
    </row>
    <row r="3707" spans="1:16" ht="14.5" x14ac:dyDescent="0.35">
      <c r="A3707">
        <v>3706</v>
      </c>
      <c r="B3707">
        <v>28</v>
      </c>
      <c r="C3707" t="s">
        <v>144</v>
      </c>
      <c r="D3707" t="s">
        <v>78</v>
      </c>
      <c r="E3707" t="s">
        <v>18</v>
      </c>
      <c r="F3707">
        <v>65</v>
      </c>
      <c r="G3707" t="s">
        <v>103</v>
      </c>
      <c r="H3707" t="s">
        <v>20</v>
      </c>
      <c r="I3707" t="s">
        <v>76</v>
      </c>
      <c r="J3707" t="s">
        <v>47</v>
      </c>
      <c r="K3707">
        <v>3.2</v>
      </c>
      <c r="L3707" t="s">
        <v>143</v>
      </c>
      <c r="M3707" t="s">
        <v>143</v>
      </c>
      <c r="N3707">
        <v>2</v>
      </c>
      <c r="O3707" t="s">
        <v>77</v>
      </c>
      <c r="P3707" t="s">
        <v>43</v>
      </c>
    </row>
    <row r="3708" spans="1:16" ht="14.5" x14ac:dyDescent="0.35">
      <c r="A3708">
        <v>3707</v>
      </c>
      <c r="B3708">
        <v>26</v>
      </c>
      <c r="C3708" t="s">
        <v>144</v>
      </c>
      <c r="D3708" t="s">
        <v>36</v>
      </c>
      <c r="E3708" t="s">
        <v>37</v>
      </c>
      <c r="F3708">
        <v>55</v>
      </c>
      <c r="G3708" t="s">
        <v>102</v>
      </c>
      <c r="H3708" t="s">
        <v>39</v>
      </c>
      <c r="I3708" t="s">
        <v>87</v>
      </c>
      <c r="J3708" t="s">
        <v>33</v>
      </c>
      <c r="K3708">
        <v>4</v>
      </c>
      <c r="L3708" t="s">
        <v>143</v>
      </c>
      <c r="M3708" t="s">
        <v>143</v>
      </c>
      <c r="N3708">
        <v>17</v>
      </c>
      <c r="O3708" t="s">
        <v>29</v>
      </c>
      <c r="P3708" t="s">
        <v>67</v>
      </c>
    </row>
    <row r="3709" spans="1:16" ht="14.5" x14ac:dyDescent="0.35">
      <c r="A3709">
        <v>3708</v>
      </c>
      <c r="B3709">
        <v>35</v>
      </c>
      <c r="C3709" t="s">
        <v>144</v>
      </c>
      <c r="D3709" t="s">
        <v>134</v>
      </c>
      <c r="E3709" t="s">
        <v>60</v>
      </c>
      <c r="F3709">
        <v>79</v>
      </c>
      <c r="G3709" t="s">
        <v>106</v>
      </c>
      <c r="H3709" t="s">
        <v>39</v>
      </c>
      <c r="I3709" t="s">
        <v>71</v>
      </c>
      <c r="J3709" t="s">
        <v>50</v>
      </c>
      <c r="K3709">
        <v>3.4</v>
      </c>
      <c r="L3709" t="s">
        <v>143</v>
      </c>
      <c r="M3709" t="s">
        <v>143</v>
      </c>
      <c r="N3709">
        <v>19</v>
      </c>
      <c r="O3709" t="s">
        <v>24</v>
      </c>
      <c r="P3709" t="s">
        <v>35</v>
      </c>
    </row>
    <row r="3710" spans="1:16" ht="14.5" x14ac:dyDescent="0.35">
      <c r="A3710">
        <v>3709</v>
      </c>
      <c r="B3710">
        <v>40</v>
      </c>
      <c r="C3710" t="s">
        <v>144</v>
      </c>
      <c r="D3710" t="s">
        <v>95</v>
      </c>
      <c r="E3710" t="s">
        <v>18</v>
      </c>
      <c r="F3710">
        <v>96</v>
      </c>
      <c r="G3710" t="s">
        <v>122</v>
      </c>
      <c r="H3710" t="s">
        <v>39</v>
      </c>
      <c r="I3710" t="s">
        <v>99</v>
      </c>
      <c r="J3710" t="s">
        <v>50</v>
      </c>
      <c r="K3710">
        <v>4.9000000000000004</v>
      </c>
      <c r="L3710" t="s">
        <v>143</v>
      </c>
      <c r="M3710" t="s">
        <v>143</v>
      </c>
      <c r="N3710">
        <v>41</v>
      </c>
      <c r="O3710" t="s">
        <v>40</v>
      </c>
      <c r="P3710" t="s">
        <v>79</v>
      </c>
    </row>
    <row r="3711" spans="1:16" ht="14.5" x14ac:dyDescent="0.35">
      <c r="A3711">
        <v>3710</v>
      </c>
      <c r="B3711">
        <v>31</v>
      </c>
      <c r="C3711" t="s">
        <v>144</v>
      </c>
      <c r="D3711" t="s">
        <v>116</v>
      </c>
      <c r="E3711" t="s">
        <v>18</v>
      </c>
      <c r="F3711">
        <v>43</v>
      </c>
      <c r="G3711" t="s">
        <v>131</v>
      </c>
      <c r="H3711" t="s">
        <v>39</v>
      </c>
      <c r="I3711" t="s">
        <v>58</v>
      </c>
      <c r="J3711" t="s">
        <v>50</v>
      </c>
      <c r="K3711">
        <v>3.6</v>
      </c>
      <c r="L3711" t="s">
        <v>143</v>
      </c>
      <c r="M3711" t="s">
        <v>143</v>
      </c>
      <c r="N3711">
        <v>27</v>
      </c>
      <c r="O3711" t="s">
        <v>40</v>
      </c>
      <c r="P3711" t="s">
        <v>51</v>
      </c>
    </row>
    <row r="3712" spans="1:16" ht="14.5" x14ac:dyDescent="0.35">
      <c r="A3712">
        <v>3711</v>
      </c>
      <c r="B3712">
        <v>60</v>
      </c>
      <c r="C3712" t="s">
        <v>144</v>
      </c>
      <c r="D3712" t="s">
        <v>97</v>
      </c>
      <c r="E3712" t="s">
        <v>60</v>
      </c>
      <c r="F3712">
        <v>40</v>
      </c>
      <c r="G3712" t="s">
        <v>68</v>
      </c>
      <c r="H3712" t="s">
        <v>39</v>
      </c>
      <c r="I3712" t="s">
        <v>125</v>
      </c>
      <c r="J3712" t="s">
        <v>47</v>
      </c>
      <c r="K3712">
        <v>3.6</v>
      </c>
      <c r="L3712" t="s">
        <v>143</v>
      </c>
      <c r="M3712" t="s">
        <v>143</v>
      </c>
      <c r="N3712">
        <v>32</v>
      </c>
      <c r="O3712" t="s">
        <v>66</v>
      </c>
      <c r="P3712" t="s">
        <v>25</v>
      </c>
    </row>
    <row r="3713" spans="1:16" ht="14.5" x14ac:dyDescent="0.35">
      <c r="A3713">
        <v>3712</v>
      </c>
      <c r="B3713">
        <v>69</v>
      </c>
      <c r="C3713" t="s">
        <v>144</v>
      </c>
      <c r="D3713" t="s">
        <v>115</v>
      </c>
      <c r="E3713" t="s">
        <v>60</v>
      </c>
      <c r="F3713">
        <v>62</v>
      </c>
      <c r="G3713" t="s">
        <v>96</v>
      </c>
      <c r="H3713" t="s">
        <v>83</v>
      </c>
      <c r="I3713" t="s">
        <v>91</v>
      </c>
      <c r="J3713" t="s">
        <v>50</v>
      </c>
      <c r="K3713">
        <v>3.2</v>
      </c>
      <c r="L3713" t="s">
        <v>143</v>
      </c>
      <c r="M3713" t="s">
        <v>143</v>
      </c>
      <c r="N3713">
        <v>33</v>
      </c>
      <c r="O3713" t="s">
        <v>29</v>
      </c>
      <c r="P3713" t="s">
        <v>43</v>
      </c>
    </row>
    <row r="3714" spans="1:16" ht="14.5" x14ac:dyDescent="0.35">
      <c r="A3714">
        <v>3713</v>
      </c>
      <c r="B3714">
        <v>51</v>
      </c>
      <c r="C3714" t="s">
        <v>144</v>
      </c>
      <c r="D3714" t="s">
        <v>17</v>
      </c>
      <c r="E3714" t="s">
        <v>18</v>
      </c>
      <c r="F3714">
        <v>72</v>
      </c>
      <c r="G3714" t="s">
        <v>41</v>
      </c>
      <c r="H3714" t="s">
        <v>39</v>
      </c>
      <c r="I3714" t="s">
        <v>42</v>
      </c>
      <c r="J3714" t="s">
        <v>33</v>
      </c>
      <c r="K3714">
        <v>3.7</v>
      </c>
      <c r="L3714" t="s">
        <v>143</v>
      </c>
      <c r="M3714" t="s">
        <v>143</v>
      </c>
      <c r="N3714">
        <v>24</v>
      </c>
      <c r="O3714" t="s">
        <v>40</v>
      </c>
      <c r="P3714" t="s">
        <v>51</v>
      </c>
    </row>
    <row r="3715" spans="1:16" ht="14.5" x14ac:dyDescent="0.35">
      <c r="A3715">
        <v>3714</v>
      </c>
      <c r="B3715">
        <v>49</v>
      </c>
      <c r="C3715" t="s">
        <v>144</v>
      </c>
      <c r="D3715" t="s">
        <v>63</v>
      </c>
      <c r="E3715" t="s">
        <v>37</v>
      </c>
      <c r="F3715">
        <v>87</v>
      </c>
      <c r="G3715" t="s">
        <v>108</v>
      </c>
      <c r="H3715" t="s">
        <v>39</v>
      </c>
      <c r="I3715" t="s">
        <v>91</v>
      </c>
      <c r="J3715" t="s">
        <v>33</v>
      </c>
      <c r="K3715">
        <v>2.6</v>
      </c>
      <c r="L3715" t="s">
        <v>143</v>
      </c>
      <c r="M3715" t="s">
        <v>143</v>
      </c>
      <c r="N3715">
        <v>31</v>
      </c>
      <c r="O3715" t="s">
        <v>77</v>
      </c>
      <c r="P3715" t="s">
        <v>88</v>
      </c>
    </row>
    <row r="3716" spans="1:16" ht="14.5" x14ac:dyDescent="0.35">
      <c r="A3716">
        <v>3715</v>
      </c>
      <c r="B3716">
        <v>18</v>
      </c>
      <c r="C3716" t="s">
        <v>144</v>
      </c>
      <c r="D3716" t="s">
        <v>115</v>
      </c>
      <c r="E3716" t="s">
        <v>60</v>
      </c>
      <c r="F3716">
        <v>31</v>
      </c>
      <c r="G3716" t="s">
        <v>75</v>
      </c>
      <c r="H3716" t="s">
        <v>32</v>
      </c>
      <c r="I3716" t="s">
        <v>91</v>
      </c>
      <c r="J3716" t="s">
        <v>22</v>
      </c>
      <c r="K3716">
        <v>3.9</v>
      </c>
      <c r="L3716" t="s">
        <v>143</v>
      </c>
      <c r="M3716" t="s">
        <v>143</v>
      </c>
      <c r="N3716">
        <v>35</v>
      </c>
      <c r="O3716" t="s">
        <v>34</v>
      </c>
      <c r="P3716" t="s">
        <v>35</v>
      </c>
    </row>
    <row r="3717" spans="1:16" ht="14.5" x14ac:dyDescent="0.35">
      <c r="A3717">
        <v>3716</v>
      </c>
      <c r="B3717">
        <v>63</v>
      </c>
      <c r="C3717" t="s">
        <v>144</v>
      </c>
      <c r="D3717" t="s">
        <v>80</v>
      </c>
      <c r="E3717" t="s">
        <v>60</v>
      </c>
      <c r="F3717">
        <v>34</v>
      </c>
      <c r="G3717" t="s">
        <v>136</v>
      </c>
      <c r="H3717" t="s">
        <v>32</v>
      </c>
      <c r="I3717" t="s">
        <v>112</v>
      </c>
      <c r="J3717" t="s">
        <v>50</v>
      </c>
      <c r="K3717">
        <v>3.4</v>
      </c>
      <c r="L3717" t="s">
        <v>143</v>
      </c>
      <c r="M3717" t="s">
        <v>143</v>
      </c>
      <c r="N3717">
        <v>2</v>
      </c>
      <c r="O3717" t="s">
        <v>66</v>
      </c>
      <c r="P3717" t="s">
        <v>79</v>
      </c>
    </row>
    <row r="3718" spans="1:16" ht="14.5" x14ac:dyDescent="0.35">
      <c r="A3718">
        <v>3717</v>
      </c>
      <c r="B3718">
        <v>57</v>
      </c>
      <c r="C3718" t="s">
        <v>144</v>
      </c>
      <c r="D3718" t="s">
        <v>48</v>
      </c>
      <c r="E3718" t="s">
        <v>18</v>
      </c>
      <c r="F3718">
        <v>53</v>
      </c>
      <c r="G3718" t="s">
        <v>120</v>
      </c>
      <c r="H3718" t="s">
        <v>39</v>
      </c>
      <c r="I3718" t="s">
        <v>54</v>
      </c>
      <c r="J3718" t="s">
        <v>50</v>
      </c>
      <c r="K3718">
        <v>3.4</v>
      </c>
      <c r="L3718" t="s">
        <v>143</v>
      </c>
      <c r="M3718" t="s">
        <v>143</v>
      </c>
      <c r="N3718">
        <v>42</v>
      </c>
      <c r="O3718" t="s">
        <v>77</v>
      </c>
      <c r="P3718" t="s">
        <v>88</v>
      </c>
    </row>
    <row r="3719" spans="1:16" ht="14.5" x14ac:dyDescent="0.35">
      <c r="A3719">
        <v>3718</v>
      </c>
      <c r="B3719">
        <v>45</v>
      </c>
      <c r="C3719" t="s">
        <v>144</v>
      </c>
      <c r="D3719" t="s">
        <v>104</v>
      </c>
      <c r="E3719" t="s">
        <v>18</v>
      </c>
      <c r="F3719">
        <v>85</v>
      </c>
      <c r="G3719" t="s">
        <v>119</v>
      </c>
      <c r="H3719" t="s">
        <v>83</v>
      </c>
      <c r="I3719" t="s">
        <v>46</v>
      </c>
      <c r="J3719" t="s">
        <v>47</v>
      </c>
      <c r="K3719">
        <v>4.2</v>
      </c>
      <c r="L3719" t="s">
        <v>143</v>
      </c>
      <c r="M3719" t="s">
        <v>143</v>
      </c>
      <c r="N3719">
        <v>47</v>
      </c>
      <c r="O3719" t="s">
        <v>66</v>
      </c>
      <c r="P3719" t="s">
        <v>88</v>
      </c>
    </row>
    <row r="3720" spans="1:16" ht="14.5" x14ac:dyDescent="0.35">
      <c r="A3720">
        <v>3719</v>
      </c>
      <c r="B3720">
        <v>36</v>
      </c>
      <c r="C3720" t="s">
        <v>144</v>
      </c>
      <c r="D3720" t="s">
        <v>86</v>
      </c>
      <c r="E3720" t="s">
        <v>18</v>
      </c>
      <c r="F3720">
        <v>50</v>
      </c>
      <c r="G3720" t="s">
        <v>113</v>
      </c>
      <c r="H3720" t="s">
        <v>20</v>
      </c>
      <c r="I3720" t="s">
        <v>42</v>
      </c>
      <c r="J3720" t="s">
        <v>50</v>
      </c>
      <c r="K3720">
        <v>2.9</v>
      </c>
      <c r="L3720" t="s">
        <v>143</v>
      </c>
      <c r="M3720" t="s">
        <v>143</v>
      </c>
      <c r="N3720">
        <v>44</v>
      </c>
      <c r="O3720" t="s">
        <v>66</v>
      </c>
      <c r="P3720" t="s">
        <v>67</v>
      </c>
    </row>
    <row r="3721" spans="1:16" ht="14.5" x14ac:dyDescent="0.35">
      <c r="A3721">
        <v>3720</v>
      </c>
      <c r="B3721">
        <v>20</v>
      </c>
      <c r="C3721" t="s">
        <v>144</v>
      </c>
      <c r="D3721" t="s">
        <v>86</v>
      </c>
      <c r="E3721" t="s">
        <v>18</v>
      </c>
      <c r="F3721">
        <v>91</v>
      </c>
      <c r="G3721" t="s">
        <v>129</v>
      </c>
      <c r="H3721" t="s">
        <v>39</v>
      </c>
      <c r="I3721" t="s">
        <v>99</v>
      </c>
      <c r="J3721" t="s">
        <v>47</v>
      </c>
      <c r="K3721">
        <v>4.0999999999999996</v>
      </c>
      <c r="L3721" t="s">
        <v>143</v>
      </c>
      <c r="M3721" t="s">
        <v>143</v>
      </c>
      <c r="N3721">
        <v>8</v>
      </c>
      <c r="O3721" t="s">
        <v>66</v>
      </c>
      <c r="P3721" t="s">
        <v>88</v>
      </c>
    </row>
    <row r="3722" spans="1:16" ht="14.5" x14ac:dyDescent="0.35">
      <c r="A3722">
        <v>3721</v>
      </c>
      <c r="B3722">
        <v>21</v>
      </c>
      <c r="C3722" t="s">
        <v>144</v>
      </c>
      <c r="D3722" t="s">
        <v>115</v>
      </c>
      <c r="E3722" t="s">
        <v>60</v>
      </c>
      <c r="F3722">
        <v>56</v>
      </c>
      <c r="G3722" t="s">
        <v>122</v>
      </c>
      <c r="H3722" t="s">
        <v>39</v>
      </c>
      <c r="I3722" t="s">
        <v>91</v>
      </c>
      <c r="J3722" t="s">
        <v>50</v>
      </c>
      <c r="K3722">
        <v>3.6</v>
      </c>
      <c r="L3722" t="s">
        <v>143</v>
      </c>
      <c r="M3722" t="s">
        <v>143</v>
      </c>
      <c r="N3722">
        <v>13</v>
      </c>
      <c r="O3722" t="s">
        <v>34</v>
      </c>
      <c r="P3722" t="s">
        <v>51</v>
      </c>
    </row>
    <row r="3723" spans="1:16" ht="14.5" x14ac:dyDescent="0.35">
      <c r="A3723">
        <v>3722</v>
      </c>
      <c r="B3723">
        <v>62</v>
      </c>
      <c r="C3723" t="s">
        <v>144</v>
      </c>
      <c r="D3723" t="s">
        <v>55</v>
      </c>
      <c r="E3723" t="s">
        <v>56</v>
      </c>
      <c r="F3723">
        <v>60</v>
      </c>
      <c r="G3723" t="s">
        <v>130</v>
      </c>
      <c r="H3723" t="s">
        <v>20</v>
      </c>
      <c r="I3723" t="s">
        <v>62</v>
      </c>
      <c r="J3723" t="s">
        <v>50</v>
      </c>
      <c r="K3723">
        <v>4</v>
      </c>
      <c r="L3723" t="s">
        <v>143</v>
      </c>
      <c r="M3723" t="s">
        <v>143</v>
      </c>
      <c r="N3723">
        <v>10</v>
      </c>
      <c r="O3723" t="s">
        <v>29</v>
      </c>
      <c r="P3723" t="s">
        <v>43</v>
      </c>
    </row>
    <row r="3724" spans="1:16" ht="14.5" x14ac:dyDescent="0.35">
      <c r="A3724">
        <v>3723</v>
      </c>
      <c r="B3724">
        <v>23</v>
      </c>
      <c r="C3724" t="s">
        <v>144</v>
      </c>
      <c r="D3724" t="s">
        <v>93</v>
      </c>
      <c r="E3724" t="s">
        <v>56</v>
      </c>
      <c r="F3724">
        <v>34</v>
      </c>
      <c r="G3724" t="s">
        <v>19</v>
      </c>
      <c r="H3724" t="s">
        <v>83</v>
      </c>
      <c r="I3724" t="s">
        <v>125</v>
      </c>
      <c r="J3724" t="s">
        <v>50</v>
      </c>
      <c r="K3724">
        <v>4</v>
      </c>
      <c r="L3724" t="s">
        <v>143</v>
      </c>
      <c r="M3724" t="s">
        <v>143</v>
      </c>
      <c r="N3724">
        <v>1</v>
      </c>
      <c r="O3724" t="s">
        <v>34</v>
      </c>
      <c r="P3724" t="s">
        <v>25</v>
      </c>
    </row>
    <row r="3725" spans="1:16" ht="14.5" x14ac:dyDescent="0.35">
      <c r="A3725">
        <v>3724</v>
      </c>
      <c r="B3725">
        <v>26</v>
      </c>
      <c r="C3725" t="s">
        <v>144</v>
      </c>
      <c r="D3725" t="s">
        <v>36</v>
      </c>
      <c r="E3725" t="s">
        <v>37</v>
      </c>
      <c r="F3725">
        <v>30</v>
      </c>
      <c r="G3725" t="s">
        <v>38</v>
      </c>
      <c r="H3725" t="s">
        <v>39</v>
      </c>
      <c r="I3725" t="s">
        <v>109</v>
      </c>
      <c r="J3725" t="s">
        <v>33</v>
      </c>
      <c r="K3725">
        <v>3.6</v>
      </c>
      <c r="L3725" t="s">
        <v>143</v>
      </c>
      <c r="M3725" t="s">
        <v>143</v>
      </c>
      <c r="N3725">
        <v>1</v>
      </c>
      <c r="O3725" t="s">
        <v>77</v>
      </c>
      <c r="P3725" t="s">
        <v>79</v>
      </c>
    </row>
    <row r="3726" spans="1:16" ht="14.5" x14ac:dyDescent="0.35">
      <c r="A3726">
        <v>3725</v>
      </c>
      <c r="B3726">
        <v>30</v>
      </c>
      <c r="C3726" t="s">
        <v>144</v>
      </c>
      <c r="D3726" t="s">
        <v>134</v>
      </c>
      <c r="E3726" t="s">
        <v>60</v>
      </c>
      <c r="F3726">
        <v>71</v>
      </c>
      <c r="G3726" t="s">
        <v>103</v>
      </c>
      <c r="H3726" t="s">
        <v>20</v>
      </c>
      <c r="I3726" t="s">
        <v>87</v>
      </c>
      <c r="J3726" t="s">
        <v>22</v>
      </c>
      <c r="K3726">
        <v>3.1</v>
      </c>
      <c r="L3726" t="s">
        <v>143</v>
      </c>
      <c r="M3726" t="s">
        <v>143</v>
      </c>
      <c r="N3726">
        <v>18</v>
      </c>
      <c r="O3726" t="s">
        <v>66</v>
      </c>
      <c r="P3726" t="s">
        <v>43</v>
      </c>
    </row>
    <row r="3727" spans="1:16" ht="14.5" x14ac:dyDescent="0.35">
      <c r="A3727">
        <v>3726</v>
      </c>
      <c r="B3727">
        <v>18</v>
      </c>
      <c r="C3727" t="s">
        <v>144</v>
      </c>
      <c r="D3727" t="s">
        <v>72</v>
      </c>
      <c r="E3727" t="s">
        <v>18</v>
      </c>
      <c r="F3727">
        <v>100</v>
      </c>
      <c r="G3727" t="s">
        <v>92</v>
      </c>
      <c r="H3727" t="s">
        <v>32</v>
      </c>
      <c r="I3727" t="s">
        <v>42</v>
      </c>
      <c r="J3727" t="s">
        <v>22</v>
      </c>
      <c r="K3727">
        <v>4.4000000000000004</v>
      </c>
      <c r="L3727" t="s">
        <v>143</v>
      </c>
      <c r="M3727" t="s">
        <v>143</v>
      </c>
      <c r="N3727">
        <v>2</v>
      </c>
      <c r="O3727" t="s">
        <v>40</v>
      </c>
      <c r="P3727" t="s">
        <v>43</v>
      </c>
    </row>
    <row r="3728" spans="1:16" ht="14.5" x14ac:dyDescent="0.35">
      <c r="A3728">
        <v>3727</v>
      </c>
      <c r="B3728">
        <v>47</v>
      </c>
      <c r="C3728" t="s">
        <v>144</v>
      </c>
      <c r="D3728" t="s">
        <v>124</v>
      </c>
      <c r="E3728" t="s">
        <v>60</v>
      </c>
      <c r="F3728">
        <v>85</v>
      </c>
      <c r="G3728" t="s">
        <v>126</v>
      </c>
      <c r="H3728" t="s">
        <v>83</v>
      </c>
      <c r="I3728" t="s">
        <v>112</v>
      </c>
      <c r="J3728" t="s">
        <v>50</v>
      </c>
      <c r="K3728">
        <v>4.3</v>
      </c>
      <c r="L3728" t="s">
        <v>143</v>
      </c>
      <c r="M3728" t="s">
        <v>143</v>
      </c>
      <c r="N3728">
        <v>36</v>
      </c>
      <c r="O3728" t="s">
        <v>77</v>
      </c>
      <c r="P3728" t="s">
        <v>88</v>
      </c>
    </row>
    <row r="3729" spans="1:16" ht="14.5" x14ac:dyDescent="0.35">
      <c r="A3729">
        <v>3728</v>
      </c>
      <c r="B3729">
        <v>41</v>
      </c>
      <c r="C3729" t="s">
        <v>144</v>
      </c>
      <c r="D3729" t="s">
        <v>116</v>
      </c>
      <c r="E3729" t="s">
        <v>18</v>
      </c>
      <c r="F3729">
        <v>83</v>
      </c>
      <c r="G3729" t="s">
        <v>27</v>
      </c>
      <c r="H3729" t="s">
        <v>39</v>
      </c>
      <c r="I3729" t="s">
        <v>71</v>
      </c>
      <c r="J3729" t="s">
        <v>47</v>
      </c>
      <c r="K3729">
        <v>3.5</v>
      </c>
      <c r="L3729" t="s">
        <v>143</v>
      </c>
      <c r="M3729" t="s">
        <v>143</v>
      </c>
      <c r="N3729">
        <v>17</v>
      </c>
      <c r="O3729" t="s">
        <v>77</v>
      </c>
      <c r="P3729" t="s">
        <v>67</v>
      </c>
    </row>
    <row r="3730" spans="1:16" ht="14.5" x14ac:dyDescent="0.35">
      <c r="A3730">
        <v>3729</v>
      </c>
      <c r="B3730">
        <v>62</v>
      </c>
      <c r="C3730" t="s">
        <v>144</v>
      </c>
      <c r="D3730" t="s">
        <v>93</v>
      </c>
      <c r="E3730" t="s">
        <v>56</v>
      </c>
      <c r="F3730">
        <v>31</v>
      </c>
      <c r="G3730" t="s">
        <v>120</v>
      </c>
      <c r="H3730" t="s">
        <v>20</v>
      </c>
      <c r="I3730" t="s">
        <v>99</v>
      </c>
      <c r="J3730" t="s">
        <v>22</v>
      </c>
      <c r="K3730">
        <v>3</v>
      </c>
      <c r="L3730" t="s">
        <v>143</v>
      </c>
      <c r="M3730" t="s">
        <v>143</v>
      </c>
      <c r="N3730">
        <v>1</v>
      </c>
      <c r="O3730" t="s">
        <v>77</v>
      </c>
      <c r="P3730" t="s">
        <v>43</v>
      </c>
    </row>
    <row r="3731" spans="1:16" ht="14.5" x14ac:dyDescent="0.35">
      <c r="A3731">
        <v>3730</v>
      </c>
      <c r="B3731">
        <v>28</v>
      </c>
      <c r="C3731" t="s">
        <v>144</v>
      </c>
      <c r="D3731" t="s">
        <v>128</v>
      </c>
      <c r="E3731" t="s">
        <v>37</v>
      </c>
      <c r="F3731">
        <v>82</v>
      </c>
      <c r="G3731" t="s">
        <v>38</v>
      </c>
      <c r="H3731" t="s">
        <v>39</v>
      </c>
      <c r="I3731" t="s">
        <v>76</v>
      </c>
      <c r="J3731" t="s">
        <v>33</v>
      </c>
      <c r="K3731">
        <v>4.7</v>
      </c>
      <c r="L3731" t="s">
        <v>143</v>
      </c>
      <c r="M3731" t="s">
        <v>143</v>
      </c>
      <c r="N3731">
        <v>50</v>
      </c>
      <c r="O3731" t="s">
        <v>29</v>
      </c>
      <c r="P3731" t="s">
        <v>51</v>
      </c>
    </row>
    <row r="3732" spans="1:16" ht="14.5" x14ac:dyDescent="0.35">
      <c r="A3732">
        <v>3731</v>
      </c>
      <c r="B3732">
        <v>46</v>
      </c>
      <c r="C3732" t="s">
        <v>144</v>
      </c>
      <c r="D3732" t="s">
        <v>48</v>
      </c>
      <c r="E3732" t="s">
        <v>18</v>
      </c>
      <c r="F3732">
        <v>79</v>
      </c>
      <c r="G3732" t="s">
        <v>94</v>
      </c>
      <c r="H3732" t="s">
        <v>39</v>
      </c>
      <c r="I3732" t="s">
        <v>76</v>
      </c>
      <c r="J3732" t="s">
        <v>47</v>
      </c>
      <c r="K3732">
        <v>2.5</v>
      </c>
      <c r="L3732" t="s">
        <v>143</v>
      </c>
      <c r="M3732" t="s">
        <v>143</v>
      </c>
      <c r="N3732">
        <v>3</v>
      </c>
      <c r="O3732" t="s">
        <v>34</v>
      </c>
      <c r="P3732" t="s">
        <v>67</v>
      </c>
    </row>
    <row r="3733" spans="1:16" ht="14.5" x14ac:dyDescent="0.35">
      <c r="A3733">
        <v>3732</v>
      </c>
      <c r="B3733">
        <v>54</v>
      </c>
      <c r="C3733" t="s">
        <v>144</v>
      </c>
      <c r="D3733" t="s">
        <v>115</v>
      </c>
      <c r="E3733" t="s">
        <v>60</v>
      </c>
      <c r="F3733">
        <v>62</v>
      </c>
      <c r="G3733" t="s">
        <v>57</v>
      </c>
      <c r="H3733" t="s">
        <v>39</v>
      </c>
      <c r="I3733" t="s">
        <v>84</v>
      </c>
      <c r="J3733" t="s">
        <v>33</v>
      </c>
      <c r="K3733">
        <v>3.1</v>
      </c>
      <c r="L3733" t="s">
        <v>143</v>
      </c>
      <c r="M3733" t="s">
        <v>143</v>
      </c>
      <c r="N3733">
        <v>45</v>
      </c>
      <c r="O3733" t="s">
        <v>40</v>
      </c>
      <c r="P3733" t="s">
        <v>51</v>
      </c>
    </row>
    <row r="3734" spans="1:16" ht="14.5" x14ac:dyDescent="0.35">
      <c r="A3734">
        <v>3733</v>
      </c>
      <c r="B3734">
        <v>36</v>
      </c>
      <c r="C3734" t="s">
        <v>144</v>
      </c>
      <c r="D3734" t="s">
        <v>63</v>
      </c>
      <c r="E3734" t="s">
        <v>37</v>
      </c>
      <c r="F3734">
        <v>92</v>
      </c>
      <c r="G3734" t="s">
        <v>107</v>
      </c>
      <c r="H3734" t="s">
        <v>20</v>
      </c>
      <c r="I3734" t="s">
        <v>62</v>
      </c>
      <c r="J3734" t="s">
        <v>33</v>
      </c>
      <c r="K3734">
        <v>3.3</v>
      </c>
      <c r="L3734" t="s">
        <v>143</v>
      </c>
      <c r="M3734" t="s">
        <v>143</v>
      </c>
      <c r="N3734">
        <v>28</v>
      </c>
      <c r="O3734" t="s">
        <v>40</v>
      </c>
      <c r="P3734" t="s">
        <v>43</v>
      </c>
    </row>
    <row r="3735" spans="1:16" ht="14.5" x14ac:dyDescent="0.35">
      <c r="A3735">
        <v>3734</v>
      </c>
      <c r="B3735">
        <v>25</v>
      </c>
      <c r="C3735" t="s">
        <v>144</v>
      </c>
      <c r="D3735" t="s">
        <v>116</v>
      </c>
      <c r="E3735" t="s">
        <v>18</v>
      </c>
      <c r="F3735">
        <v>58</v>
      </c>
      <c r="G3735" t="s">
        <v>106</v>
      </c>
      <c r="H3735" t="s">
        <v>39</v>
      </c>
      <c r="I3735" t="s">
        <v>28</v>
      </c>
      <c r="J3735" t="s">
        <v>50</v>
      </c>
      <c r="K3735">
        <v>4.7</v>
      </c>
      <c r="L3735" t="s">
        <v>143</v>
      </c>
      <c r="M3735" t="s">
        <v>143</v>
      </c>
      <c r="N3735">
        <v>6</v>
      </c>
      <c r="O3735" t="s">
        <v>77</v>
      </c>
      <c r="P3735" t="s">
        <v>88</v>
      </c>
    </row>
    <row r="3736" spans="1:16" ht="14.5" x14ac:dyDescent="0.35">
      <c r="A3736">
        <v>3735</v>
      </c>
      <c r="B3736">
        <v>38</v>
      </c>
      <c r="C3736" t="s">
        <v>144</v>
      </c>
      <c r="D3736" t="s">
        <v>95</v>
      </c>
      <c r="E3736" t="s">
        <v>18</v>
      </c>
      <c r="F3736">
        <v>88</v>
      </c>
      <c r="G3736" t="s">
        <v>90</v>
      </c>
      <c r="H3736" t="s">
        <v>39</v>
      </c>
      <c r="I3736" t="s">
        <v>109</v>
      </c>
      <c r="J3736" t="s">
        <v>33</v>
      </c>
      <c r="K3736">
        <v>3.4</v>
      </c>
      <c r="L3736" t="s">
        <v>143</v>
      </c>
      <c r="M3736" t="s">
        <v>143</v>
      </c>
      <c r="N3736">
        <v>33</v>
      </c>
      <c r="O3736" t="s">
        <v>77</v>
      </c>
      <c r="P3736" t="s">
        <v>88</v>
      </c>
    </row>
    <row r="3737" spans="1:16" ht="14.5" x14ac:dyDescent="0.35">
      <c r="A3737">
        <v>3736</v>
      </c>
      <c r="B3737">
        <v>38</v>
      </c>
      <c r="C3737" t="s">
        <v>144</v>
      </c>
      <c r="D3737" t="s">
        <v>36</v>
      </c>
      <c r="E3737" t="s">
        <v>37</v>
      </c>
      <c r="F3737">
        <v>44</v>
      </c>
      <c r="G3737" t="s">
        <v>31</v>
      </c>
      <c r="H3737" t="s">
        <v>20</v>
      </c>
      <c r="I3737" t="s">
        <v>112</v>
      </c>
      <c r="J3737" t="s">
        <v>33</v>
      </c>
      <c r="K3737">
        <v>3.1</v>
      </c>
      <c r="L3737" t="s">
        <v>143</v>
      </c>
      <c r="M3737" t="s">
        <v>143</v>
      </c>
      <c r="N3737">
        <v>29</v>
      </c>
      <c r="O3737" t="s">
        <v>40</v>
      </c>
      <c r="P3737" t="s">
        <v>43</v>
      </c>
    </row>
    <row r="3738" spans="1:16" ht="14.5" x14ac:dyDescent="0.35">
      <c r="A3738">
        <v>3737</v>
      </c>
      <c r="B3738">
        <v>42</v>
      </c>
      <c r="C3738" t="s">
        <v>144</v>
      </c>
      <c r="D3738" t="s">
        <v>30</v>
      </c>
      <c r="E3738" t="s">
        <v>18</v>
      </c>
      <c r="F3738">
        <v>56</v>
      </c>
      <c r="G3738" t="s">
        <v>126</v>
      </c>
      <c r="H3738" t="s">
        <v>39</v>
      </c>
      <c r="I3738" t="s">
        <v>99</v>
      </c>
      <c r="J3738" t="s">
        <v>33</v>
      </c>
      <c r="K3738">
        <v>4.5999999999999996</v>
      </c>
      <c r="L3738" t="s">
        <v>143</v>
      </c>
      <c r="M3738" t="s">
        <v>143</v>
      </c>
      <c r="N3738">
        <v>2</v>
      </c>
      <c r="O3738" t="s">
        <v>40</v>
      </c>
      <c r="P3738" t="s">
        <v>88</v>
      </c>
    </row>
    <row r="3739" spans="1:16" ht="14.5" x14ac:dyDescent="0.35">
      <c r="A3739">
        <v>3738</v>
      </c>
      <c r="B3739">
        <v>19</v>
      </c>
      <c r="C3739" t="s">
        <v>144</v>
      </c>
      <c r="D3739" t="s">
        <v>97</v>
      </c>
      <c r="E3739" t="s">
        <v>60</v>
      </c>
      <c r="F3739">
        <v>23</v>
      </c>
      <c r="G3739" t="s">
        <v>19</v>
      </c>
      <c r="H3739" t="s">
        <v>32</v>
      </c>
      <c r="I3739" t="s">
        <v>28</v>
      </c>
      <c r="J3739" t="s">
        <v>22</v>
      </c>
      <c r="K3739">
        <v>4.9000000000000004</v>
      </c>
      <c r="L3739" t="s">
        <v>143</v>
      </c>
      <c r="M3739" t="s">
        <v>143</v>
      </c>
      <c r="N3739">
        <v>43</v>
      </c>
      <c r="O3739" t="s">
        <v>40</v>
      </c>
      <c r="P3739" t="s">
        <v>67</v>
      </c>
    </row>
    <row r="3740" spans="1:16" ht="14.5" x14ac:dyDescent="0.35">
      <c r="A3740">
        <v>3739</v>
      </c>
      <c r="B3740">
        <v>34</v>
      </c>
      <c r="C3740" t="s">
        <v>144</v>
      </c>
      <c r="D3740" t="s">
        <v>52</v>
      </c>
      <c r="E3740" t="s">
        <v>18</v>
      </c>
      <c r="F3740">
        <v>45</v>
      </c>
      <c r="G3740" t="s">
        <v>70</v>
      </c>
      <c r="H3740" t="s">
        <v>39</v>
      </c>
      <c r="I3740" t="s">
        <v>101</v>
      </c>
      <c r="J3740" t="s">
        <v>33</v>
      </c>
      <c r="K3740">
        <v>2.7</v>
      </c>
      <c r="L3740" t="s">
        <v>143</v>
      </c>
      <c r="M3740" t="s">
        <v>143</v>
      </c>
      <c r="N3740">
        <v>48</v>
      </c>
      <c r="O3740" t="s">
        <v>29</v>
      </c>
      <c r="P3740" t="s">
        <v>25</v>
      </c>
    </row>
    <row r="3741" spans="1:16" ht="14.5" x14ac:dyDescent="0.35">
      <c r="A3741">
        <v>3740</v>
      </c>
      <c r="B3741">
        <v>38</v>
      </c>
      <c r="C3741" t="s">
        <v>144</v>
      </c>
      <c r="D3741" t="s">
        <v>80</v>
      </c>
      <c r="E3741" t="s">
        <v>60</v>
      </c>
      <c r="F3741">
        <v>31</v>
      </c>
      <c r="G3741" t="s">
        <v>126</v>
      </c>
      <c r="H3741" t="s">
        <v>39</v>
      </c>
      <c r="I3741" t="s">
        <v>69</v>
      </c>
      <c r="J3741" t="s">
        <v>50</v>
      </c>
      <c r="K3741">
        <v>4.2</v>
      </c>
      <c r="L3741" t="s">
        <v>143</v>
      </c>
      <c r="M3741" t="s">
        <v>143</v>
      </c>
      <c r="N3741">
        <v>43</v>
      </c>
      <c r="O3741" t="s">
        <v>34</v>
      </c>
      <c r="P3741" t="s">
        <v>35</v>
      </c>
    </row>
    <row r="3742" spans="1:16" ht="14.5" x14ac:dyDescent="0.35">
      <c r="A3742">
        <v>3741</v>
      </c>
      <c r="B3742">
        <v>42</v>
      </c>
      <c r="C3742" t="s">
        <v>144</v>
      </c>
      <c r="D3742" t="s">
        <v>86</v>
      </c>
      <c r="E3742" t="s">
        <v>18</v>
      </c>
      <c r="F3742">
        <v>96</v>
      </c>
      <c r="G3742" t="s">
        <v>132</v>
      </c>
      <c r="H3742" t="s">
        <v>39</v>
      </c>
      <c r="I3742" t="s">
        <v>58</v>
      </c>
      <c r="J3742" t="s">
        <v>47</v>
      </c>
      <c r="K3742">
        <v>2.6</v>
      </c>
      <c r="L3742" t="s">
        <v>143</v>
      </c>
      <c r="M3742" t="s">
        <v>143</v>
      </c>
      <c r="N3742">
        <v>26</v>
      </c>
      <c r="O3742" t="s">
        <v>77</v>
      </c>
      <c r="P3742" t="s">
        <v>67</v>
      </c>
    </row>
    <row r="3743" spans="1:16" ht="14.5" x14ac:dyDescent="0.35">
      <c r="A3743">
        <v>3742</v>
      </c>
      <c r="B3743">
        <v>58</v>
      </c>
      <c r="C3743" t="s">
        <v>144</v>
      </c>
      <c r="D3743" t="s">
        <v>48</v>
      </c>
      <c r="E3743" t="s">
        <v>18</v>
      </c>
      <c r="F3743">
        <v>96</v>
      </c>
      <c r="G3743" t="s">
        <v>108</v>
      </c>
      <c r="H3743" t="s">
        <v>39</v>
      </c>
      <c r="I3743" t="s">
        <v>65</v>
      </c>
      <c r="J3743" t="s">
        <v>33</v>
      </c>
      <c r="K3743">
        <v>3.2</v>
      </c>
      <c r="L3743" t="s">
        <v>143</v>
      </c>
      <c r="M3743" t="s">
        <v>143</v>
      </c>
      <c r="N3743">
        <v>26</v>
      </c>
      <c r="O3743" t="s">
        <v>77</v>
      </c>
      <c r="P3743" t="s">
        <v>67</v>
      </c>
    </row>
    <row r="3744" spans="1:16" ht="14.5" x14ac:dyDescent="0.35">
      <c r="A3744">
        <v>3743</v>
      </c>
      <c r="B3744">
        <v>56</v>
      </c>
      <c r="C3744" t="s">
        <v>144</v>
      </c>
      <c r="D3744" t="s">
        <v>48</v>
      </c>
      <c r="E3744" t="s">
        <v>18</v>
      </c>
      <c r="F3744">
        <v>80</v>
      </c>
      <c r="G3744" t="s">
        <v>119</v>
      </c>
      <c r="H3744" t="s">
        <v>39</v>
      </c>
      <c r="I3744" t="s">
        <v>21</v>
      </c>
      <c r="J3744" t="s">
        <v>50</v>
      </c>
      <c r="K3744">
        <v>4.4000000000000004</v>
      </c>
      <c r="L3744" t="s">
        <v>143</v>
      </c>
      <c r="M3744" t="s">
        <v>143</v>
      </c>
      <c r="N3744">
        <v>50</v>
      </c>
      <c r="O3744" t="s">
        <v>34</v>
      </c>
      <c r="P3744" t="s">
        <v>67</v>
      </c>
    </row>
    <row r="3745" spans="1:16" ht="14.5" x14ac:dyDescent="0.35">
      <c r="A3745">
        <v>3744</v>
      </c>
      <c r="B3745">
        <v>62</v>
      </c>
      <c r="C3745" t="s">
        <v>144</v>
      </c>
      <c r="D3745" t="s">
        <v>86</v>
      </c>
      <c r="E3745" t="s">
        <v>18</v>
      </c>
      <c r="F3745">
        <v>28</v>
      </c>
      <c r="G3745" t="s">
        <v>126</v>
      </c>
      <c r="H3745" t="s">
        <v>20</v>
      </c>
      <c r="I3745" t="s">
        <v>100</v>
      </c>
      <c r="J3745" t="s">
        <v>50</v>
      </c>
      <c r="K3745">
        <v>3.6</v>
      </c>
      <c r="L3745" t="s">
        <v>143</v>
      </c>
      <c r="M3745" t="s">
        <v>143</v>
      </c>
      <c r="N3745">
        <v>36</v>
      </c>
      <c r="O3745" t="s">
        <v>77</v>
      </c>
      <c r="P3745" t="s">
        <v>51</v>
      </c>
    </row>
    <row r="3746" spans="1:16" ht="14.5" x14ac:dyDescent="0.35">
      <c r="A3746">
        <v>3745</v>
      </c>
      <c r="B3746">
        <v>24</v>
      </c>
      <c r="C3746" t="s">
        <v>144</v>
      </c>
      <c r="D3746" t="s">
        <v>95</v>
      </c>
      <c r="E3746" t="s">
        <v>18</v>
      </c>
      <c r="F3746">
        <v>51</v>
      </c>
      <c r="G3746" t="s">
        <v>118</v>
      </c>
      <c r="H3746" t="s">
        <v>39</v>
      </c>
      <c r="I3746" t="s">
        <v>21</v>
      </c>
      <c r="J3746" t="s">
        <v>47</v>
      </c>
      <c r="K3746">
        <v>2.7</v>
      </c>
      <c r="L3746" t="s">
        <v>143</v>
      </c>
      <c r="M3746" t="s">
        <v>143</v>
      </c>
      <c r="N3746">
        <v>26</v>
      </c>
      <c r="O3746" t="s">
        <v>66</v>
      </c>
      <c r="P3746" t="s">
        <v>25</v>
      </c>
    </row>
    <row r="3747" spans="1:16" ht="14.5" x14ac:dyDescent="0.35">
      <c r="A3747">
        <v>3746</v>
      </c>
      <c r="B3747">
        <v>60</v>
      </c>
      <c r="C3747" t="s">
        <v>144</v>
      </c>
      <c r="D3747" t="s">
        <v>116</v>
      </c>
      <c r="E3747" t="s">
        <v>18</v>
      </c>
      <c r="F3747">
        <v>41</v>
      </c>
      <c r="G3747" t="s">
        <v>140</v>
      </c>
      <c r="H3747" t="s">
        <v>20</v>
      </c>
      <c r="I3747" t="s">
        <v>71</v>
      </c>
      <c r="J3747" t="s">
        <v>33</v>
      </c>
      <c r="K3747">
        <v>4.3</v>
      </c>
      <c r="L3747" t="s">
        <v>143</v>
      </c>
      <c r="M3747" t="s">
        <v>143</v>
      </c>
      <c r="N3747">
        <v>2</v>
      </c>
      <c r="O3747" t="s">
        <v>77</v>
      </c>
      <c r="P3747" t="s">
        <v>79</v>
      </c>
    </row>
    <row r="3748" spans="1:16" ht="14.5" x14ac:dyDescent="0.35">
      <c r="A3748">
        <v>3747</v>
      </c>
      <c r="B3748">
        <v>53</v>
      </c>
      <c r="C3748" t="s">
        <v>144</v>
      </c>
      <c r="D3748" t="s">
        <v>55</v>
      </c>
      <c r="E3748" t="s">
        <v>56</v>
      </c>
      <c r="F3748">
        <v>99</v>
      </c>
      <c r="G3748" t="s">
        <v>126</v>
      </c>
      <c r="H3748" t="s">
        <v>83</v>
      </c>
      <c r="I3748" t="s">
        <v>100</v>
      </c>
      <c r="J3748" t="s">
        <v>47</v>
      </c>
      <c r="K3748">
        <v>2.6</v>
      </c>
      <c r="L3748" t="s">
        <v>143</v>
      </c>
      <c r="M3748" t="s">
        <v>143</v>
      </c>
      <c r="N3748">
        <v>49</v>
      </c>
      <c r="O3748" t="s">
        <v>40</v>
      </c>
      <c r="P3748" t="s">
        <v>79</v>
      </c>
    </row>
    <row r="3749" spans="1:16" ht="14.5" x14ac:dyDescent="0.35">
      <c r="A3749">
        <v>3748</v>
      </c>
      <c r="B3749">
        <v>26</v>
      </c>
      <c r="C3749" t="s">
        <v>144</v>
      </c>
      <c r="D3749" t="s">
        <v>26</v>
      </c>
      <c r="E3749" t="s">
        <v>18</v>
      </c>
      <c r="F3749">
        <v>53</v>
      </c>
      <c r="G3749" t="s">
        <v>38</v>
      </c>
      <c r="H3749" t="s">
        <v>20</v>
      </c>
      <c r="I3749" t="s">
        <v>69</v>
      </c>
      <c r="J3749" t="s">
        <v>33</v>
      </c>
      <c r="K3749">
        <v>4.3</v>
      </c>
      <c r="L3749" t="s">
        <v>143</v>
      </c>
      <c r="M3749" t="s">
        <v>143</v>
      </c>
      <c r="N3749">
        <v>32</v>
      </c>
      <c r="O3749" t="s">
        <v>66</v>
      </c>
      <c r="P3749" t="s">
        <v>67</v>
      </c>
    </row>
    <row r="3750" spans="1:16" ht="14.5" x14ac:dyDescent="0.35">
      <c r="A3750">
        <v>3749</v>
      </c>
      <c r="B3750">
        <v>34</v>
      </c>
      <c r="C3750" t="s">
        <v>144</v>
      </c>
      <c r="D3750" t="s">
        <v>123</v>
      </c>
      <c r="E3750" t="s">
        <v>60</v>
      </c>
      <c r="F3750">
        <v>25</v>
      </c>
      <c r="G3750" t="s">
        <v>70</v>
      </c>
      <c r="H3750" t="s">
        <v>39</v>
      </c>
      <c r="I3750" t="s">
        <v>74</v>
      </c>
      <c r="J3750" t="s">
        <v>50</v>
      </c>
      <c r="K3750">
        <v>3.9</v>
      </c>
      <c r="L3750" t="s">
        <v>143</v>
      </c>
      <c r="M3750" t="s">
        <v>143</v>
      </c>
      <c r="N3750">
        <v>3</v>
      </c>
      <c r="O3750" t="s">
        <v>24</v>
      </c>
      <c r="P3750" t="s">
        <v>43</v>
      </c>
    </row>
    <row r="3751" spans="1:16" ht="14.5" x14ac:dyDescent="0.35">
      <c r="A3751">
        <v>3750</v>
      </c>
      <c r="B3751">
        <v>24</v>
      </c>
      <c r="C3751" t="s">
        <v>144</v>
      </c>
      <c r="D3751" t="s">
        <v>17</v>
      </c>
      <c r="E3751" t="s">
        <v>18</v>
      </c>
      <c r="F3751">
        <v>95</v>
      </c>
      <c r="G3751" t="s">
        <v>111</v>
      </c>
      <c r="H3751" t="s">
        <v>20</v>
      </c>
      <c r="I3751" t="s">
        <v>125</v>
      </c>
      <c r="J3751" t="s">
        <v>22</v>
      </c>
      <c r="K3751">
        <v>2.9</v>
      </c>
      <c r="L3751" t="s">
        <v>143</v>
      </c>
      <c r="M3751" t="s">
        <v>143</v>
      </c>
      <c r="N3751">
        <v>38</v>
      </c>
      <c r="O3751" t="s">
        <v>24</v>
      </c>
      <c r="P3751" t="s">
        <v>88</v>
      </c>
    </row>
    <row r="3752" spans="1:16" ht="14.5" x14ac:dyDescent="0.35">
      <c r="A3752">
        <v>3751</v>
      </c>
      <c r="B3752">
        <v>42</v>
      </c>
      <c r="C3752" t="s">
        <v>144</v>
      </c>
      <c r="D3752" t="s">
        <v>95</v>
      </c>
      <c r="E3752" t="s">
        <v>18</v>
      </c>
      <c r="F3752">
        <v>88</v>
      </c>
      <c r="G3752" t="s">
        <v>108</v>
      </c>
      <c r="H3752" t="s">
        <v>39</v>
      </c>
      <c r="I3752" t="s">
        <v>71</v>
      </c>
      <c r="J3752" t="s">
        <v>50</v>
      </c>
      <c r="K3752">
        <v>3.1</v>
      </c>
      <c r="L3752" t="s">
        <v>143</v>
      </c>
      <c r="M3752" t="s">
        <v>143</v>
      </c>
      <c r="N3752">
        <v>5</v>
      </c>
      <c r="O3752" t="s">
        <v>40</v>
      </c>
      <c r="P3752" t="s">
        <v>79</v>
      </c>
    </row>
    <row r="3753" spans="1:16" ht="14.5" x14ac:dyDescent="0.35">
      <c r="A3753">
        <v>3752</v>
      </c>
      <c r="B3753">
        <v>36</v>
      </c>
      <c r="C3753" t="s">
        <v>144</v>
      </c>
      <c r="D3753" t="s">
        <v>97</v>
      </c>
      <c r="E3753" t="s">
        <v>60</v>
      </c>
      <c r="F3753">
        <v>97</v>
      </c>
      <c r="G3753" t="s">
        <v>81</v>
      </c>
      <c r="H3753" t="s">
        <v>32</v>
      </c>
      <c r="I3753" t="s">
        <v>58</v>
      </c>
      <c r="J3753" t="s">
        <v>50</v>
      </c>
      <c r="K3753">
        <v>4.2</v>
      </c>
      <c r="L3753" t="s">
        <v>143</v>
      </c>
      <c r="M3753" t="s">
        <v>143</v>
      </c>
      <c r="N3753">
        <v>8</v>
      </c>
      <c r="O3753" t="s">
        <v>34</v>
      </c>
      <c r="P3753" t="s">
        <v>88</v>
      </c>
    </row>
    <row r="3754" spans="1:16" ht="14.5" x14ac:dyDescent="0.35">
      <c r="A3754">
        <v>3753</v>
      </c>
      <c r="B3754">
        <v>24</v>
      </c>
      <c r="C3754" t="s">
        <v>144</v>
      </c>
      <c r="D3754" t="s">
        <v>55</v>
      </c>
      <c r="E3754" t="s">
        <v>56</v>
      </c>
      <c r="F3754">
        <v>81</v>
      </c>
      <c r="G3754" t="s">
        <v>140</v>
      </c>
      <c r="H3754" t="s">
        <v>20</v>
      </c>
      <c r="I3754" t="s">
        <v>62</v>
      </c>
      <c r="J3754" t="s">
        <v>22</v>
      </c>
      <c r="K3754">
        <v>4.0999999999999996</v>
      </c>
      <c r="L3754" t="s">
        <v>143</v>
      </c>
      <c r="M3754" t="s">
        <v>143</v>
      </c>
      <c r="N3754">
        <v>43</v>
      </c>
      <c r="O3754" t="s">
        <v>24</v>
      </c>
      <c r="P3754" t="s">
        <v>35</v>
      </c>
    </row>
    <row r="3755" spans="1:16" ht="14.5" x14ac:dyDescent="0.35">
      <c r="A3755">
        <v>3754</v>
      </c>
      <c r="B3755">
        <v>39</v>
      </c>
      <c r="C3755" t="s">
        <v>144</v>
      </c>
      <c r="D3755" t="s">
        <v>80</v>
      </c>
      <c r="E3755" t="s">
        <v>60</v>
      </c>
      <c r="F3755">
        <v>26</v>
      </c>
      <c r="G3755" t="s">
        <v>53</v>
      </c>
      <c r="H3755" t="s">
        <v>32</v>
      </c>
      <c r="I3755" t="s">
        <v>42</v>
      </c>
      <c r="J3755" t="s">
        <v>22</v>
      </c>
      <c r="K3755">
        <v>4.2</v>
      </c>
      <c r="L3755" t="s">
        <v>143</v>
      </c>
      <c r="M3755" t="s">
        <v>143</v>
      </c>
      <c r="N3755">
        <v>22</v>
      </c>
      <c r="O3755" t="s">
        <v>66</v>
      </c>
      <c r="P3755" t="s">
        <v>25</v>
      </c>
    </row>
    <row r="3756" spans="1:16" ht="14.5" x14ac:dyDescent="0.35">
      <c r="A3756">
        <v>3755</v>
      </c>
      <c r="B3756">
        <v>46</v>
      </c>
      <c r="C3756" t="s">
        <v>144</v>
      </c>
      <c r="D3756" t="s">
        <v>63</v>
      </c>
      <c r="E3756" t="s">
        <v>37</v>
      </c>
      <c r="F3756">
        <v>41</v>
      </c>
      <c r="G3756" t="s">
        <v>136</v>
      </c>
      <c r="H3756" t="s">
        <v>39</v>
      </c>
      <c r="I3756" t="s">
        <v>42</v>
      </c>
      <c r="J3756" t="s">
        <v>47</v>
      </c>
      <c r="K3756">
        <v>4.4000000000000004</v>
      </c>
      <c r="L3756" t="s">
        <v>143</v>
      </c>
      <c r="M3756" t="s">
        <v>143</v>
      </c>
      <c r="N3756">
        <v>10</v>
      </c>
      <c r="O3756" t="s">
        <v>29</v>
      </c>
      <c r="P3756" t="s">
        <v>88</v>
      </c>
    </row>
    <row r="3757" spans="1:16" ht="14.5" x14ac:dyDescent="0.35">
      <c r="A3757">
        <v>3756</v>
      </c>
      <c r="B3757">
        <v>64</v>
      </c>
      <c r="C3757" t="s">
        <v>144</v>
      </c>
      <c r="D3757" t="s">
        <v>78</v>
      </c>
      <c r="E3757" t="s">
        <v>18</v>
      </c>
      <c r="F3757">
        <v>93</v>
      </c>
      <c r="G3757" t="s">
        <v>129</v>
      </c>
      <c r="H3757" t="s">
        <v>39</v>
      </c>
      <c r="I3757" t="s">
        <v>91</v>
      </c>
      <c r="J3757" t="s">
        <v>50</v>
      </c>
      <c r="K3757">
        <v>3.4</v>
      </c>
      <c r="L3757" t="s">
        <v>143</v>
      </c>
      <c r="M3757" t="s">
        <v>143</v>
      </c>
      <c r="N3757">
        <v>26</v>
      </c>
      <c r="O3757" t="s">
        <v>34</v>
      </c>
      <c r="P3757" t="s">
        <v>79</v>
      </c>
    </row>
    <row r="3758" spans="1:16" ht="14.5" x14ac:dyDescent="0.35">
      <c r="A3758">
        <v>3757</v>
      </c>
      <c r="B3758">
        <v>64</v>
      </c>
      <c r="C3758" t="s">
        <v>144</v>
      </c>
      <c r="D3758" t="s">
        <v>78</v>
      </c>
      <c r="E3758" t="s">
        <v>18</v>
      </c>
      <c r="F3758">
        <v>69</v>
      </c>
      <c r="G3758" t="s">
        <v>122</v>
      </c>
      <c r="H3758" t="s">
        <v>20</v>
      </c>
      <c r="I3758" t="s">
        <v>76</v>
      </c>
      <c r="J3758" t="s">
        <v>33</v>
      </c>
      <c r="K3758">
        <v>4.8</v>
      </c>
      <c r="L3758" t="s">
        <v>143</v>
      </c>
      <c r="M3758" t="s">
        <v>143</v>
      </c>
      <c r="N3758">
        <v>42</v>
      </c>
      <c r="O3758" t="s">
        <v>77</v>
      </c>
      <c r="P3758" t="s">
        <v>67</v>
      </c>
    </row>
    <row r="3759" spans="1:16" ht="14.5" x14ac:dyDescent="0.35">
      <c r="A3759">
        <v>3758</v>
      </c>
      <c r="B3759">
        <v>61</v>
      </c>
      <c r="C3759" t="s">
        <v>144</v>
      </c>
      <c r="D3759" t="s">
        <v>78</v>
      </c>
      <c r="E3759" t="s">
        <v>18</v>
      </c>
      <c r="F3759">
        <v>44</v>
      </c>
      <c r="G3759" t="s">
        <v>90</v>
      </c>
      <c r="H3759" t="s">
        <v>20</v>
      </c>
      <c r="I3759" t="s">
        <v>99</v>
      </c>
      <c r="J3759" t="s">
        <v>50</v>
      </c>
      <c r="K3759">
        <v>4.5</v>
      </c>
      <c r="L3759" t="s">
        <v>143</v>
      </c>
      <c r="M3759" t="s">
        <v>143</v>
      </c>
      <c r="N3759">
        <v>33</v>
      </c>
      <c r="O3759" t="s">
        <v>29</v>
      </c>
      <c r="P3759" t="s">
        <v>35</v>
      </c>
    </row>
    <row r="3760" spans="1:16" ht="14.5" x14ac:dyDescent="0.35">
      <c r="A3760">
        <v>3759</v>
      </c>
      <c r="B3760">
        <v>61</v>
      </c>
      <c r="C3760" t="s">
        <v>144</v>
      </c>
      <c r="D3760" t="s">
        <v>36</v>
      </c>
      <c r="E3760" t="s">
        <v>37</v>
      </c>
      <c r="F3760">
        <v>54</v>
      </c>
      <c r="G3760" t="s">
        <v>107</v>
      </c>
      <c r="H3760" t="s">
        <v>32</v>
      </c>
      <c r="I3760" t="s">
        <v>85</v>
      </c>
      <c r="J3760" t="s">
        <v>33</v>
      </c>
      <c r="K3760">
        <v>2.7</v>
      </c>
      <c r="L3760" t="s">
        <v>143</v>
      </c>
      <c r="M3760" t="s">
        <v>143</v>
      </c>
      <c r="N3760">
        <v>23</v>
      </c>
      <c r="O3760" t="s">
        <v>66</v>
      </c>
      <c r="P3760" t="s">
        <v>51</v>
      </c>
    </row>
    <row r="3761" spans="1:16" ht="14.5" x14ac:dyDescent="0.35">
      <c r="A3761">
        <v>3760</v>
      </c>
      <c r="B3761">
        <v>44</v>
      </c>
      <c r="C3761" t="s">
        <v>144</v>
      </c>
      <c r="D3761" t="s">
        <v>44</v>
      </c>
      <c r="E3761" t="s">
        <v>37</v>
      </c>
      <c r="F3761">
        <v>61</v>
      </c>
      <c r="G3761" t="s">
        <v>61</v>
      </c>
      <c r="H3761" t="s">
        <v>39</v>
      </c>
      <c r="I3761" t="s">
        <v>62</v>
      </c>
      <c r="J3761" t="s">
        <v>33</v>
      </c>
      <c r="K3761">
        <v>3.5</v>
      </c>
      <c r="L3761" t="s">
        <v>143</v>
      </c>
      <c r="M3761" t="s">
        <v>143</v>
      </c>
      <c r="N3761">
        <v>30</v>
      </c>
      <c r="O3761" t="s">
        <v>24</v>
      </c>
      <c r="P3761" t="s">
        <v>51</v>
      </c>
    </row>
    <row r="3762" spans="1:16" ht="14.5" x14ac:dyDescent="0.35">
      <c r="A3762">
        <v>3761</v>
      </c>
      <c r="B3762">
        <v>65</v>
      </c>
      <c r="C3762" t="s">
        <v>144</v>
      </c>
      <c r="D3762" t="s">
        <v>116</v>
      </c>
      <c r="E3762" t="s">
        <v>18</v>
      </c>
      <c r="F3762">
        <v>80</v>
      </c>
      <c r="G3762" t="s">
        <v>130</v>
      </c>
      <c r="H3762" t="s">
        <v>39</v>
      </c>
      <c r="I3762" t="s">
        <v>91</v>
      </c>
      <c r="J3762" t="s">
        <v>50</v>
      </c>
      <c r="K3762">
        <v>3.1</v>
      </c>
      <c r="L3762" t="s">
        <v>143</v>
      </c>
      <c r="M3762" t="s">
        <v>143</v>
      </c>
      <c r="N3762">
        <v>36</v>
      </c>
      <c r="O3762" t="s">
        <v>40</v>
      </c>
      <c r="P3762" t="s">
        <v>35</v>
      </c>
    </row>
    <row r="3763" spans="1:16" ht="14.5" x14ac:dyDescent="0.35">
      <c r="A3763">
        <v>3762</v>
      </c>
      <c r="B3763">
        <v>60</v>
      </c>
      <c r="C3763" t="s">
        <v>144</v>
      </c>
      <c r="D3763" t="s">
        <v>123</v>
      </c>
      <c r="E3763" t="s">
        <v>60</v>
      </c>
      <c r="F3763">
        <v>30</v>
      </c>
      <c r="G3763" t="s">
        <v>98</v>
      </c>
      <c r="H3763" t="s">
        <v>39</v>
      </c>
      <c r="I3763" t="s">
        <v>87</v>
      </c>
      <c r="J3763" t="s">
        <v>47</v>
      </c>
      <c r="K3763">
        <v>2.8</v>
      </c>
      <c r="L3763" t="s">
        <v>143</v>
      </c>
      <c r="M3763" t="s">
        <v>143</v>
      </c>
      <c r="N3763">
        <v>3</v>
      </c>
      <c r="O3763" t="s">
        <v>24</v>
      </c>
      <c r="P3763" t="s">
        <v>88</v>
      </c>
    </row>
    <row r="3764" spans="1:16" ht="14.5" x14ac:dyDescent="0.35">
      <c r="A3764">
        <v>3763</v>
      </c>
      <c r="B3764">
        <v>65</v>
      </c>
      <c r="C3764" t="s">
        <v>144</v>
      </c>
      <c r="D3764" t="s">
        <v>52</v>
      </c>
      <c r="E3764" t="s">
        <v>18</v>
      </c>
      <c r="F3764">
        <v>94</v>
      </c>
      <c r="G3764" t="s">
        <v>75</v>
      </c>
      <c r="H3764" t="s">
        <v>20</v>
      </c>
      <c r="I3764" t="s">
        <v>87</v>
      </c>
      <c r="J3764" t="s">
        <v>50</v>
      </c>
      <c r="K3764">
        <v>2.9</v>
      </c>
      <c r="L3764" t="s">
        <v>143</v>
      </c>
      <c r="M3764" t="s">
        <v>143</v>
      </c>
      <c r="N3764">
        <v>13</v>
      </c>
      <c r="O3764" t="s">
        <v>40</v>
      </c>
      <c r="P3764" t="s">
        <v>43</v>
      </c>
    </row>
    <row r="3765" spans="1:16" ht="14.5" x14ac:dyDescent="0.35">
      <c r="A3765">
        <v>3764</v>
      </c>
      <c r="B3765">
        <v>27</v>
      </c>
      <c r="C3765" t="s">
        <v>144</v>
      </c>
      <c r="D3765" t="s">
        <v>48</v>
      </c>
      <c r="E3765" t="s">
        <v>18</v>
      </c>
      <c r="F3765">
        <v>24</v>
      </c>
      <c r="G3765" t="s">
        <v>92</v>
      </c>
      <c r="H3765" t="s">
        <v>83</v>
      </c>
      <c r="I3765" t="s">
        <v>99</v>
      </c>
      <c r="J3765" t="s">
        <v>22</v>
      </c>
      <c r="K3765">
        <v>4.5</v>
      </c>
      <c r="L3765" t="s">
        <v>143</v>
      </c>
      <c r="M3765" t="s">
        <v>143</v>
      </c>
      <c r="N3765">
        <v>38</v>
      </c>
      <c r="O3765" t="s">
        <v>29</v>
      </c>
      <c r="P3765" t="s">
        <v>88</v>
      </c>
    </row>
    <row r="3766" spans="1:16" ht="14.5" x14ac:dyDescent="0.35">
      <c r="A3766">
        <v>3765</v>
      </c>
      <c r="B3766">
        <v>36</v>
      </c>
      <c r="C3766" t="s">
        <v>144</v>
      </c>
      <c r="D3766" t="s">
        <v>116</v>
      </c>
      <c r="E3766" t="s">
        <v>18</v>
      </c>
      <c r="F3766">
        <v>21</v>
      </c>
      <c r="G3766" t="s">
        <v>138</v>
      </c>
      <c r="H3766" t="s">
        <v>39</v>
      </c>
      <c r="I3766" t="s">
        <v>28</v>
      </c>
      <c r="J3766" t="s">
        <v>50</v>
      </c>
      <c r="K3766">
        <v>3.5</v>
      </c>
      <c r="L3766" t="s">
        <v>143</v>
      </c>
      <c r="M3766" t="s">
        <v>143</v>
      </c>
      <c r="N3766">
        <v>19</v>
      </c>
      <c r="O3766" t="s">
        <v>24</v>
      </c>
      <c r="P3766" t="s">
        <v>79</v>
      </c>
    </row>
    <row r="3767" spans="1:16" ht="14.5" x14ac:dyDescent="0.35">
      <c r="A3767">
        <v>3766</v>
      </c>
      <c r="B3767">
        <v>22</v>
      </c>
      <c r="C3767" t="s">
        <v>144</v>
      </c>
      <c r="D3767" t="s">
        <v>97</v>
      </c>
      <c r="E3767" t="s">
        <v>60</v>
      </c>
      <c r="F3767">
        <v>52</v>
      </c>
      <c r="G3767" t="s">
        <v>61</v>
      </c>
      <c r="H3767" t="s">
        <v>39</v>
      </c>
      <c r="I3767" t="s">
        <v>87</v>
      </c>
      <c r="J3767" t="s">
        <v>47</v>
      </c>
      <c r="K3767">
        <v>4.3</v>
      </c>
      <c r="L3767" t="s">
        <v>143</v>
      </c>
      <c r="M3767" t="s">
        <v>143</v>
      </c>
      <c r="N3767">
        <v>14</v>
      </c>
      <c r="O3767" t="s">
        <v>66</v>
      </c>
      <c r="P3767" t="s">
        <v>67</v>
      </c>
    </row>
    <row r="3768" spans="1:16" ht="14.5" x14ac:dyDescent="0.35">
      <c r="A3768">
        <v>3767</v>
      </c>
      <c r="B3768">
        <v>62</v>
      </c>
      <c r="C3768" t="s">
        <v>144</v>
      </c>
      <c r="D3768" t="s">
        <v>59</v>
      </c>
      <c r="E3768" t="s">
        <v>60</v>
      </c>
      <c r="F3768">
        <v>59</v>
      </c>
      <c r="G3768" t="s">
        <v>96</v>
      </c>
      <c r="H3768" t="s">
        <v>39</v>
      </c>
      <c r="I3768" t="s">
        <v>85</v>
      </c>
      <c r="J3768" t="s">
        <v>50</v>
      </c>
      <c r="K3768">
        <v>4.9000000000000004</v>
      </c>
      <c r="L3768" t="s">
        <v>143</v>
      </c>
      <c r="M3768" t="s">
        <v>143</v>
      </c>
      <c r="N3768">
        <v>43</v>
      </c>
      <c r="O3768" t="s">
        <v>77</v>
      </c>
      <c r="P3768" t="s">
        <v>43</v>
      </c>
    </row>
    <row r="3769" spans="1:16" ht="14.5" x14ac:dyDescent="0.35">
      <c r="A3769">
        <v>3768</v>
      </c>
      <c r="B3769">
        <v>59</v>
      </c>
      <c r="C3769" t="s">
        <v>144</v>
      </c>
      <c r="D3769" t="s">
        <v>52</v>
      </c>
      <c r="E3769" t="s">
        <v>18</v>
      </c>
      <c r="F3769">
        <v>51</v>
      </c>
      <c r="G3769" t="s">
        <v>75</v>
      </c>
      <c r="H3769" t="s">
        <v>83</v>
      </c>
      <c r="I3769" t="s">
        <v>85</v>
      </c>
      <c r="J3769" t="s">
        <v>47</v>
      </c>
      <c r="K3769">
        <v>3.1</v>
      </c>
      <c r="L3769" t="s">
        <v>143</v>
      </c>
      <c r="M3769" t="s">
        <v>143</v>
      </c>
      <c r="N3769">
        <v>10</v>
      </c>
      <c r="O3769" t="s">
        <v>66</v>
      </c>
      <c r="P3769" t="s">
        <v>25</v>
      </c>
    </row>
    <row r="3770" spans="1:16" ht="14.5" x14ac:dyDescent="0.35">
      <c r="A3770">
        <v>3769</v>
      </c>
      <c r="B3770">
        <v>50</v>
      </c>
      <c r="C3770" t="s">
        <v>144</v>
      </c>
      <c r="D3770" t="s">
        <v>26</v>
      </c>
      <c r="E3770" t="s">
        <v>18</v>
      </c>
      <c r="F3770">
        <v>35</v>
      </c>
      <c r="G3770" t="s">
        <v>120</v>
      </c>
      <c r="H3770" t="s">
        <v>39</v>
      </c>
      <c r="I3770" t="s">
        <v>125</v>
      </c>
      <c r="J3770" t="s">
        <v>22</v>
      </c>
      <c r="K3770">
        <v>4</v>
      </c>
      <c r="L3770" t="s">
        <v>143</v>
      </c>
      <c r="M3770" t="s">
        <v>143</v>
      </c>
      <c r="N3770">
        <v>34</v>
      </c>
      <c r="O3770" t="s">
        <v>66</v>
      </c>
      <c r="P3770" t="s">
        <v>51</v>
      </c>
    </row>
    <row r="3771" spans="1:16" ht="14.5" x14ac:dyDescent="0.35">
      <c r="A3771">
        <v>3770</v>
      </c>
      <c r="B3771">
        <v>51</v>
      </c>
      <c r="C3771" t="s">
        <v>144</v>
      </c>
      <c r="D3771" t="s">
        <v>134</v>
      </c>
      <c r="E3771" t="s">
        <v>60</v>
      </c>
      <c r="F3771">
        <v>87</v>
      </c>
      <c r="G3771" t="s">
        <v>108</v>
      </c>
      <c r="H3771" t="s">
        <v>20</v>
      </c>
      <c r="I3771" t="s">
        <v>87</v>
      </c>
      <c r="J3771" t="s">
        <v>47</v>
      </c>
      <c r="K3771">
        <v>3.6</v>
      </c>
      <c r="L3771" t="s">
        <v>143</v>
      </c>
      <c r="M3771" t="s">
        <v>143</v>
      </c>
      <c r="N3771">
        <v>31</v>
      </c>
      <c r="O3771" t="s">
        <v>24</v>
      </c>
      <c r="P3771" t="s">
        <v>43</v>
      </c>
    </row>
    <row r="3772" spans="1:16" ht="14.5" x14ac:dyDescent="0.35">
      <c r="A3772">
        <v>3771</v>
      </c>
      <c r="B3772">
        <v>23</v>
      </c>
      <c r="C3772" t="s">
        <v>144</v>
      </c>
      <c r="D3772" t="s">
        <v>86</v>
      </c>
      <c r="E3772" t="s">
        <v>18</v>
      </c>
      <c r="F3772">
        <v>42</v>
      </c>
      <c r="G3772" t="s">
        <v>49</v>
      </c>
      <c r="H3772" t="s">
        <v>20</v>
      </c>
      <c r="I3772" t="s">
        <v>85</v>
      </c>
      <c r="J3772" t="s">
        <v>47</v>
      </c>
      <c r="K3772">
        <v>4</v>
      </c>
      <c r="L3772" t="s">
        <v>143</v>
      </c>
      <c r="M3772" t="s">
        <v>143</v>
      </c>
      <c r="N3772">
        <v>34</v>
      </c>
      <c r="O3772" t="s">
        <v>66</v>
      </c>
      <c r="P3772" t="s">
        <v>35</v>
      </c>
    </row>
    <row r="3773" spans="1:16" ht="14.5" x14ac:dyDescent="0.35">
      <c r="A3773">
        <v>3772</v>
      </c>
      <c r="B3773">
        <v>21</v>
      </c>
      <c r="C3773" t="s">
        <v>144</v>
      </c>
      <c r="D3773" t="s">
        <v>104</v>
      </c>
      <c r="E3773" t="s">
        <v>18</v>
      </c>
      <c r="F3773">
        <v>86</v>
      </c>
      <c r="G3773" t="s">
        <v>92</v>
      </c>
      <c r="H3773" t="s">
        <v>39</v>
      </c>
      <c r="I3773" t="s">
        <v>99</v>
      </c>
      <c r="J3773" t="s">
        <v>22</v>
      </c>
      <c r="K3773">
        <v>2.6</v>
      </c>
      <c r="L3773" t="s">
        <v>143</v>
      </c>
      <c r="M3773" t="s">
        <v>143</v>
      </c>
      <c r="N3773">
        <v>28</v>
      </c>
      <c r="O3773" t="s">
        <v>24</v>
      </c>
      <c r="P3773" t="s">
        <v>67</v>
      </c>
    </row>
    <row r="3774" spans="1:16" ht="14.5" x14ac:dyDescent="0.35">
      <c r="A3774">
        <v>3773</v>
      </c>
      <c r="B3774">
        <v>44</v>
      </c>
      <c r="C3774" t="s">
        <v>144</v>
      </c>
      <c r="D3774" t="s">
        <v>86</v>
      </c>
      <c r="E3774" t="s">
        <v>18</v>
      </c>
      <c r="F3774">
        <v>26</v>
      </c>
      <c r="G3774" t="s">
        <v>73</v>
      </c>
      <c r="H3774" t="s">
        <v>20</v>
      </c>
      <c r="I3774" t="s">
        <v>125</v>
      </c>
      <c r="J3774" t="s">
        <v>50</v>
      </c>
      <c r="K3774">
        <v>3.1</v>
      </c>
      <c r="L3774" t="s">
        <v>143</v>
      </c>
      <c r="M3774" t="s">
        <v>143</v>
      </c>
      <c r="N3774">
        <v>35</v>
      </c>
      <c r="O3774" t="s">
        <v>29</v>
      </c>
      <c r="P3774" t="s">
        <v>43</v>
      </c>
    </row>
    <row r="3775" spans="1:16" ht="14.5" x14ac:dyDescent="0.35">
      <c r="A3775">
        <v>3774</v>
      </c>
      <c r="B3775">
        <v>25</v>
      </c>
      <c r="C3775" t="s">
        <v>144</v>
      </c>
      <c r="D3775" t="s">
        <v>26</v>
      </c>
      <c r="E3775" t="s">
        <v>18</v>
      </c>
      <c r="F3775">
        <v>60</v>
      </c>
      <c r="G3775" t="s">
        <v>141</v>
      </c>
      <c r="H3775" t="s">
        <v>39</v>
      </c>
      <c r="I3775" t="s">
        <v>74</v>
      </c>
      <c r="J3775" t="s">
        <v>47</v>
      </c>
      <c r="K3775">
        <v>3.5</v>
      </c>
      <c r="L3775" t="s">
        <v>143</v>
      </c>
      <c r="M3775" t="s">
        <v>143</v>
      </c>
      <c r="N3775">
        <v>41</v>
      </c>
      <c r="O3775" t="s">
        <v>29</v>
      </c>
      <c r="P3775" t="s">
        <v>51</v>
      </c>
    </row>
    <row r="3776" spans="1:16" ht="14.5" x14ac:dyDescent="0.35">
      <c r="A3776">
        <v>3775</v>
      </c>
      <c r="B3776">
        <v>57</v>
      </c>
      <c r="C3776" t="s">
        <v>144</v>
      </c>
      <c r="D3776" t="s">
        <v>134</v>
      </c>
      <c r="E3776" t="s">
        <v>60</v>
      </c>
      <c r="F3776">
        <v>83</v>
      </c>
      <c r="G3776" t="s">
        <v>111</v>
      </c>
      <c r="H3776" t="s">
        <v>32</v>
      </c>
      <c r="I3776" t="s">
        <v>100</v>
      </c>
      <c r="J3776" t="s">
        <v>22</v>
      </c>
      <c r="K3776">
        <v>3.9</v>
      </c>
      <c r="L3776" t="s">
        <v>143</v>
      </c>
      <c r="M3776" t="s">
        <v>143</v>
      </c>
      <c r="N3776">
        <v>48</v>
      </c>
      <c r="O3776" t="s">
        <v>40</v>
      </c>
      <c r="P3776" t="s">
        <v>25</v>
      </c>
    </row>
    <row r="3777" spans="1:16" ht="14.5" x14ac:dyDescent="0.35">
      <c r="A3777">
        <v>3776</v>
      </c>
      <c r="B3777">
        <v>41</v>
      </c>
      <c r="C3777" t="s">
        <v>144</v>
      </c>
      <c r="D3777" t="s">
        <v>124</v>
      </c>
      <c r="E3777" t="s">
        <v>60</v>
      </c>
      <c r="F3777">
        <v>63</v>
      </c>
      <c r="G3777" t="s">
        <v>138</v>
      </c>
      <c r="H3777" t="s">
        <v>32</v>
      </c>
      <c r="I3777" t="s">
        <v>62</v>
      </c>
      <c r="J3777" t="s">
        <v>33</v>
      </c>
      <c r="K3777">
        <v>2.7</v>
      </c>
      <c r="L3777" t="s">
        <v>143</v>
      </c>
      <c r="M3777" t="s">
        <v>143</v>
      </c>
      <c r="N3777">
        <v>45</v>
      </c>
      <c r="O3777" t="s">
        <v>29</v>
      </c>
      <c r="P3777" t="s">
        <v>51</v>
      </c>
    </row>
    <row r="3778" spans="1:16" ht="14.5" x14ac:dyDescent="0.35">
      <c r="A3778">
        <v>3777</v>
      </c>
      <c r="B3778">
        <v>19</v>
      </c>
      <c r="C3778" t="s">
        <v>144</v>
      </c>
      <c r="D3778" t="s">
        <v>44</v>
      </c>
      <c r="E3778" t="s">
        <v>37</v>
      </c>
      <c r="F3778">
        <v>25</v>
      </c>
      <c r="G3778" t="s">
        <v>111</v>
      </c>
      <c r="H3778" t="s">
        <v>20</v>
      </c>
      <c r="I3778" t="s">
        <v>69</v>
      </c>
      <c r="J3778" t="s">
        <v>33</v>
      </c>
      <c r="K3778">
        <v>4.0999999999999996</v>
      </c>
      <c r="L3778" t="s">
        <v>143</v>
      </c>
      <c r="M3778" t="s">
        <v>143</v>
      </c>
      <c r="N3778">
        <v>10</v>
      </c>
      <c r="O3778" t="s">
        <v>34</v>
      </c>
      <c r="P3778" t="s">
        <v>25</v>
      </c>
    </row>
    <row r="3779" spans="1:16" ht="14.5" x14ac:dyDescent="0.35">
      <c r="A3779">
        <v>3778</v>
      </c>
      <c r="B3779">
        <v>43</v>
      </c>
      <c r="C3779" t="s">
        <v>144</v>
      </c>
      <c r="D3779" t="s">
        <v>52</v>
      </c>
      <c r="E3779" t="s">
        <v>18</v>
      </c>
      <c r="F3779">
        <v>65</v>
      </c>
      <c r="G3779" t="s">
        <v>131</v>
      </c>
      <c r="H3779" t="s">
        <v>39</v>
      </c>
      <c r="I3779" t="s">
        <v>28</v>
      </c>
      <c r="J3779" t="s">
        <v>50</v>
      </c>
      <c r="K3779">
        <v>4.3</v>
      </c>
      <c r="L3779" t="s">
        <v>143</v>
      </c>
      <c r="M3779" t="s">
        <v>143</v>
      </c>
      <c r="N3779">
        <v>9</v>
      </c>
      <c r="O3779" t="s">
        <v>29</v>
      </c>
      <c r="P3779" t="s">
        <v>35</v>
      </c>
    </row>
    <row r="3780" spans="1:16" ht="14.5" x14ac:dyDescent="0.35">
      <c r="A3780">
        <v>3779</v>
      </c>
      <c r="B3780">
        <v>25</v>
      </c>
      <c r="C3780" t="s">
        <v>144</v>
      </c>
      <c r="D3780" t="s">
        <v>44</v>
      </c>
      <c r="E3780" t="s">
        <v>37</v>
      </c>
      <c r="F3780">
        <v>60</v>
      </c>
      <c r="G3780" t="s">
        <v>138</v>
      </c>
      <c r="H3780" t="s">
        <v>39</v>
      </c>
      <c r="I3780" t="s">
        <v>100</v>
      </c>
      <c r="J3780" t="s">
        <v>50</v>
      </c>
      <c r="K3780">
        <v>2.9</v>
      </c>
      <c r="L3780" t="s">
        <v>143</v>
      </c>
      <c r="M3780" t="s">
        <v>143</v>
      </c>
      <c r="N3780">
        <v>30</v>
      </c>
      <c r="O3780" t="s">
        <v>77</v>
      </c>
      <c r="P3780" t="s">
        <v>43</v>
      </c>
    </row>
    <row r="3781" spans="1:16" ht="14.5" x14ac:dyDescent="0.35">
      <c r="A3781">
        <v>3780</v>
      </c>
      <c r="B3781">
        <v>60</v>
      </c>
      <c r="C3781" t="s">
        <v>144</v>
      </c>
      <c r="D3781" t="s">
        <v>30</v>
      </c>
      <c r="E3781" t="s">
        <v>18</v>
      </c>
      <c r="F3781">
        <v>75</v>
      </c>
      <c r="G3781" t="s">
        <v>90</v>
      </c>
      <c r="H3781" t="s">
        <v>83</v>
      </c>
      <c r="I3781" t="s">
        <v>84</v>
      </c>
      <c r="J3781" t="s">
        <v>33</v>
      </c>
      <c r="K3781">
        <v>4</v>
      </c>
      <c r="L3781" t="s">
        <v>143</v>
      </c>
      <c r="M3781" t="s">
        <v>143</v>
      </c>
      <c r="N3781">
        <v>45</v>
      </c>
      <c r="O3781" t="s">
        <v>40</v>
      </c>
      <c r="P3781" t="s">
        <v>43</v>
      </c>
    </row>
    <row r="3782" spans="1:16" ht="14.5" x14ac:dyDescent="0.35">
      <c r="A3782">
        <v>3781</v>
      </c>
      <c r="B3782">
        <v>54</v>
      </c>
      <c r="C3782" t="s">
        <v>144</v>
      </c>
      <c r="D3782" t="s">
        <v>44</v>
      </c>
      <c r="E3782" t="s">
        <v>37</v>
      </c>
      <c r="F3782">
        <v>57</v>
      </c>
      <c r="G3782" t="s">
        <v>82</v>
      </c>
      <c r="H3782" t="s">
        <v>20</v>
      </c>
      <c r="I3782" t="s">
        <v>125</v>
      </c>
      <c r="J3782" t="s">
        <v>50</v>
      </c>
      <c r="K3782">
        <v>4.0999999999999996</v>
      </c>
      <c r="L3782" t="s">
        <v>143</v>
      </c>
      <c r="M3782" t="s">
        <v>143</v>
      </c>
      <c r="N3782">
        <v>41</v>
      </c>
      <c r="O3782" t="s">
        <v>24</v>
      </c>
      <c r="P3782" t="s">
        <v>51</v>
      </c>
    </row>
    <row r="3783" spans="1:16" ht="14.5" x14ac:dyDescent="0.35">
      <c r="A3783">
        <v>3782</v>
      </c>
      <c r="B3783">
        <v>52</v>
      </c>
      <c r="C3783" t="s">
        <v>144</v>
      </c>
      <c r="D3783" t="s">
        <v>128</v>
      </c>
      <c r="E3783" t="s">
        <v>37</v>
      </c>
      <c r="F3783">
        <v>99</v>
      </c>
      <c r="G3783" t="s">
        <v>113</v>
      </c>
      <c r="H3783" t="s">
        <v>39</v>
      </c>
      <c r="I3783" t="s">
        <v>62</v>
      </c>
      <c r="J3783" t="s">
        <v>22</v>
      </c>
      <c r="K3783">
        <v>3.7</v>
      </c>
      <c r="L3783" t="s">
        <v>143</v>
      </c>
      <c r="M3783" t="s">
        <v>143</v>
      </c>
      <c r="N3783">
        <v>40</v>
      </c>
      <c r="O3783" t="s">
        <v>40</v>
      </c>
      <c r="P3783" t="s">
        <v>25</v>
      </c>
    </row>
    <row r="3784" spans="1:16" ht="14.5" x14ac:dyDescent="0.35">
      <c r="A3784">
        <v>3783</v>
      </c>
      <c r="B3784">
        <v>40</v>
      </c>
      <c r="C3784" t="s">
        <v>144</v>
      </c>
      <c r="D3784" t="s">
        <v>93</v>
      </c>
      <c r="E3784" t="s">
        <v>56</v>
      </c>
      <c r="F3784">
        <v>45</v>
      </c>
      <c r="G3784" t="s">
        <v>81</v>
      </c>
      <c r="H3784" t="s">
        <v>20</v>
      </c>
      <c r="I3784" t="s">
        <v>112</v>
      </c>
      <c r="J3784" t="s">
        <v>33</v>
      </c>
      <c r="K3784">
        <v>2.8</v>
      </c>
      <c r="L3784" t="s">
        <v>143</v>
      </c>
      <c r="M3784" t="s">
        <v>143</v>
      </c>
      <c r="N3784">
        <v>42</v>
      </c>
      <c r="O3784" t="s">
        <v>40</v>
      </c>
      <c r="P3784" t="s">
        <v>25</v>
      </c>
    </row>
    <row r="3785" spans="1:16" ht="14.5" x14ac:dyDescent="0.35">
      <c r="A3785">
        <v>3784</v>
      </c>
      <c r="B3785">
        <v>39</v>
      </c>
      <c r="C3785" t="s">
        <v>144</v>
      </c>
      <c r="D3785" t="s">
        <v>134</v>
      </c>
      <c r="E3785" t="s">
        <v>60</v>
      </c>
      <c r="F3785">
        <v>66</v>
      </c>
      <c r="G3785" t="s">
        <v>27</v>
      </c>
      <c r="H3785" t="s">
        <v>83</v>
      </c>
      <c r="I3785" t="s">
        <v>112</v>
      </c>
      <c r="J3785" t="s">
        <v>47</v>
      </c>
      <c r="K3785">
        <v>3.2</v>
      </c>
      <c r="L3785" t="s">
        <v>143</v>
      </c>
      <c r="M3785" t="s">
        <v>143</v>
      </c>
      <c r="N3785">
        <v>17</v>
      </c>
      <c r="O3785" t="s">
        <v>77</v>
      </c>
      <c r="P3785" t="s">
        <v>25</v>
      </c>
    </row>
    <row r="3786" spans="1:16" ht="14.5" x14ac:dyDescent="0.35">
      <c r="A3786">
        <v>3785</v>
      </c>
      <c r="B3786">
        <v>54</v>
      </c>
      <c r="C3786" t="s">
        <v>144</v>
      </c>
      <c r="D3786" t="s">
        <v>116</v>
      </c>
      <c r="E3786" t="s">
        <v>18</v>
      </c>
      <c r="F3786">
        <v>53</v>
      </c>
      <c r="G3786" t="s">
        <v>132</v>
      </c>
      <c r="H3786" t="s">
        <v>39</v>
      </c>
      <c r="I3786" t="s">
        <v>74</v>
      </c>
      <c r="J3786" t="s">
        <v>22</v>
      </c>
      <c r="K3786">
        <v>4.5</v>
      </c>
      <c r="L3786" t="s">
        <v>143</v>
      </c>
      <c r="M3786" t="s">
        <v>143</v>
      </c>
      <c r="N3786">
        <v>4</v>
      </c>
      <c r="O3786" t="s">
        <v>24</v>
      </c>
      <c r="P3786" t="s">
        <v>43</v>
      </c>
    </row>
    <row r="3787" spans="1:16" ht="14.5" x14ac:dyDescent="0.35">
      <c r="A3787">
        <v>3786</v>
      </c>
      <c r="B3787">
        <v>64</v>
      </c>
      <c r="C3787" t="s">
        <v>144</v>
      </c>
      <c r="D3787" t="s">
        <v>30</v>
      </c>
      <c r="E3787" t="s">
        <v>18</v>
      </c>
      <c r="F3787">
        <v>94</v>
      </c>
      <c r="G3787" t="s">
        <v>73</v>
      </c>
      <c r="H3787" t="s">
        <v>20</v>
      </c>
      <c r="I3787" t="s">
        <v>84</v>
      </c>
      <c r="J3787" t="s">
        <v>22</v>
      </c>
      <c r="K3787">
        <v>3.8</v>
      </c>
      <c r="L3787" t="s">
        <v>143</v>
      </c>
      <c r="M3787" t="s">
        <v>143</v>
      </c>
      <c r="N3787">
        <v>6</v>
      </c>
      <c r="O3787" t="s">
        <v>29</v>
      </c>
      <c r="P3787" t="s">
        <v>79</v>
      </c>
    </row>
    <row r="3788" spans="1:16" ht="14.5" x14ac:dyDescent="0.35">
      <c r="A3788">
        <v>3787</v>
      </c>
      <c r="B3788">
        <v>31</v>
      </c>
      <c r="C3788" t="s">
        <v>144</v>
      </c>
      <c r="D3788" t="s">
        <v>128</v>
      </c>
      <c r="E3788" t="s">
        <v>37</v>
      </c>
      <c r="F3788">
        <v>47</v>
      </c>
      <c r="G3788" t="s">
        <v>113</v>
      </c>
      <c r="H3788" t="s">
        <v>20</v>
      </c>
      <c r="I3788" t="s">
        <v>125</v>
      </c>
      <c r="J3788" t="s">
        <v>50</v>
      </c>
      <c r="K3788">
        <v>3.6</v>
      </c>
      <c r="L3788" t="s">
        <v>143</v>
      </c>
      <c r="M3788" t="s">
        <v>143</v>
      </c>
      <c r="N3788">
        <v>22</v>
      </c>
      <c r="O3788" t="s">
        <v>24</v>
      </c>
      <c r="P3788" t="s">
        <v>35</v>
      </c>
    </row>
    <row r="3789" spans="1:16" ht="14.5" x14ac:dyDescent="0.35">
      <c r="A3789">
        <v>3788</v>
      </c>
      <c r="B3789">
        <v>37</v>
      </c>
      <c r="C3789" t="s">
        <v>144</v>
      </c>
      <c r="D3789" t="s">
        <v>17</v>
      </c>
      <c r="E3789" t="s">
        <v>18</v>
      </c>
      <c r="F3789">
        <v>80</v>
      </c>
      <c r="G3789" t="s">
        <v>75</v>
      </c>
      <c r="H3789" t="s">
        <v>39</v>
      </c>
      <c r="I3789" t="s">
        <v>62</v>
      </c>
      <c r="J3789" t="s">
        <v>50</v>
      </c>
      <c r="K3789">
        <v>3.6</v>
      </c>
      <c r="L3789" t="s">
        <v>143</v>
      </c>
      <c r="M3789" t="s">
        <v>143</v>
      </c>
      <c r="N3789">
        <v>46</v>
      </c>
      <c r="O3789" t="s">
        <v>40</v>
      </c>
      <c r="P3789" t="s">
        <v>88</v>
      </c>
    </row>
    <row r="3790" spans="1:16" ht="14.5" x14ac:dyDescent="0.35">
      <c r="A3790">
        <v>3789</v>
      </c>
      <c r="B3790">
        <v>43</v>
      </c>
      <c r="C3790" t="s">
        <v>144</v>
      </c>
      <c r="D3790" t="s">
        <v>115</v>
      </c>
      <c r="E3790" t="s">
        <v>60</v>
      </c>
      <c r="F3790">
        <v>65</v>
      </c>
      <c r="G3790" t="s">
        <v>102</v>
      </c>
      <c r="H3790" t="s">
        <v>83</v>
      </c>
      <c r="I3790" t="s">
        <v>76</v>
      </c>
      <c r="J3790" t="s">
        <v>33</v>
      </c>
      <c r="K3790">
        <v>3.2</v>
      </c>
      <c r="L3790" t="s">
        <v>143</v>
      </c>
      <c r="M3790" t="s">
        <v>143</v>
      </c>
      <c r="N3790">
        <v>27</v>
      </c>
      <c r="O3790" t="s">
        <v>77</v>
      </c>
      <c r="P3790" t="s">
        <v>79</v>
      </c>
    </row>
    <row r="3791" spans="1:16" ht="14.5" x14ac:dyDescent="0.35">
      <c r="A3791">
        <v>3790</v>
      </c>
      <c r="B3791">
        <v>56</v>
      </c>
      <c r="C3791" t="s">
        <v>144</v>
      </c>
      <c r="D3791" t="s">
        <v>48</v>
      </c>
      <c r="E3791" t="s">
        <v>18</v>
      </c>
      <c r="F3791">
        <v>75</v>
      </c>
      <c r="G3791" t="s">
        <v>105</v>
      </c>
      <c r="H3791" t="s">
        <v>39</v>
      </c>
      <c r="I3791" t="s">
        <v>127</v>
      </c>
      <c r="J3791" t="s">
        <v>47</v>
      </c>
      <c r="K3791">
        <v>3.8</v>
      </c>
      <c r="L3791" t="s">
        <v>143</v>
      </c>
      <c r="M3791" t="s">
        <v>143</v>
      </c>
      <c r="N3791">
        <v>18</v>
      </c>
      <c r="O3791" t="s">
        <v>66</v>
      </c>
      <c r="P3791" t="s">
        <v>88</v>
      </c>
    </row>
    <row r="3792" spans="1:16" ht="14.5" x14ac:dyDescent="0.35">
      <c r="A3792">
        <v>3791</v>
      </c>
      <c r="B3792">
        <v>27</v>
      </c>
      <c r="C3792" t="s">
        <v>144</v>
      </c>
      <c r="D3792" t="s">
        <v>59</v>
      </c>
      <c r="E3792" t="s">
        <v>60</v>
      </c>
      <c r="F3792">
        <v>45</v>
      </c>
      <c r="G3792" t="s">
        <v>111</v>
      </c>
      <c r="H3792" t="s">
        <v>83</v>
      </c>
      <c r="I3792" t="s">
        <v>109</v>
      </c>
      <c r="J3792" t="s">
        <v>47</v>
      </c>
      <c r="K3792">
        <v>4.4000000000000004</v>
      </c>
      <c r="L3792" t="s">
        <v>143</v>
      </c>
      <c r="M3792" t="s">
        <v>143</v>
      </c>
      <c r="N3792">
        <v>31</v>
      </c>
      <c r="O3792" t="s">
        <v>34</v>
      </c>
      <c r="P3792" t="s">
        <v>35</v>
      </c>
    </row>
    <row r="3793" spans="1:16" ht="14.5" x14ac:dyDescent="0.35">
      <c r="A3793">
        <v>3792</v>
      </c>
      <c r="B3793">
        <v>40</v>
      </c>
      <c r="C3793" t="s">
        <v>144</v>
      </c>
      <c r="D3793" t="s">
        <v>80</v>
      </c>
      <c r="E3793" t="s">
        <v>60</v>
      </c>
      <c r="F3793">
        <v>51</v>
      </c>
      <c r="G3793" t="s">
        <v>96</v>
      </c>
      <c r="H3793" t="s">
        <v>39</v>
      </c>
      <c r="I3793" t="s">
        <v>21</v>
      </c>
      <c r="J3793" t="s">
        <v>33</v>
      </c>
      <c r="K3793">
        <v>3.7</v>
      </c>
      <c r="L3793" t="s">
        <v>143</v>
      </c>
      <c r="M3793" t="s">
        <v>143</v>
      </c>
      <c r="N3793">
        <v>1</v>
      </c>
      <c r="O3793" t="s">
        <v>24</v>
      </c>
      <c r="P3793" t="s">
        <v>35</v>
      </c>
    </row>
    <row r="3794" spans="1:16" ht="14.5" x14ac:dyDescent="0.35">
      <c r="A3794">
        <v>3793</v>
      </c>
      <c r="B3794">
        <v>43</v>
      </c>
      <c r="C3794" t="s">
        <v>144</v>
      </c>
      <c r="D3794" t="s">
        <v>110</v>
      </c>
      <c r="E3794" t="s">
        <v>60</v>
      </c>
      <c r="F3794">
        <v>58</v>
      </c>
      <c r="G3794" t="s">
        <v>31</v>
      </c>
      <c r="H3794" t="s">
        <v>32</v>
      </c>
      <c r="I3794" t="s">
        <v>42</v>
      </c>
      <c r="J3794" t="s">
        <v>47</v>
      </c>
      <c r="K3794">
        <v>2.6</v>
      </c>
      <c r="L3794" t="s">
        <v>143</v>
      </c>
      <c r="M3794" t="s">
        <v>143</v>
      </c>
      <c r="N3794">
        <v>2</v>
      </c>
      <c r="O3794" t="s">
        <v>40</v>
      </c>
      <c r="P3794" t="s">
        <v>25</v>
      </c>
    </row>
    <row r="3795" spans="1:16" ht="14.5" x14ac:dyDescent="0.35">
      <c r="A3795">
        <v>3794</v>
      </c>
      <c r="B3795">
        <v>62</v>
      </c>
      <c r="C3795" t="s">
        <v>144</v>
      </c>
      <c r="D3795" t="s">
        <v>80</v>
      </c>
      <c r="E3795" t="s">
        <v>60</v>
      </c>
      <c r="F3795">
        <v>20</v>
      </c>
      <c r="G3795" t="s">
        <v>70</v>
      </c>
      <c r="H3795" t="s">
        <v>39</v>
      </c>
      <c r="I3795" t="s">
        <v>62</v>
      </c>
      <c r="J3795" t="s">
        <v>50</v>
      </c>
      <c r="K3795">
        <v>4</v>
      </c>
      <c r="L3795" t="s">
        <v>143</v>
      </c>
      <c r="M3795" t="s">
        <v>143</v>
      </c>
      <c r="N3795">
        <v>46</v>
      </c>
      <c r="O3795" t="s">
        <v>66</v>
      </c>
      <c r="P3795" t="s">
        <v>43</v>
      </c>
    </row>
    <row r="3796" spans="1:16" ht="14.5" x14ac:dyDescent="0.35">
      <c r="A3796">
        <v>3795</v>
      </c>
      <c r="B3796">
        <v>44</v>
      </c>
      <c r="C3796" t="s">
        <v>144</v>
      </c>
      <c r="D3796" t="s">
        <v>110</v>
      </c>
      <c r="E3796" t="s">
        <v>60</v>
      </c>
      <c r="F3796">
        <v>82</v>
      </c>
      <c r="G3796" t="s">
        <v>138</v>
      </c>
      <c r="H3796" t="s">
        <v>39</v>
      </c>
      <c r="I3796" t="s">
        <v>74</v>
      </c>
      <c r="J3796" t="s">
        <v>47</v>
      </c>
      <c r="K3796">
        <v>3.6</v>
      </c>
      <c r="L3796" t="s">
        <v>143</v>
      </c>
      <c r="M3796" t="s">
        <v>143</v>
      </c>
      <c r="N3796">
        <v>27</v>
      </c>
      <c r="O3796" t="s">
        <v>24</v>
      </c>
      <c r="P3796" t="s">
        <v>35</v>
      </c>
    </row>
    <row r="3797" spans="1:16" ht="14.5" x14ac:dyDescent="0.35">
      <c r="A3797">
        <v>3796</v>
      </c>
      <c r="B3797">
        <v>45</v>
      </c>
      <c r="C3797" t="s">
        <v>144</v>
      </c>
      <c r="D3797" t="s">
        <v>134</v>
      </c>
      <c r="E3797" t="s">
        <v>60</v>
      </c>
      <c r="F3797">
        <v>92</v>
      </c>
      <c r="G3797" t="s">
        <v>64</v>
      </c>
      <c r="H3797" t="s">
        <v>39</v>
      </c>
      <c r="I3797" t="s">
        <v>54</v>
      </c>
      <c r="J3797" t="s">
        <v>33</v>
      </c>
      <c r="K3797">
        <v>2.5</v>
      </c>
      <c r="L3797" t="s">
        <v>143</v>
      </c>
      <c r="M3797" t="s">
        <v>143</v>
      </c>
      <c r="N3797">
        <v>3</v>
      </c>
      <c r="O3797" t="s">
        <v>29</v>
      </c>
      <c r="P3797" t="s">
        <v>35</v>
      </c>
    </row>
    <row r="3798" spans="1:16" ht="14.5" x14ac:dyDescent="0.35">
      <c r="A3798">
        <v>3797</v>
      </c>
      <c r="B3798">
        <v>40</v>
      </c>
      <c r="C3798" t="s">
        <v>144</v>
      </c>
      <c r="D3798" t="s">
        <v>52</v>
      </c>
      <c r="E3798" t="s">
        <v>18</v>
      </c>
      <c r="F3798">
        <v>81</v>
      </c>
      <c r="G3798" t="s">
        <v>131</v>
      </c>
      <c r="H3798" t="s">
        <v>39</v>
      </c>
      <c r="I3798" t="s">
        <v>84</v>
      </c>
      <c r="J3798" t="s">
        <v>50</v>
      </c>
      <c r="K3798">
        <v>3.2</v>
      </c>
      <c r="L3798" t="s">
        <v>143</v>
      </c>
      <c r="M3798" t="s">
        <v>143</v>
      </c>
      <c r="N3798">
        <v>47</v>
      </c>
      <c r="O3798" t="s">
        <v>66</v>
      </c>
      <c r="P3798" t="s">
        <v>51</v>
      </c>
    </row>
    <row r="3799" spans="1:16" ht="14.5" x14ac:dyDescent="0.35">
      <c r="A3799">
        <v>3798</v>
      </c>
      <c r="B3799">
        <v>68</v>
      </c>
      <c r="C3799" t="s">
        <v>144</v>
      </c>
      <c r="D3799" t="s">
        <v>80</v>
      </c>
      <c r="E3799" t="s">
        <v>60</v>
      </c>
      <c r="F3799">
        <v>44</v>
      </c>
      <c r="G3799" t="s">
        <v>90</v>
      </c>
      <c r="H3799" t="s">
        <v>39</v>
      </c>
      <c r="I3799" t="s">
        <v>21</v>
      </c>
      <c r="J3799" t="s">
        <v>47</v>
      </c>
      <c r="K3799">
        <v>2.5</v>
      </c>
      <c r="L3799" t="s">
        <v>143</v>
      </c>
      <c r="M3799" t="s">
        <v>143</v>
      </c>
      <c r="N3799">
        <v>20</v>
      </c>
      <c r="O3799" t="s">
        <v>29</v>
      </c>
      <c r="P3799" t="s">
        <v>51</v>
      </c>
    </row>
    <row r="3800" spans="1:16" ht="14.5" x14ac:dyDescent="0.35">
      <c r="A3800">
        <v>3799</v>
      </c>
      <c r="B3800">
        <v>63</v>
      </c>
      <c r="C3800" t="s">
        <v>144</v>
      </c>
      <c r="D3800" t="s">
        <v>97</v>
      </c>
      <c r="E3800" t="s">
        <v>60</v>
      </c>
      <c r="F3800">
        <v>72</v>
      </c>
      <c r="G3800" t="s">
        <v>38</v>
      </c>
      <c r="H3800" t="s">
        <v>32</v>
      </c>
      <c r="I3800" t="s">
        <v>101</v>
      </c>
      <c r="J3800" t="s">
        <v>22</v>
      </c>
      <c r="K3800">
        <v>3.2</v>
      </c>
      <c r="L3800" t="s">
        <v>143</v>
      </c>
      <c r="M3800" t="s">
        <v>143</v>
      </c>
      <c r="N3800">
        <v>23</v>
      </c>
      <c r="O3800" t="s">
        <v>34</v>
      </c>
      <c r="P3800" t="s">
        <v>43</v>
      </c>
    </row>
    <row r="3801" spans="1:16" ht="14.5" x14ac:dyDescent="0.35">
      <c r="A3801">
        <v>3800</v>
      </c>
      <c r="B3801">
        <v>60</v>
      </c>
      <c r="C3801" t="s">
        <v>144</v>
      </c>
      <c r="D3801" t="s">
        <v>93</v>
      </c>
      <c r="E3801" t="s">
        <v>56</v>
      </c>
      <c r="F3801">
        <v>26</v>
      </c>
      <c r="G3801" t="s">
        <v>92</v>
      </c>
      <c r="H3801" t="s">
        <v>20</v>
      </c>
      <c r="I3801" t="s">
        <v>74</v>
      </c>
      <c r="J3801" t="s">
        <v>22</v>
      </c>
      <c r="K3801">
        <v>2.6</v>
      </c>
      <c r="L3801" t="s">
        <v>143</v>
      </c>
      <c r="M3801" t="s">
        <v>143</v>
      </c>
      <c r="N3801">
        <v>13</v>
      </c>
      <c r="O3801" t="s">
        <v>34</v>
      </c>
      <c r="P3801" t="s">
        <v>79</v>
      </c>
    </row>
    <row r="3802" spans="1:16" ht="14.5" x14ac:dyDescent="0.35">
      <c r="A3802">
        <v>3801</v>
      </c>
      <c r="B3802">
        <v>19</v>
      </c>
      <c r="C3802" t="s">
        <v>144</v>
      </c>
      <c r="D3802" t="s">
        <v>26</v>
      </c>
      <c r="E3802" t="s">
        <v>18</v>
      </c>
      <c r="F3802">
        <v>26</v>
      </c>
      <c r="G3802" t="s">
        <v>120</v>
      </c>
      <c r="H3802" t="s">
        <v>39</v>
      </c>
      <c r="I3802" t="s">
        <v>42</v>
      </c>
      <c r="J3802" t="s">
        <v>50</v>
      </c>
      <c r="K3802">
        <v>4.8</v>
      </c>
      <c r="L3802" t="s">
        <v>143</v>
      </c>
      <c r="M3802" t="s">
        <v>143</v>
      </c>
      <c r="N3802">
        <v>12</v>
      </c>
      <c r="O3802" t="s">
        <v>24</v>
      </c>
      <c r="P3802" t="s">
        <v>67</v>
      </c>
    </row>
    <row r="3803" spans="1:16" ht="14.5" x14ac:dyDescent="0.35">
      <c r="A3803">
        <v>3802</v>
      </c>
      <c r="B3803">
        <v>26</v>
      </c>
      <c r="C3803" t="s">
        <v>144</v>
      </c>
      <c r="D3803" t="s">
        <v>17</v>
      </c>
      <c r="E3803" t="s">
        <v>18</v>
      </c>
      <c r="F3803">
        <v>84</v>
      </c>
      <c r="G3803" t="s">
        <v>19</v>
      </c>
      <c r="H3803" t="s">
        <v>39</v>
      </c>
      <c r="I3803" t="s">
        <v>91</v>
      </c>
      <c r="J3803" t="s">
        <v>33</v>
      </c>
      <c r="K3803">
        <v>5</v>
      </c>
      <c r="L3803" t="s">
        <v>143</v>
      </c>
      <c r="M3803" t="s">
        <v>143</v>
      </c>
      <c r="N3803">
        <v>36</v>
      </c>
      <c r="O3803" t="s">
        <v>40</v>
      </c>
      <c r="P3803" t="s">
        <v>25</v>
      </c>
    </row>
    <row r="3804" spans="1:16" ht="14.5" x14ac:dyDescent="0.35">
      <c r="A3804">
        <v>3803</v>
      </c>
      <c r="B3804">
        <v>70</v>
      </c>
      <c r="C3804" t="s">
        <v>144</v>
      </c>
      <c r="D3804" t="s">
        <v>110</v>
      </c>
      <c r="E3804" t="s">
        <v>60</v>
      </c>
      <c r="F3804">
        <v>72</v>
      </c>
      <c r="G3804" t="s">
        <v>106</v>
      </c>
      <c r="H3804" t="s">
        <v>32</v>
      </c>
      <c r="I3804" t="s">
        <v>42</v>
      </c>
      <c r="J3804" t="s">
        <v>33</v>
      </c>
      <c r="K3804">
        <v>3.2</v>
      </c>
      <c r="L3804" t="s">
        <v>143</v>
      </c>
      <c r="M3804" t="s">
        <v>143</v>
      </c>
      <c r="N3804">
        <v>1</v>
      </c>
      <c r="O3804" t="s">
        <v>66</v>
      </c>
      <c r="P3804" t="s">
        <v>79</v>
      </c>
    </row>
    <row r="3805" spans="1:16" ht="14.5" x14ac:dyDescent="0.35">
      <c r="A3805">
        <v>3804</v>
      </c>
      <c r="B3805">
        <v>48</v>
      </c>
      <c r="C3805" t="s">
        <v>144</v>
      </c>
      <c r="D3805" t="s">
        <v>59</v>
      </c>
      <c r="E3805" t="s">
        <v>60</v>
      </c>
      <c r="F3805">
        <v>55</v>
      </c>
      <c r="G3805" t="s">
        <v>130</v>
      </c>
      <c r="H3805" t="s">
        <v>39</v>
      </c>
      <c r="I3805" t="s">
        <v>74</v>
      </c>
      <c r="J3805" t="s">
        <v>33</v>
      </c>
      <c r="K3805">
        <v>3.6</v>
      </c>
      <c r="L3805" t="s">
        <v>143</v>
      </c>
      <c r="M3805" t="s">
        <v>143</v>
      </c>
      <c r="N3805">
        <v>14</v>
      </c>
      <c r="O3805" t="s">
        <v>77</v>
      </c>
      <c r="P3805" t="s">
        <v>35</v>
      </c>
    </row>
    <row r="3806" spans="1:16" ht="14.5" x14ac:dyDescent="0.35">
      <c r="A3806">
        <v>3805</v>
      </c>
      <c r="B3806">
        <v>37</v>
      </c>
      <c r="C3806" t="s">
        <v>144</v>
      </c>
      <c r="D3806" t="s">
        <v>115</v>
      </c>
      <c r="E3806" t="s">
        <v>60</v>
      </c>
      <c r="F3806">
        <v>77</v>
      </c>
      <c r="G3806" t="s">
        <v>94</v>
      </c>
      <c r="H3806" t="s">
        <v>39</v>
      </c>
      <c r="I3806" t="s">
        <v>69</v>
      </c>
      <c r="J3806" t="s">
        <v>50</v>
      </c>
      <c r="K3806">
        <v>2.7</v>
      </c>
      <c r="L3806" t="s">
        <v>143</v>
      </c>
      <c r="M3806" t="s">
        <v>143</v>
      </c>
      <c r="N3806">
        <v>45</v>
      </c>
      <c r="O3806" t="s">
        <v>29</v>
      </c>
      <c r="P3806" t="s">
        <v>43</v>
      </c>
    </row>
    <row r="3807" spans="1:16" ht="14.5" x14ac:dyDescent="0.35">
      <c r="A3807">
        <v>3806</v>
      </c>
      <c r="B3807">
        <v>48</v>
      </c>
      <c r="C3807" t="s">
        <v>144</v>
      </c>
      <c r="D3807" t="s">
        <v>110</v>
      </c>
      <c r="E3807" t="s">
        <v>60</v>
      </c>
      <c r="F3807">
        <v>57</v>
      </c>
      <c r="G3807" t="s">
        <v>118</v>
      </c>
      <c r="H3807" t="s">
        <v>39</v>
      </c>
      <c r="I3807" t="s">
        <v>87</v>
      </c>
      <c r="J3807" t="s">
        <v>50</v>
      </c>
      <c r="K3807">
        <v>3.1</v>
      </c>
      <c r="L3807" t="s">
        <v>143</v>
      </c>
      <c r="M3807" t="s">
        <v>143</v>
      </c>
      <c r="N3807">
        <v>31</v>
      </c>
      <c r="O3807" t="s">
        <v>34</v>
      </c>
      <c r="P3807" t="s">
        <v>51</v>
      </c>
    </row>
    <row r="3808" spans="1:16" ht="14.5" x14ac:dyDescent="0.35">
      <c r="A3808">
        <v>3807</v>
      </c>
      <c r="B3808">
        <v>18</v>
      </c>
      <c r="C3808" t="s">
        <v>144</v>
      </c>
      <c r="D3808" t="s">
        <v>128</v>
      </c>
      <c r="E3808" t="s">
        <v>37</v>
      </c>
      <c r="F3808">
        <v>71</v>
      </c>
      <c r="G3808" t="s">
        <v>61</v>
      </c>
      <c r="H3808" t="s">
        <v>39</v>
      </c>
      <c r="I3808" t="s">
        <v>76</v>
      </c>
      <c r="J3808" t="s">
        <v>33</v>
      </c>
      <c r="K3808">
        <v>3</v>
      </c>
      <c r="L3808" t="s">
        <v>143</v>
      </c>
      <c r="M3808" t="s">
        <v>143</v>
      </c>
      <c r="N3808">
        <v>41</v>
      </c>
      <c r="O3808" t="s">
        <v>40</v>
      </c>
      <c r="P3808" t="s">
        <v>35</v>
      </c>
    </row>
    <row r="3809" spans="1:16" ht="14.5" x14ac:dyDescent="0.35">
      <c r="A3809">
        <v>3808</v>
      </c>
      <c r="B3809">
        <v>38</v>
      </c>
      <c r="C3809" t="s">
        <v>144</v>
      </c>
      <c r="D3809" t="s">
        <v>17</v>
      </c>
      <c r="E3809" t="s">
        <v>18</v>
      </c>
      <c r="F3809">
        <v>39</v>
      </c>
      <c r="G3809" t="s">
        <v>142</v>
      </c>
      <c r="H3809" t="s">
        <v>20</v>
      </c>
      <c r="I3809" t="s">
        <v>91</v>
      </c>
      <c r="J3809" t="s">
        <v>33</v>
      </c>
      <c r="K3809">
        <v>2.9</v>
      </c>
      <c r="L3809" t="s">
        <v>143</v>
      </c>
      <c r="M3809" t="s">
        <v>143</v>
      </c>
      <c r="N3809">
        <v>36</v>
      </c>
      <c r="O3809" t="s">
        <v>40</v>
      </c>
      <c r="P3809" t="s">
        <v>43</v>
      </c>
    </row>
    <row r="3810" spans="1:16" ht="14.5" x14ac:dyDescent="0.35">
      <c r="A3810">
        <v>3809</v>
      </c>
      <c r="B3810">
        <v>33</v>
      </c>
      <c r="C3810" t="s">
        <v>144</v>
      </c>
      <c r="D3810" t="s">
        <v>116</v>
      </c>
      <c r="E3810" t="s">
        <v>18</v>
      </c>
      <c r="F3810">
        <v>28</v>
      </c>
      <c r="G3810" t="s">
        <v>140</v>
      </c>
      <c r="H3810" t="s">
        <v>39</v>
      </c>
      <c r="I3810" t="s">
        <v>62</v>
      </c>
      <c r="J3810" t="s">
        <v>22</v>
      </c>
      <c r="K3810">
        <v>4.7</v>
      </c>
      <c r="L3810" t="s">
        <v>143</v>
      </c>
      <c r="M3810" t="s">
        <v>143</v>
      </c>
      <c r="N3810">
        <v>6</v>
      </c>
      <c r="O3810" t="s">
        <v>77</v>
      </c>
      <c r="P3810" t="s">
        <v>67</v>
      </c>
    </row>
    <row r="3811" spans="1:16" ht="14.5" x14ac:dyDescent="0.35">
      <c r="A3811">
        <v>3810</v>
      </c>
      <c r="B3811">
        <v>57</v>
      </c>
      <c r="C3811" t="s">
        <v>144</v>
      </c>
      <c r="D3811" t="s">
        <v>63</v>
      </c>
      <c r="E3811" t="s">
        <v>37</v>
      </c>
      <c r="F3811">
        <v>33</v>
      </c>
      <c r="G3811" t="s">
        <v>75</v>
      </c>
      <c r="H3811" t="s">
        <v>32</v>
      </c>
      <c r="I3811" t="s">
        <v>28</v>
      </c>
      <c r="J3811" t="s">
        <v>22</v>
      </c>
      <c r="K3811">
        <v>3.7</v>
      </c>
      <c r="L3811" t="s">
        <v>143</v>
      </c>
      <c r="M3811" t="s">
        <v>143</v>
      </c>
      <c r="N3811">
        <v>28</v>
      </c>
      <c r="O3811" t="s">
        <v>34</v>
      </c>
      <c r="P3811" t="s">
        <v>43</v>
      </c>
    </row>
    <row r="3812" spans="1:16" ht="14.5" x14ac:dyDescent="0.35">
      <c r="A3812">
        <v>3811</v>
      </c>
      <c r="B3812">
        <v>46</v>
      </c>
      <c r="C3812" t="s">
        <v>144</v>
      </c>
      <c r="D3812" t="s">
        <v>78</v>
      </c>
      <c r="E3812" t="s">
        <v>18</v>
      </c>
      <c r="F3812">
        <v>79</v>
      </c>
      <c r="G3812" t="s">
        <v>141</v>
      </c>
      <c r="H3812" t="s">
        <v>20</v>
      </c>
      <c r="I3812" t="s">
        <v>91</v>
      </c>
      <c r="J3812" t="s">
        <v>50</v>
      </c>
      <c r="K3812">
        <v>3.9</v>
      </c>
      <c r="L3812" t="s">
        <v>143</v>
      </c>
      <c r="M3812" t="s">
        <v>143</v>
      </c>
      <c r="N3812">
        <v>29</v>
      </c>
      <c r="O3812" t="s">
        <v>24</v>
      </c>
      <c r="P3812" t="s">
        <v>79</v>
      </c>
    </row>
    <row r="3813" spans="1:16" ht="14.5" x14ac:dyDescent="0.35">
      <c r="A3813">
        <v>3812</v>
      </c>
      <c r="B3813">
        <v>46</v>
      </c>
      <c r="C3813" t="s">
        <v>144</v>
      </c>
      <c r="D3813" t="s">
        <v>124</v>
      </c>
      <c r="E3813" t="s">
        <v>60</v>
      </c>
      <c r="F3813">
        <v>30</v>
      </c>
      <c r="G3813" t="s">
        <v>126</v>
      </c>
      <c r="H3813" t="s">
        <v>39</v>
      </c>
      <c r="I3813" t="s">
        <v>28</v>
      </c>
      <c r="J3813" t="s">
        <v>22</v>
      </c>
      <c r="K3813">
        <v>4</v>
      </c>
      <c r="L3813" t="s">
        <v>143</v>
      </c>
      <c r="M3813" t="s">
        <v>143</v>
      </c>
      <c r="N3813">
        <v>14</v>
      </c>
      <c r="O3813" t="s">
        <v>29</v>
      </c>
      <c r="P3813" t="s">
        <v>79</v>
      </c>
    </row>
    <row r="3814" spans="1:16" ht="14.5" x14ac:dyDescent="0.35">
      <c r="A3814">
        <v>3813</v>
      </c>
      <c r="B3814">
        <v>50</v>
      </c>
      <c r="C3814" t="s">
        <v>144</v>
      </c>
      <c r="D3814" t="s">
        <v>78</v>
      </c>
      <c r="E3814" t="s">
        <v>18</v>
      </c>
      <c r="F3814">
        <v>75</v>
      </c>
      <c r="G3814" t="s">
        <v>142</v>
      </c>
      <c r="H3814" t="s">
        <v>39</v>
      </c>
      <c r="I3814" t="s">
        <v>62</v>
      </c>
      <c r="J3814" t="s">
        <v>33</v>
      </c>
      <c r="K3814">
        <v>2.8</v>
      </c>
      <c r="L3814" t="s">
        <v>143</v>
      </c>
      <c r="M3814" t="s">
        <v>143</v>
      </c>
      <c r="N3814">
        <v>7</v>
      </c>
      <c r="O3814" t="s">
        <v>66</v>
      </c>
      <c r="P3814" t="s">
        <v>88</v>
      </c>
    </row>
    <row r="3815" spans="1:16" ht="14.5" x14ac:dyDescent="0.35">
      <c r="A3815">
        <v>3814</v>
      </c>
      <c r="B3815">
        <v>61</v>
      </c>
      <c r="C3815" t="s">
        <v>144</v>
      </c>
      <c r="D3815" t="s">
        <v>86</v>
      </c>
      <c r="E3815" t="s">
        <v>18</v>
      </c>
      <c r="F3815">
        <v>89</v>
      </c>
      <c r="G3815" t="s">
        <v>133</v>
      </c>
      <c r="H3815" t="s">
        <v>39</v>
      </c>
      <c r="I3815" t="s">
        <v>112</v>
      </c>
      <c r="J3815" t="s">
        <v>47</v>
      </c>
      <c r="K3815">
        <v>4.0999999999999996</v>
      </c>
      <c r="L3815" t="s">
        <v>143</v>
      </c>
      <c r="M3815" t="s">
        <v>143</v>
      </c>
      <c r="N3815">
        <v>31</v>
      </c>
      <c r="O3815" t="s">
        <v>24</v>
      </c>
      <c r="P3815" t="s">
        <v>67</v>
      </c>
    </row>
    <row r="3816" spans="1:16" ht="14.5" x14ac:dyDescent="0.35">
      <c r="A3816">
        <v>3815</v>
      </c>
      <c r="B3816">
        <v>45</v>
      </c>
      <c r="C3816" t="s">
        <v>144</v>
      </c>
      <c r="D3816" t="s">
        <v>72</v>
      </c>
      <c r="E3816" t="s">
        <v>18</v>
      </c>
      <c r="F3816">
        <v>95</v>
      </c>
      <c r="G3816" t="s">
        <v>142</v>
      </c>
      <c r="H3816" t="s">
        <v>39</v>
      </c>
      <c r="I3816" t="s">
        <v>112</v>
      </c>
      <c r="J3816" t="s">
        <v>22</v>
      </c>
      <c r="K3816">
        <v>4.2</v>
      </c>
      <c r="L3816" t="s">
        <v>143</v>
      </c>
      <c r="M3816" t="s">
        <v>143</v>
      </c>
      <c r="N3816">
        <v>26</v>
      </c>
      <c r="O3816" t="s">
        <v>66</v>
      </c>
      <c r="P3816" t="s">
        <v>88</v>
      </c>
    </row>
    <row r="3817" spans="1:16" ht="14.5" x14ac:dyDescent="0.35">
      <c r="A3817">
        <v>3816</v>
      </c>
      <c r="B3817">
        <v>32</v>
      </c>
      <c r="C3817" t="s">
        <v>144</v>
      </c>
      <c r="D3817" t="s">
        <v>115</v>
      </c>
      <c r="E3817" t="s">
        <v>60</v>
      </c>
      <c r="F3817">
        <v>44</v>
      </c>
      <c r="G3817" t="s">
        <v>27</v>
      </c>
      <c r="H3817" t="s">
        <v>39</v>
      </c>
      <c r="I3817" t="s">
        <v>101</v>
      </c>
      <c r="J3817" t="s">
        <v>50</v>
      </c>
      <c r="K3817">
        <v>4.3</v>
      </c>
      <c r="L3817" t="s">
        <v>143</v>
      </c>
      <c r="M3817" t="s">
        <v>143</v>
      </c>
      <c r="N3817">
        <v>12</v>
      </c>
      <c r="O3817" t="s">
        <v>24</v>
      </c>
      <c r="P3817" t="s">
        <v>25</v>
      </c>
    </row>
    <row r="3818" spans="1:16" ht="14.5" x14ac:dyDescent="0.35">
      <c r="A3818">
        <v>3817</v>
      </c>
      <c r="B3818">
        <v>29</v>
      </c>
      <c r="C3818" t="s">
        <v>144</v>
      </c>
      <c r="D3818" t="s">
        <v>55</v>
      </c>
      <c r="E3818" t="s">
        <v>56</v>
      </c>
      <c r="F3818">
        <v>86</v>
      </c>
      <c r="G3818" t="s">
        <v>119</v>
      </c>
      <c r="H3818" t="s">
        <v>32</v>
      </c>
      <c r="I3818" t="s">
        <v>58</v>
      </c>
      <c r="J3818" t="s">
        <v>47</v>
      </c>
      <c r="K3818">
        <v>4.3</v>
      </c>
      <c r="L3818" t="s">
        <v>143</v>
      </c>
      <c r="M3818" t="s">
        <v>143</v>
      </c>
      <c r="N3818">
        <v>45</v>
      </c>
      <c r="O3818" t="s">
        <v>34</v>
      </c>
      <c r="P3818" t="s">
        <v>25</v>
      </c>
    </row>
    <row r="3819" spans="1:16" ht="14.5" x14ac:dyDescent="0.35">
      <c r="A3819">
        <v>3818</v>
      </c>
      <c r="B3819">
        <v>66</v>
      </c>
      <c r="C3819" t="s">
        <v>144</v>
      </c>
      <c r="D3819" t="s">
        <v>110</v>
      </c>
      <c r="E3819" t="s">
        <v>60</v>
      </c>
      <c r="F3819">
        <v>91</v>
      </c>
      <c r="G3819" t="s">
        <v>61</v>
      </c>
      <c r="H3819" t="s">
        <v>39</v>
      </c>
      <c r="I3819" t="s">
        <v>127</v>
      </c>
      <c r="J3819" t="s">
        <v>50</v>
      </c>
      <c r="K3819">
        <v>2.6</v>
      </c>
      <c r="L3819" t="s">
        <v>143</v>
      </c>
      <c r="M3819" t="s">
        <v>143</v>
      </c>
      <c r="N3819">
        <v>40</v>
      </c>
      <c r="O3819" t="s">
        <v>40</v>
      </c>
      <c r="P3819" t="s">
        <v>43</v>
      </c>
    </row>
    <row r="3820" spans="1:16" ht="14.5" x14ac:dyDescent="0.35">
      <c r="A3820">
        <v>3819</v>
      </c>
      <c r="B3820">
        <v>70</v>
      </c>
      <c r="C3820" t="s">
        <v>144</v>
      </c>
      <c r="D3820" t="s">
        <v>44</v>
      </c>
      <c r="E3820" t="s">
        <v>37</v>
      </c>
      <c r="F3820">
        <v>41</v>
      </c>
      <c r="G3820" t="s">
        <v>41</v>
      </c>
      <c r="H3820" t="s">
        <v>83</v>
      </c>
      <c r="I3820" t="s">
        <v>117</v>
      </c>
      <c r="J3820" t="s">
        <v>22</v>
      </c>
      <c r="K3820">
        <v>3.8</v>
      </c>
      <c r="L3820" t="s">
        <v>143</v>
      </c>
      <c r="M3820" t="s">
        <v>143</v>
      </c>
      <c r="N3820">
        <v>42</v>
      </c>
      <c r="O3820" t="s">
        <v>29</v>
      </c>
      <c r="P3820" t="s">
        <v>79</v>
      </c>
    </row>
    <row r="3821" spans="1:16" ht="14.5" x14ac:dyDescent="0.35">
      <c r="A3821">
        <v>3820</v>
      </c>
      <c r="B3821">
        <v>36</v>
      </c>
      <c r="C3821" t="s">
        <v>144</v>
      </c>
      <c r="D3821" t="s">
        <v>86</v>
      </c>
      <c r="E3821" t="s">
        <v>18</v>
      </c>
      <c r="F3821">
        <v>99</v>
      </c>
      <c r="G3821" t="s">
        <v>64</v>
      </c>
      <c r="H3821" t="s">
        <v>32</v>
      </c>
      <c r="I3821" t="s">
        <v>71</v>
      </c>
      <c r="J3821" t="s">
        <v>33</v>
      </c>
      <c r="K3821">
        <v>2.9</v>
      </c>
      <c r="L3821" t="s">
        <v>143</v>
      </c>
      <c r="M3821" t="s">
        <v>143</v>
      </c>
      <c r="N3821">
        <v>45</v>
      </c>
      <c r="O3821" t="s">
        <v>29</v>
      </c>
      <c r="P3821" t="s">
        <v>51</v>
      </c>
    </row>
    <row r="3822" spans="1:16" ht="14.5" x14ac:dyDescent="0.35">
      <c r="A3822">
        <v>3821</v>
      </c>
      <c r="B3822">
        <v>34</v>
      </c>
      <c r="C3822" t="s">
        <v>144</v>
      </c>
      <c r="D3822" t="s">
        <v>124</v>
      </c>
      <c r="E3822" t="s">
        <v>60</v>
      </c>
      <c r="F3822">
        <v>65</v>
      </c>
      <c r="G3822" t="s">
        <v>73</v>
      </c>
      <c r="H3822" t="s">
        <v>39</v>
      </c>
      <c r="I3822" t="s">
        <v>65</v>
      </c>
      <c r="J3822" t="s">
        <v>22</v>
      </c>
      <c r="K3822">
        <v>5</v>
      </c>
      <c r="L3822" t="s">
        <v>143</v>
      </c>
      <c r="M3822" t="s">
        <v>143</v>
      </c>
      <c r="N3822">
        <v>34</v>
      </c>
      <c r="O3822" t="s">
        <v>77</v>
      </c>
      <c r="P3822" t="s">
        <v>51</v>
      </c>
    </row>
    <row r="3823" spans="1:16" ht="14.5" x14ac:dyDescent="0.35">
      <c r="A3823">
        <v>3822</v>
      </c>
      <c r="B3823">
        <v>20</v>
      </c>
      <c r="C3823" t="s">
        <v>144</v>
      </c>
      <c r="D3823" t="s">
        <v>44</v>
      </c>
      <c r="E3823" t="s">
        <v>37</v>
      </c>
      <c r="F3823">
        <v>48</v>
      </c>
      <c r="G3823" t="s">
        <v>41</v>
      </c>
      <c r="H3823" t="s">
        <v>39</v>
      </c>
      <c r="I3823" t="s">
        <v>71</v>
      </c>
      <c r="J3823" t="s">
        <v>47</v>
      </c>
      <c r="K3823">
        <v>4.5999999999999996</v>
      </c>
      <c r="L3823" t="s">
        <v>143</v>
      </c>
      <c r="M3823" t="s">
        <v>143</v>
      </c>
      <c r="N3823">
        <v>34</v>
      </c>
      <c r="O3823" t="s">
        <v>34</v>
      </c>
      <c r="P3823" t="s">
        <v>88</v>
      </c>
    </row>
    <row r="3824" spans="1:16" ht="14.5" x14ac:dyDescent="0.35">
      <c r="A3824">
        <v>3823</v>
      </c>
      <c r="B3824">
        <v>70</v>
      </c>
      <c r="C3824" t="s">
        <v>144</v>
      </c>
      <c r="D3824" t="s">
        <v>115</v>
      </c>
      <c r="E3824" t="s">
        <v>60</v>
      </c>
      <c r="F3824">
        <v>41</v>
      </c>
      <c r="G3824" t="s">
        <v>102</v>
      </c>
      <c r="H3824" t="s">
        <v>32</v>
      </c>
      <c r="I3824" t="s">
        <v>71</v>
      </c>
      <c r="J3824" t="s">
        <v>33</v>
      </c>
      <c r="K3824">
        <v>3.2</v>
      </c>
      <c r="L3824" t="s">
        <v>143</v>
      </c>
      <c r="M3824" t="s">
        <v>143</v>
      </c>
      <c r="N3824">
        <v>17</v>
      </c>
      <c r="O3824" t="s">
        <v>40</v>
      </c>
      <c r="P3824" t="s">
        <v>88</v>
      </c>
    </row>
    <row r="3825" spans="1:16" ht="14.5" x14ac:dyDescent="0.35">
      <c r="A3825">
        <v>3824</v>
      </c>
      <c r="B3825">
        <v>50</v>
      </c>
      <c r="C3825" t="s">
        <v>144</v>
      </c>
      <c r="D3825" t="s">
        <v>48</v>
      </c>
      <c r="E3825" t="s">
        <v>18</v>
      </c>
      <c r="F3825">
        <v>42</v>
      </c>
      <c r="G3825" t="s">
        <v>90</v>
      </c>
      <c r="H3825" t="s">
        <v>39</v>
      </c>
      <c r="I3825" t="s">
        <v>71</v>
      </c>
      <c r="J3825" t="s">
        <v>47</v>
      </c>
      <c r="K3825">
        <v>3</v>
      </c>
      <c r="L3825" t="s">
        <v>143</v>
      </c>
      <c r="M3825" t="s">
        <v>143</v>
      </c>
      <c r="N3825">
        <v>27</v>
      </c>
      <c r="O3825" t="s">
        <v>66</v>
      </c>
      <c r="P3825" t="s">
        <v>35</v>
      </c>
    </row>
    <row r="3826" spans="1:16" ht="14.5" x14ac:dyDescent="0.35">
      <c r="A3826">
        <v>3825</v>
      </c>
      <c r="B3826">
        <v>54</v>
      </c>
      <c r="C3826" t="s">
        <v>144</v>
      </c>
      <c r="D3826" t="s">
        <v>52</v>
      </c>
      <c r="E3826" t="s">
        <v>18</v>
      </c>
      <c r="F3826">
        <v>26</v>
      </c>
      <c r="G3826" t="s">
        <v>133</v>
      </c>
      <c r="H3826" t="s">
        <v>39</v>
      </c>
      <c r="I3826" t="s">
        <v>69</v>
      </c>
      <c r="J3826" t="s">
        <v>47</v>
      </c>
      <c r="K3826">
        <v>4</v>
      </c>
      <c r="L3826" t="s">
        <v>143</v>
      </c>
      <c r="M3826" t="s">
        <v>143</v>
      </c>
      <c r="N3826">
        <v>31</v>
      </c>
      <c r="O3826" t="s">
        <v>34</v>
      </c>
      <c r="P3826" t="s">
        <v>51</v>
      </c>
    </row>
    <row r="3827" spans="1:16" ht="14.5" x14ac:dyDescent="0.35">
      <c r="A3827">
        <v>3826</v>
      </c>
      <c r="B3827">
        <v>49</v>
      </c>
      <c r="C3827" t="s">
        <v>144</v>
      </c>
      <c r="D3827" t="s">
        <v>52</v>
      </c>
      <c r="E3827" t="s">
        <v>18</v>
      </c>
      <c r="F3827">
        <v>35</v>
      </c>
      <c r="G3827" t="s">
        <v>68</v>
      </c>
      <c r="H3827" t="s">
        <v>20</v>
      </c>
      <c r="I3827" t="s">
        <v>87</v>
      </c>
      <c r="J3827" t="s">
        <v>50</v>
      </c>
      <c r="K3827">
        <v>4.0999999999999996</v>
      </c>
      <c r="L3827" t="s">
        <v>143</v>
      </c>
      <c r="M3827" t="s">
        <v>143</v>
      </c>
      <c r="N3827">
        <v>47</v>
      </c>
      <c r="O3827" t="s">
        <v>77</v>
      </c>
      <c r="P3827" t="s">
        <v>25</v>
      </c>
    </row>
    <row r="3828" spans="1:16" ht="14.5" x14ac:dyDescent="0.35">
      <c r="A3828">
        <v>3827</v>
      </c>
      <c r="B3828">
        <v>50</v>
      </c>
      <c r="C3828" t="s">
        <v>144</v>
      </c>
      <c r="D3828" t="s">
        <v>93</v>
      </c>
      <c r="E3828" t="s">
        <v>56</v>
      </c>
      <c r="F3828">
        <v>31</v>
      </c>
      <c r="G3828" t="s">
        <v>49</v>
      </c>
      <c r="H3828" t="s">
        <v>39</v>
      </c>
      <c r="I3828" t="s">
        <v>21</v>
      </c>
      <c r="J3828" t="s">
        <v>47</v>
      </c>
      <c r="K3828">
        <v>4</v>
      </c>
      <c r="L3828" t="s">
        <v>143</v>
      </c>
      <c r="M3828" t="s">
        <v>143</v>
      </c>
      <c r="N3828">
        <v>25</v>
      </c>
      <c r="O3828" t="s">
        <v>66</v>
      </c>
      <c r="P3828" t="s">
        <v>43</v>
      </c>
    </row>
    <row r="3829" spans="1:16" ht="14.5" x14ac:dyDescent="0.35">
      <c r="A3829">
        <v>3828</v>
      </c>
      <c r="B3829">
        <v>62</v>
      </c>
      <c r="C3829" t="s">
        <v>144</v>
      </c>
      <c r="D3829" t="s">
        <v>97</v>
      </c>
      <c r="E3829" t="s">
        <v>60</v>
      </c>
      <c r="F3829">
        <v>73</v>
      </c>
      <c r="G3829" t="s">
        <v>49</v>
      </c>
      <c r="H3829" t="s">
        <v>39</v>
      </c>
      <c r="I3829" t="s">
        <v>99</v>
      </c>
      <c r="J3829" t="s">
        <v>47</v>
      </c>
      <c r="K3829">
        <v>4.0999999999999996</v>
      </c>
      <c r="L3829" t="s">
        <v>143</v>
      </c>
      <c r="M3829" t="s">
        <v>143</v>
      </c>
      <c r="N3829">
        <v>47</v>
      </c>
      <c r="O3829" t="s">
        <v>29</v>
      </c>
      <c r="P3829" t="s">
        <v>25</v>
      </c>
    </row>
    <row r="3830" spans="1:16" ht="14.5" x14ac:dyDescent="0.35">
      <c r="A3830">
        <v>3829</v>
      </c>
      <c r="B3830">
        <v>42</v>
      </c>
      <c r="C3830" t="s">
        <v>144</v>
      </c>
      <c r="D3830" t="s">
        <v>17</v>
      </c>
      <c r="E3830" t="s">
        <v>18</v>
      </c>
      <c r="F3830">
        <v>82</v>
      </c>
      <c r="G3830" t="s">
        <v>82</v>
      </c>
      <c r="H3830" t="s">
        <v>39</v>
      </c>
      <c r="I3830" t="s">
        <v>54</v>
      </c>
      <c r="J3830" t="s">
        <v>33</v>
      </c>
      <c r="K3830">
        <v>3.4</v>
      </c>
      <c r="L3830" t="s">
        <v>143</v>
      </c>
      <c r="M3830" t="s">
        <v>143</v>
      </c>
      <c r="N3830">
        <v>8</v>
      </c>
      <c r="O3830" t="s">
        <v>29</v>
      </c>
      <c r="P3830" t="s">
        <v>35</v>
      </c>
    </row>
    <row r="3831" spans="1:16" ht="14.5" x14ac:dyDescent="0.35">
      <c r="A3831">
        <v>3830</v>
      </c>
      <c r="B3831">
        <v>69</v>
      </c>
      <c r="C3831" t="s">
        <v>144</v>
      </c>
      <c r="D3831" t="s">
        <v>86</v>
      </c>
      <c r="E3831" t="s">
        <v>18</v>
      </c>
      <c r="F3831">
        <v>32</v>
      </c>
      <c r="G3831" t="s">
        <v>140</v>
      </c>
      <c r="H3831" t="s">
        <v>39</v>
      </c>
      <c r="I3831" t="s">
        <v>117</v>
      </c>
      <c r="J3831" t="s">
        <v>33</v>
      </c>
      <c r="K3831">
        <v>2.9</v>
      </c>
      <c r="L3831" t="s">
        <v>143</v>
      </c>
      <c r="M3831" t="s">
        <v>143</v>
      </c>
      <c r="N3831">
        <v>32</v>
      </c>
      <c r="O3831" t="s">
        <v>77</v>
      </c>
      <c r="P3831" t="s">
        <v>25</v>
      </c>
    </row>
    <row r="3832" spans="1:16" ht="14.5" x14ac:dyDescent="0.35">
      <c r="A3832">
        <v>3831</v>
      </c>
      <c r="B3832">
        <v>22</v>
      </c>
      <c r="C3832" t="s">
        <v>144</v>
      </c>
      <c r="D3832" t="s">
        <v>115</v>
      </c>
      <c r="E3832" t="s">
        <v>60</v>
      </c>
      <c r="F3832">
        <v>27</v>
      </c>
      <c r="G3832" t="s">
        <v>129</v>
      </c>
      <c r="H3832" t="s">
        <v>39</v>
      </c>
      <c r="I3832" t="s">
        <v>117</v>
      </c>
      <c r="J3832" t="s">
        <v>47</v>
      </c>
      <c r="K3832">
        <v>3</v>
      </c>
      <c r="L3832" t="s">
        <v>143</v>
      </c>
      <c r="M3832" t="s">
        <v>143</v>
      </c>
      <c r="N3832">
        <v>33</v>
      </c>
      <c r="O3832" t="s">
        <v>66</v>
      </c>
      <c r="P3832" t="s">
        <v>88</v>
      </c>
    </row>
    <row r="3833" spans="1:16" ht="14.5" x14ac:dyDescent="0.35">
      <c r="A3833">
        <v>3832</v>
      </c>
      <c r="B3833">
        <v>36</v>
      </c>
      <c r="C3833" t="s">
        <v>144</v>
      </c>
      <c r="D3833" t="s">
        <v>123</v>
      </c>
      <c r="E3833" t="s">
        <v>60</v>
      </c>
      <c r="F3833">
        <v>86</v>
      </c>
      <c r="G3833" t="s">
        <v>98</v>
      </c>
      <c r="H3833" t="s">
        <v>20</v>
      </c>
      <c r="I3833" t="s">
        <v>58</v>
      </c>
      <c r="J3833" t="s">
        <v>33</v>
      </c>
      <c r="K3833">
        <v>4</v>
      </c>
      <c r="L3833" t="s">
        <v>143</v>
      </c>
      <c r="M3833" t="s">
        <v>143</v>
      </c>
      <c r="N3833">
        <v>16</v>
      </c>
      <c r="O3833" t="s">
        <v>77</v>
      </c>
      <c r="P3833" t="s">
        <v>88</v>
      </c>
    </row>
    <row r="3834" spans="1:16" ht="14.5" x14ac:dyDescent="0.35">
      <c r="A3834">
        <v>3833</v>
      </c>
      <c r="B3834">
        <v>64</v>
      </c>
      <c r="C3834" t="s">
        <v>144</v>
      </c>
      <c r="D3834" t="s">
        <v>128</v>
      </c>
      <c r="E3834" t="s">
        <v>37</v>
      </c>
      <c r="F3834">
        <v>38</v>
      </c>
      <c r="G3834" t="s">
        <v>102</v>
      </c>
      <c r="H3834" t="s">
        <v>83</v>
      </c>
      <c r="I3834" t="s">
        <v>65</v>
      </c>
      <c r="J3834" t="s">
        <v>22</v>
      </c>
      <c r="K3834">
        <v>4.8</v>
      </c>
      <c r="L3834" t="s">
        <v>143</v>
      </c>
      <c r="M3834" t="s">
        <v>143</v>
      </c>
      <c r="N3834">
        <v>27</v>
      </c>
      <c r="O3834" t="s">
        <v>29</v>
      </c>
      <c r="P3834" t="s">
        <v>35</v>
      </c>
    </row>
    <row r="3835" spans="1:16" ht="14.5" x14ac:dyDescent="0.35">
      <c r="A3835">
        <v>3834</v>
      </c>
      <c r="B3835">
        <v>44</v>
      </c>
      <c r="C3835" t="s">
        <v>144</v>
      </c>
      <c r="D3835" t="s">
        <v>93</v>
      </c>
      <c r="E3835" t="s">
        <v>56</v>
      </c>
      <c r="F3835">
        <v>93</v>
      </c>
      <c r="G3835" t="s">
        <v>108</v>
      </c>
      <c r="H3835" t="s">
        <v>20</v>
      </c>
      <c r="I3835" t="s">
        <v>21</v>
      </c>
      <c r="J3835" t="s">
        <v>47</v>
      </c>
      <c r="K3835">
        <v>4.5999999999999996</v>
      </c>
      <c r="L3835" t="s">
        <v>143</v>
      </c>
      <c r="M3835" t="s">
        <v>143</v>
      </c>
      <c r="N3835">
        <v>17</v>
      </c>
      <c r="O3835" t="s">
        <v>40</v>
      </c>
      <c r="P3835" t="s">
        <v>88</v>
      </c>
    </row>
    <row r="3836" spans="1:16" ht="14.5" x14ac:dyDescent="0.35">
      <c r="A3836">
        <v>3835</v>
      </c>
      <c r="B3836">
        <v>43</v>
      </c>
      <c r="C3836" t="s">
        <v>144</v>
      </c>
      <c r="D3836" t="s">
        <v>95</v>
      </c>
      <c r="E3836" t="s">
        <v>18</v>
      </c>
      <c r="F3836">
        <v>59</v>
      </c>
      <c r="G3836" t="s">
        <v>113</v>
      </c>
      <c r="H3836" t="s">
        <v>39</v>
      </c>
      <c r="I3836" t="s">
        <v>127</v>
      </c>
      <c r="J3836" t="s">
        <v>22</v>
      </c>
      <c r="K3836">
        <v>4.0999999999999996</v>
      </c>
      <c r="L3836" t="s">
        <v>143</v>
      </c>
      <c r="M3836" t="s">
        <v>143</v>
      </c>
      <c r="N3836">
        <v>17</v>
      </c>
      <c r="O3836" t="s">
        <v>29</v>
      </c>
      <c r="P3836" t="s">
        <v>51</v>
      </c>
    </row>
    <row r="3837" spans="1:16" ht="14.5" x14ac:dyDescent="0.35">
      <c r="A3837">
        <v>3836</v>
      </c>
      <c r="B3837">
        <v>58</v>
      </c>
      <c r="C3837" t="s">
        <v>144</v>
      </c>
      <c r="D3837" t="s">
        <v>36</v>
      </c>
      <c r="E3837" t="s">
        <v>37</v>
      </c>
      <c r="F3837">
        <v>58</v>
      </c>
      <c r="G3837" t="s">
        <v>129</v>
      </c>
      <c r="H3837" t="s">
        <v>20</v>
      </c>
      <c r="I3837" t="s">
        <v>58</v>
      </c>
      <c r="J3837" t="s">
        <v>22</v>
      </c>
      <c r="K3837">
        <v>2.6</v>
      </c>
      <c r="L3837" t="s">
        <v>143</v>
      </c>
      <c r="M3837" t="s">
        <v>143</v>
      </c>
      <c r="N3837">
        <v>28</v>
      </c>
      <c r="O3837" t="s">
        <v>40</v>
      </c>
      <c r="P3837" t="s">
        <v>67</v>
      </c>
    </row>
    <row r="3838" spans="1:16" ht="14.5" x14ac:dyDescent="0.35">
      <c r="A3838">
        <v>3837</v>
      </c>
      <c r="B3838">
        <v>62</v>
      </c>
      <c r="C3838" t="s">
        <v>144</v>
      </c>
      <c r="D3838" t="s">
        <v>78</v>
      </c>
      <c r="E3838" t="s">
        <v>18</v>
      </c>
      <c r="F3838">
        <v>84</v>
      </c>
      <c r="G3838" t="s">
        <v>111</v>
      </c>
      <c r="H3838" t="s">
        <v>39</v>
      </c>
      <c r="I3838" t="s">
        <v>74</v>
      </c>
      <c r="J3838" t="s">
        <v>33</v>
      </c>
      <c r="K3838">
        <v>2.5</v>
      </c>
      <c r="L3838" t="s">
        <v>143</v>
      </c>
      <c r="M3838" t="s">
        <v>143</v>
      </c>
      <c r="N3838">
        <v>38</v>
      </c>
      <c r="O3838" t="s">
        <v>40</v>
      </c>
      <c r="P3838" t="s">
        <v>25</v>
      </c>
    </row>
    <row r="3839" spans="1:16" ht="14.5" x14ac:dyDescent="0.35">
      <c r="A3839">
        <v>3838</v>
      </c>
      <c r="B3839">
        <v>45</v>
      </c>
      <c r="C3839" t="s">
        <v>144</v>
      </c>
      <c r="D3839" t="s">
        <v>95</v>
      </c>
      <c r="E3839" t="s">
        <v>18</v>
      </c>
      <c r="F3839">
        <v>100</v>
      </c>
      <c r="G3839" t="s">
        <v>121</v>
      </c>
      <c r="H3839" t="s">
        <v>39</v>
      </c>
      <c r="I3839" t="s">
        <v>87</v>
      </c>
      <c r="J3839" t="s">
        <v>33</v>
      </c>
      <c r="K3839">
        <v>4.8</v>
      </c>
      <c r="L3839" t="s">
        <v>143</v>
      </c>
      <c r="M3839" t="s">
        <v>143</v>
      </c>
      <c r="N3839">
        <v>33</v>
      </c>
      <c r="O3839" t="s">
        <v>66</v>
      </c>
      <c r="P3839" t="s">
        <v>25</v>
      </c>
    </row>
    <row r="3840" spans="1:16" ht="14.5" x14ac:dyDescent="0.35">
      <c r="A3840">
        <v>3839</v>
      </c>
      <c r="B3840">
        <v>47</v>
      </c>
      <c r="C3840" t="s">
        <v>144</v>
      </c>
      <c r="D3840" t="s">
        <v>72</v>
      </c>
      <c r="E3840" t="s">
        <v>18</v>
      </c>
      <c r="F3840">
        <v>25</v>
      </c>
      <c r="G3840" t="s">
        <v>38</v>
      </c>
      <c r="H3840" t="s">
        <v>20</v>
      </c>
      <c r="I3840" t="s">
        <v>87</v>
      </c>
      <c r="J3840" t="s">
        <v>47</v>
      </c>
      <c r="K3840">
        <v>4.2</v>
      </c>
      <c r="L3840" t="s">
        <v>143</v>
      </c>
      <c r="M3840" t="s">
        <v>143</v>
      </c>
      <c r="N3840">
        <v>24</v>
      </c>
      <c r="O3840" t="s">
        <v>24</v>
      </c>
      <c r="P3840" t="s">
        <v>88</v>
      </c>
    </row>
    <row r="3841" spans="1:16" ht="14.5" x14ac:dyDescent="0.35">
      <c r="A3841">
        <v>3840</v>
      </c>
      <c r="B3841">
        <v>66</v>
      </c>
      <c r="C3841" t="s">
        <v>144</v>
      </c>
      <c r="D3841" t="s">
        <v>36</v>
      </c>
      <c r="E3841" t="s">
        <v>37</v>
      </c>
      <c r="F3841">
        <v>29</v>
      </c>
      <c r="G3841" t="s">
        <v>130</v>
      </c>
      <c r="H3841" t="s">
        <v>39</v>
      </c>
      <c r="I3841" t="s">
        <v>91</v>
      </c>
      <c r="J3841" t="s">
        <v>33</v>
      </c>
      <c r="K3841">
        <v>3.9</v>
      </c>
      <c r="L3841" t="s">
        <v>143</v>
      </c>
      <c r="M3841" t="s">
        <v>143</v>
      </c>
      <c r="N3841">
        <v>14</v>
      </c>
      <c r="O3841" t="s">
        <v>24</v>
      </c>
      <c r="P3841" t="s">
        <v>51</v>
      </c>
    </row>
    <row r="3842" spans="1:16" ht="14.5" x14ac:dyDescent="0.35">
      <c r="A3842">
        <v>3841</v>
      </c>
      <c r="B3842">
        <v>30</v>
      </c>
      <c r="C3842" t="s">
        <v>144</v>
      </c>
      <c r="D3842" t="s">
        <v>30</v>
      </c>
      <c r="E3842" t="s">
        <v>18</v>
      </c>
      <c r="F3842">
        <v>42</v>
      </c>
      <c r="G3842" t="s">
        <v>126</v>
      </c>
      <c r="H3842" t="s">
        <v>39</v>
      </c>
      <c r="I3842" t="s">
        <v>42</v>
      </c>
      <c r="J3842" t="s">
        <v>33</v>
      </c>
      <c r="K3842">
        <v>3.7</v>
      </c>
      <c r="L3842" t="s">
        <v>143</v>
      </c>
      <c r="M3842" t="s">
        <v>143</v>
      </c>
      <c r="N3842">
        <v>5</v>
      </c>
      <c r="O3842" t="s">
        <v>24</v>
      </c>
      <c r="P3842" t="s">
        <v>25</v>
      </c>
    </row>
    <row r="3843" spans="1:16" ht="14.5" x14ac:dyDescent="0.35">
      <c r="A3843">
        <v>3842</v>
      </c>
      <c r="B3843">
        <v>68</v>
      </c>
      <c r="C3843" t="s">
        <v>144</v>
      </c>
      <c r="D3843" t="s">
        <v>30</v>
      </c>
      <c r="E3843" t="s">
        <v>18</v>
      </c>
      <c r="F3843">
        <v>57</v>
      </c>
      <c r="G3843" t="s">
        <v>82</v>
      </c>
      <c r="H3843" t="s">
        <v>20</v>
      </c>
      <c r="I3843" t="s">
        <v>62</v>
      </c>
      <c r="J3843" t="s">
        <v>50</v>
      </c>
      <c r="K3843">
        <v>4.2</v>
      </c>
      <c r="L3843" t="s">
        <v>143</v>
      </c>
      <c r="M3843" t="s">
        <v>143</v>
      </c>
      <c r="N3843">
        <v>8</v>
      </c>
      <c r="O3843" t="s">
        <v>66</v>
      </c>
      <c r="P3843" t="s">
        <v>79</v>
      </c>
    </row>
    <row r="3844" spans="1:16" ht="14.5" x14ac:dyDescent="0.35">
      <c r="A3844">
        <v>3843</v>
      </c>
      <c r="B3844">
        <v>35</v>
      </c>
      <c r="C3844" t="s">
        <v>144</v>
      </c>
      <c r="D3844" t="s">
        <v>93</v>
      </c>
      <c r="E3844" t="s">
        <v>56</v>
      </c>
      <c r="F3844">
        <v>84</v>
      </c>
      <c r="G3844" t="s">
        <v>103</v>
      </c>
      <c r="H3844" t="s">
        <v>20</v>
      </c>
      <c r="I3844" t="s">
        <v>84</v>
      </c>
      <c r="J3844" t="s">
        <v>22</v>
      </c>
      <c r="K3844">
        <v>4.2</v>
      </c>
      <c r="L3844" t="s">
        <v>143</v>
      </c>
      <c r="M3844" t="s">
        <v>143</v>
      </c>
      <c r="N3844">
        <v>42</v>
      </c>
      <c r="O3844" t="s">
        <v>77</v>
      </c>
      <c r="P3844" t="s">
        <v>79</v>
      </c>
    </row>
    <row r="3845" spans="1:16" ht="14.5" x14ac:dyDescent="0.35">
      <c r="A3845">
        <v>3844</v>
      </c>
      <c r="B3845">
        <v>64</v>
      </c>
      <c r="C3845" t="s">
        <v>144</v>
      </c>
      <c r="D3845" t="s">
        <v>115</v>
      </c>
      <c r="E3845" t="s">
        <v>60</v>
      </c>
      <c r="F3845">
        <v>71</v>
      </c>
      <c r="G3845" t="s">
        <v>133</v>
      </c>
      <c r="H3845" t="s">
        <v>20</v>
      </c>
      <c r="I3845" t="s">
        <v>58</v>
      </c>
      <c r="J3845" t="s">
        <v>22</v>
      </c>
      <c r="K3845">
        <v>4</v>
      </c>
      <c r="L3845" t="s">
        <v>143</v>
      </c>
      <c r="M3845" t="s">
        <v>143</v>
      </c>
      <c r="N3845">
        <v>48</v>
      </c>
      <c r="O3845" t="s">
        <v>24</v>
      </c>
      <c r="P3845" t="s">
        <v>88</v>
      </c>
    </row>
    <row r="3846" spans="1:16" ht="14.5" x14ac:dyDescent="0.35">
      <c r="A3846">
        <v>3845</v>
      </c>
      <c r="B3846">
        <v>30</v>
      </c>
      <c r="C3846" t="s">
        <v>144</v>
      </c>
      <c r="D3846" t="s">
        <v>52</v>
      </c>
      <c r="E3846" t="s">
        <v>18</v>
      </c>
      <c r="F3846">
        <v>87</v>
      </c>
      <c r="G3846" t="s">
        <v>49</v>
      </c>
      <c r="H3846" t="s">
        <v>32</v>
      </c>
      <c r="I3846" t="s">
        <v>100</v>
      </c>
      <c r="J3846" t="s">
        <v>50</v>
      </c>
      <c r="K3846">
        <v>5</v>
      </c>
      <c r="L3846" t="s">
        <v>143</v>
      </c>
      <c r="M3846" t="s">
        <v>143</v>
      </c>
      <c r="N3846">
        <v>40</v>
      </c>
      <c r="O3846" t="s">
        <v>24</v>
      </c>
      <c r="P3846" t="s">
        <v>51</v>
      </c>
    </row>
    <row r="3847" spans="1:16" ht="14.5" x14ac:dyDescent="0.35">
      <c r="A3847">
        <v>3846</v>
      </c>
      <c r="B3847">
        <v>58</v>
      </c>
      <c r="C3847" t="s">
        <v>144</v>
      </c>
      <c r="D3847" t="s">
        <v>26</v>
      </c>
      <c r="E3847" t="s">
        <v>18</v>
      </c>
      <c r="F3847">
        <v>52</v>
      </c>
      <c r="G3847" t="s">
        <v>90</v>
      </c>
      <c r="H3847" t="s">
        <v>39</v>
      </c>
      <c r="I3847" t="s">
        <v>87</v>
      </c>
      <c r="J3847" t="s">
        <v>22</v>
      </c>
      <c r="K3847">
        <v>4.9000000000000004</v>
      </c>
      <c r="L3847" t="s">
        <v>143</v>
      </c>
      <c r="M3847" t="s">
        <v>143</v>
      </c>
      <c r="N3847">
        <v>46</v>
      </c>
      <c r="O3847" t="s">
        <v>24</v>
      </c>
      <c r="P3847" t="s">
        <v>43</v>
      </c>
    </row>
    <row r="3848" spans="1:16" ht="14.5" x14ac:dyDescent="0.35">
      <c r="A3848">
        <v>3847</v>
      </c>
      <c r="B3848">
        <v>57</v>
      </c>
      <c r="C3848" t="s">
        <v>144</v>
      </c>
      <c r="D3848" t="s">
        <v>17</v>
      </c>
      <c r="E3848" t="s">
        <v>18</v>
      </c>
      <c r="F3848">
        <v>58</v>
      </c>
      <c r="G3848" t="s">
        <v>129</v>
      </c>
      <c r="H3848" t="s">
        <v>20</v>
      </c>
      <c r="I3848" t="s">
        <v>112</v>
      </c>
      <c r="J3848" t="s">
        <v>47</v>
      </c>
      <c r="K3848">
        <v>4</v>
      </c>
      <c r="L3848" t="s">
        <v>143</v>
      </c>
      <c r="M3848" t="s">
        <v>143</v>
      </c>
      <c r="N3848">
        <v>40</v>
      </c>
      <c r="O3848" t="s">
        <v>40</v>
      </c>
      <c r="P3848" t="s">
        <v>88</v>
      </c>
    </row>
    <row r="3849" spans="1:16" ht="14.5" x14ac:dyDescent="0.35">
      <c r="A3849">
        <v>3848</v>
      </c>
      <c r="B3849">
        <v>60</v>
      </c>
      <c r="C3849" t="s">
        <v>144</v>
      </c>
      <c r="D3849" t="s">
        <v>26</v>
      </c>
      <c r="E3849" t="s">
        <v>18</v>
      </c>
      <c r="F3849">
        <v>34</v>
      </c>
      <c r="G3849" t="s">
        <v>70</v>
      </c>
      <c r="H3849" t="s">
        <v>32</v>
      </c>
      <c r="I3849" t="s">
        <v>135</v>
      </c>
      <c r="J3849" t="s">
        <v>50</v>
      </c>
      <c r="K3849">
        <v>3.2</v>
      </c>
      <c r="L3849" t="s">
        <v>143</v>
      </c>
      <c r="M3849" t="s">
        <v>143</v>
      </c>
      <c r="N3849">
        <v>31</v>
      </c>
      <c r="O3849" t="s">
        <v>40</v>
      </c>
      <c r="P3849" t="s">
        <v>25</v>
      </c>
    </row>
    <row r="3850" spans="1:16" ht="14.5" x14ac:dyDescent="0.35">
      <c r="A3850">
        <v>3849</v>
      </c>
      <c r="B3850">
        <v>22</v>
      </c>
      <c r="C3850" t="s">
        <v>144</v>
      </c>
      <c r="D3850" t="s">
        <v>97</v>
      </c>
      <c r="E3850" t="s">
        <v>60</v>
      </c>
      <c r="F3850">
        <v>60</v>
      </c>
      <c r="G3850" t="s">
        <v>73</v>
      </c>
      <c r="H3850" t="s">
        <v>39</v>
      </c>
      <c r="I3850" t="s">
        <v>127</v>
      </c>
      <c r="J3850" t="s">
        <v>22</v>
      </c>
      <c r="K3850">
        <v>3</v>
      </c>
      <c r="L3850" t="s">
        <v>143</v>
      </c>
      <c r="M3850" t="s">
        <v>143</v>
      </c>
      <c r="N3850">
        <v>39</v>
      </c>
      <c r="O3850" t="s">
        <v>29</v>
      </c>
      <c r="P3850" t="s">
        <v>88</v>
      </c>
    </row>
    <row r="3851" spans="1:16" ht="14.5" x14ac:dyDescent="0.35">
      <c r="A3851">
        <v>3850</v>
      </c>
      <c r="B3851">
        <v>46</v>
      </c>
      <c r="C3851" t="s">
        <v>144</v>
      </c>
      <c r="D3851" t="s">
        <v>95</v>
      </c>
      <c r="E3851" t="s">
        <v>18</v>
      </c>
      <c r="F3851">
        <v>68</v>
      </c>
      <c r="G3851" t="s">
        <v>94</v>
      </c>
      <c r="H3851" t="s">
        <v>32</v>
      </c>
      <c r="I3851" t="s">
        <v>100</v>
      </c>
      <c r="J3851" t="s">
        <v>22</v>
      </c>
      <c r="K3851">
        <v>2.6</v>
      </c>
      <c r="L3851" t="s">
        <v>143</v>
      </c>
      <c r="M3851" t="s">
        <v>143</v>
      </c>
      <c r="N3851">
        <v>36</v>
      </c>
      <c r="O3851" t="s">
        <v>40</v>
      </c>
      <c r="P3851" t="s">
        <v>25</v>
      </c>
    </row>
    <row r="3852" spans="1:16" ht="14.5" x14ac:dyDescent="0.35">
      <c r="A3852">
        <v>3851</v>
      </c>
      <c r="B3852">
        <v>27</v>
      </c>
      <c r="C3852" t="s">
        <v>144</v>
      </c>
      <c r="D3852" t="s">
        <v>97</v>
      </c>
      <c r="E3852" t="s">
        <v>60</v>
      </c>
      <c r="F3852">
        <v>74</v>
      </c>
      <c r="G3852" t="s">
        <v>82</v>
      </c>
      <c r="H3852" t="s">
        <v>20</v>
      </c>
      <c r="I3852" t="s">
        <v>117</v>
      </c>
      <c r="J3852" t="s">
        <v>47</v>
      </c>
      <c r="K3852">
        <v>4.4000000000000004</v>
      </c>
      <c r="L3852" t="s">
        <v>143</v>
      </c>
      <c r="M3852" t="s">
        <v>143</v>
      </c>
      <c r="N3852">
        <v>25</v>
      </c>
      <c r="O3852" t="s">
        <v>77</v>
      </c>
      <c r="P3852" t="s">
        <v>88</v>
      </c>
    </row>
    <row r="3853" spans="1:16" ht="14.5" x14ac:dyDescent="0.35">
      <c r="A3853">
        <v>3852</v>
      </c>
      <c r="B3853">
        <v>50</v>
      </c>
      <c r="C3853" t="s">
        <v>144</v>
      </c>
      <c r="D3853" t="s">
        <v>110</v>
      </c>
      <c r="E3853" t="s">
        <v>60</v>
      </c>
      <c r="F3853">
        <v>83</v>
      </c>
      <c r="G3853" t="s">
        <v>49</v>
      </c>
      <c r="H3853" t="s">
        <v>39</v>
      </c>
      <c r="I3853" t="s">
        <v>62</v>
      </c>
      <c r="J3853" t="s">
        <v>47</v>
      </c>
      <c r="K3853">
        <v>3.9</v>
      </c>
      <c r="L3853" t="s">
        <v>143</v>
      </c>
      <c r="M3853" t="s">
        <v>143</v>
      </c>
      <c r="N3853">
        <v>24</v>
      </c>
      <c r="O3853" t="s">
        <v>77</v>
      </c>
      <c r="P3853" t="s">
        <v>43</v>
      </c>
    </row>
    <row r="3854" spans="1:16" ht="14.5" x14ac:dyDescent="0.35">
      <c r="A3854">
        <v>3853</v>
      </c>
      <c r="B3854">
        <v>65</v>
      </c>
      <c r="C3854" t="s">
        <v>144</v>
      </c>
      <c r="D3854" t="s">
        <v>115</v>
      </c>
      <c r="E3854" t="s">
        <v>60</v>
      </c>
      <c r="F3854">
        <v>79</v>
      </c>
      <c r="G3854" t="s">
        <v>82</v>
      </c>
      <c r="H3854" t="s">
        <v>39</v>
      </c>
      <c r="I3854" t="s">
        <v>91</v>
      </c>
      <c r="J3854" t="s">
        <v>50</v>
      </c>
      <c r="K3854">
        <v>4</v>
      </c>
      <c r="L3854" t="s">
        <v>143</v>
      </c>
      <c r="M3854" t="s">
        <v>143</v>
      </c>
      <c r="N3854">
        <v>19</v>
      </c>
      <c r="O3854" t="s">
        <v>40</v>
      </c>
      <c r="P3854" t="s">
        <v>35</v>
      </c>
    </row>
    <row r="3855" spans="1:16" ht="14.5" x14ac:dyDescent="0.35">
      <c r="A3855">
        <v>3854</v>
      </c>
      <c r="B3855">
        <v>61</v>
      </c>
      <c r="C3855" t="s">
        <v>144</v>
      </c>
      <c r="D3855" t="s">
        <v>80</v>
      </c>
      <c r="E3855" t="s">
        <v>60</v>
      </c>
      <c r="F3855">
        <v>76</v>
      </c>
      <c r="G3855" t="s">
        <v>113</v>
      </c>
      <c r="H3855" t="s">
        <v>39</v>
      </c>
      <c r="I3855" t="s">
        <v>84</v>
      </c>
      <c r="J3855" t="s">
        <v>50</v>
      </c>
      <c r="K3855">
        <v>4</v>
      </c>
      <c r="L3855" t="s">
        <v>143</v>
      </c>
      <c r="M3855" t="s">
        <v>143</v>
      </c>
      <c r="N3855">
        <v>49</v>
      </c>
      <c r="O3855" t="s">
        <v>77</v>
      </c>
      <c r="P3855" t="s">
        <v>67</v>
      </c>
    </row>
    <row r="3856" spans="1:16" ht="14.5" x14ac:dyDescent="0.35">
      <c r="A3856">
        <v>3855</v>
      </c>
      <c r="B3856">
        <v>57</v>
      </c>
      <c r="C3856" t="s">
        <v>144</v>
      </c>
      <c r="D3856" t="s">
        <v>104</v>
      </c>
      <c r="E3856" t="s">
        <v>18</v>
      </c>
      <c r="F3856">
        <v>20</v>
      </c>
      <c r="G3856" t="s">
        <v>94</v>
      </c>
      <c r="H3856" t="s">
        <v>39</v>
      </c>
      <c r="I3856" t="s">
        <v>85</v>
      </c>
      <c r="J3856" t="s">
        <v>33</v>
      </c>
      <c r="K3856">
        <v>4.2</v>
      </c>
      <c r="L3856" t="s">
        <v>143</v>
      </c>
      <c r="M3856" t="s">
        <v>143</v>
      </c>
      <c r="N3856">
        <v>4</v>
      </c>
      <c r="O3856" t="s">
        <v>24</v>
      </c>
      <c r="P3856" t="s">
        <v>43</v>
      </c>
    </row>
    <row r="3857" spans="1:16" ht="14.5" x14ac:dyDescent="0.35">
      <c r="A3857">
        <v>3856</v>
      </c>
      <c r="B3857">
        <v>40</v>
      </c>
      <c r="C3857" t="s">
        <v>144</v>
      </c>
      <c r="D3857" t="s">
        <v>48</v>
      </c>
      <c r="E3857" t="s">
        <v>18</v>
      </c>
      <c r="F3857">
        <v>61</v>
      </c>
      <c r="G3857" t="s">
        <v>106</v>
      </c>
      <c r="H3857" t="s">
        <v>83</v>
      </c>
      <c r="I3857" t="s">
        <v>84</v>
      </c>
      <c r="J3857" t="s">
        <v>47</v>
      </c>
      <c r="K3857">
        <v>4.4000000000000004</v>
      </c>
      <c r="L3857" t="s">
        <v>143</v>
      </c>
      <c r="M3857" t="s">
        <v>143</v>
      </c>
      <c r="N3857">
        <v>36</v>
      </c>
      <c r="O3857" t="s">
        <v>29</v>
      </c>
      <c r="P3857" t="s">
        <v>51</v>
      </c>
    </row>
    <row r="3858" spans="1:16" ht="14.5" x14ac:dyDescent="0.35">
      <c r="A3858">
        <v>3857</v>
      </c>
      <c r="B3858">
        <v>39</v>
      </c>
      <c r="C3858" t="s">
        <v>144</v>
      </c>
      <c r="D3858" t="s">
        <v>36</v>
      </c>
      <c r="E3858" t="s">
        <v>37</v>
      </c>
      <c r="F3858">
        <v>78</v>
      </c>
      <c r="G3858" t="s">
        <v>132</v>
      </c>
      <c r="H3858" t="s">
        <v>32</v>
      </c>
      <c r="I3858" t="s">
        <v>101</v>
      </c>
      <c r="J3858" t="s">
        <v>47</v>
      </c>
      <c r="K3858">
        <v>2.5</v>
      </c>
      <c r="L3858" t="s">
        <v>143</v>
      </c>
      <c r="M3858" t="s">
        <v>143</v>
      </c>
      <c r="N3858">
        <v>8</v>
      </c>
      <c r="O3858" t="s">
        <v>77</v>
      </c>
      <c r="P3858" t="s">
        <v>51</v>
      </c>
    </row>
    <row r="3859" spans="1:16" ht="14.5" x14ac:dyDescent="0.35">
      <c r="A3859">
        <v>3858</v>
      </c>
      <c r="B3859">
        <v>42</v>
      </c>
      <c r="C3859" t="s">
        <v>144</v>
      </c>
      <c r="D3859" t="s">
        <v>115</v>
      </c>
      <c r="E3859" t="s">
        <v>60</v>
      </c>
      <c r="F3859">
        <v>21</v>
      </c>
      <c r="G3859" t="s">
        <v>96</v>
      </c>
      <c r="H3859" t="s">
        <v>32</v>
      </c>
      <c r="I3859" t="s">
        <v>125</v>
      </c>
      <c r="J3859" t="s">
        <v>47</v>
      </c>
      <c r="K3859">
        <v>3.1</v>
      </c>
      <c r="L3859" t="s">
        <v>143</v>
      </c>
      <c r="M3859" t="s">
        <v>143</v>
      </c>
      <c r="N3859">
        <v>29</v>
      </c>
      <c r="O3859" t="s">
        <v>34</v>
      </c>
      <c r="P3859" t="s">
        <v>88</v>
      </c>
    </row>
    <row r="3860" spans="1:16" ht="14.5" x14ac:dyDescent="0.35">
      <c r="A3860">
        <v>3859</v>
      </c>
      <c r="B3860">
        <v>30</v>
      </c>
      <c r="C3860" t="s">
        <v>144</v>
      </c>
      <c r="D3860" t="s">
        <v>104</v>
      </c>
      <c r="E3860" t="s">
        <v>18</v>
      </c>
      <c r="F3860">
        <v>77</v>
      </c>
      <c r="G3860" t="s">
        <v>61</v>
      </c>
      <c r="H3860" t="s">
        <v>39</v>
      </c>
      <c r="I3860" t="s">
        <v>69</v>
      </c>
      <c r="J3860" t="s">
        <v>22</v>
      </c>
      <c r="K3860">
        <v>3.5</v>
      </c>
      <c r="L3860" t="s">
        <v>143</v>
      </c>
      <c r="M3860" t="s">
        <v>143</v>
      </c>
      <c r="N3860">
        <v>26</v>
      </c>
      <c r="O3860" t="s">
        <v>34</v>
      </c>
      <c r="P3860" t="s">
        <v>51</v>
      </c>
    </row>
    <row r="3861" spans="1:16" ht="14.5" x14ac:dyDescent="0.35">
      <c r="A3861">
        <v>3860</v>
      </c>
      <c r="B3861">
        <v>65</v>
      </c>
      <c r="C3861" t="s">
        <v>144</v>
      </c>
      <c r="D3861" t="s">
        <v>52</v>
      </c>
      <c r="E3861" t="s">
        <v>18</v>
      </c>
      <c r="F3861">
        <v>88</v>
      </c>
      <c r="G3861" t="s">
        <v>82</v>
      </c>
      <c r="H3861" t="s">
        <v>32</v>
      </c>
      <c r="I3861" t="s">
        <v>135</v>
      </c>
      <c r="J3861" t="s">
        <v>50</v>
      </c>
      <c r="K3861">
        <v>3</v>
      </c>
      <c r="L3861" t="s">
        <v>143</v>
      </c>
      <c r="M3861" t="s">
        <v>143</v>
      </c>
      <c r="N3861">
        <v>47</v>
      </c>
      <c r="O3861" t="s">
        <v>66</v>
      </c>
      <c r="P3861" t="s">
        <v>67</v>
      </c>
    </row>
    <row r="3862" spans="1:16" ht="14.5" x14ac:dyDescent="0.35">
      <c r="A3862">
        <v>3861</v>
      </c>
      <c r="B3862">
        <v>57</v>
      </c>
      <c r="C3862" t="s">
        <v>144</v>
      </c>
      <c r="D3862" t="s">
        <v>80</v>
      </c>
      <c r="E3862" t="s">
        <v>60</v>
      </c>
      <c r="F3862">
        <v>64</v>
      </c>
      <c r="G3862" t="s">
        <v>129</v>
      </c>
      <c r="H3862" t="s">
        <v>39</v>
      </c>
      <c r="I3862" t="s">
        <v>42</v>
      </c>
      <c r="J3862" t="s">
        <v>47</v>
      </c>
      <c r="K3862">
        <v>4.4000000000000004</v>
      </c>
      <c r="L3862" t="s">
        <v>143</v>
      </c>
      <c r="M3862" t="s">
        <v>143</v>
      </c>
      <c r="N3862">
        <v>44</v>
      </c>
      <c r="O3862" t="s">
        <v>29</v>
      </c>
      <c r="P3862" t="s">
        <v>43</v>
      </c>
    </row>
    <row r="3863" spans="1:16" ht="14.5" x14ac:dyDescent="0.35">
      <c r="A3863">
        <v>3862</v>
      </c>
      <c r="B3863">
        <v>64</v>
      </c>
      <c r="C3863" t="s">
        <v>144</v>
      </c>
      <c r="D3863" t="s">
        <v>93</v>
      </c>
      <c r="E3863" t="s">
        <v>56</v>
      </c>
      <c r="F3863">
        <v>57</v>
      </c>
      <c r="G3863" t="s">
        <v>45</v>
      </c>
      <c r="H3863" t="s">
        <v>39</v>
      </c>
      <c r="I3863" t="s">
        <v>125</v>
      </c>
      <c r="J3863" t="s">
        <v>33</v>
      </c>
      <c r="K3863">
        <v>4.9000000000000004</v>
      </c>
      <c r="L3863" t="s">
        <v>143</v>
      </c>
      <c r="M3863" t="s">
        <v>143</v>
      </c>
      <c r="N3863">
        <v>49</v>
      </c>
      <c r="O3863" t="s">
        <v>34</v>
      </c>
      <c r="P3863" t="s">
        <v>79</v>
      </c>
    </row>
    <row r="3864" spans="1:16" ht="14.5" x14ac:dyDescent="0.35">
      <c r="A3864">
        <v>3863</v>
      </c>
      <c r="B3864">
        <v>56</v>
      </c>
      <c r="C3864" t="s">
        <v>144</v>
      </c>
      <c r="D3864" t="s">
        <v>48</v>
      </c>
      <c r="E3864" t="s">
        <v>18</v>
      </c>
      <c r="F3864">
        <v>49</v>
      </c>
      <c r="G3864" t="s">
        <v>126</v>
      </c>
      <c r="H3864" t="s">
        <v>20</v>
      </c>
      <c r="I3864" t="s">
        <v>42</v>
      </c>
      <c r="J3864" t="s">
        <v>22</v>
      </c>
      <c r="K3864">
        <v>2.8</v>
      </c>
      <c r="L3864" t="s">
        <v>143</v>
      </c>
      <c r="M3864" t="s">
        <v>143</v>
      </c>
      <c r="N3864">
        <v>9</v>
      </c>
      <c r="O3864" t="s">
        <v>24</v>
      </c>
      <c r="P3864" t="s">
        <v>79</v>
      </c>
    </row>
    <row r="3865" spans="1:16" ht="14.5" x14ac:dyDescent="0.35">
      <c r="A3865">
        <v>3864</v>
      </c>
      <c r="B3865">
        <v>40</v>
      </c>
      <c r="C3865" t="s">
        <v>144</v>
      </c>
      <c r="D3865" t="s">
        <v>110</v>
      </c>
      <c r="E3865" t="s">
        <v>60</v>
      </c>
      <c r="F3865">
        <v>35</v>
      </c>
      <c r="G3865" t="s">
        <v>73</v>
      </c>
      <c r="H3865" t="s">
        <v>39</v>
      </c>
      <c r="I3865" t="s">
        <v>112</v>
      </c>
      <c r="J3865" t="s">
        <v>47</v>
      </c>
      <c r="K3865">
        <v>3.3</v>
      </c>
      <c r="L3865" t="s">
        <v>143</v>
      </c>
      <c r="M3865" t="s">
        <v>143</v>
      </c>
      <c r="N3865">
        <v>28</v>
      </c>
      <c r="O3865" t="s">
        <v>29</v>
      </c>
      <c r="P3865" t="s">
        <v>25</v>
      </c>
    </row>
    <row r="3866" spans="1:16" ht="14.5" x14ac:dyDescent="0.35">
      <c r="A3866">
        <v>3865</v>
      </c>
      <c r="B3866">
        <v>55</v>
      </c>
      <c r="C3866" t="s">
        <v>144</v>
      </c>
      <c r="D3866" t="s">
        <v>104</v>
      </c>
      <c r="E3866" t="s">
        <v>18</v>
      </c>
      <c r="F3866">
        <v>99</v>
      </c>
      <c r="G3866" t="s">
        <v>45</v>
      </c>
      <c r="H3866" t="s">
        <v>32</v>
      </c>
      <c r="I3866" t="s">
        <v>135</v>
      </c>
      <c r="J3866" t="s">
        <v>22</v>
      </c>
      <c r="K3866">
        <v>4.9000000000000004</v>
      </c>
      <c r="L3866" t="s">
        <v>143</v>
      </c>
      <c r="M3866" t="s">
        <v>143</v>
      </c>
      <c r="N3866">
        <v>1</v>
      </c>
      <c r="O3866" t="s">
        <v>77</v>
      </c>
      <c r="P3866" t="s">
        <v>25</v>
      </c>
    </row>
    <row r="3867" spans="1:16" ht="14.5" x14ac:dyDescent="0.35">
      <c r="A3867">
        <v>3866</v>
      </c>
      <c r="B3867">
        <v>25</v>
      </c>
      <c r="C3867" t="s">
        <v>144</v>
      </c>
      <c r="D3867" t="s">
        <v>52</v>
      </c>
      <c r="E3867" t="s">
        <v>18</v>
      </c>
      <c r="F3867">
        <v>42</v>
      </c>
      <c r="G3867" t="s">
        <v>136</v>
      </c>
      <c r="H3867" t="s">
        <v>39</v>
      </c>
      <c r="I3867" t="s">
        <v>69</v>
      </c>
      <c r="J3867" t="s">
        <v>33</v>
      </c>
      <c r="K3867">
        <v>4.2</v>
      </c>
      <c r="L3867" t="s">
        <v>143</v>
      </c>
      <c r="M3867" t="s">
        <v>143</v>
      </c>
      <c r="N3867">
        <v>28</v>
      </c>
      <c r="O3867" t="s">
        <v>29</v>
      </c>
      <c r="P3867" t="s">
        <v>88</v>
      </c>
    </row>
    <row r="3868" spans="1:16" ht="14.5" x14ac:dyDescent="0.35">
      <c r="A3868">
        <v>3867</v>
      </c>
      <c r="B3868">
        <v>58</v>
      </c>
      <c r="C3868" t="s">
        <v>144</v>
      </c>
      <c r="D3868" t="s">
        <v>115</v>
      </c>
      <c r="E3868" t="s">
        <v>60</v>
      </c>
      <c r="F3868">
        <v>32</v>
      </c>
      <c r="G3868" t="s">
        <v>111</v>
      </c>
      <c r="H3868" t="s">
        <v>39</v>
      </c>
      <c r="I3868" t="s">
        <v>109</v>
      </c>
      <c r="J3868" t="s">
        <v>22</v>
      </c>
      <c r="K3868">
        <v>3.3</v>
      </c>
      <c r="L3868" t="s">
        <v>143</v>
      </c>
      <c r="M3868" t="s">
        <v>143</v>
      </c>
      <c r="N3868">
        <v>33</v>
      </c>
      <c r="O3868" t="s">
        <v>34</v>
      </c>
      <c r="P3868" t="s">
        <v>25</v>
      </c>
    </row>
    <row r="3869" spans="1:16" ht="14.5" x14ac:dyDescent="0.35">
      <c r="A3869">
        <v>3868</v>
      </c>
      <c r="B3869">
        <v>46</v>
      </c>
      <c r="C3869" t="s">
        <v>144</v>
      </c>
      <c r="D3869" t="s">
        <v>93</v>
      </c>
      <c r="E3869" t="s">
        <v>56</v>
      </c>
      <c r="F3869">
        <v>21</v>
      </c>
      <c r="G3869" t="s">
        <v>119</v>
      </c>
      <c r="H3869" t="s">
        <v>20</v>
      </c>
      <c r="I3869" t="s">
        <v>84</v>
      </c>
      <c r="J3869" t="s">
        <v>47</v>
      </c>
      <c r="K3869">
        <v>2.7</v>
      </c>
      <c r="L3869" t="s">
        <v>143</v>
      </c>
      <c r="M3869" t="s">
        <v>143</v>
      </c>
      <c r="N3869">
        <v>28</v>
      </c>
      <c r="O3869" t="s">
        <v>34</v>
      </c>
      <c r="P3869" t="s">
        <v>79</v>
      </c>
    </row>
    <row r="3870" spans="1:16" ht="14.5" x14ac:dyDescent="0.35">
      <c r="A3870">
        <v>3869</v>
      </c>
      <c r="B3870">
        <v>18</v>
      </c>
      <c r="C3870" t="s">
        <v>144</v>
      </c>
      <c r="D3870" t="s">
        <v>72</v>
      </c>
      <c r="E3870" t="s">
        <v>18</v>
      </c>
      <c r="F3870">
        <v>29</v>
      </c>
      <c r="G3870" t="s">
        <v>119</v>
      </c>
      <c r="H3870" t="s">
        <v>83</v>
      </c>
      <c r="I3870" t="s">
        <v>127</v>
      </c>
      <c r="J3870" t="s">
        <v>22</v>
      </c>
      <c r="K3870">
        <v>3.3</v>
      </c>
      <c r="L3870" t="s">
        <v>143</v>
      </c>
      <c r="M3870" t="s">
        <v>143</v>
      </c>
      <c r="N3870">
        <v>9</v>
      </c>
      <c r="O3870" t="s">
        <v>29</v>
      </c>
      <c r="P3870" t="s">
        <v>43</v>
      </c>
    </row>
    <row r="3871" spans="1:16" ht="14.5" x14ac:dyDescent="0.35">
      <c r="A3871">
        <v>3870</v>
      </c>
      <c r="B3871">
        <v>26</v>
      </c>
      <c r="C3871" t="s">
        <v>144</v>
      </c>
      <c r="D3871" t="s">
        <v>55</v>
      </c>
      <c r="E3871" t="s">
        <v>56</v>
      </c>
      <c r="F3871">
        <v>64</v>
      </c>
      <c r="G3871" t="s">
        <v>108</v>
      </c>
      <c r="H3871" t="s">
        <v>20</v>
      </c>
      <c r="I3871" t="s">
        <v>100</v>
      </c>
      <c r="J3871" t="s">
        <v>33</v>
      </c>
      <c r="K3871">
        <v>3.8</v>
      </c>
      <c r="L3871" t="s">
        <v>143</v>
      </c>
      <c r="M3871" t="s">
        <v>143</v>
      </c>
      <c r="N3871">
        <v>28</v>
      </c>
      <c r="O3871" t="s">
        <v>66</v>
      </c>
      <c r="P3871" t="s">
        <v>43</v>
      </c>
    </row>
    <row r="3872" spans="1:16" ht="14.5" x14ac:dyDescent="0.35">
      <c r="A3872">
        <v>3871</v>
      </c>
      <c r="B3872">
        <v>61</v>
      </c>
      <c r="C3872" t="s">
        <v>144</v>
      </c>
      <c r="D3872" t="s">
        <v>36</v>
      </c>
      <c r="E3872" t="s">
        <v>37</v>
      </c>
      <c r="F3872">
        <v>46</v>
      </c>
      <c r="G3872" t="s">
        <v>114</v>
      </c>
      <c r="H3872" t="s">
        <v>20</v>
      </c>
      <c r="I3872" t="s">
        <v>84</v>
      </c>
      <c r="J3872" t="s">
        <v>50</v>
      </c>
      <c r="K3872">
        <v>3.2</v>
      </c>
      <c r="L3872" t="s">
        <v>143</v>
      </c>
      <c r="M3872" t="s">
        <v>143</v>
      </c>
      <c r="N3872">
        <v>19</v>
      </c>
      <c r="O3872" t="s">
        <v>29</v>
      </c>
      <c r="P3872" t="s">
        <v>88</v>
      </c>
    </row>
    <row r="3873" spans="1:16" ht="14.5" x14ac:dyDescent="0.35">
      <c r="A3873">
        <v>3872</v>
      </c>
      <c r="B3873">
        <v>55</v>
      </c>
      <c r="C3873" t="s">
        <v>144</v>
      </c>
      <c r="D3873" t="s">
        <v>104</v>
      </c>
      <c r="E3873" t="s">
        <v>18</v>
      </c>
      <c r="F3873">
        <v>97</v>
      </c>
      <c r="G3873" t="s">
        <v>139</v>
      </c>
      <c r="H3873" t="s">
        <v>39</v>
      </c>
      <c r="I3873" t="s">
        <v>85</v>
      </c>
      <c r="J3873" t="s">
        <v>50</v>
      </c>
      <c r="K3873">
        <v>4.0999999999999996</v>
      </c>
      <c r="L3873" t="s">
        <v>143</v>
      </c>
      <c r="M3873" t="s">
        <v>143</v>
      </c>
      <c r="N3873">
        <v>20</v>
      </c>
      <c r="O3873" t="s">
        <v>66</v>
      </c>
      <c r="P3873" t="s">
        <v>88</v>
      </c>
    </row>
    <row r="3874" spans="1:16" ht="14.5" x14ac:dyDescent="0.35">
      <c r="A3874">
        <v>3873</v>
      </c>
      <c r="B3874">
        <v>41</v>
      </c>
      <c r="C3874" t="s">
        <v>144</v>
      </c>
      <c r="D3874" t="s">
        <v>93</v>
      </c>
      <c r="E3874" t="s">
        <v>56</v>
      </c>
      <c r="F3874">
        <v>94</v>
      </c>
      <c r="G3874" t="s">
        <v>73</v>
      </c>
      <c r="H3874" t="s">
        <v>39</v>
      </c>
      <c r="I3874" t="s">
        <v>87</v>
      </c>
      <c r="J3874" t="s">
        <v>33</v>
      </c>
      <c r="K3874">
        <v>4.3</v>
      </c>
      <c r="L3874" t="s">
        <v>143</v>
      </c>
      <c r="M3874" t="s">
        <v>143</v>
      </c>
      <c r="N3874">
        <v>3</v>
      </c>
      <c r="O3874" t="s">
        <v>29</v>
      </c>
      <c r="P3874" t="s">
        <v>79</v>
      </c>
    </row>
    <row r="3875" spans="1:16" ht="14.5" x14ac:dyDescent="0.35">
      <c r="A3875">
        <v>3874</v>
      </c>
      <c r="B3875">
        <v>42</v>
      </c>
      <c r="C3875" t="s">
        <v>144</v>
      </c>
      <c r="D3875" t="s">
        <v>36</v>
      </c>
      <c r="E3875" t="s">
        <v>37</v>
      </c>
      <c r="F3875">
        <v>43</v>
      </c>
      <c r="G3875" t="s">
        <v>53</v>
      </c>
      <c r="H3875" t="s">
        <v>20</v>
      </c>
      <c r="I3875" t="s">
        <v>58</v>
      </c>
      <c r="J3875" t="s">
        <v>47</v>
      </c>
      <c r="K3875">
        <v>4</v>
      </c>
      <c r="L3875" t="s">
        <v>143</v>
      </c>
      <c r="M3875" t="s">
        <v>143</v>
      </c>
      <c r="N3875">
        <v>22</v>
      </c>
      <c r="O3875" t="s">
        <v>34</v>
      </c>
      <c r="P3875" t="s">
        <v>35</v>
      </c>
    </row>
    <row r="3876" spans="1:16" ht="14.5" x14ac:dyDescent="0.35">
      <c r="A3876">
        <v>3875</v>
      </c>
      <c r="B3876">
        <v>70</v>
      </c>
      <c r="C3876" t="s">
        <v>144</v>
      </c>
      <c r="D3876" t="s">
        <v>26</v>
      </c>
      <c r="E3876" t="s">
        <v>18</v>
      </c>
      <c r="F3876">
        <v>54</v>
      </c>
      <c r="G3876" t="s">
        <v>98</v>
      </c>
      <c r="H3876" t="s">
        <v>83</v>
      </c>
      <c r="I3876" t="s">
        <v>109</v>
      </c>
      <c r="J3876" t="s">
        <v>47</v>
      </c>
      <c r="K3876">
        <v>3.9</v>
      </c>
      <c r="L3876" t="s">
        <v>143</v>
      </c>
      <c r="M3876" t="s">
        <v>143</v>
      </c>
      <c r="N3876">
        <v>33</v>
      </c>
      <c r="O3876" t="s">
        <v>34</v>
      </c>
      <c r="P3876" t="s">
        <v>67</v>
      </c>
    </row>
    <row r="3877" spans="1:16" ht="14.5" x14ac:dyDescent="0.35">
      <c r="A3877">
        <v>3876</v>
      </c>
      <c r="B3877">
        <v>63</v>
      </c>
      <c r="C3877" t="s">
        <v>144</v>
      </c>
      <c r="D3877" t="s">
        <v>115</v>
      </c>
      <c r="E3877" t="s">
        <v>60</v>
      </c>
      <c r="F3877">
        <v>51</v>
      </c>
      <c r="G3877" t="s">
        <v>73</v>
      </c>
      <c r="H3877" t="s">
        <v>39</v>
      </c>
      <c r="I3877" t="s">
        <v>62</v>
      </c>
      <c r="J3877" t="s">
        <v>22</v>
      </c>
      <c r="K3877">
        <v>3.3</v>
      </c>
      <c r="L3877" t="s">
        <v>143</v>
      </c>
      <c r="M3877" t="s">
        <v>143</v>
      </c>
      <c r="N3877">
        <v>21</v>
      </c>
      <c r="O3877" t="s">
        <v>34</v>
      </c>
      <c r="P3877" t="s">
        <v>43</v>
      </c>
    </row>
    <row r="3878" spans="1:16" ht="14.5" x14ac:dyDescent="0.35">
      <c r="A3878">
        <v>3877</v>
      </c>
      <c r="B3878">
        <v>60</v>
      </c>
      <c r="C3878" t="s">
        <v>144</v>
      </c>
      <c r="D3878" t="s">
        <v>63</v>
      </c>
      <c r="E3878" t="s">
        <v>37</v>
      </c>
      <c r="F3878">
        <v>85</v>
      </c>
      <c r="G3878" t="s">
        <v>141</v>
      </c>
      <c r="H3878" t="s">
        <v>32</v>
      </c>
      <c r="I3878" t="s">
        <v>100</v>
      </c>
      <c r="J3878" t="s">
        <v>50</v>
      </c>
      <c r="K3878">
        <v>2.6</v>
      </c>
      <c r="L3878" t="s">
        <v>143</v>
      </c>
      <c r="M3878" t="s">
        <v>143</v>
      </c>
      <c r="N3878">
        <v>7</v>
      </c>
      <c r="O3878" t="s">
        <v>29</v>
      </c>
      <c r="P3878" t="s">
        <v>43</v>
      </c>
    </row>
    <row r="3879" spans="1:16" ht="14.5" x14ac:dyDescent="0.35">
      <c r="A3879">
        <v>3878</v>
      </c>
      <c r="B3879">
        <v>28</v>
      </c>
      <c r="C3879" t="s">
        <v>144</v>
      </c>
      <c r="D3879" t="s">
        <v>95</v>
      </c>
      <c r="E3879" t="s">
        <v>18</v>
      </c>
      <c r="F3879">
        <v>96</v>
      </c>
      <c r="G3879" t="s">
        <v>98</v>
      </c>
      <c r="H3879" t="s">
        <v>39</v>
      </c>
      <c r="I3879" t="s">
        <v>69</v>
      </c>
      <c r="J3879" t="s">
        <v>33</v>
      </c>
      <c r="K3879">
        <v>4.2</v>
      </c>
      <c r="L3879" t="s">
        <v>143</v>
      </c>
      <c r="M3879" t="s">
        <v>143</v>
      </c>
      <c r="N3879">
        <v>46</v>
      </c>
      <c r="O3879" t="s">
        <v>77</v>
      </c>
      <c r="P3879" t="s">
        <v>79</v>
      </c>
    </row>
    <row r="3880" spans="1:16" ht="14.5" x14ac:dyDescent="0.35">
      <c r="A3880">
        <v>3879</v>
      </c>
      <c r="B3880">
        <v>60</v>
      </c>
      <c r="C3880" t="s">
        <v>144</v>
      </c>
      <c r="D3880" t="s">
        <v>115</v>
      </c>
      <c r="E3880" t="s">
        <v>60</v>
      </c>
      <c r="F3880">
        <v>42</v>
      </c>
      <c r="G3880" t="s">
        <v>122</v>
      </c>
      <c r="H3880" t="s">
        <v>39</v>
      </c>
      <c r="I3880" t="s">
        <v>62</v>
      </c>
      <c r="J3880" t="s">
        <v>47</v>
      </c>
      <c r="K3880">
        <v>3.4</v>
      </c>
      <c r="L3880" t="s">
        <v>143</v>
      </c>
      <c r="M3880" t="s">
        <v>143</v>
      </c>
      <c r="N3880">
        <v>24</v>
      </c>
      <c r="O3880" t="s">
        <v>34</v>
      </c>
      <c r="P3880" t="s">
        <v>43</v>
      </c>
    </row>
    <row r="3881" spans="1:16" ht="14.5" x14ac:dyDescent="0.35">
      <c r="A3881">
        <v>3880</v>
      </c>
      <c r="B3881">
        <v>26</v>
      </c>
      <c r="C3881" t="s">
        <v>144</v>
      </c>
      <c r="D3881" t="s">
        <v>78</v>
      </c>
      <c r="E3881" t="s">
        <v>18</v>
      </c>
      <c r="F3881">
        <v>63</v>
      </c>
      <c r="G3881" t="s">
        <v>94</v>
      </c>
      <c r="H3881" t="s">
        <v>20</v>
      </c>
      <c r="I3881" t="s">
        <v>28</v>
      </c>
      <c r="J3881" t="s">
        <v>22</v>
      </c>
      <c r="K3881">
        <v>4.0999999999999996</v>
      </c>
      <c r="L3881" t="s">
        <v>143</v>
      </c>
      <c r="M3881" t="s">
        <v>143</v>
      </c>
      <c r="N3881">
        <v>6</v>
      </c>
      <c r="O3881" t="s">
        <v>77</v>
      </c>
      <c r="P3881" t="s">
        <v>51</v>
      </c>
    </row>
    <row r="3882" spans="1:16" ht="14.5" x14ac:dyDescent="0.35">
      <c r="A3882">
        <v>3881</v>
      </c>
      <c r="B3882">
        <v>42</v>
      </c>
      <c r="C3882" t="s">
        <v>144</v>
      </c>
      <c r="D3882" t="s">
        <v>48</v>
      </c>
      <c r="E3882" t="s">
        <v>18</v>
      </c>
      <c r="F3882">
        <v>20</v>
      </c>
      <c r="G3882" t="s">
        <v>31</v>
      </c>
      <c r="H3882" t="s">
        <v>39</v>
      </c>
      <c r="I3882" t="s">
        <v>99</v>
      </c>
      <c r="J3882" t="s">
        <v>22</v>
      </c>
      <c r="K3882">
        <v>3.9</v>
      </c>
      <c r="L3882" t="s">
        <v>143</v>
      </c>
      <c r="M3882" t="s">
        <v>143</v>
      </c>
      <c r="N3882">
        <v>40</v>
      </c>
      <c r="O3882" t="s">
        <v>40</v>
      </c>
      <c r="P3882" t="s">
        <v>79</v>
      </c>
    </row>
    <row r="3883" spans="1:16" ht="14.5" x14ac:dyDescent="0.35">
      <c r="A3883">
        <v>3882</v>
      </c>
      <c r="B3883">
        <v>56</v>
      </c>
      <c r="C3883" t="s">
        <v>144</v>
      </c>
      <c r="D3883" t="s">
        <v>110</v>
      </c>
      <c r="E3883" t="s">
        <v>60</v>
      </c>
      <c r="F3883">
        <v>25</v>
      </c>
      <c r="G3883" t="s">
        <v>133</v>
      </c>
      <c r="H3883" t="s">
        <v>20</v>
      </c>
      <c r="I3883" t="s">
        <v>58</v>
      </c>
      <c r="J3883" t="s">
        <v>33</v>
      </c>
      <c r="K3883">
        <v>2.8</v>
      </c>
      <c r="L3883" t="s">
        <v>143</v>
      </c>
      <c r="M3883" t="s">
        <v>143</v>
      </c>
      <c r="N3883">
        <v>17</v>
      </c>
      <c r="O3883" t="s">
        <v>77</v>
      </c>
      <c r="P3883" t="s">
        <v>35</v>
      </c>
    </row>
    <row r="3884" spans="1:16" ht="14.5" x14ac:dyDescent="0.35">
      <c r="A3884">
        <v>3883</v>
      </c>
      <c r="B3884">
        <v>35</v>
      </c>
      <c r="C3884" t="s">
        <v>144</v>
      </c>
      <c r="D3884" t="s">
        <v>86</v>
      </c>
      <c r="E3884" t="s">
        <v>18</v>
      </c>
      <c r="F3884">
        <v>95</v>
      </c>
      <c r="G3884" t="s">
        <v>105</v>
      </c>
      <c r="H3884" t="s">
        <v>20</v>
      </c>
      <c r="I3884" t="s">
        <v>135</v>
      </c>
      <c r="J3884" t="s">
        <v>50</v>
      </c>
      <c r="K3884">
        <v>2.6</v>
      </c>
      <c r="L3884" t="s">
        <v>143</v>
      </c>
      <c r="M3884" t="s">
        <v>143</v>
      </c>
      <c r="N3884">
        <v>24</v>
      </c>
      <c r="O3884" t="s">
        <v>29</v>
      </c>
      <c r="P3884" t="s">
        <v>25</v>
      </c>
    </row>
    <row r="3885" spans="1:16" ht="14.5" x14ac:dyDescent="0.35">
      <c r="A3885">
        <v>3884</v>
      </c>
      <c r="B3885">
        <v>34</v>
      </c>
      <c r="C3885" t="s">
        <v>144</v>
      </c>
      <c r="D3885" t="s">
        <v>115</v>
      </c>
      <c r="E3885" t="s">
        <v>60</v>
      </c>
      <c r="F3885">
        <v>38</v>
      </c>
      <c r="G3885" t="s">
        <v>105</v>
      </c>
      <c r="H3885" t="s">
        <v>83</v>
      </c>
      <c r="I3885" t="s">
        <v>65</v>
      </c>
      <c r="J3885" t="s">
        <v>50</v>
      </c>
      <c r="K3885">
        <v>4</v>
      </c>
      <c r="L3885" t="s">
        <v>143</v>
      </c>
      <c r="M3885" t="s">
        <v>143</v>
      </c>
      <c r="N3885">
        <v>22</v>
      </c>
      <c r="O3885" t="s">
        <v>29</v>
      </c>
      <c r="P3885" t="s">
        <v>25</v>
      </c>
    </row>
    <row r="3886" spans="1:16" ht="14.5" x14ac:dyDescent="0.35">
      <c r="A3886">
        <v>3885</v>
      </c>
      <c r="B3886">
        <v>47</v>
      </c>
      <c r="C3886" t="s">
        <v>144</v>
      </c>
      <c r="D3886" t="s">
        <v>36</v>
      </c>
      <c r="E3886" t="s">
        <v>37</v>
      </c>
      <c r="F3886">
        <v>29</v>
      </c>
      <c r="G3886" t="s">
        <v>119</v>
      </c>
      <c r="H3886" t="s">
        <v>39</v>
      </c>
      <c r="I3886" t="s">
        <v>101</v>
      </c>
      <c r="J3886" t="s">
        <v>50</v>
      </c>
      <c r="K3886">
        <v>4.9000000000000004</v>
      </c>
      <c r="L3886" t="s">
        <v>143</v>
      </c>
      <c r="M3886" t="s">
        <v>143</v>
      </c>
      <c r="N3886">
        <v>3</v>
      </c>
      <c r="O3886" t="s">
        <v>40</v>
      </c>
      <c r="P3886" t="s">
        <v>35</v>
      </c>
    </row>
    <row r="3887" spans="1:16" ht="14.5" x14ac:dyDescent="0.35">
      <c r="A3887">
        <v>3886</v>
      </c>
      <c r="B3887">
        <v>49</v>
      </c>
      <c r="C3887" t="s">
        <v>144</v>
      </c>
      <c r="D3887" t="s">
        <v>116</v>
      </c>
      <c r="E3887" t="s">
        <v>18</v>
      </c>
      <c r="F3887">
        <v>64</v>
      </c>
      <c r="G3887" t="s">
        <v>121</v>
      </c>
      <c r="H3887" t="s">
        <v>20</v>
      </c>
      <c r="I3887" t="s">
        <v>65</v>
      </c>
      <c r="J3887" t="s">
        <v>22</v>
      </c>
      <c r="K3887">
        <v>3.2</v>
      </c>
      <c r="L3887" t="s">
        <v>143</v>
      </c>
      <c r="M3887" t="s">
        <v>143</v>
      </c>
      <c r="N3887">
        <v>39</v>
      </c>
      <c r="O3887" t="s">
        <v>29</v>
      </c>
      <c r="P3887" t="s">
        <v>51</v>
      </c>
    </row>
    <row r="3888" spans="1:16" ht="14.5" x14ac:dyDescent="0.35">
      <c r="A3888">
        <v>3887</v>
      </c>
      <c r="B3888">
        <v>37</v>
      </c>
      <c r="C3888" t="s">
        <v>144</v>
      </c>
      <c r="D3888" t="s">
        <v>97</v>
      </c>
      <c r="E3888" t="s">
        <v>60</v>
      </c>
      <c r="F3888">
        <v>92</v>
      </c>
      <c r="G3888" t="s">
        <v>137</v>
      </c>
      <c r="H3888" t="s">
        <v>32</v>
      </c>
      <c r="I3888" t="s">
        <v>101</v>
      </c>
      <c r="J3888" t="s">
        <v>47</v>
      </c>
      <c r="K3888">
        <v>3.9</v>
      </c>
      <c r="L3888" t="s">
        <v>143</v>
      </c>
      <c r="M3888" t="s">
        <v>143</v>
      </c>
      <c r="N3888">
        <v>40</v>
      </c>
      <c r="O3888" t="s">
        <v>77</v>
      </c>
      <c r="P3888" t="s">
        <v>51</v>
      </c>
    </row>
    <row r="3889" spans="1:16" ht="14.5" x14ac:dyDescent="0.35">
      <c r="A3889">
        <v>3888</v>
      </c>
      <c r="B3889">
        <v>40</v>
      </c>
      <c r="C3889" t="s">
        <v>144</v>
      </c>
      <c r="D3889" t="s">
        <v>48</v>
      </c>
      <c r="E3889" t="s">
        <v>18</v>
      </c>
      <c r="F3889">
        <v>34</v>
      </c>
      <c r="G3889" t="s">
        <v>102</v>
      </c>
      <c r="H3889" t="s">
        <v>39</v>
      </c>
      <c r="I3889" t="s">
        <v>54</v>
      </c>
      <c r="J3889" t="s">
        <v>33</v>
      </c>
      <c r="K3889">
        <v>2.7</v>
      </c>
      <c r="L3889" t="s">
        <v>143</v>
      </c>
      <c r="M3889" t="s">
        <v>143</v>
      </c>
      <c r="N3889">
        <v>1</v>
      </c>
      <c r="O3889" t="s">
        <v>34</v>
      </c>
      <c r="P3889" t="s">
        <v>51</v>
      </c>
    </row>
    <row r="3890" spans="1:16" ht="14.5" x14ac:dyDescent="0.35">
      <c r="A3890">
        <v>3889</v>
      </c>
      <c r="B3890">
        <v>45</v>
      </c>
      <c r="C3890" t="s">
        <v>144</v>
      </c>
      <c r="D3890" t="s">
        <v>44</v>
      </c>
      <c r="E3890" t="s">
        <v>37</v>
      </c>
      <c r="F3890">
        <v>69</v>
      </c>
      <c r="G3890" t="s">
        <v>132</v>
      </c>
      <c r="H3890" t="s">
        <v>39</v>
      </c>
      <c r="I3890" t="s">
        <v>74</v>
      </c>
      <c r="J3890" t="s">
        <v>33</v>
      </c>
      <c r="K3890">
        <v>3.4</v>
      </c>
      <c r="L3890" t="s">
        <v>143</v>
      </c>
      <c r="M3890" t="s">
        <v>143</v>
      </c>
      <c r="N3890">
        <v>14</v>
      </c>
      <c r="O3890" t="s">
        <v>24</v>
      </c>
      <c r="P3890" t="s">
        <v>67</v>
      </c>
    </row>
    <row r="3891" spans="1:16" ht="14.5" x14ac:dyDescent="0.35">
      <c r="A3891">
        <v>3890</v>
      </c>
      <c r="B3891">
        <v>57</v>
      </c>
      <c r="C3891" t="s">
        <v>144</v>
      </c>
      <c r="D3891" t="s">
        <v>72</v>
      </c>
      <c r="E3891" t="s">
        <v>18</v>
      </c>
      <c r="F3891">
        <v>65</v>
      </c>
      <c r="G3891" t="s">
        <v>111</v>
      </c>
      <c r="H3891" t="s">
        <v>32</v>
      </c>
      <c r="I3891" t="s">
        <v>125</v>
      </c>
      <c r="J3891" t="s">
        <v>33</v>
      </c>
      <c r="K3891">
        <v>3.5</v>
      </c>
      <c r="L3891" t="s">
        <v>143</v>
      </c>
      <c r="M3891" t="s">
        <v>143</v>
      </c>
      <c r="N3891">
        <v>49</v>
      </c>
      <c r="O3891" t="s">
        <v>66</v>
      </c>
      <c r="P3891" t="s">
        <v>43</v>
      </c>
    </row>
    <row r="3892" spans="1:16" ht="14.5" x14ac:dyDescent="0.35">
      <c r="A3892">
        <v>3891</v>
      </c>
      <c r="B3892">
        <v>35</v>
      </c>
      <c r="C3892" t="s">
        <v>144</v>
      </c>
      <c r="D3892" t="s">
        <v>48</v>
      </c>
      <c r="E3892" t="s">
        <v>18</v>
      </c>
      <c r="F3892">
        <v>81</v>
      </c>
      <c r="G3892" t="s">
        <v>136</v>
      </c>
      <c r="H3892" t="s">
        <v>83</v>
      </c>
      <c r="I3892" t="s">
        <v>87</v>
      </c>
      <c r="J3892" t="s">
        <v>22</v>
      </c>
      <c r="K3892">
        <v>2.6</v>
      </c>
      <c r="L3892" t="s">
        <v>143</v>
      </c>
      <c r="M3892" t="s">
        <v>143</v>
      </c>
      <c r="N3892">
        <v>33</v>
      </c>
      <c r="O3892" t="s">
        <v>77</v>
      </c>
      <c r="P3892" t="s">
        <v>43</v>
      </c>
    </row>
    <row r="3893" spans="1:16" ht="14.5" x14ac:dyDescent="0.35">
      <c r="A3893">
        <v>3892</v>
      </c>
      <c r="B3893">
        <v>36</v>
      </c>
      <c r="C3893" t="s">
        <v>144</v>
      </c>
      <c r="D3893" t="s">
        <v>72</v>
      </c>
      <c r="E3893" t="s">
        <v>18</v>
      </c>
      <c r="F3893">
        <v>30</v>
      </c>
      <c r="G3893" t="s">
        <v>103</v>
      </c>
      <c r="H3893" t="s">
        <v>20</v>
      </c>
      <c r="I3893" t="s">
        <v>91</v>
      </c>
      <c r="J3893" t="s">
        <v>22</v>
      </c>
      <c r="K3893">
        <v>4.7</v>
      </c>
      <c r="L3893" t="s">
        <v>143</v>
      </c>
      <c r="M3893" t="s">
        <v>143</v>
      </c>
      <c r="N3893">
        <v>6</v>
      </c>
      <c r="O3893" t="s">
        <v>66</v>
      </c>
      <c r="P3893" t="s">
        <v>51</v>
      </c>
    </row>
    <row r="3894" spans="1:16" ht="14.5" x14ac:dyDescent="0.35">
      <c r="A3894">
        <v>3893</v>
      </c>
      <c r="B3894">
        <v>35</v>
      </c>
      <c r="C3894" t="s">
        <v>144</v>
      </c>
      <c r="D3894" t="s">
        <v>97</v>
      </c>
      <c r="E3894" t="s">
        <v>60</v>
      </c>
      <c r="F3894">
        <v>86</v>
      </c>
      <c r="G3894" t="s">
        <v>142</v>
      </c>
      <c r="H3894" t="s">
        <v>20</v>
      </c>
      <c r="I3894" t="s">
        <v>117</v>
      </c>
      <c r="J3894" t="s">
        <v>47</v>
      </c>
      <c r="K3894">
        <v>3.5</v>
      </c>
      <c r="L3894" t="s">
        <v>143</v>
      </c>
      <c r="M3894" t="s">
        <v>143</v>
      </c>
      <c r="N3894">
        <v>5</v>
      </c>
      <c r="O3894" t="s">
        <v>40</v>
      </c>
      <c r="P3894" t="s">
        <v>25</v>
      </c>
    </row>
    <row r="3895" spans="1:16" ht="14.5" x14ac:dyDescent="0.35">
      <c r="A3895">
        <v>3894</v>
      </c>
      <c r="B3895">
        <v>21</v>
      </c>
      <c r="C3895" t="s">
        <v>144</v>
      </c>
      <c r="D3895" t="s">
        <v>115</v>
      </c>
      <c r="E3895" t="s">
        <v>60</v>
      </c>
      <c r="F3895">
        <v>64</v>
      </c>
      <c r="G3895" t="s">
        <v>31</v>
      </c>
      <c r="H3895" t="s">
        <v>20</v>
      </c>
      <c r="I3895" t="s">
        <v>46</v>
      </c>
      <c r="J3895" t="s">
        <v>50</v>
      </c>
      <c r="K3895">
        <v>3.3</v>
      </c>
      <c r="L3895" t="s">
        <v>143</v>
      </c>
      <c r="M3895" t="s">
        <v>143</v>
      </c>
      <c r="N3895">
        <v>29</v>
      </c>
      <c r="O3895" t="s">
        <v>66</v>
      </c>
      <c r="P3895" t="s">
        <v>67</v>
      </c>
    </row>
    <row r="3896" spans="1:16" ht="14.5" x14ac:dyDescent="0.35">
      <c r="A3896">
        <v>3895</v>
      </c>
      <c r="B3896">
        <v>66</v>
      </c>
      <c r="C3896" t="s">
        <v>144</v>
      </c>
      <c r="D3896" t="s">
        <v>78</v>
      </c>
      <c r="E3896" t="s">
        <v>18</v>
      </c>
      <c r="F3896">
        <v>78</v>
      </c>
      <c r="G3896" t="s">
        <v>130</v>
      </c>
      <c r="H3896" t="s">
        <v>20</v>
      </c>
      <c r="I3896" t="s">
        <v>46</v>
      </c>
      <c r="J3896" t="s">
        <v>33</v>
      </c>
      <c r="K3896">
        <v>3.9</v>
      </c>
      <c r="L3896" t="s">
        <v>143</v>
      </c>
      <c r="M3896" t="s">
        <v>143</v>
      </c>
      <c r="N3896">
        <v>44</v>
      </c>
      <c r="O3896" t="s">
        <v>34</v>
      </c>
      <c r="P3896" t="s">
        <v>88</v>
      </c>
    </row>
    <row r="3897" spans="1:16" ht="14.5" x14ac:dyDescent="0.35">
      <c r="A3897">
        <v>3896</v>
      </c>
      <c r="B3897">
        <v>40</v>
      </c>
      <c r="C3897" t="s">
        <v>144</v>
      </c>
      <c r="D3897" t="s">
        <v>95</v>
      </c>
      <c r="E3897" t="s">
        <v>18</v>
      </c>
      <c r="F3897">
        <v>28</v>
      </c>
      <c r="G3897" t="s">
        <v>132</v>
      </c>
      <c r="H3897" t="s">
        <v>20</v>
      </c>
      <c r="I3897" t="s">
        <v>42</v>
      </c>
      <c r="J3897" t="s">
        <v>47</v>
      </c>
      <c r="K3897">
        <v>4.2</v>
      </c>
      <c r="L3897" t="s">
        <v>143</v>
      </c>
      <c r="M3897" t="s">
        <v>143</v>
      </c>
      <c r="N3897">
        <v>32</v>
      </c>
      <c r="O3897" t="s">
        <v>24</v>
      </c>
      <c r="P3897" t="s">
        <v>35</v>
      </c>
    </row>
    <row r="3898" spans="1:16" ht="14.5" x14ac:dyDescent="0.35">
      <c r="A3898">
        <v>3897</v>
      </c>
      <c r="B3898">
        <v>52</v>
      </c>
      <c r="C3898" t="s">
        <v>144</v>
      </c>
      <c r="D3898" t="s">
        <v>123</v>
      </c>
      <c r="E3898" t="s">
        <v>60</v>
      </c>
      <c r="F3898">
        <v>49</v>
      </c>
      <c r="G3898" t="s">
        <v>137</v>
      </c>
      <c r="H3898" t="s">
        <v>20</v>
      </c>
      <c r="I3898" t="s">
        <v>46</v>
      </c>
      <c r="J3898" t="s">
        <v>33</v>
      </c>
      <c r="K3898">
        <v>4.5</v>
      </c>
      <c r="L3898" t="s">
        <v>143</v>
      </c>
      <c r="M3898" t="s">
        <v>143</v>
      </c>
      <c r="N3898">
        <v>41</v>
      </c>
      <c r="O3898" t="s">
        <v>66</v>
      </c>
      <c r="P3898" t="s">
        <v>67</v>
      </c>
    </row>
    <row r="3899" spans="1:16" ht="14.5" x14ac:dyDescent="0.35">
      <c r="A3899">
        <v>3898</v>
      </c>
      <c r="B3899">
        <v>46</v>
      </c>
      <c r="C3899" t="s">
        <v>144</v>
      </c>
      <c r="D3899" t="s">
        <v>124</v>
      </c>
      <c r="E3899" t="s">
        <v>60</v>
      </c>
      <c r="F3899">
        <v>33</v>
      </c>
      <c r="G3899" t="s">
        <v>118</v>
      </c>
      <c r="H3899" t="s">
        <v>20</v>
      </c>
      <c r="I3899" t="s">
        <v>87</v>
      </c>
      <c r="J3899" t="s">
        <v>33</v>
      </c>
      <c r="K3899">
        <v>2.9</v>
      </c>
      <c r="L3899" t="s">
        <v>143</v>
      </c>
      <c r="M3899" t="s">
        <v>143</v>
      </c>
      <c r="N3899">
        <v>24</v>
      </c>
      <c r="O3899" t="s">
        <v>24</v>
      </c>
      <c r="P3899" t="s">
        <v>51</v>
      </c>
    </row>
    <row r="3900" spans="1:16" ht="14.5" x14ac:dyDescent="0.35">
      <c r="A3900">
        <v>3899</v>
      </c>
      <c r="B3900">
        <v>44</v>
      </c>
      <c r="C3900" t="s">
        <v>144</v>
      </c>
      <c r="D3900" t="s">
        <v>63</v>
      </c>
      <c r="E3900" t="s">
        <v>37</v>
      </c>
      <c r="F3900">
        <v>77</v>
      </c>
      <c r="G3900" t="s">
        <v>139</v>
      </c>
      <c r="H3900" t="s">
        <v>32</v>
      </c>
      <c r="I3900" t="s">
        <v>101</v>
      </c>
      <c r="J3900" t="s">
        <v>47</v>
      </c>
      <c r="K3900">
        <v>3.8</v>
      </c>
      <c r="L3900" t="s">
        <v>143</v>
      </c>
      <c r="M3900" t="s">
        <v>143</v>
      </c>
      <c r="N3900">
        <v>24</v>
      </c>
      <c r="O3900" t="s">
        <v>24</v>
      </c>
      <c r="P3900" t="s">
        <v>35</v>
      </c>
    </row>
    <row r="3901" spans="1:16" ht="14.5" x14ac:dyDescent="0.35">
      <c r="A3901">
        <v>3900</v>
      </c>
      <c r="B3901">
        <v>52</v>
      </c>
      <c r="C3901" t="s">
        <v>144</v>
      </c>
      <c r="D3901" t="s">
        <v>59</v>
      </c>
      <c r="E3901" t="s">
        <v>60</v>
      </c>
      <c r="F3901">
        <v>81</v>
      </c>
      <c r="G3901" t="s">
        <v>90</v>
      </c>
      <c r="H3901" t="s">
        <v>39</v>
      </c>
      <c r="I3901" t="s">
        <v>109</v>
      </c>
      <c r="J3901" t="s">
        <v>33</v>
      </c>
      <c r="K3901">
        <v>3.1</v>
      </c>
      <c r="L3901" t="s">
        <v>143</v>
      </c>
      <c r="M3901" t="s">
        <v>143</v>
      </c>
      <c r="N3901">
        <v>33</v>
      </c>
      <c r="O3901" t="s">
        <v>24</v>
      </c>
      <c r="P3901" t="s">
        <v>51</v>
      </c>
    </row>
    <row r="3902" spans="1:16" ht="14.5" x14ac:dyDescent="0.35">
      <c r="F3902">
        <f>SUM(Table2[[#Headers],[#Data],[Purchase Amount (USD)]])</f>
        <v>233081</v>
      </c>
    </row>
  </sheetData>
  <conditionalFormatting sqref="K1:K1048576">
    <cfRule type="cellIs" dxfId="5" priority="1" operator="between">
      <formula>4.6</formula>
      <formula>4.7</formula>
    </cfRule>
    <cfRule type="cellIs" dxfId="4" priority="2" operator="lessThan">
      <formula>4.5</formula>
    </cfRule>
    <cfRule type="cellIs" dxfId="3" priority="3" operator="greaterThan">
      <formula>4.8</formula>
    </cfRule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C855-46D0-4DF3-BA96-96E13D85CCF4}">
  <sheetPr>
    <tabColor theme="1"/>
  </sheetPr>
  <dimension ref="P48"/>
  <sheetViews>
    <sheetView showGridLines="0" topLeftCell="D1" zoomScale="55" zoomScaleNormal="28" workbookViewId="0">
      <selection activeCell="BK98" sqref="BK98"/>
    </sheetView>
  </sheetViews>
  <sheetFormatPr defaultRowHeight="14.5" x14ac:dyDescent="0.35"/>
  <cols>
    <col min="15" max="15" width="8"/>
  </cols>
  <sheetData>
    <row r="48" spans="16:16" ht="23" x14ac:dyDescent="0.5">
      <c r="P48" s="11"/>
    </row>
  </sheetData>
  <phoneticPr fontId="19" type="noConversion"/>
  <conditionalFormatting sqref="A1:XFD1048576">
    <cfRule type="cellIs" dxfId="2" priority="1" operator="between">
      <formula>4.6</formula>
      <formula>4.7</formula>
    </cfRule>
    <cfRule type="cellIs" dxfId="1" priority="2" operator="lessThan">
      <formula>4.5</formula>
    </cfRule>
    <cfRule type="cellIs" dxfId="0" priority="3" operator="greaterThan">
      <formula>4.8</formula>
    </cfRule>
  </conditionalFormatting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0AA1-3B50-4FBD-92E1-70A490C5633C}">
  <dimension ref="A1:O72"/>
  <sheetViews>
    <sheetView showGridLines="0" tabSelected="1" zoomScale="37" zoomScaleNormal="114" workbookViewId="0">
      <selection activeCell="W31" sqref="W31"/>
    </sheetView>
  </sheetViews>
  <sheetFormatPr defaultRowHeight="14.5" x14ac:dyDescent="0.35"/>
  <cols>
    <col min="1" max="8" width="12.33203125" style="21" customWidth="1"/>
    <col min="9" max="9" width="9.25" style="21" customWidth="1"/>
    <col min="10" max="10" width="10.6640625" style="21" customWidth="1"/>
    <col min="11" max="11" width="7.75" style="21" customWidth="1"/>
    <col min="12" max="12" width="12.33203125" style="21" customWidth="1"/>
    <col min="13" max="13" width="9.25" style="21" customWidth="1"/>
    <col min="14" max="14" width="10.6640625" style="21" customWidth="1"/>
    <col min="15" max="15" width="7.75" style="21" customWidth="1"/>
    <col min="16" max="16384" width="8.6640625" style="21"/>
  </cols>
  <sheetData>
    <row r="1" spans="1:15" ht="27" customHeight="1" x14ac:dyDescent="0.35">
      <c r="A1" s="20" t="s">
        <v>218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27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ht="24" customHeight="1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5" ht="20" customHeight="1" x14ac:dyDescent="0.3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5" ht="20" customHeight="1" x14ac:dyDescent="0.35">
      <c r="A5" s="24" t="s">
        <v>191</v>
      </c>
      <c r="B5" s="24"/>
      <c r="C5" s="24"/>
      <c r="D5" s="24" t="s">
        <v>192</v>
      </c>
      <c r="E5" s="24"/>
      <c r="F5" s="24"/>
      <c r="G5" s="24" t="s">
        <v>193</v>
      </c>
      <c r="H5" s="24"/>
      <c r="I5" s="24"/>
      <c r="J5" s="24" t="s">
        <v>194</v>
      </c>
      <c r="K5" s="24"/>
      <c r="L5" s="24"/>
      <c r="M5" s="24" t="s">
        <v>195</v>
      </c>
      <c r="N5" s="24"/>
      <c r="O5" s="24"/>
    </row>
    <row r="6" spans="1:15" ht="20" customHeight="1" x14ac:dyDescent="0.35">
      <c r="A6" s="25">
        <f>SUM('Shopping Data'!F2:F3901)</f>
        <v>233081</v>
      </c>
      <c r="B6" s="26"/>
      <c r="C6" s="26"/>
      <c r="D6" s="27">
        <f>COUNTA('Shopping Data'!A2:A3901)</f>
        <v>3900</v>
      </c>
      <c r="E6" s="26"/>
      <c r="F6" s="26"/>
      <c r="G6" s="28">
        <f>A6/D6</f>
        <v>59.764358974358977</v>
      </c>
      <c r="H6" s="26"/>
      <c r="I6" s="26"/>
      <c r="J6" s="29">
        <f>AVERAGE('Shopping Data'!K2:K3901)</f>
        <v>3.7308717948717871</v>
      </c>
      <c r="K6" s="26"/>
      <c r="L6" s="26"/>
      <c r="M6" s="30">
        <f>SUM('Location Revenue'!E3:E52)/A6</f>
        <v>1</v>
      </c>
      <c r="N6" s="26"/>
      <c r="O6" s="26"/>
    </row>
    <row r="7" spans="1:15" ht="20" customHeight="1" x14ac:dyDescent="0.3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</row>
    <row r="8" spans="1:15" ht="20" customHeight="1" x14ac:dyDescent="0.3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</row>
    <row r="9" spans="1:15" ht="20" customHeight="1" x14ac:dyDescent="0.3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ht="20" customHeight="1" x14ac:dyDescent="0.4">
      <c r="A10" s="31" t="s">
        <v>196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</row>
    <row r="11" spans="1:15" ht="29" customHeight="1" x14ac:dyDescent="0.35">
      <c r="A11" s="32" t="str">
        <f>"• Category concentration: Clothing and Accessories generate "&amp;TEXT(SUM('Category Revenue'!B4:B5)/$A$6,"0.0%")&amp;" of revenue; Clothing alone contributes "&amp;TEXT('Category Revenue'!C4,"0.0%")&amp;"."</f>
        <v>• Category concentration: Clothing and Accessories generate 76.6% of revenue; Clothing alone contributes 44.7%.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5" ht="29" customHeight="1" x14ac:dyDescent="0.35">
      <c r="A12" s="32" t="str">
        <f>"• Customer mix: Male shoppers contribute "&amp;TEXT('Age &amp; Gender Revenue'!B11/$A$6,"0.0%")&amp;" of revenue, more than twice the female share."</f>
        <v>• Customer mix: Male shoppers contribute 67.7% of revenue, more than twice the female share.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spans="1:15" ht="29" customHeight="1" x14ac:dyDescent="0.35">
      <c r="A13" s="32" t="str">
        <f>"• Commercial levers: Subscribers represent "&amp;TEXT('Subscription Revenue'!D4,"0.0%")&amp;" of orders and have a nearly identical AOV ("&amp;TEXT('Subscription Revenue'!C4,"$0.00")&amp;" vs "&amp;TEXT('Subscription Revenue'!C3,"$0.00")&amp;")."</f>
        <v>• Commercial levers: Subscribers represent 27.0% of orders and have a nearly identical AOV ($59.49 vs $59.87).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15" ht="29" customHeight="1" x14ac:dyDescent="0.35">
      <c r="A14" s="32" t="str">
        <f>"• Discounts do not lift basket size: discounted AOV is "&amp;TEXT('Discount AOV'!B5,"$0.00")&amp;", "&amp;TEXT(1-'Discount AOV'!B5/'Discount AOV'!B4,"0.0%")&amp;" below undiscounted orders."</f>
        <v>• Discounts do not lift basket size: discounted AOV is $59.28, 1.4% below undiscounted orders.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spans="1:15" ht="29" customHeight="1" x14ac:dyDescent="0.35">
      <c r="A15" s="32" t="str">
        <f>"• Mix is stable: seasonal revenue ranges only "&amp;TEXT(MAX('Season Revenue'!C3:C6)-MIN('Season Revenue'!C3:C6),"0.0%")&amp;" from highest to lowest; payment usage is also evenly spread."</f>
        <v>• Mix is stable: seasonal revenue ranges only 1.8% from highest to lowest; payment usage is also evenly spread.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spans="1:15" ht="20" customHeight="1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20" customHeight="1" x14ac:dyDescent="0.4">
      <c r="A17" s="34" t="s">
        <v>197</v>
      </c>
      <c r="B17" s="34"/>
      <c r="C17" s="34"/>
      <c r="D17" s="23"/>
      <c r="E17" s="34" t="s">
        <v>198</v>
      </c>
      <c r="F17" s="34"/>
      <c r="G17" s="34"/>
      <c r="H17" s="23"/>
      <c r="I17" s="34" t="s">
        <v>199</v>
      </c>
      <c r="J17" s="34"/>
      <c r="K17" s="34"/>
      <c r="L17" s="23"/>
      <c r="M17" s="34" t="s">
        <v>200</v>
      </c>
      <c r="N17" s="34"/>
      <c r="O17" s="34"/>
    </row>
    <row r="18" spans="1:15" ht="20" customHeight="1" x14ac:dyDescent="0.4">
      <c r="A18" s="35" t="s">
        <v>4</v>
      </c>
      <c r="B18" s="35" t="s">
        <v>201</v>
      </c>
      <c r="C18" s="35" t="s">
        <v>202</v>
      </c>
      <c r="D18" s="23"/>
      <c r="E18" s="35" t="s">
        <v>203</v>
      </c>
      <c r="F18" s="35" t="s">
        <v>204</v>
      </c>
      <c r="G18" s="35" t="s">
        <v>202</v>
      </c>
      <c r="H18" s="23"/>
      <c r="I18" s="35" t="s">
        <v>9</v>
      </c>
      <c r="J18" s="35" t="s">
        <v>201</v>
      </c>
      <c r="K18" s="35" t="s">
        <v>202</v>
      </c>
      <c r="L18" s="23"/>
      <c r="M18" s="35" t="s">
        <v>2</v>
      </c>
      <c r="N18" s="35" t="s">
        <v>201</v>
      </c>
      <c r="O18" s="35" t="s">
        <v>202</v>
      </c>
    </row>
    <row r="19" spans="1:15" ht="20" customHeight="1" x14ac:dyDescent="0.35">
      <c r="A19" s="36" t="s">
        <v>18</v>
      </c>
      <c r="B19" s="37">
        <f>'Category Revenue'!B4</f>
        <v>104264</v>
      </c>
      <c r="C19" s="38">
        <f>B19/$A$6</f>
        <v>0.44732946915449995</v>
      </c>
      <c r="D19" s="36"/>
      <c r="E19" s="36" t="s">
        <v>40</v>
      </c>
      <c r="F19" s="39">
        <f>'Payment Methods'!B3</f>
        <v>677</v>
      </c>
      <c r="G19" s="38">
        <f t="shared" ref="G19:G24" si="0">F19/$D$6</f>
        <v>0.17358974358974358</v>
      </c>
      <c r="H19" s="36"/>
      <c r="I19" s="36" t="s">
        <v>50</v>
      </c>
      <c r="J19" s="37">
        <f>'Season Revenue'!B3</f>
        <v>60018</v>
      </c>
      <c r="K19" s="38">
        <f>J19/$A$6</f>
        <v>0.25749846619844602</v>
      </c>
      <c r="L19" s="36"/>
      <c r="M19" s="36" t="s">
        <v>16</v>
      </c>
      <c r="N19" s="37">
        <f>'Age &amp; Gender Revenue'!B11</f>
        <v>157890</v>
      </c>
      <c r="O19" s="38">
        <f>N19/$A$6</f>
        <v>0.67740399260342976</v>
      </c>
    </row>
    <row r="20" spans="1:15" ht="20" customHeight="1" x14ac:dyDescent="0.35">
      <c r="A20" s="36" t="s">
        <v>60</v>
      </c>
      <c r="B20" s="37">
        <f>'Category Revenue'!B5</f>
        <v>74200</v>
      </c>
      <c r="C20" s="38">
        <f>B20/$A$6</f>
        <v>0.31834426658543596</v>
      </c>
      <c r="D20" s="36"/>
      <c r="E20" s="36" t="s">
        <v>34</v>
      </c>
      <c r="F20" s="39">
        <f>'Payment Methods'!B4</f>
        <v>671</v>
      </c>
      <c r="G20" s="38">
        <f t="shared" si="0"/>
        <v>0.17205128205128206</v>
      </c>
      <c r="H20" s="36"/>
      <c r="I20" s="36" t="s">
        <v>33</v>
      </c>
      <c r="J20" s="37">
        <f>'Season Revenue'!B4</f>
        <v>58679</v>
      </c>
      <c r="K20" s="38">
        <f>J20/$A$6</f>
        <v>0.251753682196318</v>
      </c>
      <c r="L20" s="36"/>
      <c r="M20" s="36" t="s">
        <v>144</v>
      </c>
      <c r="N20" s="37">
        <f>'Age &amp; Gender Revenue'!B4</f>
        <v>75191</v>
      </c>
      <c r="O20" s="38">
        <f>N20/$A$6</f>
        <v>0.32259600739657029</v>
      </c>
    </row>
    <row r="21" spans="1:15" ht="20" customHeight="1" x14ac:dyDescent="0.35">
      <c r="A21" s="36" t="s">
        <v>37</v>
      </c>
      <c r="B21" s="37">
        <f>'Category Revenue'!B6</f>
        <v>36093</v>
      </c>
      <c r="C21" s="38">
        <f>B21/$A$6</f>
        <v>0.15485174681762992</v>
      </c>
      <c r="D21" s="36"/>
      <c r="E21" s="36" t="s">
        <v>29</v>
      </c>
      <c r="F21" s="39">
        <f>'Payment Methods'!B5</f>
        <v>670</v>
      </c>
      <c r="G21" s="38">
        <f t="shared" si="0"/>
        <v>0.1717948717948718</v>
      </c>
      <c r="H21" s="36"/>
      <c r="I21" s="36" t="s">
        <v>47</v>
      </c>
      <c r="J21" s="37">
        <f>'Season Revenue'!B5</f>
        <v>55777</v>
      </c>
      <c r="K21" s="38">
        <f>J21/$A$6</f>
        <v>0.23930307489670974</v>
      </c>
      <c r="L21" s="36"/>
      <c r="M21" s="36"/>
      <c r="N21" s="36"/>
      <c r="O21" s="36"/>
    </row>
    <row r="22" spans="1:15" ht="20" customHeight="1" x14ac:dyDescent="0.35">
      <c r="A22" s="36" t="s">
        <v>56</v>
      </c>
      <c r="B22" s="37">
        <f>'Category Revenue'!B7</f>
        <v>18524</v>
      </c>
      <c r="C22" s="38">
        <f>B22/$A$6</f>
        <v>7.9474517442434181E-2</v>
      </c>
      <c r="D22" s="36"/>
      <c r="E22" s="36" t="s">
        <v>77</v>
      </c>
      <c r="F22" s="39">
        <f>'Payment Methods'!B6</f>
        <v>636</v>
      </c>
      <c r="G22" s="38">
        <f t="shared" si="0"/>
        <v>0.16307692307692306</v>
      </c>
      <c r="H22" s="36"/>
      <c r="I22" s="36" t="s">
        <v>22</v>
      </c>
      <c r="J22" s="37">
        <f>'Season Revenue'!B6</f>
        <v>58607</v>
      </c>
      <c r="K22" s="38">
        <f>J22/$A$6</f>
        <v>0.25144477670852622</v>
      </c>
      <c r="L22" s="36"/>
      <c r="M22" s="36"/>
      <c r="N22" s="36"/>
      <c r="O22" s="36"/>
    </row>
    <row r="23" spans="1:15" ht="20" customHeight="1" x14ac:dyDescent="0.35">
      <c r="A23" s="36"/>
      <c r="B23" s="36"/>
      <c r="C23" s="36"/>
      <c r="D23" s="36"/>
      <c r="E23" s="36" t="s">
        <v>24</v>
      </c>
      <c r="F23" s="39">
        <f>'Payment Methods'!B7</f>
        <v>634</v>
      </c>
      <c r="G23" s="38">
        <f t="shared" si="0"/>
        <v>0.16256410256410256</v>
      </c>
      <c r="H23" s="36"/>
      <c r="I23" s="36"/>
      <c r="J23" s="36"/>
      <c r="K23" s="36"/>
      <c r="L23" s="36"/>
      <c r="M23" s="36"/>
      <c r="N23" s="36"/>
      <c r="O23" s="36"/>
    </row>
    <row r="24" spans="1:15" ht="20" customHeight="1" x14ac:dyDescent="0.35">
      <c r="A24" s="36"/>
      <c r="B24" s="36"/>
      <c r="C24" s="36"/>
      <c r="D24" s="36"/>
      <c r="E24" s="36" t="s">
        <v>66</v>
      </c>
      <c r="F24" s="39">
        <f>'Payment Methods'!B8</f>
        <v>612</v>
      </c>
      <c r="G24" s="38">
        <f t="shared" si="0"/>
        <v>0.15692307692307692</v>
      </c>
      <c r="H24" s="36"/>
      <c r="I24" s="36"/>
      <c r="J24" s="36"/>
      <c r="K24" s="36"/>
      <c r="L24" s="36"/>
      <c r="M24" s="36"/>
      <c r="N24" s="36"/>
      <c r="O24" s="36"/>
    </row>
    <row r="25" spans="1:15" ht="20" customHeight="1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ht="20" customHeight="1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ht="20" customHeight="1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ht="20" customHeight="1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ht="20" customHeight="1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ht="20" customHeight="1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ht="20" customHeight="1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ht="20" customHeight="1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ht="20" customHeight="1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20" customHeight="1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20" customHeight="1" x14ac:dyDescent="0.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 spans="1:15" ht="20" customHeight="1" x14ac:dyDescent="0.3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1:15" ht="20" customHeight="1" x14ac:dyDescent="0.3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</row>
    <row r="38" spans="1:15" ht="20" customHeight="1" x14ac:dyDescent="0.3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1:15" ht="20" customHeight="1" x14ac:dyDescent="0.3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</row>
    <row r="40" spans="1:15" ht="20" customHeight="1" x14ac:dyDescent="0.3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</row>
    <row r="41" spans="1:15" ht="20" customHeight="1" x14ac:dyDescent="0.3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</row>
    <row r="42" spans="1:15" ht="20" customHeight="1" x14ac:dyDescent="0.3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</row>
    <row r="43" spans="1:15" ht="20" customHeight="1" x14ac:dyDescent="0.3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</row>
    <row r="44" spans="1:15" ht="20" customHeight="1" x14ac:dyDescent="0.35"/>
    <row r="45" spans="1:15" ht="20" customHeight="1" x14ac:dyDescent="0.35"/>
    <row r="46" spans="1:15" ht="20" customHeight="1" x14ac:dyDescent="0.35"/>
    <row r="51" ht="20" customHeight="1" x14ac:dyDescent="0.35"/>
    <row r="52" ht="20" customHeight="1" x14ac:dyDescent="0.35"/>
    <row r="53" ht="38" customHeight="1" x14ac:dyDescent="0.35"/>
    <row r="54" ht="38" customHeight="1" x14ac:dyDescent="0.35"/>
    <row r="55" ht="20" customHeight="1" x14ac:dyDescent="0.35"/>
    <row r="56" ht="20" customHeight="1" x14ac:dyDescent="0.35"/>
    <row r="57" ht="20" customHeight="1" x14ac:dyDescent="0.35"/>
    <row r="58" ht="20" customHeight="1" x14ac:dyDescent="0.35"/>
    <row r="59" ht="20" customHeight="1" x14ac:dyDescent="0.35"/>
    <row r="60" ht="20" customHeight="1" x14ac:dyDescent="0.35"/>
    <row r="61" ht="20" customHeight="1" x14ac:dyDescent="0.35"/>
    <row r="62" ht="20" customHeight="1" x14ac:dyDescent="0.35"/>
    <row r="63" ht="20" customHeight="1" x14ac:dyDescent="0.35"/>
    <row r="64" ht="20" customHeight="1" x14ac:dyDescent="0.35"/>
    <row r="65" ht="20" customHeight="1" x14ac:dyDescent="0.35"/>
    <row r="66" ht="20" customHeight="1" x14ac:dyDescent="0.35"/>
    <row r="67" ht="20" customHeight="1" x14ac:dyDescent="0.35"/>
    <row r="68" ht="20" customHeight="1" x14ac:dyDescent="0.35"/>
    <row r="69" ht="20" customHeight="1" x14ac:dyDescent="0.35"/>
    <row r="70" ht="20" customHeight="1" x14ac:dyDescent="0.35"/>
    <row r="71" ht="20" customHeight="1" x14ac:dyDescent="0.35"/>
    <row r="72" ht="20" customHeight="1" x14ac:dyDescent="0.35"/>
  </sheetData>
  <mergeCells count="22">
    <mergeCell ref="A14:O14"/>
    <mergeCell ref="A15:O15"/>
    <mergeCell ref="A17:C17"/>
    <mergeCell ref="E17:G17"/>
    <mergeCell ref="I17:K17"/>
    <mergeCell ref="M17:O17"/>
    <mergeCell ref="A13:O13"/>
    <mergeCell ref="A1:O2"/>
    <mergeCell ref="A3:O3"/>
    <mergeCell ref="A5:C5"/>
    <mergeCell ref="A6:C8"/>
    <mergeCell ref="D5:F5"/>
    <mergeCell ref="D6:F8"/>
    <mergeCell ref="G5:I5"/>
    <mergeCell ref="G6:I8"/>
    <mergeCell ref="J5:L5"/>
    <mergeCell ref="J6:L8"/>
    <mergeCell ref="M5:O5"/>
    <mergeCell ref="M6:O8"/>
    <mergeCell ref="A10:O10"/>
    <mergeCell ref="A11:O11"/>
    <mergeCell ref="A12:O12"/>
  </mergeCells>
  <conditionalFormatting sqref="C19:C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{8A61B80D-61F7-4E68-A8B2-7C199F89760C}</x14:id>
        </ext>
      </extLst>
    </cfRule>
  </conditionalFormatting>
  <conditionalFormatting sqref="G19:G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{5C5F3195-D2C1-45A3-AC9F-4B8D6D8A4BDF}</x14:id>
        </ext>
      </extLst>
    </cfRule>
  </conditionalFormatting>
  <conditionalFormatting sqref="K19:K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{D005DF40-2738-47A5-AD8D-8C6A05228C87}</x14:id>
        </ext>
      </extLst>
    </cfRule>
  </conditionalFormatting>
  <conditionalFormatting sqref="O19:O2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{BD6D60DE-FD25-41CD-8542-3BCDC0A09111}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61B80D-61F7-4E68-A8B2-7C199F89760C}">
            <x14:dataBar minLength="0" maxLength="100" negativeBarColorSameAsPositive="1" axisPosition="none">
              <x14:cfvo type="min"/>
              <x14:cfvo type="max"/>
            </x14:dataBar>
          </x14:cfRule>
          <xm:sqref>C19:C22</xm:sqref>
        </x14:conditionalFormatting>
        <x14:conditionalFormatting xmlns:xm="http://schemas.microsoft.com/office/excel/2006/main">
          <x14:cfRule type="dataBar" id="{5C5F3195-D2C1-45A3-AC9F-4B8D6D8A4BDF}">
            <x14:dataBar minLength="0" maxLength="100" negativeBarColorSameAsPositive="1" axisPosition="none">
              <x14:cfvo type="min"/>
              <x14:cfvo type="max"/>
            </x14:dataBar>
          </x14:cfRule>
          <xm:sqref>G19:G24</xm:sqref>
        </x14:conditionalFormatting>
        <x14:conditionalFormatting xmlns:xm="http://schemas.microsoft.com/office/excel/2006/main">
          <x14:cfRule type="dataBar" id="{D005DF40-2738-47A5-AD8D-8C6A05228C87}">
            <x14:dataBar minLength="0" maxLength="100" negativeBarColorSameAsPositive="1" axisPosition="none">
              <x14:cfvo type="min"/>
              <x14:cfvo type="max"/>
            </x14:dataBar>
          </x14:cfRule>
          <xm:sqref>K19:K22</xm:sqref>
        </x14:conditionalFormatting>
        <x14:conditionalFormatting xmlns:xm="http://schemas.microsoft.com/office/excel/2006/main">
          <x14:cfRule type="dataBar" id="{BD6D60DE-FD25-41CD-8542-3BCDC0A09111}">
            <x14:dataBar minLength="0" maxLength="100" negativeBarColorSameAsPositive="1" axisPosition="none">
              <x14:cfvo type="min"/>
              <x14:cfvo type="max"/>
            </x14:dataBar>
          </x14:cfRule>
          <xm:sqref>O19:O20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148E-2145-460F-9F1E-7C46429D353D}">
  <dimension ref="A1:R7"/>
  <sheetViews>
    <sheetView workbookViewId="0"/>
  </sheetViews>
  <sheetFormatPr defaultRowHeight="14.5" x14ac:dyDescent="0.35"/>
  <sheetData>
    <row r="1" spans="1:18" x14ac:dyDescent="0.35">
      <c r="A1" t="s">
        <v>210</v>
      </c>
      <c r="B1" t="s">
        <v>144</v>
      </c>
      <c r="C1" t="s">
        <v>16</v>
      </c>
      <c r="E1" t="s">
        <v>11</v>
      </c>
      <c r="F1" t="s">
        <v>201</v>
      </c>
      <c r="H1" t="s">
        <v>4</v>
      </c>
      <c r="I1" t="s">
        <v>201</v>
      </c>
      <c r="K1" t="s">
        <v>9</v>
      </c>
      <c r="L1" t="s">
        <v>201</v>
      </c>
      <c r="N1" t="s">
        <v>12</v>
      </c>
      <c r="O1" t="s">
        <v>201</v>
      </c>
      <c r="Q1" t="s">
        <v>14</v>
      </c>
      <c r="R1" t="s">
        <v>204</v>
      </c>
    </row>
    <row r="2" spans="1:18" x14ac:dyDescent="0.35">
      <c r="A2" t="s">
        <v>211</v>
      </c>
      <c r="B2" s="13">
        <f>'Age &amp; Gender Revenue'!B5</f>
        <v>13644</v>
      </c>
      <c r="C2" s="13">
        <f>'Age &amp; Gender Revenue'!B12</f>
        <v>29658</v>
      </c>
      <c r="E2" t="s">
        <v>143</v>
      </c>
      <c r="F2" s="13">
        <f>'Subscription Revenue'!B3</f>
        <v>170436</v>
      </c>
      <c r="H2" t="s">
        <v>18</v>
      </c>
      <c r="I2" s="13">
        <f>'Category Revenue'!B4</f>
        <v>104264</v>
      </c>
      <c r="K2" t="s">
        <v>50</v>
      </c>
      <c r="L2" s="13">
        <f>'Season Revenue'!B3</f>
        <v>60018</v>
      </c>
      <c r="N2" t="s">
        <v>143</v>
      </c>
      <c r="O2" s="13">
        <f>'Discount Revenue'!B4</f>
        <v>133670</v>
      </c>
      <c r="Q2" t="s">
        <v>40</v>
      </c>
      <c r="R2" s="19">
        <f>'Payment Methods'!B3</f>
        <v>677</v>
      </c>
    </row>
    <row r="3" spans="1:18" x14ac:dyDescent="0.35">
      <c r="A3" t="s">
        <v>212</v>
      </c>
      <c r="B3" s="13">
        <f>'Age &amp; Gender Revenue'!B6</f>
        <v>14415</v>
      </c>
      <c r="C3" s="13">
        <f>'Age &amp; Gender Revenue'!B13</f>
        <v>30503</v>
      </c>
      <c r="E3" t="s">
        <v>23</v>
      </c>
      <c r="F3" s="13">
        <f>'Subscription Revenue'!B4</f>
        <v>62645</v>
      </c>
      <c r="H3" t="s">
        <v>60</v>
      </c>
      <c r="I3" s="13">
        <f>'Category Revenue'!B5</f>
        <v>74200</v>
      </c>
      <c r="K3" t="s">
        <v>33</v>
      </c>
      <c r="L3" s="13">
        <f>'Season Revenue'!B4</f>
        <v>58679</v>
      </c>
      <c r="N3" t="s">
        <v>23</v>
      </c>
      <c r="O3" s="13">
        <f>'Discount Revenue'!B5</f>
        <v>99411</v>
      </c>
      <c r="Q3" t="s">
        <v>34</v>
      </c>
      <c r="R3" s="19">
        <f>'Payment Methods'!B4</f>
        <v>671</v>
      </c>
    </row>
    <row r="4" spans="1:18" x14ac:dyDescent="0.35">
      <c r="A4" t="s">
        <v>213</v>
      </c>
      <c r="B4" s="13">
        <f>'Age &amp; Gender Revenue'!B7</f>
        <v>14742</v>
      </c>
      <c r="C4" s="13">
        <f>'Age &amp; Gender Revenue'!B14</f>
        <v>27581</v>
      </c>
      <c r="H4" t="s">
        <v>37</v>
      </c>
      <c r="I4" s="13">
        <f>'Category Revenue'!B6</f>
        <v>36093</v>
      </c>
      <c r="K4" t="s">
        <v>47</v>
      </c>
      <c r="L4" s="13">
        <f>'Season Revenue'!B5</f>
        <v>55777</v>
      </c>
      <c r="Q4" t="s">
        <v>29</v>
      </c>
      <c r="R4" s="19">
        <f>'Payment Methods'!B5</f>
        <v>670</v>
      </c>
    </row>
    <row r="5" spans="1:18" x14ac:dyDescent="0.35">
      <c r="A5" t="s">
        <v>214</v>
      </c>
      <c r="B5" s="13">
        <f>'Age &amp; Gender Revenue'!B8</f>
        <v>14906</v>
      </c>
      <c r="C5" s="13">
        <f>'Age &amp; Gender Revenue'!B15</f>
        <v>31869</v>
      </c>
      <c r="H5" t="s">
        <v>56</v>
      </c>
      <c r="I5" s="13">
        <f>'Category Revenue'!B7</f>
        <v>18524</v>
      </c>
      <c r="K5" t="s">
        <v>22</v>
      </c>
      <c r="L5" s="13">
        <f>'Season Revenue'!B6</f>
        <v>58607</v>
      </c>
      <c r="Q5" t="s">
        <v>77</v>
      </c>
      <c r="R5" s="19">
        <f>'Payment Methods'!B6</f>
        <v>636</v>
      </c>
    </row>
    <row r="6" spans="1:18" x14ac:dyDescent="0.35">
      <c r="A6" t="s">
        <v>215</v>
      </c>
      <c r="B6" s="13">
        <f>'Age &amp; Gender Revenue'!B9</f>
        <v>13307</v>
      </c>
      <c r="C6" s="13">
        <f>'Age &amp; Gender Revenue'!B16</f>
        <v>28875</v>
      </c>
      <c r="Q6" t="s">
        <v>24</v>
      </c>
      <c r="R6" s="19">
        <f>'Payment Methods'!B7</f>
        <v>634</v>
      </c>
    </row>
    <row r="7" spans="1:18" x14ac:dyDescent="0.35">
      <c r="A7" t="s">
        <v>216</v>
      </c>
      <c r="B7" s="13">
        <f>'Age &amp; Gender Revenue'!B10</f>
        <v>4177</v>
      </c>
      <c r="C7" s="13">
        <f>'Age &amp; Gender Revenue'!B17</f>
        <v>9404</v>
      </c>
      <c r="Q7" t="s">
        <v>66</v>
      </c>
      <c r="R7" s="19">
        <f>'Payment Methods'!B8</f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Age &amp; Gender Revenue</vt:lpstr>
      <vt:lpstr>Subscription Revenue</vt:lpstr>
      <vt:lpstr>Payment Methods</vt:lpstr>
      <vt:lpstr>Purchase Frequency</vt:lpstr>
      <vt:lpstr>Location Revenue</vt:lpstr>
      <vt:lpstr>Season Revenue</vt:lpstr>
      <vt:lpstr>Category Revenue</vt:lpstr>
      <vt:lpstr>Item Revenue</vt:lpstr>
      <vt:lpstr>Color Revenue</vt:lpstr>
      <vt:lpstr>Size Revenue</vt:lpstr>
      <vt:lpstr>Discount Revenue</vt:lpstr>
      <vt:lpstr>Discount AOV</vt:lpstr>
      <vt:lpstr>Average Rating</vt:lpstr>
      <vt:lpstr>Rating Distribution</vt:lpstr>
      <vt:lpstr>Key KPIs</vt:lpstr>
      <vt:lpstr>Payment Method Counts</vt:lpstr>
      <vt:lpstr>Shopping Data</vt:lpstr>
      <vt:lpstr>Dashboard</vt:lpstr>
      <vt:lpstr>Dashboard Insights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Khadija Et tabi</cp:lastModifiedBy>
  <dcterms:created xsi:type="dcterms:W3CDTF">2026-01-17T16:43:43Z</dcterms:created>
  <dcterms:modified xsi:type="dcterms:W3CDTF">2026-09-06T14:35:34Z</dcterms:modified>
</cp:coreProperties>
</file>